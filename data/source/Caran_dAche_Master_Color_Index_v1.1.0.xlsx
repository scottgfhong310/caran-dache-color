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4feaf6ad0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fec07005fe4e4d"/>
    <x:sheet xmlns:r="http://schemas.openxmlformats.org/officeDocument/2006/relationships" name="Series_Registry" sheetId="2" r:id="R00482a4303074cfa"/>
    <x:sheet xmlns:r="http://schemas.openxmlformats.org/officeDocument/2006/relationships" name="Source_Registry" sheetId="3" r:id="Rf1b5e239f54a407e"/>
    <x:sheet xmlns:r="http://schemas.openxmlformats.org/officeDocument/2006/relationships" name="Validation_Lists" sheetId="4" r:id="Rda7c59887dc14d2e"/>
    <x:sheet xmlns:r="http://schemas.openxmlformats.org/officeDocument/2006/relationships" name="Color_Master" sheetId="5" r:id="R7bf90b1892754a42"/>
    <x:sheet xmlns:r="http://schemas.openxmlformats.org/officeDocument/2006/relationships" name="Series_Color_Index" sheetId="6" r:id="R644b09b167e949a9"/>
    <x:sheet xmlns:r="http://schemas.openxmlformats.org/officeDocument/2006/relationships" name="Pigment_Map" sheetId="7" r:id="Rde73874680e4458b"/>
    <x:sheet xmlns:r="http://schemas.openxmlformats.org/officeDocument/2006/relationships" name="Cross_Series_Map" sheetId="8" r:id="Ra3ad39a853d74924"/>
    <x:sheet xmlns:r="http://schemas.openxmlformats.org/officeDocument/2006/relationships" name="Swatch_Reference" sheetId="9" r:id="Rc6ba0c7b263843b2"/>
    <x:sheet xmlns:r="http://schemas.openxmlformats.org/officeDocument/2006/relationships" name="Data_Dictionary" sheetId="10" r:id="R27e0d988910d4114"/>
    <x:sheet xmlns:r="http://schemas.openxmlformats.org/officeDocument/2006/relationships" name="Color_Query" sheetId="11" r:id="R3bbe50b15c254f6b"/>
    <x:sheet xmlns:r="http://schemas.openxmlformats.org/officeDocument/2006/relationships" name="Integrity_Check" sheetId="12" r:id="R78a3c7d01ce344c7"/>
    <x:sheet xmlns:r="http://schemas.openxmlformats.org/officeDocument/2006/relationships" name="Dashboard" sheetId="13" r:id="Ra2921923e8204b37"/>
    <x:sheet xmlns:r="http://schemas.openxmlformats.org/officeDocument/2006/relationships" name="Catalogue_2025_Coverage" sheetId="14" r:id="R319e2aba9ee74533"/>
    <x:sheet xmlns:r="http://schemas.openxmlformats.org/officeDocument/2006/relationships" name="Catalogue_2025_Audit" sheetId="15" r:id="R53cc2f7d894f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5"/>
      <x:color rgb="FFFFFFFF"/>
      <x:name val="Carlito"/>
    </x:font>
    <x:font>
      <x:b/>
      <x:sz val="11"/>
      <x:color rgb="FF000000"/>
      <x:name val="Carlito"/>
    </x:font>
    <x:font>
      <x:sz val="11"/>
      <x:color rgb="FF6B7280"/>
      <x:name val="Carlito"/>
    </x:font>
    <x:font>
      <x:b/>
      <x:sz val="14"/>
      <x:color rgb="FFFFFFFF"/>
      <x:name val="Carlito"/>
    </x:font>
  </x:fonts>
  <x:fills count="111">
    <x:fill>
      <x:patternFill patternType="none"/>
    </x:fill>
    <x:fill>
      <x:patternFill patternType="gray125"/>
    </x:fill>
    <x:fill>
      <x:patternFill patternType="solid">
        <x:fgColor rgb="FFE63329"/>
      </x:patternFill>
    </x:fill>
    <x:fill>
      <x:patternFill patternType="solid">
        <x:fgColor rgb="FF2F3337"/>
      </x:patternFill>
    </x:fill>
    <x:fill>
      <x:patternFill patternType="solid">
        <x:fgColor rgb="FFF3F4F6"/>
      </x:patternFill>
    </x:fill>
    <x:fill>
      <x:patternFill patternType="solid">
        <x:fgColor rgb="FFF3F4F6"/>
      </x:patternFill>
    </x:fill>
    <x:fill>
      <x:patternFill patternType="solid">
        <x:fgColor rgb="FF323333"/>
      </x:patternFill>
    </x:fill>
    <x:fill>
      <x:patternFill patternType="solid">
        <x:fgColor rgb="FF393937"/>
      </x:patternFill>
    </x:fill>
    <x:fill>
      <x:patternFill patternType="solid">
        <x:fgColor rgb="FF474C51"/>
      </x:patternFill>
    </x:fill>
    <x:fill>
      <x:patternFill patternType="solid">
        <x:fgColor rgb="FF535D64"/>
      </x:patternFill>
    </x:fill>
    <x:fill>
      <x:patternFill patternType="solid">
        <x:fgColor rgb="FF3D3E3E"/>
      </x:patternFill>
    </x:fill>
    <x:fill>
      <x:patternFill patternType="solid">
        <x:fgColor rgb="FFF3F4F6"/>
      </x:patternFill>
    </x:fill>
    <x:fill>
      <x:patternFill patternType="solid">
        <x:fgColor rgb="FFF8F3F0"/>
      </x:patternFill>
    </x:fill>
    <x:fill>
      <x:patternFill patternType="solid">
        <x:fgColor rgb="FFDCE1E2"/>
      </x:patternFill>
    </x:fill>
    <x:fill>
      <x:patternFill patternType="solid">
        <x:fgColor rgb="FF393A3C"/>
      </x:patternFill>
    </x:fill>
    <x:fill>
      <x:patternFill patternType="solid">
        <x:fgColor rgb="FFFBE444"/>
      </x:patternFill>
    </x:fill>
    <x:fill>
      <x:patternFill patternType="solid">
        <x:fgColor rgb="FFF7B143"/>
      </x:patternFill>
    </x:fill>
    <x:fill>
      <x:patternFill patternType="solid">
        <x:fgColor rgb="FFE2AB4B"/>
      </x:patternFill>
    </x:fill>
    <x:fill>
      <x:patternFill patternType="solid">
        <x:fgColor rgb="FFBA7E4D"/>
      </x:patternFill>
    </x:fill>
    <x:fill>
      <x:patternFill patternType="solid">
        <x:fgColor rgb="FFCE765F"/>
      </x:patternFill>
    </x:fill>
    <x:fill>
      <x:patternFill patternType="solid">
        <x:fgColor rgb="FFE08C53"/>
      </x:patternFill>
    </x:fill>
    <x:fill>
      <x:patternFill patternType="solid">
        <x:fgColor rgb="FFEA5E4A"/>
      </x:patternFill>
    </x:fill>
    <x:fill>
      <x:patternFill patternType="solid">
        <x:fgColor rgb="FFCD6345"/>
      </x:patternFill>
    </x:fill>
    <x:fill>
      <x:patternFill patternType="solid">
        <x:fgColor rgb="FFF0B19C"/>
      </x:patternFill>
    </x:fill>
    <x:fill>
      <x:patternFill patternType="solid">
        <x:fgColor rgb="FF9D6055"/>
      </x:patternFill>
    </x:fill>
    <x:fill>
      <x:patternFill patternType="solid">
        <x:fgColor rgb="FFDE484D"/>
      </x:patternFill>
    </x:fill>
    <x:fill>
      <x:patternFill patternType="solid">
        <x:fgColor rgb="FFC87D52"/>
      </x:patternFill>
    </x:fill>
    <x:fill>
      <x:patternFill patternType="solid">
        <x:fgColor rgb="FF9D8F96"/>
      </x:patternFill>
    </x:fill>
    <x:fill>
      <x:patternFill patternType="solid">
        <x:fgColor rgb="FFBC9AC0"/>
      </x:patternFill>
    </x:fill>
    <x:fill>
      <x:patternFill patternType="solid">
        <x:fgColor rgb="FF725893"/>
      </x:patternFill>
    </x:fill>
    <x:fill>
      <x:patternFill patternType="solid">
        <x:fgColor rgb="FF4675B2"/>
      </x:patternFill>
    </x:fill>
    <x:fill>
      <x:patternFill patternType="solid">
        <x:fgColor rgb="FF486B99"/>
      </x:patternFill>
    </x:fill>
    <x:fill>
      <x:patternFill patternType="solid">
        <x:fgColor rgb="FF91CEC1"/>
      </x:patternFill>
    </x:fill>
    <x:fill>
      <x:patternFill patternType="solid">
        <x:fgColor rgb="FF9ECDAB"/>
      </x:patternFill>
    </x:fill>
    <x:fill>
      <x:patternFill patternType="solid">
        <x:fgColor rgb="FF187AA0"/>
      </x:patternFill>
    </x:fill>
    <x:fill>
      <x:patternFill patternType="solid">
        <x:fgColor rgb="FF60B667"/>
      </x:patternFill>
    </x:fill>
    <x:fill>
      <x:patternFill patternType="solid">
        <x:fgColor rgb="FF6D9356"/>
      </x:patternFill>
    </x:fill>
    <x:fill>
      <x:patternFill patternType="solid">
        <x:fgColor rgb="FFF5E85B"/>
      </x:patternFill>
    </x:fill>
    <x:fill>
      <x:patternFill patternType="solid">
        <x:fgColor rgb="FFFBF1C2"/>
      </x:patternFill>
    </x:fill>
    <x:fill>
      <x:patternFill patternType="solid">
        <x:fgColor rgb="FFBF4383"/>
      </x:patternFill>
    </x:fill>
    <x:fill>
      <x:patternFill patternType="solid">
        <x:fgColor rgb="FF72665B"/>
      </x:patternFill>
    </x:fill>
    <x:fill>
      <x:patternFill patternType="solid">
        <x:fgColor rgb="FFBED462"/>
      </x:patternFill>
    </x:fill>
    <x:fill>
      <x:patternFill patternType="solid">
        <x:fgColor rgb="FF676765"/>
      </x:patternFill>
    </x:fill>
    <x:fill>
      <x:patternFill patternType="solid">
        <x:fgColor rgb="FFA2A8B0"/>
      </x:patternFill>
    </x:fill>
    <x:fill>
      <x:patternFill patternType="solid">
        <x:fgColor rgb="FFEFC325"/>
      </x:patternFill>
    </x:fill>
    <x:fill>
      <x:patternFill patternType="solid">
        <x:fgColor rgb="FFF4D7AD"/>
      </x:patternFill>
    </x:fill>
    <x:fill>
      <x:patternFill patternType="solid">
        <x:fgColor rgb="FFA1815C"/>
      </x:patternFill>
    </x:fill>
    <x:fill>
      <x:patternFill patternType="solid">
        <x:fgColor rgb="FFC62B41"/>
      </x:patternFill>
    </x:fill>
    <x:fill>
      <x:patternFill patternType="solid">
        <x:fgColor rgb="FFC98B91"/>
      </x:patternFill>
    </x:fill>
    <x:fill>
      <x:patternFill patternType="solid">
        <x:fgColor rgb="FF9F4543"/>
      </x:patternFill>
    </x:fill>
    <x:fill>
      <x:patternFill patternType="solid">
        <x:fgColor rgb="FF38343C"/>
      </x:patternFill>
    </x:fill>
    <x:fill>
      <x:patternFill patternType="solid">
        <x:fgColor rgb="FFB9D6E9"/>
      </x:patternFill>
    </x:fill>
    <x:fill>
      <x:patternFill patternType="solid">
        <x:fgColor rgb="FF86B0D7"/>
      </x:patternFill>
    </x:fill>
    <x:fill>
      <x:patternFill patternType="solid">
        <x:fgColor rgb="FF58BEC2"/>
      </x:patternFill>
    </x:fill>
    <x:fill>
      <x:patternFill patternType="solid">
        <x:fgColor rgb="FF445C4A"/>
      </x:patternFill>
    </x:fill>
    <x:fill>
      <x:patternFill patternType="solid">
        <x:fgColor rgb="FF048678"/>
      </x:patternFill>
    </x:fill>
    <x:fill>
      <x:patternFill patternType="solid">
        <x:fgColor rgb="FFBCA472"/>
      </x:patternFill>
    </x:fill>
    <x:fill>
      <x:patternFill patternType="solid">
        <x:fgColor rgb="FFE9E8DA"/>
      </x:patternFill>
    </x:fill>
    <x:fill>
      <x:patternFill patternType="solid">
        <x:fgColor rgb="FFEE8337"/>
      </x:patternFill>
    </x:fill>
    <x:fill>
      <x:patternFill patternType="solid">
        <x:fgColor rgb="FFF1C5AF"/>
      </x:patternFill>
    </x:fill>
    <x:fill>
      <x:patternFill patternType="solid">
        <x:fgColor rgb="FFE63329"/>
      </x:patternFill>
    </x:fill>
    <x:fill>
      <x:patternFill patternType="solid">
        <x:fgColor rgb="FFFFFFFF"/>
      </x:patternFill>
    </x:fill>
    <x:fill>
      <x:patternFill patternType="solid">
        <x:fgColor rgb="FFD6DBDD"/>
      </x:patternFill>
    </x:fill>
    <x:fill>
      <x:patternFill patternType="solid">
        <x:fgColor rgb="FFF3F4F6"/>
      </x:patternFill>
    </x:fill>
    <x:fill>
      <x:patternFill patternType="solid">
        <x:fgColor rgb="FF191F2A"/>
      </x:patternFill>
    </x:fill>
    <x:fill>
      <x:patternFill patternType="solid">
        <x:fgColor rgb="FFFFD556"/>
      </x:patternFill>
    </x:fill>
    <x:fill>
      <x:patternFill patternType="solid">
        <x:fgColor rgb="FFF5A746"/>
      </x:patternFill>
    </x:fill>
    <x:fill>
      <x:patternFill patternType="solid">
        <x:fgColor rgb="FFF3BD54"/>
      </x:patternFill>
    </x:fill>
    <x:fill>
      <x:patternFill patternType="solid">
        <x:fgColor rgb="FFB7804D"/>
      </x:patternFill>
    </x:fill>
    <x:fill>
      <x:patternFill patternType="solid">
        <x:fgColor rgb="FFD3856E"/>
      </x:patternFill>
    </x:fill>
    <x:fill>
      <x:patternFill patternType="solid">
        <x:fgColor rgb="FFCD5549"/>
      </x:patternFill>
    </x:fill>
    <x:fill>
      <x:patternFill patternType="solid">
        <x:fgColor rgb="FFE8563B"/>
      </x:patternFill>
    </x:fill>
    <x:fill>
      <x:patternFill patternType="solid">
        <x:fgColor rgb="FFC75341"/>
      </x:patternFill>
    </x:fill>
    <x:fill>
      <x:patternFill patternType="solid">
        <x:fgColor rgb="FFF6B89F"/>
      </x:patternFill>
    </x:fill>
    <x:fill>
      <x:patternFill patternType="solid">
        <x:fgColor rgb="FF854C3E"/>
      </x:patternFill>
    </x:fill>
    <x:fill>
      <x:patternFill patternType="solid">
        <x:fgColor rgb="FFDA4B33"/>
      </x:patternFill>
    </x:fill>
    <x:fill>
      <x:patternFill patternType="solid">
        <x:fgColor rgb="FFBE7A4B"/>
      </x:patternFill>
    </x:fill>
    <x:fill>
      <x:patternFill patternType="solid">
        <x:fgColor rgb="FFBFAEBB"/>
      </x:patternFill>
    </x:fill>
    <x:fill>
      <x:patternFill patternType="solid">
        <x:fgColor rgb="FFB59EBD"/>
      </x:patternFill>
    </x:fill>
    <x:fill>
      <x:patternFill patternType="solid">
        <x:fgColor rgb="FF5F4390"/>
      </x:patternFill>
    </x:fill>
    <x:fill>
      <x:patternFill patternType="solid">
        <x:fgColor rgb="FF216CAA"/>
      </x:patternFill>
    </x:fill>
    <x:fill>
      <x:patternFill patternType="solid">
        <x:fgColor rgb="FF1F416F"/>
      </x:patternFill>
    </x:fill>
    <x:fill>
      <x:patternFill patternType="solid">
        <x:fgColor rgb="FF99CFBA"/>
      </x:patternFill>
    </x:fill>
    <x:fill>
      <x:patternFill patternType="solid">
        <x:fgColor rgb="FF79BE8E"/>
      </x:patternFill>
    </x:fill>
    <x:fill>
      <x:patternFill patternType="solid">
        <x:fgColor rgb="FF2676A4"/>
      </x:patternFill>
    </x:fill>
    <x:fill>
      <x:patternFill patternType="solid">
        <x:fgColor rgb="FF1FA55B"/>
      </x:patternFill>
    </x:fill>
    <x:fill>
      <x:patternFill patternType="solid">
        <x:fgColor rgb="FF618540"/>
      </x:patternFill>
    </x:fill>
    <x:fill>
      <x:patternFill patternType="solid">
        <x:fgColor rgb="FFFDEB3F"/>
      </x:patternFill>
    </x:fill>
    <x:fill>
      <x:patternFill patternType="solid">
        <x:fgColor rgb="FFFFFCDF"/>
      </x:patternFill>
    </x:fill>
    <x:fill>
      <x:patternFill patternType="solid">
        <x:fgColor rgb="FFBD3C7A"/>
      </x:patternFill>
    </x:fill>
    <x:fill>
      <x:patternFill patternType="solid">
        <x:fgColor rgb="FF81654C"/>
      </x:patternFill>
    </x:fill>
    <x:fill>
      <x:patternFill patternType="solid">
        <x:fgColor rgb="FFBBCE37"/>
      </x:patternFill>
    </x:fill>
    <x:fill>
      <x:patternFill patternType="solid">
        <x:fgColor rgb="FF4C5155"/>
      </x:patternFill>
    </x:fill>
    <x:fill>
      <x:patternFill patternType="solid">
        <x:fgColor rgb="FFA7A7A8"/>
      </x:patternFill>
    </x:fill>
    <x:fill>
      <x:patternFill patternType="solid">
        <x:fgColor rgb="FFF8B22A"/>
      </x:patternFill>
    </x:fill>
    <x:fill>
      <x:patternFill patternType="solid">
        <x:fgColor rgb="FFFDDBA9"/>
      </x:patternFill>
    </x:fill>
    <x:fill>
      <x:patternFill patternType="solid">
        <x:fgColor rgb="FF947157"/>
      </x:patternFill>
    </x:fill>
    <x:fill>
      <x:patternFill patternType="solid">
        <x:fgColor rgb="FFCB3D5A"/>
      </x:patternFill>
    </x:fill>
    <x:fill>
      <x:patternFill patternType="solid">
        <x:fgColor rgb="FFD89299"/>
      </x:patternFill>
    </x:fill>
    <x:fill>
      <x:patternFill patternType="solid">
        <x:fgColor rgb="FFA34737"/>
      </x:patternFill>
    </x:fill>
    <x:fill>
      <x:patternFill patternType="solid">
        <x:fgColor rgb="FF4D4350"/>
      </x:patternFill>
    </x:fill>
    <x:fill>
      <x:patternFill patternType="solid">
        <x:fgColor rgb="FFBCD7EE"/>
      </x:patternFill>
    </x:fill>
    <x:fill>
      <x:patternFill patternType="solid">
        <x:fgColor rgb="FF86B1DA"/>
      </x:patternFill>
    </x:fill>
    <x:fill>
      <x:patternFill patternType="solid">
        <x:fgColor rgb="FF44BAC5"/>
      </x:patternFill>
    </x:fill>
    <x:fill>
      <x:patternFill patternType="solid">
        <x:fgColor rgb="FF546153"/>
      </x:patternFill>
    </x:fill>
    <x:fill>
      <x:patternFill patternType="solid">
        <x:fgColor rgb="FF00A38E"/>
      </x:patternFill>
    </x:fill>
    <x:fill>
      <x:patternFill patternType="solid">
        <x:fgColor rgb="FFC3AC88"/>
      </x:patternFill>
    </x:fill>
    <x:fill>
      <x:patternFill patternType="solid">
        <x:fgColor rgb="FFF9FAE9"/>
      </x:patternFill>
    </x:fill>
    <x:fill>
      <x:patternFill patternType="solid">
        <x:fgColor rgb="FFED7936"/>
      </x:patternFill>
    </x:fill>
    <x:fill>
      <x:patternFill patternType="solid">
        <x:fgColor rgb="FFF9C9B4"/>
      </x:patternFill>
    </x:fill>
    <x:fill>
      <x:patternFill patternType="solid">
        <x:fgColor rgb="FF2F3337"/>
      </x:patternFill>
    </x:fill>
  </x:fills>
  <x:borders count="2">
    <x:border/>
    <x:border/>
  </x:borders>
  <x:cellStyleXfs count="1">
    <x:xf numFmtId="0" fontId="0" fillId="0" borderId="0"/>
  </x:cellStyleXfs>
  <x:cellXfs count="2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0" fillId="30" borderId="0" xfId="0" applyNumberFormat="1" applyFont="1" applyFill="1" applyBorder="1"/>
    <x:xf numFmtId="0" fontId="2" fillId="30" borderId="0" xfId="0" applyNumberFormat="1" applyFont="1" applyFill="1" applyBorder="1"/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0" fillId="32" borderId="0" xfId="0" applyNumberFormat="1" applyFont="1" applyFill="1" applyBorder="1"/>
    <x:xf numFmtId="0" fontId="6" fillId="32" borderId="0" xfId="0" applyNumberFormat="1" applyFont="1" applyFill="1" applyBorder="1"/>
    <x:xf numFmtId="0" fontId="0" fillId="33" borderId="0" xfId="0" applyNumberFormat="1" applyFont="1" applyFill="1" applyBorder="1"/>
    <x:xf numFmtId="0" fontId="6" fillId="33" borderId="0" xfId="0" applyNumberFormat="1" applyFont="1" applyFill="1" applyBorder="1"/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0" fillId="35" borderId="0" xfId="0" applyNumberFormat="1" applyFont="1" applyFill="1" applyBorder="1"/>
    <x:xf numFmtId="0" fontId="6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6" fillId="37" borderId="0" xfId="0" applyNumberFormat="1" applyFont="1" applyFill="1" applyBorder="1"/>
    <x:xf numFmtId="0" fontId="0" fillId="38" borderId="0" xfId="0" applyNumberFormat="1" applyFont="1" applyFill="1" applyBorder="1"/>
    <x:xf numFmtId="0" fontId="6" fillId="38" borderId="0" xfId="0" applyNumberFormat="1" applyFont="1" applyFill="1" applyBorder="1"/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0" fillId="41" borderId="0" xfId="0" applyNumberFormat="1" applyFont="1" applyFill="1" applyBorder="1"/>
    <x:xf numFmtId="0" fontId="6" fillId="41" borderId="0" xfId="0" applyNumberFormat="1" applyFont="1" applyFill="1" applyBorder="1"/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0" fillId="43" borderId="0" xfId="0" applyNumberFormat="1" applyFont="1" applyFill="1" applyBorder="1"/>
    <x:xf numFmtId="0" fontId="6" fillId="43" borderId="0" xfId="0" applyNumberFormat="1" applyFont="1" applyFill="1" applyBorder="1"/>
    <x:xf numFmtId="0" fontId="0" fillId="44" borderId="0" xfId="0" applyNumberFormat="1" applyFont="1" applyFill="1" applyBorder="1"/>
    <x:xf numFmtId="0" fontId="6" fillId="44" borderId="0" xfId="0" applyNumberFormat="1" applyFont="1" applyFill="1" applyBorder="1"/>
    <x:xf numFmtId="0" fontId="0" fillId="45" borderId="0" xfId="0" applyNumberFormat="1" applyFont="1" applyFill="1" applyBorder="1"/>
    <x:xf numFmtId="0" fontId="6" fillId="45" borderId="0" xfId="0" applyNumberFormat="1" applyFont="1" applyFill="1" applyBorder="1"/>
    <x:xf numFmtId="0" fontId="0" fillId="46" borderId="0" xfId="0" applyNumberFormat="1" applyFont="1" applyFill="1" applyBorder="1"/>
    <x:xf numFmtId="0" fontId="6" fillId="46" borderId="0" xfId="0" applyNumberFormat="1" applyFont="1" applyFill="1" applyBorder="1"/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0" fillId="48" borderId="0" xfId="0" applyNumberFormat="1" applyFont="1" applyFill="1" applyBorder="1"/>
    <x:xf numFmtId="0" fontId="6" fillId="48" borderId="0" xfId="0" applyNumberFormat="1" applyFont="1" applyFill="1" applyBorder="1"/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0" fillId="50" borderId="0" xfId="0" applyNumberFormat="1" applyFont="1" applyFill="1" applyBorder="1"/>
    <x:xf numFmtId="0" fontId="2" fillId="50" borderId="0" xfId="0" applyNumberFormat="1" applyFont="1" applyFill="1" applyBorder="1"/>
    <x:xf numFmtId="0" fontId="0" fillId="51" borderId="0" xfId="0" applyNumberFormat="1" applyFont="1" applyFill="1" applyBorder="1"/>
    <x:xf numFmtId="0" fontId="6" fillId="51" borderId="0" xfId="0" applyNumberFormat="1" applyFont="1" applyFill="1" applyBorder="1"/>
    <x:xf numFmtId="0" fontId="0" fillId="52" borderId="0" xfId="0" applyNumberFormat="1" applyFont="1" applyFill="1" applyBorder="1"/>
    <x:xf numFmtId="0" fontId="6" fillId="52" borderId="0" xfId="0" applyNumberFormat="1" applyFont="1" applyFill="1" applyBorder="1"/>
    <x:xf numFmtId="0" fontId="0" fillId="53" borderId="0" xfId="0" applyNumberFormat="1" applyFont="1" applyFill="1" applyBorder="1"/>
    <x:xf numFmtId="0" fontId="6" fillId="53" borderId="0" xfId="0" applyNumberFormat="1" applyFont="1" applyFill="1" applyBorder="1"/>
    <x:xf numFmtId="0" fontId="0" fillId="54" borderId="0" xfId="0" applyNumberFormat="1" applyFont="1" applyFill="1" applyBorder="1"/>
    <x:xf numFmtId="0" fontId="2" fillId="54" borderId="0" xfId="0" applyNumberFormat="1" applyFont="1" applyFill="1" applyBorder="1"/>
    <x:xf numFmtId="0" fontId="0" fillId="55" borderId="0" xfId="0" applyNumberFormat="1" applyFont="1" applyFill="1" applyBorder="1"/>
    <x:xf numFmtId="0" fontId="6" fillId="55" borderId="0" xfId="0" applyNumberFormat="1" applyFont="1" applyFill="1" applyBorder="1"/>
    <x:xf numFmtId="0" fontId="0" fillId="56" borderId="0" xfId="0" applyNumberFormat="1" applyFont="1" applyFill="1" applyBorder="1"/>
    <x:xf numFmtId="0" fontId="6" fillId="56" borderId="0" xfId="0" applyNumberFormat="1" applyFont="1" applyFill="1" applyBorder="1"/>
    <x:xf numFmtId="0" fontId="0" fillId="57" borderId="0" xfId="0" applyNumberFormat="1" applyFont="1" applyFill="1" applyBorder="1"/>
    <x:xf numFmtId="0" fontId="6" fillId="57" borderId="0" xfId="0" applyNumberFormat="1" applyFont="1" applyFill="1" applyBorder="1"/>
    <x:xf numFmtId="0" fontId="0" fillId="58" borderId="0" xfId="0" applyNumberFormat="1" applyFont="1" applyFill="1" applyBorder="1"/>
    <x:xf numFmtId="0" fontId="6" fillId="58" borderId="0" xfId="0" applyNumberFormat="1" applyFont="1" applyFill="1" applyBorder="1"/>
    <x:xf numFmtId="0" fontId="0" fillId="59" borderId="0" xfId="0" applyNumberFormat="1" applyFont="1" applyFill="1" applyBorder="1"/>
    <x:xf numFmtId="0" fontId="6" fillId="59" borderId="0" xfId="0" applyNumberFormat="1" applyFont="1" applyFill="1" applyBorder="1"/>
    <x:xf numFmtId="0" fontId="0" fillId="60" borderId="0" xfId="0" applyNumberFormat="1" applyFont="1" applyFill="1" applyBorder="1"/>
    <x:xf numFmtId="0" fontId="2" fillId="60" borderId="0" xfId="0" applyNumberFormat="1" applyFont="1" applyFill="1" applyBorder="1"/>
    <x:xf numFmtId="0" fontId="2" fillId="60" borderId="0" xfId="0" applyNumberFormat="1" applyFont="1" applyFill="1" applyBorder="1" applyAlignment="1">
      <x:alignment horizontal="center"/>
    </x:xf>
    <x:xf numFmtId="0" fontId="2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6" fillId="61" borderId="0" xfId="0" applyNumberFormat="1" applyFont="1" applyFill="1" applyBorder="1"/>
    <x:xf numFmtId="0" fontId="0" fillId="62" borderId="0" xfId="0" applyNumberFormat="1" applyFont="1" applyFill="1" applyBorder="1"/>
    <x:xf numFmtId="0" fontId="6" fillId="62" borderId="0" xfId="0" applyNumberFormat="1" applyFont="1" applyFill="1" applyBorder="1"/>
    <x:xf numFmtId="0" fontId="0" fillId="63" borderId="0" xfId="0" applyNumberFormat="1" applyFont="1" applyFill="1" applyBorder="1"/>
    <x:xf numFmtId="0" fontId="7" fillId="63" borderId="0" xfId="0" applyNumberFormat="1" applyFont="1" applyFill="1" applyBorder="1"/>
    <x:xf numFmtId="0" fontId="0" fillId="64" borderId="0" xfId="0" applyNumberFormat="1" applyFont="1" applyFill="1" applyBorder="1"/>
    <x:xf numFmtId="0" fontId="2" fillId="64" borderId="0" xfId="0" applyNumberFormat="1" applyFont="1" applyFill="1" applyBorder="1"/>
    <x:xf numFmtId="0" fontId="0" fillId="65" borderId="0" xfId="0" applyNumberFormat="1" applyFont="1" applyFill="1" applyBorder="1"/>
    <x:xf numFmtId="0" fontId="6" fillId="65" borderId="0" xfId="0" applyNumberFormat="1" applyFont="1" applyFill="1" applyBorder="1"/>
    <x:xf numFmtId="0" fontId="0" fillId="66" borderId="0" xfId="0" applyNumberFormat="1" applyFont="1" applyFill="1" applyBorder="1"/>
    <x:xf numFmtId="0" fontId="6" fillId="66" borderId="0" xfId="0" applyNumberFormat="1" applyFont="1" applyFill="1" applyBorder="1"/>
    <x:xf numFmtId="0" fontId="0" fillId="67" borderId="0" xfId="0" applyNumberFormat="1" applyFont="1" applyFill="1" applyBorder="1"/>
    <x:xf numFmtId="0" fontId="6" fillId="67" borderId="0" xfId="0" applyNumberFormat="1" applyFont="1" applyFill="1" applyBorder="1"/>
    <x:xf numFmtId="0" fontId="0" fillId="68" borderId="0" xfId="0" applyNumberFormat="1" applyFont="1" applyFill="1" applyBorder="1"/>
    <x:xf numFmtId="0" fontId="6" fillId="68" borderId="0" xfId="0" applyNumberFormat="1" applyFont="1" applyFill="1" applyBorder="1"/>
    <x:xf numFmtId="0" fontId="0" fillId="69" borderId="0" xfId="0" applyNumberFormat="1" applyFont="1" applyFill="1" applyBorder="1"/>
    <x:xf numFmtId="0" fontId="6" fillId="69" borderId="0" xfId="0" applyNumberFormat="1" applyFont="1" applyFill="1" applyBorder="1"/>
    <x:xf numFmtId="0" fontId="0" fillId="70" borderId="0" xfId="0" applyNumberFormat="1" applyFont="1" applyFill="1" applyBorder="1"/>
    <x:xf numFmtId="0" fontId="6" fillId="70" borderId="0" xfId="0" applyNumberFormat="1" applyFont="1" applyFill="1" applyBorder="1"/>
    <x:xf numFmtId="0" fontId="0" fillId="71" borderId="0" xfId="0" applyNumberFormat="1" applyFont="1" applyFill="1" applyBorder="1"/>
    <x:xf numFmtId="0" fontId="6" fillId="71" borderId="0" xfId="0" applyNumberFormat="1" applyFont="1" applyFill="1" applyBorder="1"/>
    <x:xf numFmtId="0" fontId="0" fillId="72" borderId="0" xfId="0" applyNumberFormat="1" applyFont="1" applyFill="1" applyBorder="1"/>
    <x:xf numFmtId="0" fontId="6" fillId="72" borderId="0" xfId="0" applyNumberFormat="1" applyFont="1" applyFill="1" applyBorder="1"/>
    <x:xf numFmtId="0" fontId="0" fillId="73" borderId="0" xfId="0" applyNumberFormat="1" applyFont="1" applyFill="1" applyBorder="1"/>
    <x:xf numFmtId="0" fontId="6" fillId="73" borderId="0" xfId="0" applyNumberFormat="1" applyFont="1" applyFill="1" applyBorder="1"/>
    <x:xf numFmtId="0" fontId="0" fillId="74" borderId="0" xfId="0" applyNumberFormat="1" applyFont="1" applyFill="1" applyBorder="1"/>
    <x:xf numFmtId="0" fontId="2" fillId="74" borderId="0" xfId="0" applyNumberFormat="1" applyFont="1" applyFill="1" applyBorder="1"/>
    <x:xf numFmtId="0" fontId="0" fillId="75" borderId="0" xfId="0" applyNumberFormat="1" applyFont="1" applyFill="1" applyBorder="1"/>
    <x:xf numFmtId="0" fontId="6" fillId="75" borderId="0" xfId="0" applyNumberFormat="1" applyFont="1" applyFill="1" applyBorder="1"/>
    <x:xf numFmtId="0" fontId="0" fillId="76" borderId="0" xfId="0" applyNumberFormat="1" applyFont="1" applyFill="1" applyBorder="1"/>
    <x:xf numFmtId="0" fontId="6" fillId="76" borderId="0" xfId="0" applyNumberFormat="1" applyFont="1" applyFill="1" applyBorder="1"/>
    <x:xf numFmtId="0" fontId="0" fillId="77" borderId="0" xfId="0" applyNumberFormat="1" applyFont="1" applyFill="1" applyBorder="1"/>
    <x:xf numFmtId="0" fontId="6" fillId="77" borderId="0" xfId="0" applyNumberFormat="1" applyFont="1" applyFill="1" applyBorder="1"/>
    <x:xf numFmtId="0" fontId="0" fillId="78" borderId="0" xfId="0" applyNumberFormat="1" applyFont="1" applyFill="1" applyBorder="1"/>
    <x:xf numFmtId="0" fontId="6" fillId="78" borderId="0" xfId="0" applyNumberFormat="1" applyFont="1" applyFill="1" applyBorder="1"/>
    <x:xf numFmtId="0" fontId="0" fillId="79" borderId="0" xfId="0" applyNumberFormat="1" applyFont="1" applyFill="1" applyBorder="1"/>
    <x:xf numFmtId="0" fontId="2" fillId="79" borderId="0" xfId="0" applyNumberFormat="1" applyFont="1" applyFill="1" applyBorder="1"/>
    <x:xf numFmtId="0" fontId="0" fillId="80" borderId="0" xfId="0" applyNumberFormat="1" applyFont="1" applyFill="1" applyBorder="1"/>
    <x:xf numFmtId="0" fontId="2" fillId="80" borderId="0" xfId="0" applyNumberFormat="1" applyFont="1" applyFill="1" applyBorder="1"/>
    <x:xf numFmtId="0" fontId="0" fillId="81" borderId="0" xfId="0" applyNumberFormat="1" applyFont="1" applyFill="1" applyBorder="1"/>
    <x:xf numFmtId="0" fontId="2" fillId="81" borderId="0" xfId="0" applyNumberFormat="1" applyFont="1" applyFill="1" applyBorder="1"/>
    <x:xf numFmtId="0" fontId="0" fillId="82" borderId="0" xfId="0" applyNumberFormat="1" applyFont="1" applyFill="1" applyBorder="1"/>
    <x:xf numFmtId="0" fontId="6" fillId="82" borderId="0" xfId="0" applyNumberFormat="1" applyFont="1" applyFill="1" applyBorder="1"/>
    <x:xf numFmtId="0" fontId="0" fillId="83" borderId="0" xfId="0" applyNumberFormat="1" applyFont="1" applyFill="1" applyBorder="1"/>
    <x:xf numFmtId="0" fontId="6" fillId="83" borderId="0" xfId="0" applyNumberFormat="1" applyFont="1" applyFill="1" applyBorder="1"/>
    <x:xf numFmtId="0" fontId="0" fillId="84" borderId="0" xfId="0" applyNumberFormat="1" applyFont="1" applyFill="1" applyBorder="1"/>
    <x:xf numFmtId="0" fontId="2" fillId="84" borderId="0" xfId="0" applyNumberFormat="1" applyFont="1" applyFill="1" applyBorder="1"/>
    <x:xf numFmtId="0" fontId="0" fillId="85" borderId="0" xfId="0" applyNumberFormat="1" applyFont="1" applyFill="1" applyBorder="1"/>
    <x:xf numFmtId="0" fontId="6" fillId="85" borderId="0" xfId="0" applyNumberFormat="1" applyFont="1" applyFill="1" applyBorder="1"/>
    <x:xf numFmtId="0" fontId="0" fillId="86" borderId="0" xfId="0" applyNumberFormat="1" applyFont="1" applyFill="1" applyBorder="1"/>
    <x:xf numFmtId="0" fontId="6" fillId="86" borderId="0" xfId="0" applyNumberFormat="1" applyFont="1" applyFill="1" applyBorder="1"/>
    <x:xf numFmtId="0" fontId="0" fillId="87" borderId="0" xfId="0" applyNumberFormat="1" applyFont="1" applyFill="1" applyBorder="1"/>
    <x:xf numFmtId="0" fontId="6" fillId="87" borderId="0" xfId="0" applyNumberFormat="1" applyFont="1" applyFill="1" applyBorder="1"/>
    <x:xf numFmtId="0" fontId="0" fillId="88" borderId="0" xfId="0" applyNumberFormat="1" applyFont="1" applyFill="1" applyBorder="1"/>
    <x:xf numFmtId="0" fontId="6" fillId="88" borderId="0" xfId="0" applyNumberFormat="1" applyFont="1" applyFill="1" applyBorder="1"/>
    <x:xf numFmtId="0" fontId="0" fillId="89" borderId="0" xfId="0" applyNumberFormat="1" applyFont="1" applyFill="1" applyBorder="1"/>
    <x:xf numFmtId="0" fontId="2" fillId="89" borderId="0" xfId="0" applyNumberFormat="1" applyFont="1" applyFill="1" applyBorder="1"/>
    <x:xf numFmtId="0" fontId="0" fillId="90" borderId="0" xfId="0" applyNumberFormat="1" applyFont="1" applyFill="1" applyBorder="1"/>
    <x:xf numFmtId="0" fontId="2" fillId="90" borderId="0" xfId="0" applyNumberFormat="1" applyFont="1" applyFill="1" applyBorder="1"/>
    <x:xf numFmtId="0" fontId="0" fillId="91" borderId="0" xfId="0" applyNumberFormat="1" applyFont="1" applyFill="1" applyBorder="1"/>
    <x:xf numFmtId="0" fontId="6" fillId="91" borderId="0" xfId="0" applyNumberFormat="1" applyFont="1" applyFill="1" applyBorder="1"/>
    <x:xf numFmtId="0" fontId="0" fillId="92" borderId="0" xfId="0" applyNumberFormat="1" applyFont="1" applyFill="1" applyBorder="1"/>
    <x:xf numFmtId="0" fontId="2" fillId="92" borderId="0" xfId="0" applyNumberFormat="1" applyFont="1" applyFill="1" applyBorder="1"/>
    <x:xf numFmtId="0" fontId="0" fillId="93" borderId="0" xfId="0" applyNumberFormat="1" applyFont="1" applyFill="1" applyBorder="1"/>
    <x:xf numFmtId="0" fontId="6" fillId="93" borderId="0" xfId="0" applyNumberFormat="1" applyFont="1" applyFill="1" applyBorder="1"/>
    <x:xf numFmtId="0" fontId="0" fillId="94" borderId="0" xfId="0" applyNumberFormat="1" applyFont="1" applyFill="1" applyBorder="1"/>
    <x:xf numFmtId="0" fontId="6" fillId="94" borderId="0" xfId="0" applyNumberFormat="1" applyFont="1" applyFill="1" applyBorder="1"/>
    <x:xf numFmtId="0" fontId="0" fillId="95" borderId="0" xfId="0" applyNumberFormat="1" applyFont="1" applyFill="1" applyBorder="1"/>
    <x:xf numFmtId="0" fontId="6" fillId="95" borderId="0" xfId="0" applyNumberFormat="1" applyFont="1" applyFill="1" applyBorder="1"/>
    <x:xf numFmtId="0" fontId="0" fillId="96" borderId="0" xfId="0" applyNumberFormat="1" applyFont="1" applyFill="1" applyBorder="1"/>
    <x:xf numFmtId="0" fontId="6" fillId="96" borderId="0" xfId="0" applyNumberFormat="1" applyFont="1" applyFill="1" applyBorder="1"/>
    <x:xf numFmtId="0" fontId="0" fillId="97" borderId="0" xfId="0" applyNumberFormat="1" applyFont="1" applyFill="1" applyBorder="1"/>
    <x:xf numFmtId="0" fontId="2" fillId="97" borderId="0" xfId="0" applyNumberFormat="1" applyFont="1" applyFill="1" applyBorder="1"/>
    <x:xf numFmtId="0" fontId="0" fillId="98" borderId="0" xfId="0" applyNumberFormat="1" applyFont="1" applyFill="1" applyBorder="1"/>
    <x:xf numFmtId="0" fontId="6" fillId="98" borderId="0" xfId="0" applyNumberFormat="1" applyFont="1" applyFill="1" applyBorder="1"/>
    <x:xf numFmtId="0" fontId="0" fillId="99" borderId="0" xfId="0" applyNumberFormat="1" applyFont="1" applyFill="1" applyBorder="1"/>
    <x:xf numFmtId="0" fontId="2" fillId="99" borderId="0" xfId="0" applyNumberFormat="1" applyFont="1" applyFill="1" applyBorder="1"/>
    <x:xf numFmtId="0" fontId="0" fillId="100" borderId="0" xfId="0" applyNumberFormat="1" applyFont="1" applyFill="1" applyBorder="1"/>
    <x:xf numFmtId="0" fontId="2" fillId="100" borderId="0" xfId="0" applyNumberFormat="1" applyFont="1" applyFill="1" applyBorder="1"/>
    <x:xf numFmtId="0" fontId="0" fillId="101" borderId="0" xfId="0" applyNumberFormat="1" applyFont="1" applyFill="1" applyBorder="1"/>
    <x:xf numFmtId="0" fontId="6" fillId="101" borderId="0" xfId="0" applyNumberFormat="1" applyFont="1" applyFill="1" applyBorder="1"/>
    <x:xf numFmtId="0" fontId="0" fillId="102" borderId="0" xfId="0" applyNumberFormat="1" applyFont="1" applyFill="1" applyBorder="1"/>
    <x:xf numFmtId="0" fontId="6" fillId="102" borderId="0" xfId="0" applyNumberFormat="1" applyFont="1" applyFill="1" applyBorder="1"/>
    <x:xf numFmtId="0" fontId="0" fillId="103" borderId="0" xfId="0" applyNumberFormat="1" applyFont="1" applyFill="1" applyBorder="1"/>
    <x:xf numFmtId="0" fontId="6" fillId="103" borderId="0" xfId="0" applyNumberFormat="1" applyFont="1" applyFill="1" applyBorder="1"/>
    <x:xf numFmtId="0" fontId="0" fillId="104" borderId="0" xfId="0" applyNumberFormat="1" applyFont="1" applyFill="1" applyBorder="1"/>
    <x:xf numFmtId="0" fontId="2" fillId="104" borderId="0" xfId="0" applyNumberFormat="1" applyFont="1" applyFill="1" applyBorder="1"/>
    <x:xf numFmtId="0" fontId="0" fillId="105" borderId="0" xfId="0" applyNumberFormat="1" applyFont="1" applyFill="1" applyBorder="1"/>
    <x:xf numFmtId="0" fontId="6" fillId="105" borderId="0" xfId="0" applyNumberFormat="1" applyFont="1" applyFill="1" applyBorder="1"/>
    <x:xf numFmtId="0" fontId="0" fillId="106" borderId="0" xfId="0" applyNumberFormat="1" applyFont="1" applyFill="1" applyBorder="1"/>
    <x:xf numFmtId="0" fontId="6" fillId="106" borderId="0" xfId="0" applyNumberFormat="1" applyFont="1" applyFill="1" applyBorder="1"/>
    <x:xf numFmtId="0" fontId="0" fillId="107" borderId="0" xfId="0" applyNumberFormat="1" applyFont="1" applyFill="1" applyBorder="1"/>
    <x:xf numFmtId="0" fontId="6" fillId="107" borderId="0" xfId="0" applyNumberFormat="1" applyFont="1" applyFill="1" applyBorder="1"/>
    <x:xf numFmtId="0" fontId="0" fillId="108" borderId="0" xfId="0" applyNumberFormat="1" applyFont="1" applyFill="1" applyBorder="1"/>
    <x:xf numFmtId="0" fontId="6" fillId="108" borderId="0" xfId="0" applyNumberFormat="1" applyFont="1" applyFill="1" applyBorder="1"/>
    <x:xf numFmtId="0" fontId="0" fillId="109" borderId="0" xfId="0" applyNumberFormat="1" applyFont="1" applyFill="1" applyBorder="1"/>
    <x:xf numFmtId="0" fontId="6" fillId="109" borderId="0" xfId="0" applyNumberFormat="1" applyFont="1" applyFill="1" applyBorder="1"/>
    <x:xf numFmtId="0" fontId="2" fillId="60" borderId="0" xfId="0" applyNumberFormat="1" applyFont="1" applyFill="1" applyBorder="1" applyAlignment="1">
      <x:alignment wrapText="1"/>
    </x:xf>
    <x:xf numFmtId="0" fontId="2" fillId="60" borderId="0" xfId="0" applyNumberFormat="1" applyFont="1" applyFill="1" applyBorder="1" applyAlignment="1">
      <x:alignment horizontal="center" wrapText="1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/>
    <x:xf numFmtId="0" fontId="2" fillId="110" borderId="0" xfId="0" applyNumberFormat="1" applyFont="1" applyFill="1" applyBorder="1"/>
    <x:xf numFmtId="0" fontId="2" fillId="110" borderId="0" xfId="0" applyNumberFormat="1" applyFont="1" applyFill="1" applyBorder="1" applyAlignment="1">
      <x:alignment wrapText="1"/>
    </x:xf>
    <x:xf numFmtId="0" fontId="2" fillId="110" borderId="0" xfId="0" applyNumberFormat="1" applyFont="1" applyFill="1" applyBorder="1" applyAlignment="1">
      <x:alignment horizontal="center" wrapText="1"/>
    </x:xf>
    <x:xf numFmtId="0" fontId="2" fillId="110" borderId="0" xfId="0" applyNumberFormat="1" applyFont="1" applyFill="1" applyBorder="1" applyAlignment="1">
      <x:alignment horizontal="center" vertical="center" wrapText="1"/>
    </x:xf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a13e3ed364d44" /><Relationship Type="http://schemas.openxmlformats.org/officeDocument/2006/relationships/theme" Target="/xl/theme/theme1.xml" Id="R4e2346ed5f1a4410" /><Relationship Type="http://schemas.openxmlformats.org/officeDocument/2006/relationships/sharedStrings" Target="/xl/sharedStrings.xml" Id="R48ac5caacadc4f94" /><Relationship Type="http://schemas.openxmlformats.org/officeDocument/2006/relationships/worksheet" Target="/xl/worksheets/sheet1.xml" Id="R13fec07005fe4e4d" /><Relationship Type="http://schemas.openxmlformats.org/officeDocument/2006/relationships/worksheet" Target="/xl/worksheets/sheet2.xml" Id="R00482a4303074cfa" /><Relationship Type="http://schemas.openxmlformats.org/officeDocument/2006/relationships/worksheet" Target="/xl/worksheets/sheet3.xml" Id="Rf1b5e239f54a407e" /><Relationship Type="http://schemas.openxmlformats.org/officeDocument/2006/relationships/worksheet" Target="/xl/worksheets/sheet4.xml" Id="Rda7c59887dc14d2e" /><Relationship Type="http://schemas.openxmlformats.org/officeDocument/2006/relationships/worksheet" Target="/xl/worksheets/sheet5.xml" Id="R7bf90b1892754a42" /><Relationship Type="http://schemas.openxmlformats.org/officeDocument/2006/relationships/worksheet" Target="/xl/worksheets/sheet6.xml" Id="R644b09b167e949a9" /><Relationship Type="http://schemas.openxmlformats.org/officeDocument/2006/relationships/worksheet" Target="/xl/worksheets/sheet7.xml" Id="Rde73874680e4458b" /><Relationship Type="http://schemas.openxmlformats.org/officeDocument/2006/relationships/worksheet" Target="/xl/worksheets/sheet8.xml" Id="Ra3ad39a853d74924" /><Relationship Type="http://schemas.openxmlformats.org/officeDocument/2006/relationships/worksheet" Target="/xl/worksheets/sheet9.xml" Id="Rc6ba0c7b263843b2" /><Relationship Type="http://schemas.openxmlformats.org/officeDocument/2006/relationships/worksheet" Target="/xl/worksheets/sheet10.xml" Id="R27e0d988910d4114" /><Relationship Type="http://schemas.openxmlformats.org/officeDocument/2006/relationships/worksheet" Target="/xl/worksheets/sheet11.xml" Id="R3bbe50b15c254f6b" /><Relationship Type="http://schemas.openxmlformats.org/officeDocument/2006/relationships/worksheet" Target="/xl/worksheets/sheet12.xml" Id="R78a3c7d01ce344c7" /><Relationship Type="http://schemas.openxmlformats.org/officeDocument/2006/relationships/worksheet" Target="/xl/worksheets/sheet13.xml" Id="Ra2921923e8204b37" /><Relationship Type="http://schemas.openxmlformats.org/officeDocument/2006/relationships/worksheet" Target="/xl/worksheets/sheet14.xml" Id="R319e2aba9ee74533" /><Relationship Type="http://schemas.openxmlformats.org/officeDocument/2006/relationships/worksheet" Target="/xl/worksheets/sheet15.xml" Id="R53cc2f7d894f43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228098eb4948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Medium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Colours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'Dashboard'!$C$8:$C$15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228098eb4948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DA_SeriesRegistry" displayName="CDA_SeriesRegistry" ref="A1:L10" headerRowCount="1">
  <x:tableColumns count="12">
    <x:tableColumn id="1" name="series_id"/>
    <x:tableColumn id="2" name="series_name"/>
    <x:tableColumn id="3" name="medium_type"/>
    <x:tableColumn id="4" name="product_grade"/>
    <x:tableColumn id="5" name="official_colour_count"/>
    <x:tableColumn id="6" name="master_index_rows"/>
    <x:tableColumn id="7" name="shared_palette_with"/>
    <x:tableColumn id="8" name="lightfastness_standard"/>
    <x:tableColumn id="9" name="rating_scale"/>
    <x:tableColumn id="10" name="source_url"/>
    <x:tableColumn id="11" name="source_status"/>
    <x:tableColumn id="12" name="inges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CDA_SourceRegistry" displayName="CDA_SourceRegistry" ref="A1:J9" headerRowCount="1">
  <x:tableColumns count="10">
    <x:tableColumn id="1" name="source_id"/>
    <x:tableColumn id="2" name="series_scope"/>
    <x:tableColumn id="3" name="document_type"/>
    <x:tableColumn id="4" name="official_colour_count"/>
    <x:tableColumn id="5" name="lightfastness_standard"/>
    <x:tableColumn id="6" name="source_url"/>
    <x:tableColumn id="7" name="accessed_date"/>
    <x:tableColumn id="8" name="extraction_method"/>
    <x:tableColumn id="9" name="source_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DA_ColorMaster" displayName="CDA_ColorMaster" ref="A1:Y228" headerRowCount="1">
  <x:tableColumns count="25">
    <x:tableColumn id="1" name="canonical_code_uuid"/>
    <x:tableColumn id="2" name="canonical_code_id"/>
    <x:tableColumn id="3" name="color_code"/>
    <x:tableColumn id="4" name="canonical_name_en"/>
    <x:tableColumn id="5" name="canonical_name_zh_tw"/>
    <x:tableColumn id="6" name="canonical_name_ja"/>
    <x:tableColumn id="7" name="name_variants_en"/>
    <x:tableColumn id="8" name="name_variants_zh_tw"/>
    <x:tableColumn id="9" name="name_variants_ja"/>
    <x:tableColumn id="10" name="series_count"/>
    <x:tableColumn id="11" name="series_list"/>
    <x:tableColumn id="12" name="pigment_variants"/>
    <x:tableColumn id="13" name="digital_reference_hex_avg"/>
    <x:tableColumn id="14" name="rgb_r_avg"/>
    <x:tableColumn id="15" name="rgb_g_avg"/>
    <x:tableColumn id="16" name="rgb_b_avg"/>
    <x:tableColumn id="17" name="lab_l_avg"/>
    <x:tableColumn id="18" name="lab_a_avg"/>
    <x:tableColumn id="19" name="lab_b_avg"/>
    <x:tableColumn id="20" name="max_delta_e76_between_series"/>
    <x:tableColumn id="21" name="recommended_foreground_hex"/>
    <x:tableColumn id="22" name="best_contrast_ratio"/>
    <x:tableColumn id="23" name="relative_luminance"/>
    <x:tableColumn id="24" name="cross_series_consistency"/>
    <x:tableColumn id="2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DA_SeriesColorIndex" displayName="CDA_SeriesColorIndex" ref="A1:BB813" headerRowCount="1">
  <x:tableColumns count="54">
    <x:tableColumn id="1" name="lookup_key"/>
    <x:tableColumn id="2" name="record_uuid"/>
    <x:tableColumn id="3" name="series_color_id"/>
    <x:tableColumn id="4" name="canonical_code_uuid"/>
    <x:tableColumn id="5" name="canonical_code_id"/>
    <x:tableColumn id="6" name="brand"/>
    <x:tableColumn id="7" name="series_id"/>
    <x:tableColumn id="8" name="series_name"/>
    <x:tableColumn id="9" name="medium_type"/>
    <x:tableColumn id="10" name="product_grade"/>
    <x:tableColumn id="11" name="palette_order"/>
    <x:tableColumn id="12" name="color_code"/>
    <x:tableColumn id="13" name="color_name_en"/>
    <x:tableColumn id="14" name="color_name_zh_tw"/>
    <x:tableColumn id="15" name="color_name_ja"/>
    <x:tableColumn id="16" name="color_name_ja_official"/>
    <x:tableColumn id="17" name="color_name_fr"/>
    <x:tableColumn id="18" name="color_name_de"/>
    <x:tableColumn id="19" name="color_name_it"/>
    <x:tableColumn id="20" name="color_name_es"/>
    <x:tableColumn id="21" name="color_name_pt"/>
    <x:tableColumn id="22" name="color_name_ko"/>
    <x:tableColumn id="23" name="pigment_index"/>
    <x:tableColumn id="24" name="pigment_count"/>
    <x:tableColumn id="25" name="lightfastness_rating"/>
    <x:tableColumn id="26" name="lightfastness_normalized_5"/>
    <x:tableColumn id="27" name="lightfastness_scale_max"/>
    <x:tableColumn id="28" name="lightfastness_standard"/>
    <x:tableColumn id="29" name="css_hex_approx"/>
    <x:tableColumn id="30" name="rgb_r"/>
    <x:tableColumn id="31" name="rgb_g"/>
    <x:tableColumn id="32" name="rgb_b"/>
    <x:tableColumn id="33" name="hsl_h"/>
    <x:tableColumn id="34" name="hsl_s"/>
    <x:tableColumn id="35" name="hsl_l"/>
    <x:tableColumn id="36" name="lab_l"/>
    <x:tableColumn id="37" name="lab_a"/>
    <x:tableColumn id="38" name="lab_b"/>
    <x:tableColumn id="39" name="recommended_foreground_hex"/>
    <x:tableColumn id="40" name="recommended_foreground_name"/>
    <x:tableColumn id="41" name="best_contrast_ratio"/>
    <x:tableColumn id="42" name="contrast_with_black"/>
    <x:tableColumn id="43" name="contrast_with_white"/>
    <x:tableColumn id="44" name="relative_luminance"/>
    <x:tableColumn id="45" name="wcag_aa_normal_text"/>
    <x:tableColumn id="46" name="css_variable"/>
    <x:tableColumn id="47" name="css_usage"/>
    <x:tableColumn id="48" name="sample_method"/>
    <x:tableColumn id="49" name="source_url"/>
    <x:tableColumn id="50" name="source_page"/>
    <x:tableColumn id="51" name="source_status"/>
    <x:tableColumn id="52" name="translation_status"/>
    <x:tableColumn id="53" name="data_quality_status"/>
    <x:tableColumn id="5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DA_PigmentMap" displayName="CDA_PigmentMap" ref="A1:I1074" headerRowCount="1">
  <x:tableColumns count="9">
    <x:tableColumn id="1" name="series_color_id"/>
    <x:tableColumn id="2" name="series_id"/>
    <x:tableColumn id="3" name="series_name"/>
    <x:tableColumn id="4" name="color_code"/>
    <x:tableColumn id="5" name="color_name_en"/>
    <x:tableColumn id="6" name="pigment_order"/>
    <x:tableColumn id="7" name="pigment_component"/>
    <x:tableColumn id="8" name="pigment_formula_raw"/>
    <x:tableColumn id="9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DA_CrossSeriesMap" displayName="CDA_CrossSeriesMap" ref="A1:M228" headerRowCount="1">
  <x:tableColumns count="13">
    <x:tableColumn id="1" name="color_code"/>
    <x:tableColumn id="2" name="canonical_name_en"/>
    <x:tableColumn id="3" name="canonical_name_zh_tw"/>
    <x:tableColumn id="4" name="canonical_name_ja"/>
    <x:tableColumn id="5" name="series_count"/>
    <x:tableColumn id="6" name="LUM"/>
    <x:tableColumn id="7" name="PAB"/>
    <x:tableColumn id="8" name="SUP"/>
    <x:tableColumn id="9" name="MUS"/>
    <x:tableColumn id="10" name="NC2"/>
    <x:tableColumn id="11" name="NEO"/>
    <x:tableColumn id="12" name="PSTP"/>
    <x:tableColumn id="13" name="PSTC"/>
  </x:tableColumns>
  <x:tableStyleInfo name="TableStyleMedium2" showRowStripes="1"/>
</x:table>
</file>

<file path=xl/tables/table7.xml><?xml version="1.0" encoding="utf-8"?>
<x:table xmlns:x="http://schemas.openxmlformats.org/spreadsheetml/2006/main" id="7" name="CDA_SwatchReference" displayName="CDA_SwatchReference" ref="A1:J729" headerRowCount="1">
  <x:tableColumns count="10">
    <x:tableColumn id="1" name="series_id"/>
    <x:tableColumn id="2" name="series_name"/>
    <x:tableColumn id="3" name="palette_order"/>
    <x:tableColumn id="4" name="color_code"/>
    <x:tableColumn id="5" name="color_name_en"/>
    <x:tableColumn id="6" name="color_name_zh_tw"/>
    <x:tableColumn id="7" name="color_name_ja"/>
    <x:tableColumn id="8" name="css_hex_approx"/>
    <x:tableColumn id="9" name="recommended_foreground_hex"/>
    <x:tableColumn id="10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CDA_DataDictionary" displayName="CDA_DataDictionary" ref="A1:F80" headerRowCount="1">
  <x:tableColumns count="6">
    <x:tableColumn id="1" name="sheet"/>
    <x:tableColumn id="2" name="field_name"/>
    <x:tableColumn id="3" name="data_type"/>
    <x:tableColumn id="4" name="required"/>
    <x:tableColumn id="5" name="validation_or_source"/>
    <x:tableColumn id="6" name="definition"/>
  </x:tableColumns>
  <x:tableStyleInfo name="TableStyleMedium2" showRowStripes="1"/>
</x:table>
</file>

<file path=xl/tables/table9.xml><?xml version="1.0" encoding="utf-8"?>
<x:table xmlns:x="http://schemas.openxmlformats.org/spreadsheetml/2006/main" id="9" name="CDA_Catalogue2025Coverage" displayName="CDA_Catalogue2025Coverage" ref="A1:H24" headerRowCount="1">
  <x:tableColumns count="8">
    <x:tableColumn id="1" name="Category"/>
    <x:tableColumn id="2" name="Series / medium"/>
    <x:tableColumn id="3" name="2025 catalogue colours"/>
    <x:tableColumn id="4" name="Catalogue tier"/>
    <x:tableColumn id="5" name="PDF page"/>
    <x:tableColumn id="6" name="Workbook series ID"/>
    <x:tableColumn id="7" name="Ingestion status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DA_Catalogue2025Audit" displayName="CDA_Catalogue2025Audit" ref="A1:G12" headerRowCount="1">
  <x:tableColumns count="7">
    <x:tableColumn id="1" name="Audit_ID"/>
    <x:tableColumn id="2" name="Area"/>
    <x:tableColumn id="3" name="Finding"/>
    <x:tableColumn id="4" name="2025 catalogue evidence"/>
    <x:tableColumn id="5" name="Action in v1.1.0"/>
    <x:tableColumn id="6" name="Status"/>
    <x:tableColumn id="7" name="PDF p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15f70f7ff541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d461733e142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ef7a7a6545448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659994bbb9641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02e5e63985d48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798f55edcad46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ad9b1e5fda549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a28c7ba1b0d4a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753fbea3eb66457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23b6d6ed72b44b4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9d8a4f864ca54a2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8" customHeight="1">
      <x:c r="A1" s="4" t="str">
        <x:v>Caran d’Ache Master Color Index v1.1.0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Field</x:v>
      </x:c>
      <x:c r="B3" s="16" t="str">
        <x:v>Value</x:v>
      </x:c>
    </x:row>
    <x:row r="4">
      <x:c r="A4" s="17" t="str">
        <x:v>Workbook version</x:v>
      </x:c>
      <x:c r="B4" s="18" t="str">
        <x:v>1.1.0</x:v>
      </x:c>
    </x:row>
    <x:row r="5">
      <x:c r="A5" s="17" t="str">
        <x:v>Release date</x:v>
      </x:c>
      <x:c r="B5" s="18" t="str">
        <x:v>2026-07-22</x:v>
      </x:c>
    </x:row>
    <x:row r="6">
      <x:c r="A6" s="17" t="str">
        <x:v>Brand scope</x:v>
      </x:c>
      <x:c r="B6" s="18" t="str">
        <x:v>Caran d’Ache core artist colour ranges, supplemented by the official 2025 Fine Arts catalogue, NEOART 6901 and a catalogue-wide series coverage audit.</x:v>
      </x:c>
    </x:row>
    <x:row r="7">
      <x:c r="A7" s="17" t="str">
        <x:v>Product series covered</x:v>
      </x:c>
      <x:c r="B7" s="18" t="n">
        <x:v>9</x:v>
      </x:c>
    </x:row>
    <x:row r="8">
      <x:c r="A8" s="17" t="str">
        <x:v>Series-colour mappings</x:v>
      </x:c>
      <x:c r="B8" s="18" t="n">
        <x:v>812</x:v>
      </x:c>
    </x:row>
    <x:row r="9">
      <x:c r="A9" s="17" t="str">
        <x:v>Canonical brand colour codes</x:v>
      </x:c>
      <x:c r="B9" s="18" t="n">
        <x:v>227</x:v>
      </x:c>
    </x:row>
    <x:row r="10">
      <x:c r="A10" s="17" t="str">
        <x:v>Official source palettes</x:v>
      </x:c>
      <x:c r="B10" s="18" t="str">
        <x:v>8 official source documents: 7 standalone colour charts plus the 2025 Fine Arts catalogue; PASTEL CUBES is retained as a legacy shared palette.</x:v>
      </x:c>
    </x:row>
    <x:row r="11">
      <x:c r="A11" s="17" t="str">
        <x:v>Digital colour method</x:v>
      </x:c>
      <x:c r="B11" s="18" t="str">
        <x:v>Existing series use sampled official PDF swatches. NEOART 6901 uses the dense right edge of the official 2025 catalogue chart gradient. All HEX/RGB values are screen-reference approximations, not manufacturer ICC or device-independent colour standards.</x:v>
      </x:c>
    </x:row>
    <x:row r="12">
      <x:c r="A12" s="17" t="str">
        <x:v>Languages</x:v>
      </x:c>
      <x:c r="B12" s="18" t="str">
        <x:v>English, Traditional Chinese, Japanese, French, German, Italian, Spanish, Portuguese and Korean where available</x:v>
      </x:c>
    </x:row>
    <x:row r="13">
      <x:c r="A13" s="17" t="str">
        <x:v>Accessibility</x:v>
      </x:c>
      <x:c r="B13" s="18" t="str">
        <x:v>Recommended black/white foreground and WCAG contrast metrics included</x:v>
      </x:c>
    </x:row>
    <x:row r="14">
      <x:c r="A14" s="17" t="str">
        <x:v>Governance</x:v>
      </x:c>
      <x:c r="B14" s="18" t="str">
        <x:v>Deterministic UUID5, composite series + colour-code keys, source registry, data dictionary, 2025 catalogue audit, coverage roadmap and integrity checks.</x:v>
      </x:c>
    </x:row>
    <x:row r="15">
      <x:c r="A15" s="17" t="str">
        <x:v>Important limitation</x:v>
      </x:c>
      <x:c r="B15" s="18" t="str">
        <x:v>Physical colour varies with paper, pressure, layering, water, binder, lighting, scanner and display profile.</x:v>
      </x:c>
    </x:row>
    <x:row r="16">
      <x:c r="A16" s="53" t="str">
        <x:v>Revision</x:v>
      </x:c>
      <x:c r="B16" s="18" t="str">
        <x:v>v1.0.1</x:v>
      </x:c>
    </x:row>
    <x:row r="17">
      <x:c r="A17" s="53" t="str">
        <x:v>Correction</x:v>
      </x:c>
      <x:c r="B17" s="18" t="str">
        <x:v>LUMINANCE 6901 codes 639 Dark indigo and 009 Black were re-sampled from the final PDF row; v1.0 had sampled blank page space.</x:v>
      </x:c>
    </x:row>
    <x:row r="18">
      <x:c r="A18" s="53" t="str">
        <x:v>Corrected values</x:v>
      </x:c>
      <x:c r="B18" s="18" t="str">
        <x:v>LUM 639 = #222427; LUM 009 = #202021</x:v>
      </x:c>
    </x:row>
    <x:row r="19">
      <x:c r="A19" s="72" t="str">
        <x:v>Revision</x:v>
      </x:c>
      <x:c r="B19" s="18" t="str">
        <x:v>v1.0.2</x:v>
      </x:c>
    </x:row>
    <x:row r="20">
      <x:c r="A20" s="72" t="str">
        <x:v>Correction</x:v>
      </x:c>
      <x:c r="B20" s="18" t="str">
        <x:v>NEOCOLOR II 008 Greyish black, NEOCOLOR II 009 Black and SUPRACOLOR 009 Black were re-sampled from the embedded official PDF swatches.</x:v>
      </x:c>
    </x:row>
    <x:row r="21">
      <x:c r="A21" s="72" t="str">
        <x:v>Corrected values</x:v>
      </x:c>
      <x:c r="B21" s="18" t="str">
        <x:v>NC2 008 = #474C51; NC2 009 = #393937; SUP 009 = #323333</x:v>
      </x:c>
    </x:row>
    <x:row r="22">
      <x:c r="A22" s="279" t="str">
        <x:v>Revision</x:v>
      </x:c>
      <x:c r="B22" s="18" t="str">
        <x:v>v1.1.0</x:v>
      </x:c>
    </x:row>
    <x:row r="23">
      <x:c r="A23" s="279" t="str">
        <x:v>Supplement</x:v>
      </x:c>
      <x:c r="B23" s="18" t="str">
        <x:v>Added NEOART 6901: 48 colours, 34 LFI + 14 LFII, 98 pigment-component links and a NART cross-series column.</x:v>
      </x:c>
    </x:row>
    <x:row r="24">
      <x:c r="A24" s="279" t="str">
        <x:v>Source</x:v>
      </x:c>
      <x:c r="B24" s="18" t="str">
        <x:v>Added official catalogue Catcoul_Beauxarts_2025_EN_BD.pdf, Ref. 100011.211 ENG 2025.</x:v>
      </x:c>
    </x:row>
    <x:row r="25">
      <x:c r="A25" s="279" t="str">
        <x:v>Correction</x:v>
      </x:c>
      <x:c r="B25" s="18" t="str">
        <x:v>PASTEL CUBES retained as a legacy shared-palette dataset; it is not listed as a standalone series in the 2025 general colour chart.</x:v>
      </x:c>
    </x:row>
    <x:row r="26">
      <x:c r="A26" s="279" t="str">
        <x:v>New sheets</x:v>
      </x:c>
      <x:c r="B26" s="18" t="str">
        <x:v>Catalogue_2025_Coverage and Catalogue_2025_Audit.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40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  <x:col min="8" max="8" width="30" hidden="0" customWidth="1"/>
    <x:col min="9" max="9" width="16" hidden="0" customWidth="1"/>
    <x:col min="10" max="10" width="72" hidden="0" customWidth="1"/>
    <x:col min="11" max="11" width="12" hidden="0" customWidth="1"/>
    <x:col min="12" max="12" width="32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medium_type</x:v>
      </x:c>
      <x:c r="D1" s="25" t="str">
        <x:v>product_grade</x:v>
      </x:c>
      <x:c r="E1" s="25" t="str">
        <x:v>official_colour_count</x:v>
      </x:c>
      <x:c r="F1" s="25" t="str">
        <x:v>master_index_rows</x:v>
      </x:c>
      <x:c r="G1" s="25" t="str">
        <x:v>shared_palette_with</x:v>
      </x:c>
      <x:c r="H1" s="25" t="str">
        <x:v>lightfastness_standard</x:v>
      </x:c>
      <x:c r="I1" s="25" t="str">
        <x:v>rating_scale</x:v>
      </x:c>
      <x:c r="J1" s="25" t="str">
        <x:v>source_url</x:v>
      </x:c>
      <x:c r="K1" s="25" t="str">
        <x:v>source_status</x:v>
      </x:c>
      <x:c r="L1" s="25" t="str">
        <x:v>ingestion_status</x:v>
      </x:c>
    </x:row>
    <x:row r="2">
      <x:c r="A2" t="str">
        <x:v>LUM</x:v>
      </x:c>
      <x:c r="B2" t="str">
        <x:v>LUMINANCE 6901</x:v>
      </x:c>
      <x:c r="C2" t="str">
        <x:v>Oil-based permanent coloured pencil</x:v>
      </x:c>
      <x:c r="D2" t="str">
        <x:v>Professional</x:v>
      </x:c>
      <x:c r="E2" t="n">
        <x:v>100</x:v>
      </x:c>
      <x:c r="F2" t="n">
        <x:v>100</x:v>
      </x:c>
      <x:c r="G2" t="str"/>
      <x:c r="H2" t="str">
        <x:v>ASTM D-6901</x:v>
      </x:c>
      <x:c r="I2" t="str">
        <x:v>LFI / LFII</x:v>
      </x:c>
      <x:c r="J2" t="str">
        <x:v>https://www.carandache.com/content_files/uploaded_doc/product/10580/nuancier_luminance_fr.pdf</x:v>
      </x:c>
      <x:c r="K2" t="str">
        <x:v>Official</x:v>
      </x:c>
      <x:c r="L2" t="str">
        <x:v>Complete</x:v>
      </x:c>
    </x:row>
    <x:row r="3">
      <x:c r="A3" t="str">
        <x:v>PAB</x:v>
      </x:c>
      <x:c r="B3" t="str">
        <x:v>PABLO</x:v>
      </x:c>
      <x:c r="C3" t="str">
        <x:v>Permanent coloured pencil</x:v>
      </x:c>
      <x:c r="D3" t="str">
        <x:v>Artist</x:v>
      </x:c>
      <x:c r="E3" t="n">
        <x:v>120</x:v>
      </x:c>
      <x:c r="F3" t="n">
        <x:v>120</x:v>
      </x:c>
      <x:c r="G3" t="str"/>
      <x:c r="H3" t="str">
        <x:v>Blue Wool Scale / UV 150h</x:v>
      </x:c>
      <x:c r="I3" t="str">
        <x:v>H-HHH</x:v>
      </x:c>
      <x:c r="J3" t="str">
        <x:v>https://www.carandache.com/content_files/uploaded_doc/product/10469/Colour_Chart_Pablo.pdf</x:v>
      </x:c>
      <x:c r="K3" t="str">
        <x:v>Official</x:v>
      </x:c>
      <x:c r="L3" t="str">
        <x:v>Complete</x:v>
      </x:c>
    </x:row>
    <x:row r="4">
      <x:c r="A4" t="str">
        <x:v>SUP</x:v>
      </x:c>
      <x:c r="B4" t="str">
        <x:v>SUPRACOLOR Soft Aquarelle</x:v>
      </x:c>
      <x:c r="C4" t="str">
        <x:v>Water-soluble coloured pencil</x:v>
      </x:c>
      <x:c r="D4" t="str">
        <x:v>Artist</x:v>
      </x:c>
      <x:c r="E4" t="n">
        <x:v>120</x:v>
      </x:c>
      <x:c r="F4" t="n">
        <x:v>120</x:v>
      </x:c>
      <x:c r="G4" t="str"/>
      <x:c r="H4" t="str">
        <x:v>Blue Wool Scale / UV 150h</x:v>
      </x:c>
      <x:c r="I4" t="str">
        <x:v>H-HHH</x:v>
      </x:c>
      <x:c r="J4" t="str">
        <x:v>https://www.carandache.com/content_files/uploaded_doc/product/11426/Colour_Chart_Supracolor-BD3.pdf</x:v>
      </x:c>
      <x:c r="K4" t="str">
        <x:v>Official</x:v>
      </x:c>
      <x:c r="L4" t="str">
        <x:v>Complete</x:v>
      </x:c>
    </x:row>
    <x:row r="5">
      <x:c r="A5" t="str">
        <x:v>MUS</x:v>
      </x:c>
      <x:c r="B5" t="str">
        <x:v>MUSEUM Aquarelle</x:v>
      </x:c>
      <x:c r="C5" t="str">
        <x:v>Extra-fine water-soluble coloured pencil</x:v>
      </x:c>
      <x:c r="D5" t="str">
        <x:v>Professional</x:v>
      </x:c>
      <x:c r="E5" t="n">
        <x:v>76</x:v>
      </x:c>
      <x:c r="F5" t="n">
        <x:v>76</x:v>
      </x:c>
      <x:c r="G5" t="str"/>
      <x:c r="H5" t="str">
        <x:v>Blue Wool Scale / UV 150h</x:v>
      </x:c>
      <x:c r="I5" t="str">
        <x:v>H-HHHHH</x:v>
      </x:c>
      <x:c r="J5" t="str">
        <x:v>https://www.carandache.com/content_files/uploaded_doc/product/10986/Colour_Chart_Museum.pdf</x:v>
      </x:c>
      <x:c r="K5" t="str">
        <x:v>Official</x:v>
      </x:c>
      <x:c r="L5" t="str">
        <x:v>Complete</x:v>
      </x:c>
    </x:row>
    <x:row r="6">
      <x:c r="A6" t="str">
        <x:v>NC2</x:v>
      </x:c>
      <x:c r="B6" t="str">
        <x:v>NEOCOLOR II Aquarelle</x:v>
      </x:c>
      <x:c r="C6" t="str">
        <x:v>Water-soluble wax pastel</x:v>
      </x:c>
      <x:c r="D6" t="str">
        <x:v>Artist</x:v>
      </x:c>
      <x:c r="E6" t="n">
        <x:v>84</x:v>
      </x:c>
      <x:c r="F6" t="n">
        <x:v>84</x:v>
      </x:c>
      <x:c r="G6" t="str"/>
      <x:c r="H6" t="str">
        <x:v>Blue Wool Scale / UV 150h</x:v>
      </x:c>
      <x:c r="I6" t="str">
        <x:v>H-HHH</x:v>
      </x:c>
      <x:c r="J6" t="str">
        <x:v>https://www.carandache.com/content_files/uploaded_doc/product/10603/Colour_Chart_NeocolorII_841.pdf</x:v>
      </x:c>
      <x:c r="K6" t="str">
        <x:v>Official</x:v>
      </x:c>
      <x:c r="L6" t="str">
        <x:v>Complete</x:v>
      </x:c>
    </x:row>
    <x:row r="7">
      <x:c r="A7" t="str">
        <x:v>NEO</x:v>
      </x:c>
      <x:c r="B7" t="str">
        <x:v>NEOPASTEL</x:v>
      </x:c>
      <x:c r="C7" t="str">
        <x:v>Extra-fine oil pastel</x:v>
      </x:c>
      <x:c r="D7" t="str">
        <x:v>Professional</x:v>
      </x:c>
      <x:c r="E7" t="n">
        <x:v>96</x:v>
      </x:c>
      <x:c r="F7" t="n">
        <x:v>96</x:v>
      </x:c>
      <x:c r="G7" t="str"/>
      <x:c r="H7" t="str">
        <x:v>Blue Wool Scale / UV 150h</x:v>
      </x:c>
      <x:c r="I7" t="str">
        <x:v>H-HHH</x:v>
      </x:c>
      <x:c r="J7" t="str">
        <x:v>https://www.carandache.com/content_files/uploaded_doc/product/10595/Colour_Chart_NeoPastel.pdf</x:v>
      </x:c>
      <x:c r="K7" t="str">
        <x:v>Official</x:v>
      </x:c>
      <x:c r="L7" t="str">
        <x:v>Complete</x:v>
      </x:c>
    </x:row>
    <x:row r="8">
      <x:c r="A8" t="str">
        <x:v>PSTP</x:v>
      </x:c>
      <x:c r="B8" t="str">
        <x:v>PASTEL PENCILS</x:v>
      </x:c>
      <x:c r="C8" t="str">
        <x:v>Extra-fine dry pastel pencil</x:v>
      </x:c>
      <x:c r="D8" t="str">
        <x:v>Professional</x:v>
      </x:c>
      <x:c r="E8" t="n">
        <x:v>84</x:v>
      </x:c>
      <x:c r="F8" t="n">
        <x:v>84</x:v>
      </x:c>
      <x:c r="G8" t="str">
        <x:v>PASTEL CUBES</x:v>
      </x:c>
      <x:c r="H8" t="str">
        <x:v>Blue Wool Scale / UV 150h</x:v>
      </x:c>
      <x:c r="I8" t="str">
        <x:v>H-HHHHH</x:v>
      </x:c>
      <x:c r="J8" t="str">
        <x:v>https://www.carandache.com/content_files/uploaded_doc/product/10985/Colour_Chart_Pastel_Pencil.pdf</x:v>
      </x:c>
      <x:c r="K8" t="str">
        <x:v>Official</x:v>
      </x:c>
      <x:c r="L8" t="str">
        <x:v>Complete</x:v>
      </x:c>
    </x:row>
    <x:row r="9">
      <x:c r="A9" t="str">
        <x:v>PSTC</x:v>
      </x:c>
      <x:c r="B9" t="str">
        <x:v>PASTEL CUBES</x:v>
      </x:c>
      <x:c r="C9" t="str">
        <x:v>Extra-fine dry pastel cube</x:v>
      </x:c>
      <x:c r="D9" t="str">
        <x:v>Professional</x:v>
      </x:c>
      <x:c r="E9" t="n">
        <x:v>84</x:v>
      </x:c>
      <x:c r="F9" t="n">
        <x:v>84</x:v>
      </x:c>
      <x:c r="G9" t="str">
        <x:v>PASTEL PENCILS</x:v>
      </x:c>
      <x:c r="H9" t="str">
        <x:v>Blue Wool Scale / UV 150h</x:v>
      </x:c>
      <x:c r="I9" t="str">
        <x:v>H-HHHHH</x:v>
      </x:c>
      <x:c r="J9" t="str">
        <x:v>https://www.carandache.com/content_files/uploaded_doc/product/10985/Colour_Chart_Pastel_Pencil.pdf</x:v>
      </x:c>
      <x:c r="K9" t="str">
        <x:v>Official legacy chart</x:v>
      </x:c>
      <x:c r="L9" t="str">
        <x:v>Legacy shared palette; not listed as a standalone current series in the 2025 general colour chart</x:v>
      </x:c>
    </x:row>
    <x:row r="10">
      <x:c r="A10" t="str">
        <x:v>NART</x:v>
      </x:c>
      <x:c r="B10" t="str">
        <x:v>NEOART 6901</x:v>
      </x:c>
      <x:c r="C10" t="str">
        <x:v>Permanent wax-and-oil pastel</x:v>
      </x:c>
      <x:c r="D10" t="str">
        <x:v>Professional</x:v>
      </x:c>
      <x:c r="E10" t="n">
        <x:v>48</x:v>
      </x:c>
      <x:c r="F10" t="n">
        <x:v>48</x:v>
      </x:c>
      <x:c r="G10" t="str">
        <x:v>LUMINANCE 6901 (44 colour codes in common)</x:v>
      </x:c>
      <x:c r="H10" t="str">
        <x:v>ASTM D-6901</x:v>
      </x:c>
      <x:c r="I10" t="str">
        <x:v>LFI / LFII</x:v>
      </x:c>
      <x:c r="J10" t="str">
        <x:v>https://www.carandache.com/</x:v>
      </x:c>
      <x:c r="K10" t="str">
        <x:v>Official</x:v>
      </x:c>
      <x:c r="L10" t="str">
        <x:v>Complete; official 2025 catalogue, PDF p.18 (catalogue pp.32-33)</x:v>
      </x:c>
    </x:row>
  </x:sheetData>
  <x:pageMargins left="0.7" right="0.7" top="0.75" bottom="0.75" header="0.3" footer="0.3"/>
  <x:tableParts count="1">
    <x:tablePart xmlns:r="http://schemas.openxmlformats.org/officeDocument/2006/relationships" r:id="R2815f70f7ff541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8" hidden="0" customWidth="1"/>
    <x:col min="5" max="5" width="32" hidden="0" customWidth="1"/>
    <x:col min="6" max="6" width="85" hidden="0" customWidth="1"/>
    <x:col min="7" max="7" width="14" hidden="0" customWidth="1"/>
    <x:col min="8" max="8" width="45" hidden="0" customWidth="1"/>
    <x:col min="9" max="9" width="12" hidden="0" customWidth="1"/>
    <x:col min="10" max="10" width="65" hidden="0" customWidth="1"/>
  </x:cols>
  <x:sheetData>
    <x:row r="1" ht="30" customHeight="1">
      <x:c r="A1" s="25" t="str">
        <x:v>source_id</x:v>
      </x:c>
      <x:c r="B1" s="25" t="str">
        <x:v>series_scope</x:v>
      </x:c>
      <x:c r="C1" s="25" t="str">
        <x:v>document_type</x:v>
      </x:c>
      <x:c r="D1" s="25" t="str">
        <x:v>official_colour_count</x:v>
      </x:c>
      <x:c r="E1" s="25" t="str">
        <x:v>lightfastness_standard</x:v>
      </x:c>
      <x:c r="F1" s="25" t="str">
        <x:v>source_url</x:v>
      </x:c>
      <x:c r="G1" s="25" t="str">
        <x:v>accessed_date</x:v>
      </x:c>
      <x:c r="H1" s="25" t="str">
        <x:v>extraction_method</x:v>
      </x:c>
      <x:c r="I1" s="25" t="str">
        <x:v>source_status</x:v>
      </x:c>
      <x:c r="J1" s="25" t="str">
        <x:v>notes</x:v>
      </x:c>
    </x:row>
    <x:row r="2">
      <x:c r="A2" t="str">
        <x:v>SRC-CDA-LUM</x:v>
      </x:c>
      <x:c r="B2" t="str">
        <x:v>LUMINANCE 6901</x:v>
      </x:c>
      <x:c r="C2" t="str">
        <x:v>Official colour chart PDF</x:v>
      </x:c>
      <x:c r="D2" t="n">
        <x:v>100</x:v>
      </x:c>
      <x:c r="E2" t="str">
        <x:v>ASTM D-6901</x:v>
      </x:c>
      <x:c r="F2" t="str">
        <x:v>https://www.carandache.com/content_files/uploaded_doc/product/10580/nuancier_luminance_fr.pdf</x:v>
      </x:c>
      <x:c r="G2" t="str">
        <x:v>2026-07-21</x:v>
      </x:c>
      <x:c r="H2" t="str">
        <x:v>PDF text layer + coordinate-based swatch sampling</x:v>
      </x:c>
      <x:c r="I2" t="str">
        <x:v>Official</x:v>
      </x:c>
      <x:c r="J2" t="str">
        <x:v>The sampled HEX is an approximate digital reference, not an official device-independent value.</x:v>
      </x:c>
    </x:row>
    <x:row r="3">
      <x:c r="A3" t="str">
        <x:v>SRC-CDA-PAB</x:v>
      </x:c>
      <x:c r="B3" t="str">
        <x:v>PABLO</x:v>
      </x:c>
      <x:c r="C3" t="str">
        <x:v>Official colour chart PDF</x:v>
      </x:c>
      <x:c r="D3" t="n">
        <x:v>120</x:v>
      </x:c>
      <x:c r="E3" t="str">
        <x:v>Blue Wool Scale / UV 150h</x:v>
      </x:c>
      <x:c r="F3" t="str">
        <x:v>https://www.carandache.com/content_files/uploaded_doc/product/10469/Colour_Chart_Pablo.pdf</x:v>
      </x:c>
      <x:c r="G3" t="str">
        <x:v>2026-07-21</x:v>
      </x:c>
      <x:c r="H3" t="str">
        <x:v>PDF text layer + coordinate-based swatch sampling</x:v>
      </x:c>
      <x:c r="I3" t="str">
        <x:v>Official</x:v>
      </x:c>
      <x:c r="J3" t="str">
        <x:v>The sampled HEX is an approximate digital reference, not an official device-independent value.</x:v>
      </x:c>
    </x:row>
    <x:row r="4">
      <x:c r="A4" t="str">
        <x:v>SRC-CDA-SUP</x:v>
      </x:c>
      <x:c r="B4" t="str">
        <x:v>SUPRACOLOR Soft Aquarelle</x:v>
      </x:c>
      <x:c r="C4" t="str">
        <x:v>Official colour chart PDF</x:v>
      </x:c>
      <x:c r="D4" t="n">
        <x:v>120</x:v>
      </x:c>
      <x:c r="E4" t="str">
        <x:v>Blue Wool Scale / UV 150h</x:v>
      </x:c>
      <x:c r="F4" t="str">
        <x:v>https://www.carandache.com/content_files/uploaded_doc/product/11426/Colour_Chart_Supracolor-BD3.pdf</x:v>
      </x:c>
      <x:c r="G4" t="str">
        <x:v>2026-07-21</x:v>
      </x:c>
      <x:c r="H4" t="str">
        <x:v>PDF text layer + coordinate-based swatch sampling</x:v>
      </x:c>
      <x:c r="I4" t="str">
        <x:v>Official</x:v>
      </x:c>
      <x:c r="J4" t="str">
        <x:v>The sampled HEX is an approximate digital reference, not an official device-independent value.</x:v>
      </x:c>
    </x:row>
    <x:row r="5">
      <x:c r="A5" t="str">
        <x:v>SRC-CDA-MUS</x:v>
      </x:c>
      <x:c r="B5" t="str">
        <x:v>MUSEUM Aquarelle</x:v>
      </x:c>
      <x:c r="C5" t="str">
        <x:v>Official colour chart PDF</x:v>
      </x:c>
      <x:c r="D5" t="n">
        <x:v>76</x:v>
      </x:c>
      <x:c r="E5" t="str">
        <x:v>Blue Wool Scale / UV 150h</x:v>
      </x:c>
      <x:c r="F5" t="str">
        <x:v>https://www.carandache.com/content_files/uploaded_doc/product/10986/Colour_Chart_Museum.pdf</x:v>
      </x:c>
      <x:c r="G5" t="str">
        <x:v>2026-07-21</x:v>
      </x:c>
      <x:c r="H5" t="str">
        <x:v>PDF text layer + coordinate-based swatch sampling</x:v>
      </x:c>
      <x:c r="I5" t="str">
        <x:v>Official</x:v>
      </x:c>
      <x:c r="J5" t="str">
        <x:v>The sampled HEX is an approximate digital reference, not an official device-independent value.</x:v>
      </x:c>
    </x:row>
    <x:row r="6">
      <x:c r="A6" t="str">
        <x:v>SRC-CDA-NC2</x:v>
      </x:c>
      <x:c r="B6" t="str">
        <x:v>NEOCOLOR II Aquarelle</x:v>
      </x:c>
      <x:c r="C6" t="str">
        <x:v>Official colour chart PDF</x:v>
      </x:c>
      <x:c r="D6" t="n">
        <x:v>84</x:v>
      </x:c>
      <x:c r="E6" t="str">
        <x:v>Blue Wool Scale / UV 150h</x:v>
      </x:c>
      <x:c r="F6" t="str">
        <x:v>https://www.carandache.com/content_files/uploaded_doc/product/10603/Colour_Chart_NeocolorII_841.pdf</x:v>
      </x:c>
      <x:c r="G6" t="str">
        <x:v>2026-07-21</x:v>
      </x:c>
      <x:c r="H6" t="str">
        <x:v>PDF text layer + coordinate-based swatch sampling</x:v>
      </x:c>
      <x:c r="I6" t="str">
        <x:v>Official</x:v>
      </x:c>
      <x:c r="J6" t="str">
        <x:v>The sampled HEX is an approximate digital reference, not an official device-independent value.</x:v>
      </x:c>
    </x:row>
    <x:row r="7">
      <x:c r="A7" t="str">
        <x:v>SRC-CDA-NEO</x:v>
      </x:c>
      <x:c r="B7" t="str">
        <x:v>NEOPASTEL</x:v>
      </x:c>
      <x:c r="C7" t="str">
        <x:v>Official colour chart PDF</x:v>
      </x:c>
      <x:c r="D7" t="n">
        <x:v>96</x:v>
      </x:c>
      <x:c r="E7" t="str">
        <x:v>Blue Wool Scale / UV 150h</x:v>
      </x:c>
      <x:c r="F7" t="str">
        <x:v>https://www.carandache.com/content_files/uploaded_doc/product/10595/Colour_Chart_NeoPastel.pdf</x:v>
      </x:c>
      <x:c r="G7" t="str">
        <x:v>2026-07-21</x:v>
      </x:c>
      <x:c r="H7" t="str">
        <x:v>PDF text layer + coordinate-based swatch sampling</x:v>
      </x:c>
      <x:c r="I7" t="str">
        <x:v>Official</x:v>
      </x:c>
      <x:c r="J7" t="str">
        <x:v>The sampled HEX is an approximate digital reference, not an official device-independent value.</x:v>
      </x:c>
    </x:row>
    <x:row r="8">
      <x:c r="A8" t="str">
        <x:v>SRC-CDA-PSTP</x:v>
      </x:c>
      <x:c r="B8" t="str">
        <x:v>PASTEL PENCILS + PASTEL CUBES</x:v>
      </x:c>
      <x:c r="C8" t="str">
        <x:v>Official colour chart PDF</x:v>
      </x:c>
      <x:c r="D8" t="n">
        <x:v>84</x:v>
      </x:c>
      <x:c r="E8" t="str">
        <x:v>Blue Wool Scale / UV 150h</x:v>
      </x:c>
      <x:c r="F8" t="str">
        <x:v>https://www.carandache.com/content_files/uploaded_doc/product/10985/Colour_Chart_Pastel_Pencil.pdf</x:v>
      </x:c>
      <x:c r="G8" t="str">
        <x:v>2026-07-21</x:v>
      </x:c>
      <x:c r="H8" t="str">
        <x:v>PDF text layer + coordinate-based swatch sampling</x:v>
      </x:c>
      <x:c r="I8" t="str">
        <x:v>Official</x:v>
      </x:c>
      <x:c r="J8" t="str">
        <x:v>The sampled HEX is an approximate digital reference, not an official device-independent value.</x:v>
      </x:c>
    </x:row>
    <x:row r="9">
      <x:c r="A9" t="str">
        <x:v>SRC-CDA-CAT2025</x:v>
      </x:c>
      <x:c r="B9" t="str">
        <x:v>All Fine Arts ranges; NEOART 6901; general cross-series colour chart</x:v>
      </x:c>
      <x:c r="C9" t="str">
        <x:v>Official Fine Arts catalogue and general colour chart</x:v>
      </x:c>
      <x:c r="D9" t="n">
        <x:v>48</x:v>
      </x:c>
      <x:c r="E9" t="str">
        <x:v>Mixed; NEOART uses ASTM D-6901</x:v>
      </x:c>
      <x:c r="F9" t="str">
        <x:v>https://www.carandache.com/</x:v>
      </x:c>
      <x:c r="G9" t="str">
        <x:v>2026-07-22</x:v>
      </x:c>
      <x:c r="H9" t="str">
        <x:v>PDF text layer + coordinate-based table extraction + catalogue chart-bar sampling</x:v>
      </x:c>
      <x:c r="I9" t="str">
        <x:v>Official</x:v>
      </x:c>
      <x:c r="J9" t="str">
        <x:v>Uploaded official catalogue: Catcoul_Beauxarts_2025_EN_BD.pdf; Ref. 100011.211 ENG 2025. NEOART chart on PDF p.18; general cross-series colour chart on PDF p.48.</x:v>
      </x:c>
    </x:row>
  </x:sheetData>
  <x:pageMargins left="0.7" right="0.7" top="0.75" bottom="0.75" header="0.3" footer="0.3"/>
  <x:tableParts count="1">
    <x:tablePart xmlns:r="http://schemas.openxmlformats.org/officeDocument/2006/relationships" r:id="R428d461733e142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9" t="str">
        <x:v>Series_ID</x:v>
      </x:c>
      <x:c r="B1" s="9" t="str">
        <x:v>Source_Status</x:v>
      </x:c>
      <x:c r="C1" s="9" t="str">
        <x:v>Data_Quality_Status</x:v>
      </x:c>
      <x:c r="D1" s="9" t="str">
        <x:v>WCAG</x:v>
      </x:c>
    </x:row>
    <x:row r="2">
      <x:c r="A2" t="str">
        <x:v>LUM</x:v>
      </x:c>
      <x:c r="B2" t="str">
        <x:v>Official</x:v>
      </x:c>
      <x:c r="C2" t="str">
        <x:v>Verified from official chart; digital HEX is approximate</x:v>
      </x:c>
      <x:c r="D2" t="str">
        <x:v>PASS</x:v>
      </x:c>
    </x:row>
    <x:row r="3">
      <x:c r="A3" t="str">
        <x:v>PAB</x:v>
      </x:c>
      <x:c r="B3" t="str">
        <x:v>Official distributor</x:v>
      </x:c>
      <x:c r="C3" t="str">
        <x:v>Needs review</x:v>
      </x:c>
      <x:c r="D3" t="str">
        <x:v>FAIL</x:v>
      </x:c>
    </x:row>
    <x:row r="4">
      <x:c r="A4" t="str">
        <x:v>SUP</x:v>
      </x:c>
      <x:c r="B4" t="str">
        <x:v>Secondary</x:v>
      </x:c>
      <x:c r="C4" t="str"/>
      <x:c r="D4" t="str"/>
    </x:row>
    <x:row r="5">
      <x:c r="A5" t="str">
        <x:v>MUS</x:v>
      </x:c>
      <x:c r="B5" t="str"/>
      <x:c r="C5" t="str"/>
      <x:c r="D5" t="str"/>
    </x:row>
    <x:row r="6">
      <x:c r="A6" t="str">
        <x:v>NC2</x:v>
      </x:c>
      <x:c r="B6" t="str"/>
      <x:c r="C6" t="str"/>
      <x:c r="D6" t="str"/>
    </x:row>
    <x:row r="7">
      <x:c r="A7" t="str">
        <x:v>NEO</x:v>
      </x:c>
      <x:c r="B7" t="str"/>
      <x:c r="C7" t="str"/>
      <x:c r="D7" t="str"/>
    </x:row>
    <x:row r="8">
      <x:c r="A8" t="str">
        <x:v>PSTP</x:v>
      </x:c>
      <x:c r="B8" t="str"/>
      <x:c r="C8" t="str"/>
      <x:c r="D8" t="str"/>
    </x:row>
    <x:row r="9">
      <x:c r="A9" t="str">
        <x:v>PSTC</x:v>
      </x:c>
      <x:c r="B9" t="str"/>
      <x:c r="C9" t="str"/>
      <x:c r="D9" t="str"/>
    </x:row>
    <x:row r="10">
      <x:c r="A10" t="str">
        <x:v>NART</x:v>
      </x:c>
      <x:c r="B10" t="str"/>
      <x:c r="C10" t="str"/>
      <x:c r="D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24" hidden="0" customWidth="1"/>
    <x:col min="5" max="5" width="22" hidden="0" customWidth="1"/>
    <x:col min="6" max="6" width="22" hidden="0" customWidth="1"/>
    <x:col min="7" max="7" width="46" hidden="0" customWidth="1"/>
    <x:col min="8" max="8" width="46" hidden="0" customWidth="1"/>
    <x:col min="9" max="9" width="46" hidden="0" customWidth="1"/>
    <x:col min="10" max="10" width="12" hidden="0" customWidth="1"/>
    <x:col min="11" max="11" width="76" hidden="0" customWidth="1"/>
    <x:col min="12" max="12" width="56" hidden="0" customWidth="1"/>
    <x:col min="13" max="13" width="2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4" hidden="0" customWidth="1"/>
    <x:col min="23" max="23" width="22" hidden="0" customWidth="1"/>
    <x:col min="24" max="24" width="72" hidden="0" customWidth="1"/>
  </x:cols>
  <x:sheetData>
    <x:row r="1" ht="30" customHeight="1">
      <x:c r="A1" s="25" t="str">
        <x:v>canonical_code_uuid</x:v>
      </x:c>
      <x:c r="B1" s="25" t="str">
        <x:v>canonical_code_id</x:v>
      </x:c>
      <x:c r="C1" s="25" t="str">
        <x:v>color_code</x:v>
      </x:c>
      <x:c r="D1" s="25" t="str">
        <x:v>canonical_name_en</x:v>
      </x:c>
      <x:c r="E1" s="25" t="str">
        <x:v>canonical_name_zh_tw</x:v>
      </x:c>
      <x:c r="F1" s="25" t="str">
        <x:v>canonical_name_ja</x:v>
      </x:c>
      <x:c r="G1" s="25" t="str">
        <x:v>name_variants_en</x:v>
      </x:c>
      <x:c r="H1" s="25" t="str">
        <x:v>name_variants_zh_tw</x:v>
      </x:c>
      <x:c r="I1" s="25" t="str">
        <x:v>name_variants_ja</x:v>
      </x:c>
      <x:c r="J1" s="25" t="str">
        <x:v>series_count</x:v>
      </x:c>
      <x:c r="K1" s="25" t="str">
        <x:v>series_list</x:v>
      </x:c>
      <x:c r="L1" s="25" t="str">
        <x:v>pigment_variants</x:v>
      </x:c>
      <x:c r="M1" s="25" t="str">
        <x:v>digital_reference_hex_avg</x:v>
      </x:c>
      <x:c r="N1" s="25" t="str">
        <x:v>rgb_r_avg</x:v>
      </x:c>
      <x:c r="O1" s="25" t="str">
        <x:v>rgb_g_avg</x:v>
      </x:c>
      <x:c r="P1" s="25" t="str">
        <x:v>rgb_b_avg</x:v>
      </x:c>
      <x:c r="Q1" s="25" t="str">
        <x:v>lab_l_avg</x:v>
      </x:c>
      <x:c r="R1" s="25" t="str">
        <x:v>lab_a_avg</x:v>
      </x:c>
      <x:c r="S1" s="25" t="str">
        <x:v>lab_b_avg</x:v>
      </x:c>
      <x:c r="T1" s="25" t="str">
        <x:v>max_delta_e76_between_series</x:v>
      </x:c>
      <x:c r="U1" s="25" t="str">
        <x:v>recommended_foreground_hex</x:v>
      </x:c>
      <x:c r="V1" s="25" t="str">
        <x:v>best_contrast_ratio</x:v>
      </x:c>
      <x:c r="W1" s="25" t="str">
        <x:v>relative_luminance</x:v>
      </x:c>
      <x:c r="X1" s="25" t="str">
        <x:v>cross_series_consistency</x:v>
      </x:c>
      <x:c r="Y1" s="25" t="str">
        <x:v>notes</x:v>
      </x:c>
    </x:row>
    <x:row r="2">
      <x:c r="A2" t="str">
        <x:v>1fdf2a25-f600-5523-bc97-56cadaedc26c</x:v>
      </x:c>
      <x:c r="B2" t="str">
        <x:v>CDA-CODE-001</x:v>
      </x:c>
      <x:c r="C2" t="str">
        <x:v>001</x:v>
      </x:c>
      <x:c r="D2" t="str">
        <x:v>White</x:v>
      </x:c>
      <x:c r="E2" t="str">
        <x:v>白色</x:v>
      </x:c>
      <x:c r="F2" t="str">
        <x:v>ホワイト</x:v>
      </x:c>
      <x:c r="G2" t="str">
        <x:v>White</x:v>
      </x:c>
      <x:c r="H2" t="str">
        <x:v>白色</x:v>
      </x:c>
      <x:c r="I2" t="str">
        <x:v>ホワイト</x:v>
      </x:c>
      <x:c r="J2" t="n">
        <x:v>7</x:v>
      </x:c>
      <x:c r="K2" t="str">
        <x:v>LUMINANCE 6901 | PABLO | SUPRACOLOR Soft Aquarelle | MUSEUM Aquarelle | NEOCOLOR II Aquarelle | NEOPASTEL | NEOART 6901</x:v>
      </x:c>
      <x:c r="L2" t="str">
        <x:v>PW6</x:v>
      </x:c>
      <x:c r="M2" s="74" t="str">
        <x:v>#F8F3F0</x:v>
      </x:c>
      <x:c r="N2" t="n">
        <x:v>248</x:v>
      </x:c>
      <x:c r="O2" t="n">
        <x:v>243</x:v>
      </x:c>
      <x:c r="P2" t="n">
        <x:v>240</x:v>
      </x:c>
      <x:c r="Q2" t="n">
        <x:v>96.14</x:v>
      </x:c>
      <x:c r="R2" t="n">
        <x:v>1.15</x:v>
      </x:c>
      <x:c r="S2" t="n">
        <x:v>2.03</x:v>
      </x:c>
      <x:c r="T2" t="n">
        <x:v>9.07</x:v>
      </x:c>
      <x:c r="U2" t="str">
        <x:v>#000000</x:v>
      </x:c>
      <x:c r="V2" t="n">
        <x:v>19.07</x:v>
      </x:c>
      <x:c r="W2" t="n">
        <x:v>0.903489</x:v>
      </x:c>
      <x:c r="X2" t="str">
        <x:v>High</x:v>
      </x:c>
      <x:c r="Y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3">
      <x:c r="A3" t="str">
        <x:v>5bb6a1fa-d374-5bae-b129-520775dd165f</x:v>
      </x:c>
      <x:c r="B3" t="str">
        <x:v>CDA-CODE-002</x:v>
      </x:c>
      <x:c r="C3" t="str">
        <x:v>002</x:v>
      </x:c>
      <x:c r="D3" t="str">
        <x:v>Silver grey</x:v>
      </x:c>
      <x:c r="E3" t="str">
        <x:v>銀灰色</x:v>
      </x:c>
      <x:c r="F3" t="str">
        <x:v>シルバーグレー</x:v>
      </x:c>
      <x:c r="G3" t="str">
        <x:v>Silver grey</x:v>
      </x:c>
      <x:c r="H3" t="str">
        <x:v>銀灰色</x:v>
      </x:c>
      <x:c r="I3" t="str">
        <x:v>シルバーグレー</x:v>
      </x:c>
      <x:c r="J3" t="n">
        <x:v>8</x:v>
      </x:c>
      <x:c r="K3" t="str">
        <x:v>LUMINANCE 6901 | PABLO | SUPRACOLOR Soft Aquarelle | NEOCOLOR II Aquarelle | NEOPASTEL | PASTEL PENCILS | PASTEL CUBES | NEOART 6901</x:v>
      </x:c>
      <x:c r="L3" t="str">
        <x:v>PB15/PBk6 | PBk6/PB15 | PW6/PBk6/PB15</x:v>
      </x:c>
      <x:c r="M3" s="76" t="str">
        <x:v>#DCE1E2</x:v>
      </x:c>
      <x:c r="N3" t="n">
        <x:v>220</x:v>
      </x:c>
      <x:c r="O3" t="n">
        <x:v>225</x:v>
      </x:c>
      <x:c r="P3" t="n">
        <x:v>226</x:v>
      </x:c>
      <x:c r="Q3" t="n">
        <x:v>89.18</x:v>
      </x:c>
      <x:c r="R3" t="n">
        <x:v>-1.49</x:v>
      </x:c>
      <x:c r="S3" t="n">
        <x:v>-1.07</x:v>
      </x:c>
      <x:c r="T3" t="n">
        <x:v>16.54</x:v>
      </x:c>
      <x:c r="U3" t="str">
        <x:v>#000000</x:v>
      </x:c>
      <x:c r="V3" t="n">
        <x:v>15.91</x:v>
      </x:c>
      <x:c r="W3" t="n">
        <x:v>0.745571</x:v>
      </x:c>
      <x:c r="X3" t="str">
        <x:v>Medium</x:v>
      </x:c>
      <x:c r="Y3" t="str">
        <x:v>Average of official source-palette digital samples; NEOART 6901 added from the 2025 official catalogue chart. Digital values are screen-reference approximations, not manufacturer device-independent standards.</x:v>
      </x:c>
    </x:row>
    <x:row r="4">
      <x:c r="A4" t="str">
        <x:v>0babc0cb-de09-5293-abe4-84adda5ee171</x:v>
      </x:c>
      <x:c r="B4" t="str">
        <x:v>CDA-CODE-003</x:v>
      </x:c>
      <x:c r="C4" t="str">
        <x:v>003</x:v>
      </x:c>
      <x:c r="D4" t="str">
        <x:v>Light grey</x:v>
      </x:c>
      <x:c r="E4" t="str">
        <x:v>淺灰色</x:v>
      </x:c>
      <x:c r="F4" t="str">
        <x:v>ライトグレー</x:v>
      </x:c>
      <x:c r="G4" t="str">
        <x:v>Light grey</x:v>
      </x:c>
      <x:c r="H4" t="str">
        <x:v>淺灰色</x:v>
      </x:c>
      <x:c r="I4" t="str">
        <x:v>ライトグレー</x:v>
      </x:c>
      <x:c r="J4" t="n">
        <x:v>6</x:v>
      </x:c>
      <x:c r="K4" t="str">
        <x:v>PABLO | SUPRACOLOR Soft Aquarelle | NEOCOLOR II Aquarelle | NEOPASTEL | PASTEL PENCILS | PASTEL CUBES</x:v>
      </x:c>
      <x:c r="L4" t="str">
        <x:v>PBk6/PB15</x:v>
      </x:c>
      <x:c r="M4" t="str">
        <x:v>#C7CDCD</x:v>
      </x:c>
      <x:c r="N4" t="n">
        <x:v>199</x:v>
      </x:c>
      <x:c r="O4" t="n">
        <x:v>205</x:v>
      </x:c>
      <x:c r="P4" t="n">
        <x:v>205</x:v>
      </x:c>
      <x:c r="Q4" t="n">
        <x:v>81.95</x:v>
      </x:c>
      <x:c r="R4" t="n">
        <x:v>-2.05</x:v>
      </x:c>
      <x:c r="S4" t="n">
        <x:v>-0.71</x:v>
      </x:c>
      <x:c r="T4" t="n">
        <x:v>28.23</x:v>
      </x:c>
      <x:c r="U4" t="str">
        <x:v>#000000</x:v>
      </x:c>
      <x:c r="V4" t="n">
        <x:v>13.04</x:v>
      </x:c>
      <x:c r="W4" t="n">
        <x:v>0.602125</x:v>
      </x:c>
      <x:c r="X4" t="str">
        <x:v>Low</x:v>
      </x:c>
      <x:c r="Y4" t="str">
        <x:v>Average of official PDF swatch samples across distinct source palettes; not a physical colour standard.</x:v>
      </x:c>
    </x:row>
    <x:row r="5">
      <x:c r="A5" t="str">
        <x:v>de4df521-dec4-520d-ab19-51053b9c58ea</x:v>
      </x:c>
      <x:c r="B5" t="str">
        <x:v>CDA-CODE-004</x:v>
      </x:c>
      <x:c r="C5" t="str">
        <x:v>004</x:v>
      </x:c>
      <x:c r="D5" t="str">
        <x:v>Steel grey</x:v>
      </x:c>
      <x:c r="E5" t="str">
        <x:v>鋼灰色</x:v>
      </x:c>
      <x:c r="F5" t="str">
        <x:v>スチールグレー</x:v>
      </x:c>
      <x:c r="G5" t="str">
        <x:v>Steel grey</x:v>
      </x:c>
      <x:c r="H5" t="str">
        <x:v>鋼灰色</x:v>
      </x:c>
      <x:c r="I5" t="str">
        <x:v>スチール グレイ | スチールグレー</x:v>
      </x:c>
      <x:c r="J5" t="n">
        <x:v>7</x:v>
      </x:c>
      <x:c r="K5" t="str">
        <x:v>LUMINANCE 6901 | PABLO | SUPRACOLOR Soft Aquarelle | MUSEUM Aquarelle | NEOPASTEL | PASTEL PENCILS | PASTEL CUBES</x:v>
      </x:c>
      <x:c r="L5" t="str">
        <x:v>PB15/PBk6 | PBk7/PB15 | PY184/PBk6/PB15</x:v>
      </x:c>
      <x:c r="M5" t="str">
        <x:v>#AEB6BC</x:v>
      </x:c>
      <x:c r="N5" t="n">
        <x:v>174</x:v>
      </x:c>
      <x:c r="O5" t="n">
        <x:v>182</x:v>
      </x:c>
      <x:c r="P5" t="n">
        <x:v>188</x:v>
      </x:c>
      <x:c r="Q5" t="n">
        <x:v>73.6</x:v>
      </x:c>
      <x:c r="R5" t="n">
        <x:v>-1.6</x:v>
      </x:c>
      <x:c r="S5" t="n">
        <x:v>-4.01</x:v>
      </x:c>
      <x:c r="T5" t="n">
        <x:v>33.35</x:v>
      </x:c>
      <x:c r="U5" t="str">
        <x:v>#000000</x:v>
      </x:c>
      <x:c r="V5" t="n">
        <x:v>10.22</x:v>
      </x:c>
      <x:c r="W5" t="n">
        <x:v>0.460854</x:v>
      </x:c>
      <x:c r="X5" t="str">
        <x:v>Low</x:v>
      </x:c>
      <x:c r="Y5" t="str">
        <x:v>Average of official PDF swatch samples across distinct source palettes; not a physical colour standard.</x:v>
      </x:c>
    </x:row>
    <x:row r="6">
      <x:c r="A6" t="str">
        <x:v>5e94186d-04b3-5522-b27d-8725960264c8</x:v>
      </x:c>
      <x:c r="B6" t="str">
        <x:v>CDA-CODE-005</x:v>
      </x:c>
      <x:c r="C6" t="str">
        <x:v>005</x:v>
      </x:c>
      <x:c r="D6" t="str">
        <x:v>Grey</x:v>
      </x:c>
      <x:c r="E6" t="str">
        <x:v>灰色</x:v>
      </x:c>
      <x:c r="F6" t="str">
        <x:v>グレー</x:v>
      </x:c>
      <x:c r="G6" t="str">
        <x:v>Grey</x:v>
      </x:c>
      <x:c r="H6" t="str">
        <x:v>灰色</x:v>
      </x:c>
      <x:c r="I6" t="str">
        <x:v>グレー</x:v>
      </x:c>
      <x:c r="J6" t="n">
        <x:v>4</x:v>
      </x:c>
      <x:c r="K6" t="str">
        <x:v>PABLO | SUPRACOLOR Soft Aquarelle | NEOCOLOR II Aquarelle | NEOPASTEL</x:v>
      </x:c>
      <x:c r="L6" t="str">
        <x:v>PBk6/PB15/PY1</x:v>
      </x:c>
      <x:c r="M6" t="str">
        <x:v>#9EA9AC</x:v>
      </x:c>
      <x:c r="N6" t="n">
        <x:v>158</x:v>
      </x:c>
      <x:c r="O6" t="n">
        <x:v>169</x:v>
      </x:c>
      <x:c r="P6" t="n">
        <x:v>172</x:v>
      </x:c>
      <x:c r="Q6" t="n">
        <x:v>68.48</x:v>
      </x:c>
      <x:c r="R6" t="n">
        <x:v>-3.26</x:v>
      </x:c>
      <x:c r="S6" t="n">
        <x:v>-2.88</x:v>
      </x:c>
      <x:c r="T6" t="n">
        <x:v>34.37</x:v>
      </x:c>
      <x:c r="U6" t="str">
        <x:v>#000000</x:v>
      </x:c>
      <x:c r="V6" t="n">
        <x:v>8.72</x:v>
      </x:c>
      <x:c r="W6" t="n">
        <x:v>0.386236</x:v>
      </x:c>
      <x:c r="X6" t="str">
        <x:v>Low</x:v>
      </x:c>
      <x:c r="Y6" t="str">
        <x:v>Average of official PDF swatch samples across distinct source palettes; not a physical colour standard.</x:v>
      </x:c>
    </x:row>
    <x:row r="7">
      <x:c r="A7" t="str">
        <x:v>e1914c16-2ec2-5172-90dc-7bb50574eff7</x:v>
      </x:c>
      <x:c r="B7" t="str">
        <x:v>CDA-CODE-006</x:v>
      </x:c>
      <x:c r="C7" t="str">
        <x:v>006</x:v>
      </x:c>
      <x:c r="D7" t="str">
        <x:v>Mouse grey</x:v>
      </x:c>
      <x:c r="E7" t="str">
        <x:v>鼠灰色</x:v>
      </x:c>
      <x:c r="F7" t="str">
        <x:v>マウスグレー</x:v>
      </x:c>
      <x:c r="G7" t="str">
        <x:v>Mouse grey</x:v>
      </x:c>
      <x:c r="H7" t="str">
        <x:v>鼠灰色</x:v>
      </x:c>
      <x:c r="I7" t="str">
        <x:v>マウスグレー</x:v>
      </x:c>
      <x:c r="J7" t="n">
        <x:v>3</x:v>
      </x:c>
      <x:c r="K7" t="str">
        <x:v>PABLO | SUPRACOLOR Soft Aquarelle | NEOPASTEL</x:v>
      </x:c>
      <x:c r="L7" t="str">
        <x:v>PY184/PBk6/PB15</x:v>
      </x:c>
      <x:c r="M7" t="str">
        <x:v>#81949A</x:v>
      </x:c>
      <x:c r="N7" t="n">
        <x:v>129</x:v>
      </x:c>
      <x:c r="O7" t="n">
        <x:v>148</x:v>
      </x:c>
      <x:c r="P7" t="n">
        <x:v>154</x:v>
      </x:c>
      <x:c r="Q7" t="n">
        <x:v>60.05</x:v>
      </x:c>
      <x:c r="R7" t="n">
        <x:v>-5.43</x:v>
      </x:c>
      <x:c r="S7" t="n">
        <x:v>-5.44</x:v>
      </x:c>
      <x:c r="T7" t="n">
        <x:v>34.43</x:v>
      </x:c>
      <x:c r="U7" t="str">
        <x:v>#000000</x:v>
      </x:c>
      <x:c r="V7" t="n">
        <x:v>6.64</x:v>
      </x:c>
      <x:c r="W7" t="n">
        <x:v>0.2818</x:v>
      </x:c>
      <x:c r="X7" t="str">
        <x:v>Low</x:v>
      </x:c>
      <x:c r="Y7" t="str">
        <x:v>Average of official PDF swatch samples across distinct source palettes; not a physical colour standard.</x:v>
      </x:c>
    </x:row>
    <x:row r="8">
      <x:c r="A8" t="str">
        <x:v>1dcc31e4-efb4-58e7-87c9-bfd669318b14</x:v>
      </x:c>
      <x:c r="B8" t="str">
        <x:v>CDA-CODE-007</x:v>
      </x:c>
      <x:c r="C8" t="str">
        <x:v>007</x:v>
      </x:c>
      <x:c r="D8" t="str">
        <x:v>Dark grey</x:v>
      </x:c>
      <x:c r="E8" t="str">
        <x:v>深灰色</x:v>
      </x:c>
      <x:c r="F8" t="str">
        <x:v>ダークグレー</x:v>
      </x:c>
      <x:c r="G8" t="str">
        <x:v>Dark grey</x:v>
      </x:c>
      <x:c r="H8" t="str">
        <x:v>深灰色</x:v>
      </x:c>
      <x:c r="I8" t="str">
        <x:v>ダークグレー</x:v>
      </x:c>
      <x:c r="J8" t="n">
        <x:v>4</x:v>
      </x:c>
      <x:c r="K8" t="str">
        <x:v>PABLO | SUPRACOLOR Soft Aquarelle | NEOCOLOR II Aquarelle | NEOPASTEL</x:v>
      </x:c>
      <x:c r="L8" t="str">
        <x:v>PY3/PBk6/PB15</x:v>
      </x:c>
      <x:c r="M8" t="str">
        <x:v>#969A9C</x:v>
      </x:c>
      <x:c r="N8" t="n">
        <x:v>150</x:v>
      </x:c>
      <x:c r="O8" t="n">
        <x:v>154</x:v>
      </x:c>
      <x:c r="P8" t="n">
        <x:v>156</x:v>
      </x:c>
      <x:c r="Q8" t="n">
        <x:v>63.34</x:v>
      </x:c>
      <x:c r="R8" t="n">
        <x:v>-1.04</x:v>
      </x:c>
      <x:c r="S8" t="n">
        <x:v>-1.55</x:v>
      </x:c>
      <x:c r="T8" t="n">
        <x:v>37.12</x:v>
      </x:c>
      <x:c r="U8" t="str">
        <x:v>#000000</x:v>
      </x:c>
      <x:c r="V8" t="n">
        <x:v>7.4</x:v>
      </x:c>
      <x:c r="W8" t="n">
        <x:v>0.319955</x:v>
      </x:c>
      <x:c r="X8" t="str">
        <x:v>Low</x:v>
      </x:c>
      <x:c r="Y8" t="str">
        <x:v>Average of official PDF swatch samples across distinct source palettes; not a physical colour standard.</x:v>
      </x:c>
    </x:row>
    <x:row r="9">
      <x:c r="A9" t="str">
        <x:v>062a6ddd-d99c-52e4-9ee7-c99c9dc90fe3</x:v>
      </x:c>
      <x:c r="B9" t="str">
        <x:v>CDA-CODE-008</x:v>
      </x:c>
      <x:c r="C9" t="str">
        <x:v>008</x:v>
      </x:c>
      <x:c r="D9" t="str">
        <x:v>Greyish black</x:v>
      </x:c>
      <x:c r="E9" t="str">
        <x:v>灰黑色</x:v>
      </x:c>
      <x:c r="F9" t="str">
        <x:v>グレイッシュブラック</x:v>
      </x:c>
      <x:c r="G9" t="str">
        <x:v>Greyish black</x:v>
      </x:c>
      <x:c r="H9" t="str">
        <x:v>灰黑色</x:v>
      </x:c>
      <x:c r="I9" t="str">
        <x:v>グレイッシュブラック</x:v>
      </x:c>
      <x:c r="J9" t="n">
        <x:v>6</x:v>
      </x:c>
      <x:c r="K9" t="str">
        <x:v>PABLO | SUPRACOLOR Soft Aquarelle | NEOCOLOR II Aquarelle | NEOPASTEL | PASTEL PENCILS | PASTEL CUBES</x:v>
      </x:c>
      <x:c r="L9" t="str">
        <x:v>PB15/PBk6 | PY184/PBk6/PB15</x:v>
      </x:c>
      <x:c r="M9" s="67" t="str">
        <x:v>#535D64</x:v>
      </x:c>
      <x:c r="N9" t="n">
        <x:v>83</x:v>
      </x:c>
      <x:c r="O9" t="n">
        <x:v>93</x:v>
      </x:c>
      <x:c r="P9" t="n">
        <x:v>100</x:v>
      </x:c>
      <x:c r="Q9" t="n">
        <x:v>38.88</x:v>
      </x:c>
      <x:c r="R9" t="n">
        <x:v>-2.23</x:v>
      </x:c>
      <x:c r="S9" t="n">
        <x:v>-5.32</x:v>
      </x:c>
      <x:c r="T9" t="n">
        <x:v>38.24</x:v>
      </x:c>
      <x:c r="U9" t="str">
        <x:v>#FFFFFF</x:v>
      </x:c>
      <x:c r="V9" t="n">
        <x:v>6.74</x:v>
      </x:c>
      <x:c r="W9" t="n">
        <x:v>0.105878</x:v>
      </x:c>
      <x:c r="X9" t="str">
        <x:v>Low</x:v>
      </x:c>
      <x:c r="Y9" t="str">
        <x:v>Average of official PDF swatch samples across distinct source palettes; NC2 008/009 and SUP 009 crop boundaries corrected in v1.0.2.</x:v>
      </x:c>
    </x:row>
    <x:row r="10">
      <x:c r="A10" t="str">
        <x:v>2d957d29-ed22-5cec-97bd-83295e45a493</x:v>
      </x:c>
      <x:c r="B10" t="str">
        <x:v>CDA-CODE-009</x:v>
      </x:c>
      <x:c r="C10" t="str">
        <x:v>009</x:v>
      </x:c>
      <x:c r="D10" t="str">
        <x:v>Black</x:v>
      </x:c>
      <x:c r="E10" t="str">
        <x:v>黑色</x:v>
      </x:c>
      <x:c r="F10" t="str">
        <x:v>ブラック</x:v>
      </x:c>
      <x:c r="G10" t="str">
        <x:v>Black</x:v>
      </x:c>
      <x:c r="H10" t="str">
        <x:v>黑色</x:v>
      </x:c>
      <x:c r="I10" t="str">
        <x:v>ブラック</x:v>
      </x:c>
      <x:c r="J10" t="n">
        <x:v>9</x:v>
      </x:c>
      <x:c r="K10" t="str">
        <x:v>LUMINANCE 6901 | PABLO | SUPRACOLOR Soft Aquarelle | MUSEUM Aquarelle | NEOCOLOR II Aquarelle | NEOPASTEL | PASTEL PENCILS | PASTEL CUBES | NEOART 6901</x:v>
      </x:c>
      <x:c r="L10" t="str">
        <x:v>PBk6 | PBk7</x:v>
      </x:c>
      <x:c r="M10" s="77" t="str">
        <x:v>#393A3C</x:v>
      </x:c>
      <x:c r="N10" t="n">
        <x:v>57</x:v>
      </x:c>
      <x:c r="O10" t="n">
        <x:v>58</x:v>
      </x:c>
      <x:c r="P10" t="n">
        <x:v>60</x:v>
      </x:c>
      <x:c r="Q10" t="n">
        <x:v>24.39</x:v>
      </x:c>
      <x:c r="R10" t="n">
        <x:v>0.04</x:v>
      </x:c>
      <x:c r="S10" t="n">
        <x:v>-1.39</x:v>
      </x:c>
      <x:c r="T10" t="n">
        <x:v>33.79</x:v>
      </x:c>
      <x:c r="U10" t="str">
        <x:v>#FFFFFF</x:v>
      </x:c>
      <x:c r="V10" t="n">
        <x:v>11.39</x:v>
      </x:c>
      <x:c r="W10" t="n">
        <x:v>0.042222</x:v>
      </x:c>
      <x:c r="X10" t="str">
        <x:v>Low</x:v>
      </x:c>
      <x:c r="Y10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1">
      <x:c r="A11" t="str">
        <x:v>2eb703d0-d144-5025-ac87-72936a922e7c</x:v>
      </x:c>
      <x:c r="B11" t="str">
        <x:v>CDA-CODE-010</x:v>
      </x:c>
      <x:c r="C11" t="str">
        <x:v>010</x:v>
      </x:c>
      <x:c r="D11" t="str">
        <x:v>Yellow</x:v>
      </x:c>
      <x:c r="E11" t="str">
        <x:v>黃色</x:v>
      </x:c>
      <x:c r="F11" t="str">
        <x:v>イエロー</x:v>
      </x:c>
      <x:c r="G11" t="str">
        <x:v>Yellow</x:v>
      </x:c>
      <x:c r="H11" t="str">
        <x:v>黃色</x:v>
      </x:c>
      <x:c r="I11" t="str">
        <x:v>イエロー</x:v>
      </x:c>
      <x:c r="J11" t="n">
        <x:v>6</x:v>
      </x:c>
      <x:c r="K11" t="str">
        <x:v>PABLO | SUPRACOLOR Soft Aquarelle | MUSEUM Aquarelle | NEOCOLOR II Aquarelle | NEOPASTEL | NEOART 6901</x:v>
      </x:c>
      <x:c r="L11" t="str">
        <x:v>PY13 | PY1/PY13 | PY154</x:v>
      </x:c>
      <x:c r="M11" s="79" t="str">
        <x:v>#FBE444</x:v>
      </x:c>
      <x:c r="N11" t="n">
        <x:v>251</x:v>
      </x:c>
      <x:c r="O11" t="n">
        <x:v>228</x:v>
      </x:c>
      <x:c r="P11" t="n">
        <x:v>68</x:v>
      </x:c>
      <x:c r="Q11" t="n">
        <x:v>90.05</x:v>
      </x:c>
      <x:c r="R11" t="n">
        <x:v>-8.68</x:v>
      </x:c>
      <x:c r="S11" t="n">
        <x:v>75.99</x:v>
      </x:c>
      <x:c r="T11" t="n">
        <x:v>27.73</x:v>
      </x:c>
      <x:c r="U11" t="str">
        <x:v>#000000</x:v>
      </x:c>
      <x:c r="V11" t="n">
        <x:v>16.28</x:v>
      </x:c>
      <x:c r="W11" t="n">
        <x:v>0.764134</x:v>
      </x:c>
      <x:c r="X11" t="str">
        <x:v>Low</x:v>
      </x:c>
      <x:c r="Y11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2">
      <x:c r="A12" t="str">
        <x:v>43a8d005-d4eb-5d75-b7e7-67ed5cabd5f4</x:v>
      </x:c>
      <x:c r="B12" t="str">
        <x:v>CDA-CODE-011</x:v>
      </x:c>
      <x:c r="C12" t="str">
        <x:v>011</x:v>
      </x:c>
      <x:c r="D12" t="str">
        <x:v>Pale yellow</x:v>
      </x:c>
      <x:c r="E12" t="str">
        <x:v>淡黃色</x:v>
      </x:c>
      <x:c r="F12" t="str">
        <x:v>ペールイエロー</x:v>
      </x:c>
      <x:c r="G12" t="str">
        <x:v>Pale yellow</x:v>
      </x:c>
      <x:c r="H12" t="str">
        <x:v>淡黃色</x:v>
      </x:c>
      <x:c r="I12" t="str">
        <x:v>ペールイエロー</x:v>
      </x:c>
      <x:c r="J12" t="n">
        <x:v>6</x:v>
      </x:c>
      <x:c r="K12" t="str">
        <x:v>PABLO | SUPRACOLOR Soft Aquarelle | NEOCOLOR II Aquarelle | NEOPASTEL | PASTEL PENCILS | PASTEL CUBES</x:v>
      </x:c>
      <x:c r="L12" t="str">
        <x:v>PY1 | PY151/PY42</x:v>
      </x:c>
      <x:c r="M12" t="str">
        <x:v>#F8F0B3</x:v>
      </x:c>
      <x:c r="N12" t="n">
        <x:v>248</x:v>
      </x:c>
      <x:c r="O12" t="n">
        <x:v>240</x:v>
      </x:c>
      <x:c r="P12" t="n">
        <x:v>179</x:v>
      </x:c>
      <x:c r="Q12" t="n">
        <x:v>94.11</x:v>
      </x:c>
      <x:c r="R12" t="n">
        <x:v>-6.49</x:v>
      </x:c>
      <x:c r="S12" t="n">
        <x:v>30.53</x:v>
      </x:c>
      <x:c r="T12" t="n">
        <x:v>29.27</x:v>
      </x:c>
      <x:c r="U12" t="str">
        <x:v>#000000</x:v>
      </x:c>
      <x:c r="V12" t="n">
        <x:v>18.11</x:v>
      </x:c>
      <x:c r="W12" t="n">
        <x:v>0.855313</x:v>
      </x:c>
      <x:c r="X12" t="str">
        <x:v>Low</x:v>
      </x:c>
      <x:c r="Y12" t="str">
        <x:v>Average of official PDF swatch samples across distinct source palettes; not a physical colour standard.</x:v>
      </x:c>
    </x:row>
    <x:row r="13">
      <x:c r="A13" t="str">
        <x:v>f8bcbda9-5354-53c7-b875-44dc8d27a8ac</x:v>
      </x:c>
      <x:c r="B13" t="str">
        <x:v>CDA-CODE-015</x:v>
      </x:c>
      <x:c r="C13" t="str">
        <x:v>015</x:v>
      </x:c>
      <x:c r="D13" t="str">
        <x:v>Olive yellow</x:v>
      </x:c>
      <x:c r="E13" t="str">
        <x:v>橄欖黃</x:v>
      </x:c>
      <x:c r="F13" t="str">
        <x:v>オリーブイエロー</x:v>
      </x:c>
      <x:c r="G13" t="str">
        <x:v>Olive yellow</x:v>
      </x:c>
      <x:c r="H13" t="str">
        <x:v>橄欖黃</x:v>
      </x:c>
      <x:c r="I13" t="str">
        <x:v>オリーブイエロー | オリーヴ イエロー</x:v>
      </x:c>
      <x:c r="J13" t="n">
        <x:v>5</x:v>
      </x:c>
      <x:c r="K13" t="str">
        <x:v>LUMINANCE 6901 | PABLO | SUPRACOLOR Soft Aquarelle | MUSEUM Aquarelle | NEOPASTEL</x:v>
      </x:c>
      <x:c r="L13" t="str">
        <x:v>PBk6/PY3 | PY1/PBk6/PY13/PY3 | PY3/PBk7</x:v>
      </x:c>
      <x:c r="M13" t="str">
        <x:v>#CDCA56</x:v>
      </x:c>
      <x:c r="N13" t="n">
        <x:v>205</x:v>
      </x:c>
      <x:c r="O13" t="n">
        <x:v>202</x:v>
      </x:c>
      <x:c r="P13" t="n">
        <x:v>86</x:v>
      </x:c>
      <x:c r="Q13" t="n">
        <x:v>79.55</x:v>
      </x:c>
      <x:c r="R13" t="n">
        <x:v>-13.75</x:v>
      </x:c>
      <x:c r="S13" t="n">
        <x:v>56.92</x:v>
      </x:c>
      <x:c r="T13" t="n">
        <x:v>26.86</x:v>
      </x:c>
      <x:c r="U13" t="str">
        <x:v>#000000</x:v>
      </x:c>
      <x:c r="V13" t="n">
        <x:v>12.18</x:v>
      </x:c>
      <x:c r="W13" t="n">
        <x:v>0.558921</x:v>
      </x:c>
      <x:c r="X13" t="str">
        <x:v>Low</x:v>
      </x:c>
      <x:c r="Y13" t="str">
        <x:v>Average of official PDF swatch samples across distinct source palettes; not a physical colour standard.</x:v>
      </x:c>
    </x:row>
    <x:row r="14">
      <x:c r="A14" t="str">
        <x:v>142b8587-6f76-59f4-b9e7-6d449f85360f</x:v>
      </x:c>
      <x:c r="B14" t="str">
        <x:v>CDA-CODE-016</x:v>
      </x:c>
      <x:c r="C14" t="str">
        <x:v>016</x:v>
      </x:c>
      <x:c r="D14" t="str">
        <x:v>Khaki green</x:v>
      </x:c>
      <x:c r="E14" t="str">
        <x:v>卡其綠</x:v>
      </x:c>
      <x:c r="F14" t="str">
        <x:v>カーキグリーン</x:v>
      </x:c>
      <x:c r="G14" t="str">
        <x:v>Khaki green</x:v>
      </x:c>
      <x:c r="H14" t="str">
        <x:v>卡其綠</x:v>
      </x:c>
      <x:c r="I14" t="str">
        <x:v>カーキグリーン</x:v>
      </x:c>
      <x:c r="J14" t="n">
        <x:v>3</x:v>
      </x:c>
      <x:c r="K14" t="str">
        <x:v>PABLO | SUPRACOLOR Soft Aquarelle | NEOPASTEL</x:v>
      </x:c>
      <x:c r="L14" t="str">
        <x:v>PY3/PBk7</x:v>
      </x:c>
      <x:c r="M14" t="str">
        <x:v>#B3B459</x:v>
      </x:c>
      <x:c r="N14" t="n">
        <x:v>179</x:v>
      </x:c>
      <x:c r="O14" t="n">
        <x:v>180</x:v>
      </x:c>
      <x:c r="P14" t="n">
        <x:v>89</x:v>
      </x:c>
      <x:c r="Q14" t="n">
        <x:v>71.52</x:v>
      </x:c>
      <x:c r="R14" t="n">
        <x:v>-13.1</x:v>
      </x:c>
      <x:c r="S14" t="n">
        <x:v>45.79</x:v>
      </x:c>
      <x:c r="T14" t="n">
        <x:v>40.73</x:v>
      </x:c>
      <x:c r="U14" t="str">
        <x:v>#000000</x:v>
      </x:c>
      <x:c r="V14" t="n">
        <x:v>9.59</x:v>
      </x:c>
      <x:c r="W14" t="n">
        <x:v>0.429475</x:v>
      </x:c>
      <x:c r="X14" t="str">
        <x:v>Low</x:v>
      </x:c>
      <x:c r="Y14" t="str">
        <x:v>Average of official PDF swatch samples across distinct source palettes; not a physical colour standard.</x:v>
      </x:c>
    </x:row>
    <x:row r="15">
      <x:c r="A15" t="str">
        <x:v>bb3b8ec4-50ad-5914-aed2-07eebd4acf58</x:v>
      </x:c>
      <x:c r="B15" t="str">
        <x:v>CDA-CODE-017</x:v>
      </x:c>
      <x:c r="C15" t="str">
        <x:v>017</x:v>
      </x:c>
      <x:c r="D15" t="str">
        <x:v>Light reseda</x:v>
      </x:c>
      <x:c r="E15" t="str">
        <x:v>淺木犀草綠</x:v>
      </x:c>
      <x:c r="F15" t="str">
        <x:v>ライトレセダ</x:v>
      </x:c>
      <x:c r="G15" t="str">
        <x:v>Light reseda</x:v>
      </x:c>
      <x:c r="H15" t="str">
        <x:v>淺木犀草綠</x:v>
      </x:c>
      <x:c r="I15" t="str">
        <x:v>ライトレセダ</x:v>
      </x:c>
      <x:c r="J15" t="n">
        <x:v>2</x:v>
      </x:c>
      <x:c r="K15" t="str">
        <x:v>PASTEL PENCILS | PASTEL CUBES</x:v>
      </x:c>
      <x:c r="L15" t="str">
        <x:v>PY3/PBk7</x:v>
      </x:c>
      <x:c r="M15" t="str">
        <x:v>#7E7447</x:v>
      </x:c>
      <x:c r="N15" t="n">
        <x:v>126</x:v>
      </x:c>
      <x:c r="O15" t="n">
        <x:v>116</x:v>
      </x:c>
      <x:c r="P15" t="n">
        <x:v>71</x:v>
      </x:c>
      <x:c r="Q15" t="n">
        <x:v>48.74</x:v>
      </x:c>
      <x:c r="R15" t="n">
        <x:v>-3.04</x:v>
      </x:c>
      <x:c r="S15" t="n">
        <x:v>26.23</x:v>
      </x:c>
      <x:c r="T15" t="n">
        <x:v>0</x:v>
      </x:c>
      <x:c r="U15" t="str">
        <x:v>#FFFFFF</x:v>
      </x:c>
      <x:c r="V15" t="n">
        <x:v>4.69</x:v>
      </x:c>
      <x:c r="W15" t="n">
        <x:v>0.173813</x:v>
      </x:c>
      <x:c r="X15" t="str">
        <x:v>High</x:v>
      </x:c>
      <x:c r="Y15" t="str">
        <x:v>Average of official PDF swatch samples across distinct source palettes; not a physical colour standard.</x:v>
      </x:c>
    </x:row>
    <x:row r="16">
      <x:c r="A16" t="str">
        <x:v>2fcef08d-52c1-537b-831a-404f336bc88a</x:v>
      </x:c>
      <x:c r="B16" t="str">
        <x:v>CDA-CODE-018</x:v>
      </x:c>
      <x:c r="C16" t="str">
        <x:v>018</x:v>
      </x:c>
      <x:c r="D16" t="str">
        <x:v>Olive grey</x:v>
      </x:c>
      <x:c r="E16" t="str">
        <x:v>橄欖灰</x:v>
      </x:c>
      <x:c r="F16" t="str">
        <x:v>オリーブグレー</x:v>
      </x:c>
      <x:c r="G16" t="str">
        <x:v>Olive grey</x:v>
      </x:c>
      <x:c r="H16" t="str">
        <x:v>橄欖灰</x:v>
      </x:c>
      <x:c r="I16" t="str">
        <x:v>オリーブグレー</x:v>
      </x:c>
      <x:c r="J16" t="n">
        <x:v>3</x:v>
      </x:c>
      <x:c r="K16" t="str">
        <x:v>PABLO | SUPRACOLOR Soft Aquarelle | NEOPASTEL</x:v>
      </x:c>
      <x:c r="L16" t="str">
        <x:v>PY3/PBk7</x:v>
      </x:c>
      <x:c r="M16" t="str">
        <x:v>#8C9051</x:v>
      </x:c>
      <x:c r="N16" t="n">
        <x:v>140</x:v>
      </x:c>
      <x:c r="O16" t="n">
        <x:v>144</x:v>
      </x:c>
      <x:c r="P16" t="n">
        <x:v>81</x:v>
      </x:c>
      <x:c r="Q16" t="n">
        <x:v>58.15</x:v>
      </x:c>
      <x:c r="R16" t="n">
        <x:v>-11.34</x:v>
      </x:c>
      <x:c r="S16" t="n">
        <x:v>32.89</x:v>
      </x:c>
      <x:c r="T16" t="n">
        <x:v>48.34</x:v>
      </x:c>
      <x:c r="U16" t="str">
        <x:v>#000000</x:v>
      </x:c>
      <x:c r="V16" t="n">
        <x:v>6.22</x:v>
      </x:c>
      <x:c r="W16" t="n">
        <x:v>0.26116</x:v>
      </x:c>
      <x:c r="X16" t="str">
        <x:v>Low</x:v>
      </x:c>
      <x:c r="Y16" t="str">
        <x:v>Average of official PDF swatch samples across distinct source palettes; not a physical colour standard.</x:v>
      </x:c>
    </x:row>
    <x:row r="17">
      <x:c r="A17" t="str">
        <x:v>60fd1bcf-552b-5ea1-aa22-e7584fbae52e</x:v>
      </x:c>
      <x:c r="B17" t="str">
        <x:v>CDA-CODE-019</x:v>
      </x:c>
      <x:c r="C17" t="str">
        <x:v>019</x:v>
      </x:c>
      <x:c r="D17" t="str">
        <x:v>Olive black</x:v>
      </x:c>
      <x:c r="E17" t="str">
        <x:v>橄欖黑</x:v>
      </x:c>
      <x:c r="F17" t="str">
        <x:v>オリーブブラック</x:v>
      </x:c>
      <x:c r="G17" t="str">
        <x:v>Olive black</x:v>
      </x:c>
      <x:c r="H17" t="str">
        <x:v>橄欖黑</x:v>
      </x:c>
      <x:c r="I17" t="str">
        <x:v>オリーブブラック</x:v>
      </x:c>
      <x:c r="J17" t="n">
        <x:v>3</x:v>
      </x:c>
      <x:c r="K17" t="str">
        <x:v>PABLO | SUPRACOLOR Soft Aquarelle | NEOPASTEL</x:v>
      </x:c>
      <x:c r="L17" t="str">
        <x:v>PY3/PBk7</x:v>
      </x:c>
      <x:c r="M17" t="str">
        <x:v>#6F6E49</x:v>
      </x:c>
      <x:c r="N17" t="n">
        <x:v>111</x:v>
      </x:c>
      <x:c r="O17" t="n">
        <x:v>110</x:v>
      </x:c>
      <x:c r="P17" t="n">
        <x:v>73</x:v>
      </x:c>
      <x:c r="Q17" t="n">
        <x:v>45.65</x:v>
      </x:c>
      <x:c r="R17" t="n">
        <x:v>-5.94</x:v>
      </x:c>
      <x:c r="S17" t="n">
        <x:v>20.83</x:v>
      </x:c>
      <x:c r="T17" t="n">
        <x:v>59.04</x:v>
      </x:c>
      <x:c r="U17" t="str">
        <x:v>#FFFFFF</x:v>
      </x:c>
      <x:c r="V17" t="n">
        <x:v>5.25</x:v>
      </x:c>
      <x:c r="W17" t="n">
        <x:v>0.150124</x:v>
      </x:c>
      <x:c r="X17" t="str">
        <x:v>Low</x:v>
      </x:c>
      <x:c r="Y17" t="str">
        <x:v>Average of official PDF swatch samples across distinct source palettes; not a physical colour standard.</x:v>
      </x:c>
    </x:row>
    <x:row r="18">
      <x:c r="A18" t="str">
        <x:v>6505c891-c1b2-502b-bed0-6adb7d50721c</x:v>
      </x:c>
      <x:c r="B18" t="str">
        <x:v>CDA-CODE-020</x:v>
      </x:c>
      <x:c r="C18" t="str">
        <x:v>020</x:v>
      </x:c>
      <x:c r="D18" t="str">
        <x:v>Golden yellow</x:v>
      </x:c>
      <x:c r="E18" t="str">
        <x:v>金黃色</x:v>
      </x:c>
      <x:c r="F18" t="str">
        <x:v>紙の</x:v>
      </x:c>
      <x:c r="G18" t="str">
        <x:v>Golden yellow</x:v>
      </x:c>
      <x:c r="H18" t="str">
        <x:v>金黃色</x:v>
      </x:c>
      <x:c r="I18" t="str">
        <x:v>ゴールデンイエロー | 紙の</x:v>
      </x:c>
      <x:c r="J18" t="n">
        <x:v>5</x:v>
      </x:c>
      <x:c r="K18" t="str">
        <x:v>PABLO | SUPRACOLOR Soft Aquarelle | MUSEUM Aquarelle | NEOCOLOR II Aquarelle | NEOPASTEL</x:v>
      </x:c>
      <x:c r="L18" t="str">
        <x:v>PO62/PY1/PY13 | PY83</x:v>
      </x:c>
      <x:c r="M18" t="str">
        <x:v>#FAD53B</x:v>
      </x:c>
      <x:c r="N18" t="n">
        <x:v>250</x:v>
      </x:c>
      <x:c r="O18" t="n">
        <x:v>213</x:v>
      </x:c>
      <x:c r="P18" t="n">
        <x:v>59</x:v>
      </x:c>
      <x:c r="Q18" t="n">
        <x:v>86.12</x:v>
      </x:c>
      <x:c r="R18" t="n">
        <x:v>-1.91</x:v>
      </x:c>
      <x:c r="S18" t="n">
        <x:v>75.28</x:v>
      </x:c>
      <x:c r="T18" t="n">
        <x:v>31.73</x:v>
      </x:c>
      <x:c r="U18" t="str">
        <x:v>#000000</x:v>
      </x:c>
      <x:c r="V18" t="n">
        <x:v>14.65</x:v>
      </x:c>
      <x:c r="W18" t="n">
        <x:v>0.682283</x:v>
      </x:c>
      <x:c r="X18" t="str">
        <x:v>Low</x:v>
      </x:c>
      <x:c r="Y18" t="str">
        <x:v>Average of official PDF swatch samples across distinct source palettes; not a physical colour standard.</x:v>
      </x:c>
    </x:row>
    <x:row r="19">
      <x:c r="A19" t="str">
        <x:v>1727780c-fec6-5bde-9cc2-92c8617cddc2</x:v>
      </x:c>
      <x:c r="B19" t="str">
        <x:v>CDA-CODE-021</x:v>
      </x:c>
      <x:c r="C19" t="str">
        <x:v>021</x:v>
      </x:c>
      <x:c r="D19" t="str">
        <x:v>Naples yellow</x:v>
      </x:c>
      <x:c r="E19" t="str">
        <x:v>那不勒斯黃</x:v>
      </x:c>
      <x:c r="F19" t="str">
        <x:v>ネープルスイエロー</x:v>
      </x:c>
      <x:c r="G19" t="str">
        <x:v>Naples yellow</x:v>
      </x:c>
      <x:c r="H19" t="str">
        <x:v>那不勒斯黃</x:v>
      </x:c>
      <x:c r="I19" t="str">
        <x:v>ネープルスイエロー</x:v>
      </x:c>
      <x:c r="J19" t="n">
        <x:v>2</x:v>
      </x:c>
      <x:c r="K19" t="str">
        <x:v>PABLO | SUPRACOLOR Soft Aquarelle</x:v>
      </x:c>
      <x:c r="L19" t="str"/>
      <x:c r="M19" t="str">
        <x:v>#FFEE7B</x:v>
      </x:c>
      <x:c r="N19" t="n">
        <x:v>255</x:v>
      </x:c>
      <x:c r="O19" t="n">
        <x:v>238</x:v>
      </x:c>
      <x:c r="P19" t="n">
        <x:v>123</x:v>
      </x:c>
      <x:c r="Q19" t="n">
        <x:v>93.38</x:v>
      </x:c>
      <x:c r="R19" t="n">
        <x:v>-8.63</x:v>
      </x:c>
      <x:c r="S19" t="n">
        <x:v>57.09</x:v>
      </x:c>
      <x:c r="T19" t="n">
        <x:v>16.6</x:v>
      </x:c>
      <x:c r="U19" t="str">
        <x:v>#000000</x:v>
      </x:c>
      <x:c r="V19" t="n">
        <x:v>17.77</x:v>
      </x:c>
      <x:c r="W19" t="n">
        <x:v>0.838391</x:v>
      </x:c>
      <x:c r="X19" t="str">
        <x:v>Medium</x:v>
      </x:c>
      <x:c r="Y19" t="str">
        <x:v>Average of official PDF swatch samples across distinct source palettes; not a physical colour standard.</x:v>
      </x:c>
    </x:row>
    <x:row r="20">
      <x:c r="A20" t="str">
        <x:v>d214ba2e-de61-50e2-9d33-f10155cc817b</x:v>
      </x:c>
      <x:c r="B20" t="str">
        <x:v>CDA-CODE-025</x:v>
      </x:c>
      <x:c r="C20" t="str">
        <x:v>025</x:v>
      </x:c>
      <x:c r="D20" t="str">
        <x:v>Green ochre</x:v>
      </x:c>
      <x:c r="E20" t="str">
        <x:v>綠赭色</x:v>
      </x:c>
      <x:c r="F20" t="str">
        <x:v>グリーンオーカー</x:v>
      </x:c>
      <x:c r="G20" t="str">
        <x:v>Green ochre</x:v>
      </x:c>
      <x:c r="H20" t="str">
        <x:v>綠赭色</x:v>
      </x:c>
      <x:c r="I20" t="str">
        <x:v>グリーンオーカー</x:v>
      </x:c>
      <x:c r="J20" t="n">
        <x:v>4</x:v>
      </x:c>
      <x:c r="K20" t="str">
        <x:v>LUMINANCE 6901 | PABLO | SUPRACOLOR Soft Aquarelle | MUSEUM Aquarelle</x:v>
      </x:c>
      <x:c r="L20" t="str">
        <x:v>PY3/PY42/PO62/PBk6/PY13 | PY3/PY42/PY13/PO62/PBk6</x:v>
      </x:c>
      <x:c r="M20" t="str">
        <x:v>#DFBA52</x:v>
      </x:c>
      <x:c r="N20" t="n">
        <x:v>223</x:v>
      </x:c>
      <x:c r="O20" t="n">
        <x:v>186</x:v>
      </x:c>
      <x:c r="P20" t="n">
        <x:v>82</x:v>
      </x:c>
      <x:c r="Q20" t="n">
        <x:v>76.93</x:v>
      </x:c>
      <x:c r="R20" t="n">
        <x:v>1.75</x:v>
      </x:c>
      <x:c r="S20" t="n">
        <x:v>56.25</x:v>
      </x:c>
      <x:c r="T20" t="n">
        <x:v>31.12</x:v>
      </x:c>
      <x:c r="U20" t="str">
        <x:v>#000000</x:v>
      </x:c>
      <x:c r="V20" t="n">
        <x:v>11.28</x:v>
      </x:c>
      <x:c r="W20" t="n">
        <x:v>0.51415</x:v>
      </x:c>
      <x:c r="X20" t="str">
        <x:v>Low</x:v>
      </x:c>
      <x:c r="Y20" t="str">
        <x:v>Average of official PDF swatch samples across distinct source palettes; not a physical colour standard.</x:v>
      </x:c>
    </x:row>
    <x:row r="21">
      <x:c r="A21" t="str">
        <x:v>830d41c1-6482-5e61-9ede-bb092ae048de</x:v>
      </x:c>
      <x:c r="B21" t="str">
        <x:v>CDA-CODE-028</x:v>
      </x:c>
      <x:c r="C21" t="str">
        <x:v>028</x:v>
      </x:c>
      <x:c r="D21" t="str">
        <x:v>Toledo brown</x:v>
      </x:c>
      <x:c r="E21" t="str">
        <x:v>托雷多棕</x:v>
      </x:c>
      <x:c r="F21" t="str">
        <x:v>トレドブラウン</x:v>
      </x:c>
      <x:c r="G21" t="str">
        <x:v>Toledo brown</x:v>
      </x:c>
      <x:c r="H21" t="str">
        <x:v>托雷多棕</x:v>
      </x:c>
      <x:c r="I21" t="str">
        <x:v>トレドブラウン</x:v>
      </x:c>
      <x:c r="J21" t="n">
        <x:v>1</x:v>
      </x:c>
      <x:c r="K21" t="str">
        <x:v>NEOCOLOR II Aquarelle</x:v>
      </x:c>
      <x:c r="L21" t="str"/>
      <x:c r="M21" t="str">
        <x:v>#E9B596</x:v>
      </x:c>
      <x:c r="N21" t="n">
        <x:v>233</x:v>
      </x:c>
      <x:c r="O21" t="n">
        <x:v>181</x:v>
      </x:c>
      <x:c r="P21" t="n">
        <x:v>150</x:v>
      </x:c>
      <x:c r="Q21" t="n">
        <x:v>77.62</x:v>
      </x:c>
      <x:c r="R21" t="n">
        <x:v>14.7</x:v>
      </x:c>
      <x:c r="S21" t="n">
        <x:v>23.04</x:v>
      </x:c>
      <x:c r="T21" t="n">
        <x:v>0</x:v>
      </x:c>
      <x:c r="U21" t="str">
        <x:v>#000000</x:v>
      </x:c>
      <x:c r="V21" t="n">
        <x:v>11.51</x:v>
      </x:c>
      <x:c r="W21" t="n">
        <x:v>0.525734</x:v>
      </x:c>
      <x:c r="X21" t="str">
        <x:v>High</x:v>
      </x:c>
      <x:c r="Y21" t="str">
        <x:v>Average of official PDF swatch samples across distinct source palettes; not a physical colour standard.</x:v>
      </x:c>
    </x:row>
    <x:row r="22">
      <x:c r="A22" t="str">
        <x:v>ebda54ca-102e-54e3-a9ae-065baab1ac50</x:v>
      </x:c>
      <x:c r="B22" t="str">
        <x:v>CDA-CODE-030</x:v>
      </x:c>
      <x:c r="C22" t="str">
        <x:v>030</x:v>
      </x:c>
      <x:c r="D22" t="str">
        <x:v>Orange</x:v>
      </x:c>
      <x:c r="E22" t="str">
        <x:v>橙色</x:v>
      </x:c>
      <x:c r="F22" t="str">
        <x:v>オレンジ</x:v>
      </x:c>
      <x:c r="G22" t="str">
        <x:v>Orange</x:v>
      </x:c>
      <x:c r="H22" t="str">
        <x:v>橙色</x:v>
      </x:c>
      <x:c r="I22" t="str">
        <x:v>オレンジ</x:v>
      </x:c>
      <x:c r="J22" t="n">
        <x:v>7</x:v>
      </x:c>
      <x:c r="K22" t="str">
        <x:v>LUMINANCE 6901 | PABLO | SUPRACOLOR Soft Aquarelle | MUSEUM Aquarelle | NEOCOLOR II Aquarelle | NEOPASTEL | NEOART 6901</x:v>
      </x:c>
      <x:c r="L22" t="str">
        <x:v>PO62 | PO13/PY1</x:v>
      </x:c>
      <x:c r="M22" s="81" t="str">
        <x:v>#F7B143</x:v>
      </x:c>
      <x:c r="N22" t="n">
        <x:v>247</x:v>
      </x:c>
      <x:c r="O22" t="n">
        <x:v>177</x:v>
      </x:c>
      <x:c r="P22" t="n">
        <x:v>67</x:v>
      </x:c>
      <x:c r="Q22" t="n">
        <x:v>77.06</x:v>
      </x:c>
      <x:c r="R22" t="n">
        <x:v>15.79</x:v>
      </x:c>
      <x:c r="S22" t="n">
        <x:v>63.57</x:v>
      </x:c>
      <x:c r="T22" t="n">
        <x:v>49.55</x:v>
      </x:c>
      <x:c r="U22" t="str">
        <x:v>#000000</x:v>
      </x:c>
      <x:c r="V22" t="n">
        <x:v>11.32</x:v>
      </x:c>
      <x:c r="W22" t="n">
        <x:v>0.516237</x:v>
      </x:c>
      <x:c r="X22" t="str">
        <x:v>Low</x:v>
      </x:c>
      <x:c r="Y2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3">
      <x:c r="A23" t="str">
        <x:v>f7a139ed-9b9b-504e-8c44-0aed7906baf0</x:v>
      </x:c>
      <x:c r="B23" t="str">
        <x:v>CDA-CODE-031</x:v>
      </x:c>
      <x:c r="C23" t="str">
        <x:v>031</x:v>
      </x:c>
      <x:c r="D23" t="str">
        <x:v>Orangish yellow</x:v>
      </x:c>
      <x:c r="E23" t="str">
        <x:v>橙黃色</x:v>
      </x:c>
      <x:c r="F23" t="str">
        <x:v>オレンジイエロー</x:v>
      </x:c>
      <x:c r="G23" t="str">
        <x:v>Orangish yellow</x:v>
      </x:c>
      <x:c r="H23" t="str">
        <x:v>橙黃色</x:v>
      </x:c>
      <x:c r="I23" t="str">
        <x:v>オレンジイエロー</x:v>
      </x:c>
      <x:c r="J23" t="n">
        <x:v>4</x:v>
      </x:c>
      <x:c r="K23" t="str">
        <x:v>PABLO | SUPRACOLOR Soft Aquarelle | NEOCOLOR II Aquarelle | NEOPASTEL</x:v>
      </x:c>
      <x:c r="L23" t="str">
        <x:v>PO62/PY1</x:v>
      </x:c>
      <x:c r="M23" t="str">
        <x:v>#FCD06A</x:v>
      </x:c>
      <x:c r="N23" t="n">
        <x:v>252</x:v>
      </x:c>
      <x:c r="O23" t="n">
        <x:v>208</x:v>
      </x:c>
      <x:c r="P23" t="n">
        <x:v>106</x:v>
      </x:c>
      <x:c r="Q23" t="n">
        <x:v>85.43</x:v>
      </x:c>
      <x:c r="R23" t="n">
        <x:v>4.01</x:v>
      </x:c>
      <x:c r="S23" t="n">
        <x:v>55.6</x:v>
      </x:c>
      <x:c r="T23" t="n">
        <x:v>28.41</x:v>
      </x:c>
      <x:c r="U23" t="str">
        <x:v>#000000</x:v>
      </x:c>
      <x:c r="V23" t="n">
        <x:v>14.37</x:v>
      </x:c>
      <x:c r="W23" t="n">
        <x:v>0.668478</x:v>
      </x:c>
      <x:c r="X23" t="str">
        <x:v>Low</x:v>
      </x:c>
      <x:c r="Y23" t="str">
        <x:v>Average of official PDF swatch samples across distinct source palettes; not a physical colour standard.</x:v>
      </x:c>
    </x:row>
    <x:row r="24">
      <x:c r="A24" t="str">
        <x:v>cf31a5ec-c7d9-568a-8f36-596b3b0b552c</x:v>
      </x:c>
      <x:c r="B24" t="str">
        <x:v>CDA-CODE-032</x:v>
      </x:c>
      <x:c r="C24" t="str">
        <x:v>032</x:v>
      </x:c>
      <x:c r="D24" t="str">
        <x:v>Light ochre</x:v>
      </x:c>
      <x:c r="E24" t="str">
        <x:v>淺赭色</x:v>
      </x:c>
      <x:c r="F24" t="str">
        <x:v>ライトオーカー</x:v>
      </x:c>
      <x:c r="G24" t="str">
        <x:v>Light ochre</x:v>
      </x:c>
      <x:c r="H24" t="str">
        <x:v>淺赭色</x:v>
      </x:c>
      <x:c r="I24" t="str">
        <x:v>ライトオーカー</x:v>
      </x:c>
      <x:c r="J24" t="n">
        <x:v>2</x:v>
      </x:c>
      <x:c r="K24" t="str">
        <x:v>PABLO | SUPRACOLOR Soft Aquarelle</x:v>
      </x:c>
      <x:c r="L24" t="str"/>
      <x:c r="M24" t="str">
        <x:v>#F9CA78</x:v>
      </x:c>
      <x:c r="N24" t="n">
        <x:v>249</x:v>
      </x:c>
      <x:c r="O24" t="n">
        <x:v>202</x:v>
      </x:c>
      <x:c r="P24" t="n">
        <x:v>120</x:v>
      </x:c>
      <x:c r="Q24" t="n">
        <x:v>83.83</x:v>
      </x:c>
      <x:c r="R24" t="n">
        <x:v>6.98</x:v>
      </x:c>
      <x:c r="S24" t="n">
        <x:v>46.91</x:v>
      </x:c>
      <x:c r="T24" t="n">
        <x:v>17.99</x:v>
      </x:c>
      <x:c r="U24" t="str">
        <x:v>#000000</x:v>
      </x:c>
      <x:c r="V24" t="n">
        <x:v>13.75</x:v>
      </x:c>
      <x:c r="W24" t="n">
        <x:v>0.637369</x:v>
      </x:c>
      <x:c r="X24" t="str">
        <x:v>Medium</x:v>
      </x:c>
      <x:c r="Y24" t="str">
        <x:v>Average of official PDF swatch samples across distinct source palettes; not a physical colour standard.</x:v>
      </x:c>
    </x:row>
    <x:row r="25">
      <x:c r="A25" t="str">
        <x:v>167a875a-a8c7-5497-a065-fd7076f6139c</x:v>
      </x:c>
      <x:c r="B25" t="str">
        <x:v>CDA-CODE-033</x:v>
      </x:c>
      <x:c r="C25" t="str">
        <x:v>033</x:v>
      </x:c>
      <x:c r="D25" t="str">
        <x:v>Golden ochre</x:v>
      </x:c>
      <x:c r="E25" t="str">
        <x:v>金赭色</x:v>
      </x:c>
      <x:c r="F25" t="str">
        <x:v>ゴールデンオーカー</x:v>
      </x:c>
      <x:c r="G25" t="str">
        <x:v>Golden ochre</x:v>
      </x:c>
      <x:c r="H25" t="str">
        <x:v>金赭色</x:v>
      </x:c>
      <x:c r="I25" t="str">
        <x:v>ゴールデンオーカー</x:v>
      </x:c>
      <x:c r="J25" t="n">
        <x:v>6</x:v>
      </x:c>
      <x:c r="K25" t="str">
        <x:v>PABLO | SUPRACOLOR Soft Aquarelle | NEOCOLOR II Aquarelle | NEOPASTEL | PASTEL PENCILS | PASTEL CUBES</x:v>
      </x:c>
      <x:c r="L25" t="str">
        <x:v>PY184/PY42 | PY42/PY74/PBk11/PR101/PBk7</x:v>
      </x:c>
      <x:c r="M25" t="str">
        <x:v>#E2AF4E</x:v>
      </x:c>
      <x:c r="N25" t="n">
        <x:v>226</x:v>
      </x:c>
      <x:c r="O25" t="n">
        <x:v>175</x:v>
      </x:c>
      <x:c r="P25" t="n">
        <x:v>78</x:v>
      </x:c>
      <x:c r="Q25" t="n">
        <x:v>74.43</x:v>
      </x:c>
      <x:c r="R25" t="n">
        <x:v>8.57</x:v>
      </x:c>
      <x:c r="S25" t="n">
        <x:v>55.41</x:v>
      </x:c>
      <x:c r="T25" t="n">
        <x:v>36.7</x:v>
      </x:c>
      <x:c r="U25" t="str">
        <x:v>#000000</x:v>
      </x:c>
      <x:c r="V25" t="n">
        <x:v>10.48</x:v>
      </x:c>
      <x:c r="W25" t="n">
        <x:v>0.473788</x:v>
      </x:c>
      <x:c r="X25" t="str">
        <x:v>Low</x:v>
      </x:c>
      <x:c r="Y25" t="str">
        <x:v>Average of official PDF swatch samples across distinct source palettes; not a physical colour standard.</x:v>
      </x:c>
    </x:row>
    <x:row r="26">
      <x:c r="A26" t="str">
        <x:v>0537fc38-1d75-5d53-a870-df514997a629</x:v>
      </x:c>
      <x:c r="B26" t="str">
        <x:v>CDA-CODE-034</x:v>
      </x:c>
      <x:c r="C26" t="str">
        <x:v>034</x:v>
      </x:c>
      <x:c r="D26" t="str">
        <x:v>Yellow ochre</x:v>
      </x:c>
      <x:c r="E26" t="str">
        <x:v>黃赭色</x:v>
      </x:c>
      <x:c r="F26" t="str">
        <x:v>イエローオーカー</x:v>
      </x:c>
      <x:c r="G26" t="str">
        <x:v>Yellow ochre</x:v>
      </x:c>
      <x:c r="H26" t="str">
        <x:v>黃赭色</x:v>
      </x:c>
      <x:c r="I26" t="str">
        <x:v>イエローオーカー</x:v>
      </x:c>
      <x:c r="J26" t="n">
        <x:v>2</x:v>
      </x:c>
      <x:c r="K26" t="str">
        <x:v>LUMINANCE 6901 | MUSEUM Aquarelle</x:v>
      </x:c>
      <x:c r="L26" t="str">
        <x:v>PY42/PY184 | PY42/PY3</x:v>
      </x:c>
      <x:c r="M26" t="str">
        <x:v>#F4C760</x:v>
      </x:c>
      <x:c r="N26" t="n">
        <x:v>244</x:v>
      </x:c>
      <x:c r="O26" t="n">
        <x:v>199</x:v>
      </x:c>
      <x:c r="P26" t="n">
        <x:v>96</x:v>
      </x:c>
      <x:c r="Q26" t="n">
        <x:v>82.34</x:v>
      </x:c>
      <x:c r="R26" t="n">
        <x:v>4.67</x:v>
      </x:c>
      <x:c r="S26" t="n">
        <x:v>56.49</x:v>
      </x:c>
      <x:c r="T26" t="n">
        <x:v>37.44</x:v>
      </x:c>
      <x:c r="U26" t="str">
        <x:v>#000000</x:v>
      </x:c>
      <x:c r="V26" t="n">
        <x:v>13.18</x:v>
      </x:c>
      <x:c r="W26" t="n">
        <x:v>0.609245</x:v>
      </x:c>
      <x:c r="X26" t="str">
        <x:v>Low</x:v>
      </x:c>
      <x:c r="Y26" t="str">
        <x:v>Average of official PDF swatch samples across distinct source palettes; not a physical colour standard.</x:v>
      </x:c>
    </x:row>
    <x:row r="27">
      <x:c r="A27" t="str">
        <x:v>e6cc537a-bb6e-50c6-99e9-ab46db58910a</x:v>
      </x:c>
      <x:c r="B27" t="str">
        <x:v>CDA-CODE-035</x:v>
      </x:c>
      <x:c r="C27" t="str">
        <x:v>035</x:v>
      </x:c>
      <x:c r="D27" t="str">
        <x:v>Ochre</x:v>
      </x:c>
      <x:c r="E27" t="str">
        <x:v>赭色</x:v>
      </x:c>
      <x:c r="F27" t="str">
        <x:v>オーカー</x:v>
      </x:c>
      <x:c r="G27" t="str">
        <x:v>Ochre</x:v>
      </x:c>
      <x:c r="H27" t="str">
        <x:v>赭色</x:v>
      </x:c>
      <x:c r="I27" t="str">
        <x:v>オーカー</x:v>
      </x:c>
      <x:c r="J27" t="n">
        <x:v>7</x:v>
      </x:c>
      <x:c r="K27" t="str">
        <x:v>PABLO | SUPRACOLOR Soft Aquarelle | NEOCOLOR II Aquarelle | NEOPASTEL | PASTEL PENCILS | PASTEL CUBES | NEOART 6901</x:v>
      </x:c>
      <x:c r="L27" t="str">
        <x:v>PY42 | PY42/PY3/PY74/PB15/PO67</x:v>
      </x:c>
      <x:c r="M27" s="83" t="str">
        <x:v>#E2AB4B</x:v>
      </x:c>
      <x:c r="N27" t="n">
        <x:v>226</x:v>
      </x:c>
      <x:c r="O27" t="n">
        <x:v>171</x:v>
      </x:c>
      <x:c r="P27" t="n">
        <x:v>75</x:v>
      </x:c>
      <x:c r="Q27" t="n">
        <x:v>73.42</x:v>
      </x:c>
      <x:c r="R27" t="n">
        <x:v>10.52</x:v>
      </x:c>
      <x:c r="S27" t="n">
        <x:v>55.66</x:v>
      </x:c>
      <x:c r="T27" t="n">
        <x:v>36.23</x:v>
      </x:c>
      <x:c r="U27" t="str">
        <x:v>#000000</x:v>
      </x:c>
      <x:c r="V27" t="n">
        <x:v>10.16</x:v>
      </x:c>
      <x:c r="W27" t="n">
        <x:v>0.458026</x:v>
      </x:c>
      <x:c r="X27" t="str">
        <x:v>Low</x:v>
      </x:c>
      <x:c r="Y2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8">
      <x:c r="A28" t="str">
        <x:v>0f5afcdf-d0ec-594e-9317-d048151338ad</x:v>
      </x:c>
      <x:c r="B28" t="str">
        <x:v>CDA-CODE-036</x:v>
      </x:c>
      <x:c r="C28" t="str">
        <x:v>036</x:v>
      </x:c>
      <x:c r="D28" t="str">
        <x:v>Raw sienna</x:v>
      </x:c>
      <x:c r="E28" t="str">
        <x:v>生赭色</x:v>
      </x:c>
      <x:c r="F28" t="str">
        <x:v>ローシェンナ</x:v>
      </x:c>
      <x:c r="G28" t="str">
        <x:v>Raw sienna</x:v>
      </x:c>
      <x:c r="H28" t="str">
        <x:v>生赭色</x:v>
      </x:c>
      <x:c r="I28" t="str">
        <x:v>ローシェンナ | ロｰシェンナ</x:v>
      </x:c>
      <x:c r="J28" t="n">
        <x:v>5</x:v>
      </x:c>
      <x:c r="K28" t="str">
        <x:v>LUMINANCE 6901 | MUSEUM Aquarelle | NEOCOLOR II Aquarelle | PASTEL PENCILS | PASTEL CUBES</x:v>
      </x:c>
      <x:c r="L28" t="str">
        <x:v>PY42 | PY42/PY1/PR3/PBk7</x:v>
      </x:c>
      <x:c r="M28" t="str">
        <x:v>#DEAE6B</x:v>
      </x:c>
      <x:c r="N28" t="n">
        <x:v>222</x:v>
      </x:c>
      <x:c r="O28" t="n">
        <x:v>174</x:v>
      </x:c>
      <x:c r="P28" t="n">
        <x:v>107</x:v>
      </x:c>
      <x:c r="Q28" t="n">
        <x:v>74.1</x:v>
      </x:c>
      <x:c r="R28" t="n">
        <x:v>9.56</x:v>
      </x:c>
      <x:c r="S28" t="n">
        <x:v>40.85</x:v>
      </x:c>
      <x:c r="T28" t="n">
        <x:v>32.23</x:v>
      </x:c>
      <x:c r="U28" t="str">
        <x:v>#000000</x:v>
      </x:c>
      <x:c r="V28" t="n">
        <x:v>10.37</x:v>
      </x:c>
      <x:c r="W28" t="n">
        <x:v>0.468632</x:v>
      </x:c>
      <x:c r="X28" t="str">
        <x:v>Low</x:v>
      </x:c>
      <x:c r="Y28" t="str">
        <x:v>Average of official PDF swatch samples across distinct source palettes; not a physical colour standard.</x:v>
      </x:c>
    </x:row>
    <x:row r="29">
      <x:c r="A29" t="str">
        <x:v>59b41d64-1bde-519b-97de-9680e20c652e</x:v>
      </x:c>
      <x:c r="B29" t="str">
        <x:v>CDA-CODE-037</x:v>
      </x:c>
      <x:c r="C29" t="str">
        <x:v>037</x:v>
      </x:c>
      <x:c r="D29" t="str">
        <x:v>Brown ochre</x:v>
      </x:c>
      <x:c r="E29" t="str">
        <x:v>棕赭色</x:v>
      </x:c>
      <x:c r="F29" t="str">
        <x:v>ブラウンオーカー</x:v>
      </x:c>
      <x:c r="G29" t="str">
        <x:v>Brown ochre</x:v>
      </x:c>
      <x:c r="H29" t="str">
        <x:v>棕赭色</x:v>
      </x:c>
      <x:c r="I29" t="str">
        <x:v>ブラウン オーカー | ブラウンオーカー</x:v>
      </x:c>
      <x:c r="J29" t="n">
        <x:v>6</x:v>
      </x:c>
      <x:c r="K29" t="str">
        <x:v>LUMINANCE 6901 | PABLO | SUPRACOLOR Soft Aquarelle | MUSEUM Aquarelle | NEOPASTEL | NEOART 6901</x:v>
      </x:c>
      <x:c r="L29" t="str">
        <x:v>PY42/PR101/PBk9 | PR101/PBk6/PY42 | PBk9/PR101/PY42</x:v>
      </x:c>
      <x:c r="M29" s="85" t="str">
        <x:v>#BA7E4D</x:v>
      </x:c>
      <x:c r="N29" t="n">
        <x:v>186</x:v>
      </x:c>
      <x:c r="O29" t="n">
        <x:v>126</x:v>
      </x:c>
      <x:c r="P29" t="n">
        <x:v>77</x:v>
      </x:c>
      <x:c r="Q29" t="n">
        <x:v>57.94</x:v>
      </x:c>
      <x:c r="R29" t="n">
        <x:v>18.1</x:v>
      </x:c>
      <x:c r="S29" t="n">
        <x:v>35.8</x:v>
      </x:c>
      <x:c r="T29" t="n">
        <x:v>30.97</x:v>
      </x:c>
      <x:c r="U29" t="str">
        <x:v>#000000</x:v>
      </x:c>
      <x:c r="V29" t="n">
        <x:v>6.18</x:v>
      </x:c>
      <x:c r="W29" t="n">
        <x:v>0.258966</x:v>
      </x:c>
      <x:c r="X29" t="str">
        <x:v>Low</x:v>
      </x:c>
      <x:c r="Y29" t="str">
        <x:v>Average of official source-palette digital samples; NEOART 6901 added from the 2025 official catalogue chart. Digital values are screen-reference approximations, not manufacturer device-independent standards.</x:v>
      </x:c>
    </x:row>
    <x:row r="30">
      <x:c r="A30" t="str">
        <x:v>f03df3aa-e67d-56c5-88be-9f28d0654f47</x:v>
      </x:c>
      <x:c r="B30" t="str">
        <x:v>CDA-CODE-039</x:v>
      </x:c>
      <x:c r="C30" t="str">
        <x:v>039</x:v>
      </x:c>
      <x:c r="D30" t="str">
        <x:v>Olive brown</x:v>
      </x:c>
      <x:c r="E30" t="str">
        <x:v>橄欖棕</x:v>
      </x:c>
      <x:c r="F30" t="str">
        <x:v>オリーブブラウン</x:v>
      </x:c>
      <x:c r="G30" t="str">
        <x:v>Olive brown</x:v>
      </x:c>
      <x:c r="H30" t="str">
        <x:v>橄欖棕</x:v>
      </x:c>
      <x:c r="I30" t="str">
        <x:v>オリーブ ブラウン | オリーブブラウン</x:v>
      </x:c>
      <x:c r="J30" t="n">
        <x:v>8</x:v>
      </x:c>
      <x:c r="K30" t="str">
        <x:v>LUMINANCE 6901 | PABLO | SUPRACOLOR Soft Aquarelle | MUSEUM Aquarelle | NEOCOLOR II Aquarelle | NEOPASTEL | PASTEL PENCILS | PASTEL CUBES</x:v>
      </x:c>
      <x:c r="L30" t="str">
        <x:v>PBk6/PY42 | PY42/PBk6 | PY42/PBk9</x:v>
      </x:c>
      <x:c r="M30" t="str">
        <x:v>#A6874F</x:v>
      </x:c>
      <x:c r="N30" t="n">
        <x:v>166</x:v>
      </x:c>
      <x:c r="O30" t="n">
        <x:v>135</x:v>
      </x:c>
      <x:c r="P30" t="n">
        <x:v>79</x:v>
      </x:c>
      <x:c r="Q30" t="n">
        <x:v>58.04</x:v>
      </x:c>
      <x:c r="R30" t="n">
        <x:v>4.62</x:v>
      </x:c>
      <x:c r="S30" t="n">
        <x:v>34.35</x:v>
      </x:c>
      <x:c r="T30" t="n">
        <x:v>41.9</x:v>
      </x:c>
      <x:c r="U30" t="str">
        <x:v>#000000</x:v>
      </x:c>
      <x:c r="V30" t="n">
        <x:v>6.2</x:v>
      </x:c>
      <x:c r="W30" t="n">
        <x:v>0.259995</x:v>
      </x:c>
      <x:c r="X30" t="str">
        <x:v>Low</x:v>
      </x:c>
      <x:c r="Y30" t="str">
        <x:v>Average of official PDF swatch samples across distinct source palettes; not a physical colour standard.</x:v>
      </x:c>
    </x:row>
    <x:row r="31">
      <x:c r="A31" t="str">
        <x:v>c0d22832-3f13-580d-986f-0f285f98a6c1</x:v>
      </x:c>
      <x:c r="B31" t="str">
        <x:v>CDA-CODE-040</x:v>
      </x:c>
      <x:c r="C31" t="str">
        <x:v>040</x:v>
      </x:c>
      <x:c r="D31" t="str">
        <x:v>Reddish yellow</x:v>
      </x:c>
      <x:c r="E31" t="str">
        <x:v>紅黃色</x:v>
      </x:c>
      <x:c r="F31" t="str">
        <x:v>レディッシュイエロー</x:v>
      </x:c>
      <x:c r="G31" t="str">
        <x:v>Reddish yellow</x:v>
      </x:c>
      <x:c r="H31" t="str">
        <x:v>紅黃色</x:v>
      </x:c>
      <x:c r="I31" t="str">
        <x:v>レディッシュイエロー</x:v>
      </x:c>
      <x:c r="J31" t="n">
        <x:v>3</x:v>
      </x:c>
      <x:c r="K31" t="str">
        <x:v>PABLO | SUPRACOLOR Soft Aquarelle | NEOPASTEL</x:v>
      </x:c>
      <x:c r="L31" t="str">
        <x:v>PO61</x:v>
      </x:c>
      <x:c r="M31" t="str">
        <x:v>#F1863C</x:v>
      </x:c>
      <x:c r="N31" t="n">
        <x:v>241</x:v>
      </x:c>
      <x:c r="O31" t="n">
        <x:v>134</x:v>
      </x:c>
      <x:c r="P31" t="n">
        <x:v>60</x:v>
      </x:c>
      <x:c r="Q31" t="n">
        <x:v>66.58</x:v>
      </x:c>
      <x:c r="R31" t="n">
        <x:v>35.52</x:v>
      </x:c>
      <x:c r="S31" t="n">
        <x:v>55.79</x:v>
      </x:c>
      <x:c r="T31" t="n">
        <x:v>40.1</x:v>
      </x:c>
      <x:c r="U31" t="str">
        <x:v>#000000</x:v>
      </x:c>
      <x:c r="V31" t="n">
        <x:v>8.22</x:v>
      </x:c>
      <x:c r="W31" t="n">
        <x:v>0.360772</x:v>
      </x:c>
      <x:c r="X31" t="str">
        <x:v>Low</x:v>
      </x:c>
      <x:c r="Y31" t="str">
        <x:v>Average of official PDF swatch samples across distinct source palettes; not a physical colour standard.</x:v>
      </x:c>
    </x:row>
    <x:row r="32">
      <x:c r="A32" t="str">
        <x:v>ceca6685-d7aa-5cc6-ae9f-101c1861f467</x:v>
      </x:c>
      <x:c r="B32" t="str">
        <x:v>CDA-CODE-041</x:v>
      </x:c>
      <x:c r="C32" t="str">
        <x:v>041</x:v>
      </x:c>
      <x:c r="D32" t="str">
        <x:v>Apricot</x:v>
      </x:c>
      <x:c r="E32" t="str">
        <x:v>杏色</x:v>
      </x:c>
      <x:c r="F32" t="str">
        <x:v>アプリコット</x:v>
      </x:c>
      <x:c r="G32" t="str">
        <x:v>Apricot</x:v>
      </x:c>
      <x:c r="H32" t="str">
        <x:v>杏色</x:v>
      </x:c>
      <x:c r="I32" t="str">
        <x:v>アプリコット</x:v>
      </x:c>
      <x:c r="J32" t="n">
        <x:v>5</x:v>
      </x:c>
      <x:c r="K32" t="str">
        <x:v>LUMINANCE 6901 | PABLO | SUPRACOLOR Soft Aquarelle | MUSEUM Aquarelle | NEOCOLOR II Aquarelle</x:v>
      </x:c>
      <x:c r="L32" t="str">
        <x:v>PO61</x:v>
      </x:c>
      <x:c r="M32" t="str">
        <x:v>#F9BE73</x:v>
      </x:c>
      <x:c r="N32" t="n">
        <x:v>249</x:v>
      </x:c>
      <x:c r="O32" t="n">
        <x:v>190</x:v>
      </x:c>
      <x:c r="P32" t="n">
        <x:v>115</x:v>
      </x:c>
      <x:c r="Q32" t="n">
        <x:v>80.85</x:v>
      </x:c>
      <x:c r="R32" t="n">
        <x:v>12.81</x:v>
      </x:c>
      <x:c r="S32" t="n">
        <x:v>45.74</x:v>
      </x:c>
      <x:c r="T32" t="n">
        <x:v>28.5</x:v>
      </x:c>
      <x:c r="U32" t="str">
        <x:v>#000000</x:v>
      </x:c>
      <x:c r="V32" t="n">
        <x:v>12.64</x:v>
      </x:c>
      <x:c r="W32" t="n">
        <x:v>0.582045</x:v>
      </x:c>
      <x:c r="X32" t="str">
        <x:v>Low</x:v>
      </x:c>
      <x:c r="Y32" t="str">
        <x:v>Average of official PDF swatch samples across distinct source palettes; not a physical colour standard.</x:v>
      </x:c>
    </x:row>
    <x:row r="33">
      <x:c r="A33" t="str">
        <x:v>0f40623c-865b-5ad0-8bcf-8dc04765b592</x:v>
      </x:c>
      <x:c r="B33" t="str">
        <x:v>CDA-CODE-042</x:v>
      </x:c>
      <x:c r="C33" t="str">
        <x:v>042</x:v>
      </x:c>
      <x:c r="D33" t="str">
        <x:v>Desert rose</x:v>
      </x:c>
      <x:c r="E33" t="str">
        <x:v>沙漠玫瑰色</x:v>
      </x:c>
      <x:c r="F33" t="str">
        <x:v>デザートローズ</x:v>
      </x:c>
      <x:c r="G33" t="str">
        <x:v>Desert rose | Flesh</x:v>
      </x:c>
      <x:c r="H33" t="str">
        <x:v>沙漠玫瑰色 | 膚色</x:v>
      </x:c>
      <x:c r="I33" t="str">
        <x:v>デザートローズ | フレッシュ</x:v>
      </x:c>
      <x:c r="J33" t="n">
        <x:v>3</x:v>
      </x:c>
      <x:c r="K33" t="str">
        <x:v>NEOCOLOR II Aquarelle | PASTEL PENCILS | PASTEL CUBES</x:v>
      </x:c>
      <x:c r="L33" t="str">
        <x:v>PO82/PR101</x:v>
      </x:c>
      <x:c r="M33" t="str">
        <x:v>#F6D0A0</x:v>
      </x:c>
      <x:c r="N33" t="n">
        <x:v>246</x:v>
      </x:c>
      <x:c r="O33" t="n">
        <x:v>208</x:v>
      </x:c>
      <x:c r="P33" t="n">
        <x:v>160</x:v>
      </x:c>
      <x:c r="Q33" t="n">
        <x:v>85.63</x:v>
      </x:c>
      <x:c r="R33" t="n">
        <x:v>6.74</x:v>
      </x:c>
      <x:c r="S33" t="n">
        <x:v>28.82</x:v>
      </x:c>
      <x:c r="T33" t="n">
        <x:v>17.8</x:v>
      </x:c>
      <x:c r="U33" t="str">
        <x:v>#000000</x:v>
      </x:c>
      <x:c r="V33" t="n">
        <x:v>14.45</x:v>
      </x:c>
      <x:c r="W33" t="n">
        <x:v>0.672426</x:v>
      </x:c>
      <x:c r="X33" t="str">
        <x:v>Medium</x:v>
      </x:c>
      <x:c r="Y33" t="str">
        <x:v>Average of official PDF swatch samples across distinct source palettes; not a physical colour standard.</x:v>
      </x:c>
    </x:row>
    <x:row r="34">
      <x:c r="A34" t="str">
        <x:v>a6adfc73-dc6f-5dda-9ee1-81eb979c8dbf</x:v>
      </x:c>
      <x:c r="B34" t="str">
        <x:v>CDA-CODE-043</x:v>
      </x:c>
      <x:c r="C34" t="str">
        <x:v>043</x:v>
      </x:c>
      <x:c r="D34" t="str">
        <x:v>Brownish orange</x:v>
      </x:c>
      <x:c r="E34" t="str">
        <x:v>褐橙色</x:v>
      </x:c>
      <x:c r="F34" t="str">
        <x:v>ブラウニッシュオレンジ</x:v>
      </x:c>
      <x:c r="G34" t="str">
        <x:v>Brownish orange</x:v>
      </x:c>
      <x:c r="H34" t="str">
        <x:v>褐橙色</x:v>
      </x:c>
      <x:c r="I34" t="str">
        <x:v>ブラウニッシュオレンジ</x:v>
      </x:c>
      <x:c r="J34" t="n">
        <x:v>2</x:v>
      </x:c>
      <x:c r="K34" t="str">
        <x:v>PABLO | SUPRACOLOR Soft Aquarelle</x:v>
      </x:c>
      <x:c r="L34" t="str"/>
      <x:c r="M34" t="str">
        <x:v>#CC927C</x:v>
      </x:c>
      <x:c r="N34" t="n">
        <x:v>204</x:v>
      </x:c>
      <x:c r="O34" t="n">
        <x:v>146</x:v>
      </x:c>
      <x:c r="P34" t="n">
        <x:v>124</x:v>
      </x:c>
      <x:c r="Q34" t="n">
        <x:v>65.63</x:v>
      </x:c>
      <x:c r="R34" t="n">
        <x:v>19.1</x:v>
      </x:c>
      <x:c r="S34" t="n">
        <x:v>20.36</x:v>
      </x:c>
      <x:c r="T34" t="n">
        <x:v>31.02</x:v>
      </x:c>
      <x:c r="U34" t="str">
        <x:v>#000000</x:v>
      </x:c>
      <x:c r="V34" t="n">
        <x:v>7.97</x:v>
      </x:c>
      <x:c r="W34" t="n">
        <x:v>0.348504</x:v>
      </x:c>
      <x:c r="X34" t="str">
        <x:v>Low</x:v>
      </x:c>
      <x:c r="Y34" t="str">
        <x:v>Average of official PDF swatch samples across distinct source palettes; not a physical colour standard.</x:v>
      </x:c>
    </x:row>
    <x:row r="35">
      <x:c r="A35" t="str">
        <x:v>a055982d-ba3a-5326-a9f9-53708f4fbbec</x:v>
      </x:c>
      <x:c r="B35" t="str">
        <x:v>CDA-CODE-044</x:v>
      </x:c>
      <x:c r="C35" t="str">
        <x:v>044</x:v>
      </x:c>
      <x:c r="D35" t="str">
        <x:v>Terracotta</x:v>
      </x:c>
      <x:c r="E35" t="str">
        <x:v>赤陶色</x:v>
      </x:c>
      <x:c r="F35" t="str">
        <x:v>テラコッタ</x:v>
      </x:c>
      <x:c r="G35" t="str">
        <x:v>Terracotta</x:v>
      </x:c>
      <x:c r="H35" t="str">
        <x:v>赤陶色</x:v>
      </x:c>
      <x:c r="I35" t="str">
        <x:v>テラコッタ</x:v>
      </x:c>
      <x:c r="J35" t="n">
        <x:v>5</x:v>
      </x:c>
      <x:c r="K35" t="str">
        <x:v>LUMINANCE 6901 | MUSEUM Aquarelle | PASTEL PENCILS | PASTEL CUBES | NEOART 6901</x:v>
      </x:c>
      <x:c r="L35" t="str">
        <x:v>PR101/PO82</x:v>
      </x:c>
      <x:c r="M35" s="87" t="str">
        <x:v>#CE765F</x:v>
      </x:c>
      <x:c r="N35" t="n">
        <x:v>206</x:v>
      </x:c>
      <x:c r="O35" t="n">
        <x:v>118</x:v>
      </x:c>
      <x:c r="P35" t="n">
        <x:v>95</x:v>
      </x:c>
      <x:c r="Q35" t="n">
        <x:v>58.89</x:v>
      </x:c>
      <x:c r="R35" t="n">
        <x:v>32.14</x:v>
      </x:c>
      <x:c r="S35" t="n">
        <x:v>27.63</x:v>
      </x:c>
      <x:c r="T35" t="n">
        <x:v>20.55</x:v>
      </x:c>
      <x:c r="U35" t="str">
        <x:v>#000000</x:v>
      </x:c>
      <x:c r="V35" t="n">
        <x:v>6.38</x:v>
      </x:c>
      <x:c r="W35" t="n">
        <x:v>0.269049</x:v>
      </x:c>
      <x:c r="X35" t="str">
        <x:v>Low</x:v>
      </x:c>
      <x:c r="Y35" t="str">
        <x:v>Average of official source-palette digital samples; NEOART 6901 added from the 2025 official catalogue chart. Digital values are screen-reference approximations, not manufacturer device-independent standards.</x:v>
      </x:c>
    </x:row>
    <x:row r="36">
      <x:c r="A36" t="str">
        <x:v>4fb0e78b-85fd-5dee-bae2-c1796e299660</x:v>
      </x:c>
      <x:c r="B36" t="str">
        <x:v>CDA-CODE-045</x:v>
      </x:c>
      <x:c r="C36" t="str">
        <x:v>045</x:v>
      </x:c>
      <x:c r="D36" t="str">
        <x:v>Vandycke brown</x:v>
      </x:c>
      <x:c r="E36" t="str">
        <x:v>凡戴克棕</x:v>
      </x:c>
      <x:c r="F36" t="str">
        <x:v>ヴァンダイクブラウン</x:v>
      </x:c>
      <x:c r="G36" t="str">
        <x:v>Vandycke brown</x:v>
      </x:c>
      <x:c r="H36" t="str">
        <x:v>凡戴克棕</x:v>
      </x:c>
      <x:c r="I36" t="str">
        <x:v>ヴァンダイクブラウン</x:v>
      </x:c>
      <x:c r="J36" t="n">
        <x:v>4</x:v>
      </x:c>
      <x:c r="K36" t="str">
        <x:v>PABLO | SUPRACOLOR Soft Aquarelle | NEOCOLOR II Aquarelle | NEOPASTEL</x:v>
      </x:c>
      <x:c r="L36" t="str">
        <x:v>PBk7/PY42/PR101</x:v>
      </x:c>
      <x:c r="M36" t="str">
        <x:v>#937362</x:v>
      </x:c>
      <x:c r="N36" t="n">
        <x:v>147</x:v>
      </x:c>
      <x:c r="O36" t="n">
        <x:v>115</x:v>
      </x:c>
      <x:c r="P36" t="n">
        <x:v>98</x:v>
      </x:c>
      <x:c r="Q36" t="n">
        <x:v>51.09</x:v>
      </x:c>
      <x:c r="R36" t="n">
        <x:v>10.02</x:v>
      </x:c>
      <x:c r="S36" t="n">
        <x:v>14.22</x:v>
      </x:c>
      <x:c r="T36" t="n">
        <x:v>37.06</x:v>
      </x:c>
      <x:c r="U36" t="str">
        <x:v>#000000</x:v>
      </x:c>
      <x:c r="V36" t="n">
        <x:v>4.87</x:v>
      </x:c>
      <x:c r="W36" t="n">
        <x:v>0.193464</x:v>
      </x:c>
      <x:c r="X36" t="str">
        <x:v>Low</x:v>
      </x:c>
      <x:c r="Y36" t="str">
        <x:v>Average of official PDF swatch samples across distinct source palettes; not a physical colour standard.</x:v>
      </x:c>
    </x:row>
    <x:row r="37">
      <x:c r="A37" t="str">
        <x:v>d6092a56-5cb2-52a3-93d7-9c1109a5f21e</x:v>
      </x:c>
      <x:c r="B37" t="str">
        <x:v>CDA-CODE-046</x:v>
      </x:c>
      <x:c r="C37" t="str">
        <x:v>046</x:v>
      </x:c>
      <x:c r="D37" t="str">
        <x:v>Cassel earth</x:v>
      </x:c>
      <x:c r="E37" t="str">
        <x:v>卡塞爾土色</x:v>
      </x:c>
      <x:c r="F37" t="str">
        <x:v>カッセルアース</x:v>
      </x:c>
      <x:c r="G37" t="str">
        <x:v>Cassel earth</x:v>
      </x:c>
      <x:c r="H37" t="str">
        <x:v>卡塞爾土色</x:v>
      </x:c>
      <x:c r="I37" t="str">
        <x:v>カッセルアース</x:v>
      </x:c>
      <x:c r="J37" t="n">
        <x:v>4</x:v>
      </x:c>
      <x:c r="K37" t="str">
        <x:v>LUMINANCE 6901 | MUSEUM Aquarelle | PASTEL PENCILS | PASTEL CUBES</x:v>
      </x:c>
      <x:c r="L37" t="str">
        <x:v>PR101/PBr7/PBk6/PBk11 | PY42/PR101/PY184/PBk6</x:v>
      </x:c>
      <x:c r="M37" t="str">
        <x:v>#6E5C4B</x:v>
      </x:c>
      <x:c r="N37" t="n">
        <x:v>110</x:v>
      </x:c>
      <x:c r="O37" t="n">
        <x:v>92</x:v>
      </x:c>
      <x:c r="P37" t="n">
        <x:v>75</x:v>
      </x:c>
      <x:c r="Q37" t="n">
        <x:v>40.37</x:v>
      </x:c>
      <x:c r="R37" t="n">
        <x:v>4.51</x:v>
      </x:c>
      <x:c r="S37" t="n">
        <x:v>12.52</x:v>
      </x:c>
      <x:c r="T37" t="n">
        <x:v>20.42</x:v>
      </x:c>
      <x:c r="U37" t="str">
        <x:v>#FFFFFF</x:v>
      </x:c>
      <x:c r="V37" t="n">
        <x:v>6.37</x:v>
      </x:c>
      <x:c r="W37" t="n">
        <x:v>0.114773</x:v>
      </x:c>
      <x:c r="X37" t="str">
        <x:v>Medium</x:v>
      </x:c>
      <x:c r="Y37" t="str">
        <x:v>Average of official PDF swatch samples across distinct source palettes; not a physical colour standard.</x:v>
      </x:c>
    </x:row>
    <x:row r="38">
      <x:c r="A38" t="str">
        <x:v>6cac1bff-68a3-5a47-a94c-682a0339a8d5</x:v>
      </x:c>
      <x:c r="B38" t="str">
        <x:v>CDA-CODE-047</x:v>
      </x:c>
      <x:c r="C38" t="str">
        <x:v>047</x:v>
      </x:c>
      <x:c r="D38" t="str">
        <x:v>Bistre</x:v>
      </x:c>
      <x:c r="E38" t="str">
        <x:v>煙褐色</x:v>
      </x:c>
      <x:c r="F38" t="str">
        <x:v>ビスター</x:v>
      </x:c>
      <x:c r="G38" t="str">
        <x:v>Bistre</x:v>
      </x:c>
      <x:c r="H38" t="str">
        <x:v>煙褐色</x:v>
      </x:c>
      <x:c r="I38" t="str">
        <x:v>ビスター</x:v>
      </x:c>
      <x:c r="J38" t="n">
        <x:v>5</x:v>
      </x:c>
      <x:c r="K38" t="str">
        <x:v>PABLO | SUPRACOLOR Soft Aquarelle | NEOPASTEL | PASTEL PENCILS | PASTEL CUBES</x:v>
      </x:c>
      <x:c r="L38" t="str">
        <x:v>PR101/PBk6/PY42 | PY74/PBk11/PY42/PR101</x:v>
      </x:c>
      <x:c r="M38" t="str">
        <x:v>#7C5942</x:v>
      </x:c>
      <x:c r="N38" t="n">
        <x:v>124</x:v>
      </x:c>
      <x:c r="O38" t="n">
        <x:v>89</x:v>
      </x:c>
      <x:c r="P38" t="n">
        <x:v>66</x:v>
      </x:c>
      <x:c r="Q38" t="n">
        <x:v>40.94</x:v>
      </x:c>
      <x:c r="R38" t="n">
        <x:v>11.33</x:v>
      </x:c>
      <x:c r="S38" t="n">
        <x:v>18.98</x:v>
      </x:c>
      <x:c r="T38" t="n">
        <x:v>22.09</x:v>
      </x:c>
      <x:c r="U38" t="str">
        <x:v>#FFFFFF</x:v>
      </x:c>
      <x:c r="V38" t="n">
        <x:v>6.24</x:v>
      </x:c>
      <x:c r="W38" t="n">
        <x:v>0.118232</x:v>
      </x:c>
      <x:c r="X38" t="str">
        <x:v>Medium</x:v>
      </x:c>
      <x:c r="Y38" t="str">
        <x:v>Average of official PDF swatch samples across distinct source palettes; not a physical colour standard.</x:v>
      </x:c>
    </x:row>
    <x:row r="39">
      <x:c r="A39" t="str">
        <x:v>66f5918f-2d51-598e-b3d7-bb4f1b3fc4b4</x:v>
      </x:c>
      <x:c r="B39" t="str">
        <x:v>CDA-CODE-049</x:v>
      </x:c>
      <x:c r="C39" t="str">
        <x:v>049</x:v>
      </x:c>
      <x:c r="D39" t="str">
        <x:v>Umber</x:v>
      </x:c>
      <x:c r="E39" t="str">
        <x:v>褐土色</x:v>
      </x:c>
      <x:c r="F39" t="str">
        <x:v>アンバー</x:v>
      </x:c>
      <x:c r="G39" t="str">
        <x:v>Raw Umber | Umber</x:v>
      </x:c>
      <x:c r="H39" t="str">
        <x:v>生褐色 | 褐土色</x:v>
      </x:c>
      <x:c r="I39" t="str">
        <x:v>アンバー | ロー アンバー | ローアンバー</x:v>
      </x:c>
      <x:c r="J39" t="n">
        <x:v>5</x:v>
      </x:c>
      <x:c r="K39" t="str">
        <x:v>PABLO | SUPRACOLOR Soft Aquarelle | MUSEUM Aquarelle | NEOCOLOR II Aquarelle | NEOPASTEL</x:v>
      </x:c>
      <x:c r="L39" t="str">
        <x:v>PO61/PG7/PR166/PY3/PBk6 | PY42/PR101/PY184/PBk6</x:v>
      </x:c>
      <x:c r="M39" t="str">
        <x:v>#7A614E</x:v>
      </x:c>
      <x:c r="N39" t="n">
        <x:v>122</x:v>
      </x:c>
      <x:c r="O39" t="n">
        <x:v>97</x:v>
      </x:c>
      <x:c r="P39" t="n">
        <x:v>78</x:v>
      </x:c>
      <x:c r="Q39" t="n">
        <x:v>43.12</x:v>
      </x:c>
      <x:c r="R39" t="n">
        <x:v>7.18</x:v>
      </x:c>
      <x:c r="S39" t="n">
        <x:v>14.68</x:v>
      </x:c>
      <x:c r="T39" t="n">
        <x:v>40.52</x:v>
      </x:c>
      <x:c r="U39" t="str">
        <x:v>#FFFFFF</x:v>
      </x:c>
      <x:c r="V39" t="n">
        <x:v>5.76</x:v>
      </x:c>
      <x:c r="W39" t="n">
        <x:v>0.13237</x:v>
      </x:c>
      <x:c r="X39" t="str">
        <x:v>Low</x:v>
      </x:c>
      <x:c r="Y39" t="str">
        <x:v>Average of official PDF swatch samples across distinct source palettes; not a physical colour standard.</x:v>
      </x:c>
    </x:row>
    <x:row r="40">
      <x:c r="A40" t="str">
        <x:v>b1fdf016-f65e-52a7-837f-bacfacf86acf</x:v>
      </x:c>
      <x:c r="B40" t="str">
        <x:v>CDA-CODE-050</x:v>
      </x:c>
      <x:c r="C40" t="str">
        <x:v>050</x:v>
      </x:c>
      <x:c r="D40" t="str">
        <x:v>Flame red</x:v>
      </x:c>
      <x:c r="E40" t="str">
        <x:v>火焰紅</x:v>
      </x:c>
      <x:c r="F40" t="str">
        <x:v>フレームレッド</x:v>
      </x:c>
      <x:c r="G40" t="str">
        <x:v>Flame red</x:v>
      </x:c>
      <x:c r="H40" t="str">
        <x:v>火焰紅</x:v>
      </x:c>
      <x:c r="I40" t="str">
        <x:v>フレームレッド</x:v>
      </x:c>
      <x:c r="J40" t="n">
        <x:v>6</x:v>
      </x:c>
      <x:c r="K40" t="str">
        <x:v>PABLO | SUPRACOLOR Soft Aquarelle | NEOCOLOR II Aquarelle | NEOPASTEL | PASTEL PENCILS | PASTEL CUBES</x:v>
      </x:c>
      <x:c r="L40" t="str">
        <x:v>PO43 | PO67</x:v>
      </x:c>
      <x:c r="M40" t="str">
        <x:v>#EF964B</x:v>
      </x:c>
      <x:c r="N40" t="n">
        <x:v>239</x:v>
      </x:c>
      <x:c r="O40" t="n">
        <x:v>150</x:v>
      </x:c>
      <x:c r="P40" t="n">
        <x:v>75</x:v>
      </x:c>
      <x:c r="Q40" t="n">
        <x:v>69.95</x:v>
      </x:c>
      <x:c r="R40" t="n">
        <x:v>27.09</x:v>
      </x:c>
      <x:c r="S40" t="n">
        <x:v>52.32</x:v>
      </x:c>
      <x:c r="T40" t="n">
        <x:v>43.89</x:v>
      </x:c>
      <x:c r="U40" t="str">
        <x:v>#000000</x:v>
      </x:c>
      <x:c r="V40" t="n">
        <x:v>9.13</x:v>
      </x:c>
      <x:c r="W40" t="n">
        <x:v>0.406714</x:v>
      </x:c>
      <x:c r="X40" t="str">
        <x:v>Low</x:v>
      </x:c>
      <x:c r="Y40" t="str">
        <x:v>Average of official PDF swatch samples across distinct source palettes; not a physical colour standard.</x:v>
      </x:c>
    </x:row>
    <x:row r="41">
      <x:c r="A41" t="str">
        <x:v>ba3d6fa0-5853-50ec-bfad-2bc45415ef04</x:v>
      </x:c>
      <x:c r="B41" t="str">
        <x:v>CDA-CODE-051</x:v>
      </x:c>
      <x:c r="C41" t="str">
        <x:v>051</x:v>
      </x:c>
      <x:c r="D41" t="str">
        <x:v>Salmon</x:v>
      </x:c>
      <x:c r="E41" t="str">
        <x:v>鮭魚色</x:v>
      </x:c>
      <x:c r="F41" t="str">
        <x:v>サーモン</x:v>
      </x:c>
      <x:c r="G41" t="str">
        <x:v>Salmon</x:v>
      </x:c>
      <x:c r="H41" t="str">
        <x:v>鮭魚色</x:v>
      </x:c>
      <x:c r="I41" t="str">
        <x:v>サーモン</x:v>
      </x:c>
      <x:c r="J41" t="n">
        <x:v>4</x:v>
      </x:c>
      <x:c r="K41" t="str">
        <x:v>PABLO | SUPRACOLOR Soft Aquarelle | NEOCOLOR II Aquarelle | NEOPASTEL</x:v>
      </x:c>
      <x:c r="L41" t="str">
        <x:v>PR168/PO62</x:v>
      </x:c>
      <x:c r="M41" t="str">
        <x:v>#F7BE9E</x:v>
      </x:c>
      <x:c r="N41" t="n">
        <x:v>247</x:v>
      </x:c>
      <x:c r="O41" t="n">
        <x:v>190</x:v>
      </x:c>
      <x:c r="P41" t="n">
        <x:v>158</x:v>
      </x:c>
      <x:c r="Q41" t="n">
        <x:v>81.33</x:v>
      </x:c>
      <x:c r="R41" t="n">
        <x:v>16.29</x:v>
      </x:c>
      <x:c r="S41" t="n">
        <x:v>24.06</x:v>
      </x:c>
      <x:c r="T41" t="n">
        <x:v>43.23</x:v>
      </x:c>
      <x:c r="U41" t="str">
        <x:v>#000000</x:v>
      </x:c>
      <x:c r="V41" t="n">
        <x:v>12.81</x:v>
      </x:c>
      <x:c r="W41" t="n">
        <x:v>0.590697</x:v>
      </x:c>
      <x:c r="X41" t="str">
        <x:v>Low</x:v>
      </x:c>
      <x:c r="Y41" t="str">
        <x:v>Average of official PDF swatch samples across distinct source palettes; not a physical colour standard.</x:v>
      </x:c>
    </x:row>
    <x:row r="42">
      <x:c r="A42" t="str">
        <x:v>c578249b-2849-5910-b333-baf5c652e1b3</x:v>
      </x:c>
      <x:c r="B42" t="str">
        <x:v>CDA-CODE-052</x:v>
      </x:c>
      <x:c r="C42" t="str">
        <x:v>052</x:v>
      </x:c>
      <x:c r="D42" t="str">
        <x:v>Saffron</x:v>
      </x:c>
      <x:c r="E42" t="str">
        <x:v>藏紅花黃</x:v>
      </x:c>
      <x:c r="F42" t="str">
        <x:v>サフラン</x:v>
      </x:c>
      <x:c r="G42" t="str">
        <x:v>Saffron</x:v>
      </x:c>
      <x:c r="H42" t="str">
        <x:v>藏紅花黃</x:v>
      </x:c>
      <x:c r="I42" t="str">
        <x:v>サフラン</x:v>
      </x:c>
      <x:c r="J42" t="n">
        <x:v>5</x:v>
      </x:c>
      <x:c r="K42" t="str">
        <x:v>MUSEUM Aquarelle | NEOCOLOR II Aquarelle | PASTEL PENCILS | PASTEL CUBES | NEOART 6901</x:v>
      </x:c>
      <x:c r="L42" t="str">
        <x:v>PO82/PR101 | PY1/PR4/PR101 | PR101/PO82</x:v>
      </x:c>
      <x:c r="M42" s="89" t="str">
        <x:v>#E08C53</x:v>
      </x:c>
      <x:c r="N42" t="n">
        <x:v>224</x:v>
      </x:c>
      <x:c r="O42" t="n">
        <x:v>140</x:v>
      </x:c>
      <x:c r="P42" t="n">
        <x:v>83</x:v>
      </x:c>
      <x:c r="Q42" t="n">
        <x:v>65.93</x:v>
      </x:c>
      <x:c r="R42" t="n">
        <x:v>26.74</x:v>
      </x:c>
      <x:c r="S42" t="n">
        <x:v>43.31</x:v>
      </x:c>
      <x:c r="T42" t="n">
        <x:v>46.32</x:v>
      </x:c>
      <x:c r="U42" t="str">
        <x:v>#000000</x:v>
      </x:c>
      <x:c r="V42" t="n">
        <x:v>8.05</x:v>
      </x:c>
      <x:c r="W42" t="n">
        <x:v>0.35228</x:v>
      </x:c>
      <x:c r="X42" t="str">
        <x:v>Low</x:v>
      </x:c>
      <x:c r="Y4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43">
      <x:c r="A43" t="str">
        <x:v>3cc4e3a3-e432-5e8b-85f5-f35d40f449dc</x:v>
      </x:c>
      <x:c r="B43" t="str">
        <x:v>CDA-CODE-053</x:v>
      </x:c>
      <x:c r="C43" t="str">
        <x:v>053</x:v>
      </x:c>
      <x:c r="D43" t="str">
        <x:v>Hazel</x:v>
      </x:c>
      <x:c r="E43" t="str">
        <x:v>榛果棕</x:v>
      </x:c>
      <x:c r="F43" t="str">
        <x:v>ヘーゼル</x:v>
      </x:c>
      <x:c r="G43" t="str">
        <x:v>Hazel</x:v>
      </x:c>
      <x:c r="H43" t="str">
        <x:v>榛果棕</x:v>
      </x:c>
      <x:c r="I43" t="str">
        <x:v>ヘーゼル</x:v>
      </x:c>
      <x:c r="J43" t="n">
        <x:v>2</x:v>
      </x:c>
      <x:c r="K43" t="str">
        <x:v>PABLO | SUPRACOLOR Soft Aquarelle</x:v>
      </x:c>
      <x:c r="L43" t="str"/>
      <x:c r="M43" t="str">
        <x:v>#E4925C</x:v>
      </x:c>
      <x:c r="N43" t="n">
        <x:v>228</x:v>
      </x:c>
      <x:c r="O43" t="n">
        <x:v>146</x:v>
      </x:c>
      <x:c r="P43" t="n">
        <x:v>92</x:v>
      </x:c>
      <x:c r="Q43" t="n">
        <x:v>67.89</x:v>
      </x:c>
      <x:c r="R43" t="n">
        <x:v>25.79</x:v>
      </x:c>
      <x:c r="S43" t="n">
        <x:v>41.13</x:v>
      </x:c>
      <x:c r="T43" t="n">
        <x:v>15.35</x:v>
      </x:c>
      <x:c r="U43" t="str">
        <x:v>#000000</x:v>
      </x:c>
      <x:c r="V43" t="n">
        <x:v>8.56</x:v>
      </x:c>
      <x:c r="W43" t="n">
        <x:v>0.378245</x:v>
      </x:c>
      <x:c r="X43" t="str">
        <x:v>Medium</x:v>
      </x:c>
      <x:c r="Y43" t="str">
        <x:v>Average of official PDF swatch samples across distinct source palettes; not a physical colour standard.</x:v>
      </x:c>
    </x:row>
    <x:row r="44">
      <x:c r="A44" t="str">
        <x:v>658096e9-f9b4-5937-8e83-5eee039511f9</x:v>
      </x:c>
      <x:c r="B44" t="str">
        <x:v>CDA-CODE-055</x:v>
      </x:c>
      <x:c r="C44" t="str">
        <x:v>055</x:v>
      </x:c>
      <x:c r="D44" t="str">
        <x:v>Cinnamon</x:v>
      </x:c>
      <x:c r="E44" t="str">
        <x:v>肉桂色</x:v>
      </x:c>
      <x:c r="F44" t="str">
        <x:v>シナモン</x:v>
      </x:c>
      <x:c r="G44" t="str">
        <x:v>Cinnamon</x:v>
      </x:c>
      <x:c r="H44" t="str">
        <x:v>肉桂色</x:v>
      </x:c>
      <x:c r="I44" t="str">
        <x:v>シナモン</x:v>
      </x:c>
      <x:c r="J44" t="n">
        <x:v>5</x:v>
      </x:c>
      <x:c r="K44" t="str">
        <x:v>PABLO | SUPRACOLOR Soft Aquarelle | MUSEUM Aquarelle | NEOCOLOR II Aquarelle | NEOPASTEL</x:v>
      </x:c>
      <x:c r="L44" t="str">
        <x:v>PR101/PY42/PBk6 | PY42/PR101/PY184</x:v>
      </x:c>
      <x:c r="M44" t="str">
        <x:v>#C37E59</x:v>
      </x:c>
      <x:c r="N44" t="n">
        <x:v>195</x:v>
      </x:c>
      <x:c r="O44" t="n">
        <x:v>126</x:v>
      </x:c>
      <x:c r="P44" t="n">
        <x:v>89</x:v>
      </x:c>
      <x:c r="Q44" t="n">
        <x:v>59.2</x:v>
      </x:c>
      <x:c r="R44" t="n">
        <x:v>22.86</x:v>
      </x:c>
      <x:c r="S44" t="n">
        <x:v>31.09</x:v>
      </x:c>
      <x:c r="T44" t="n">
        <x:v>38.01</x:v>
      </x:c>
      <x:c r="U44" t="str">
        <x:v>#000000</x:v>
      </x:c>
      <x:c r="V44" t="n">
        <x:v>6.45</x:v>
      </x:c>
      <x:c r="W44" t="n">
        <x:v>0.272451</x:v>
      </x:c>
      <x:c r="X44" t="str">
        <x:v>Low</x:v>
      </x:c>
      <x:c r="Y44" t="str">
        <x:v>Average of official PDF swatch samples across distinct source palettes; not a physical colour standard.</x:v>
      </x:c>
    </x:row>
    <x:row r="45">
      <x:c r="A45" t="str">
        <x:v>ea39b452-023c-5e72-a7d0-684cd549a60a</x:v>
      </x:c>
      <x:c r="B45" t="str">
        <x:v>CDA-CODE-057</x:v>
      </x:c>
      <x:c r="C45" t="str">
        <x:v>057</x:v>
      </x:c>
      <x:c r="D45" t="str">
        <x:v>Chestnut</x:v>
      </x:c>
      <x:c r="E45" t="str">
        <x:v>栗棕色</x:v>
      </x:c>
      <x:c r="F45" t="str">
        <x:v>チェストナット</x:v>
      </x:c>
      <x:c r="G45" t="str">
        <x:v>Chestnut</x:v>
      </x:c>
      <x:c r="H45" t="str">
        <x:v>栗棕色</x:v>
      </x:c>
      <x:c r="I45" t="str">
        <x:v>チェストナット | チェスナット</x:v>
      </x:c>
      <x:c r="J45" t="n">
        <x:v>4</x:v>
      </x:c>
      <x:c r="K45" t="str">
        <x:v>PABLO | SUPRACOLOR Soft Aquarelle | MUSEUM Aquarelle | NEOPASTEL</x:v>
      </x:c>
      <x:c r="L45" t="str">
        <x:v>PR101/PBk6/PY42 | PY42/PR101/PBk11/PY184</x:v>
      </x:c>
      <x:c r="M45" t="str">
        <x:v>#96584A</x:v>
      </x:c>
      <x:c r="N45" t="n">
        <x:v>150</x:v>
      </x:c>
      <x:c r="O45" t="n">
        <x:v>88</x:v>
      </x:c>
      <x:c r="P45" t="n">
        <x:v>74</x:v>
      </x:c>
      <x:c r="Q45" t="n">
        <x:v>44.17</x:v>
      </x:c>
      <x:c r="R45" t="n">
        <x:v>24.01</x:v>
      </x:c>
      <x:c r="S45" t="n">
        <x:v>19.08</x:v>
      </x:c>
      <x:c r="T45" t="n">
        <x:v>53.25</x:v>
      </x:c>
      <x:c r="U45" t="str">
        <x:v>#FFFFFF</x:v>
      </x:c>
      <x:c r="V45" t="n">
        <x:v>5.54</x:v>
      </x:c>
      <x:c r="W45" t="n">
        <x:v>0.139579</x:v>
      </x:c>
      <x:c r="X45" t="str">
        <x:v>Low</x:v>
      </x:c>
      <x:c r="Y45" t="str">
        <x:v>Average of official PDF swatch samples across distinct source palettes; not a physical colour standard.</x:v>
      </x:c>
    </x:row>
    <x:row r="46">
      <x:c r="A46" t="str">
        <x:v>82af754c-0796-57d3-b910-c32329865240</x:v>
      </x:c>
      <x:c r="B46" t="str">
        <x:v>CDA-CODE-059</x:v>
      </x:c>
      <x:c r="C46" t="str">
        <x:v>059</x:v>
      </x:c>
      <x:c r="D46" t="str">
        <x:v>Brown</x:v>
      </x:c>
      <x:c r="E46" t="str">
        <x:v>棕色</x:v>
      </x:c>
      <x:c r="F46" t="str">
        <x:v>ブラウン</x:v>
      </x:c>
      <x:c r="G46" t="str">
        <x:v>Brown</x:v>
      </x:c>
      <x:c r="H46" t="str">
        <x:v>棕色</x:v>
      </x:c>
      <x:c r="I46" t="str">
        <x:v>ブラウン</x:v>
      </x:c>
      <x:c r="J46" t="n">
        <x:v>5</x:v>
      </x:c>
      <x:c r="K46" t="str">
        <x:v>PABLO | SUPRACOLOR Soft Aquarelle | MUSEUM Aquarelle | NEOCOLOR II Aquarelle | NEOPASTEL</x:v>
      </x:c>
      <x:c r="L46" t="str">
        <x:v>PO62/PR112/PB15/PY3/PY42 | PR101/PBk6</x:v>
      </x:c>
      <x:c r="M46" t="str">
        <x:v>#A8634D</x:v>
      </x:c>
      <x:c r="N46" t="n">
        <x:v>168</x:v>
      </x:c>
      <x:c r="O46" t="n">
        <x:v>99</x:v>
      </x:c>
      <x:c r="P46" t="n">
        <x:v>77</x:v>
      </x:c>
      <x:c r="Q46" t="n">
        <x:v>49.24</x:v>
      </x:c>
      <x:c r="R46" t="n">
        <x:v>25.58</x:v>
      </x:c>
      <x:c r="S46" t="n">
        <x:v>24.41</x:v>
      </x:c>
      <x:c r="T46" t="n">
        <x:v>46.95</x:v>
      </x:c>
      <x:c r="U46" t="str">
        <x:v>#FFFFFF</x:v>
      </x:c>
      <x:c r="V46" t="n">
        <x:v>4.61</x:v>
      </x:c>
      <x:c r="W46" t="n">
        <x:v>0.177843</x:v>
      </x:c>
      <x:c r="X46" t="str">
        <x:v>Low</x:v>
      </x:c>
      <x:c r="Y46" t="str">
        <x:v>Average of official PDF swatch samples across distinct source palettes; not a physical colour standard.</x:v>
      </x:c>
    </x:row>
    <x:row r="47">
      <x:c r="A47" t="str">
        <x:v>332db2c4-d0e9-5445-b3ee-924c107cece4</x:v>
      </x:c>
      <x:c r="B47" t="str">
        <x:v>CDA-CODE-060</x:v>
      </x:c>
      <x:c r="C47" t="str">
        <x:v>060</x:v>
      </x:c>
      <x:c r="D47" t="str">
        <x:v>Vermilion</x:v>
      </x:c>
      <x:c r="E47" t="str">
        <x:v>朱紅</x:v>
      </x:c>
      <x:c r="F47" t="str">
        <x:v>バーミリオン</x:v>
      </x:c>
      <x:c r="G47" t="str">
        <x:v>Vermilion</x:v>
      </x:c>
      <x:c r="H47" t="str">
        <x:v>朱紅</x:v>
      </x:c>
      <x:c r="I47" t="str">
        <x:v>バーミリオン</x:v>
      </x:c>
      <x:c r="J47" t="n">
        <x:v>7</x:v>
      </x:c>
      <x:c r="K47" t="str">
        <x:v>PABLO | SUPRACOLOR Soft Aquarelle | MUSEUM Aquarelle | NEOCOLOR II Aquarelle | NEOPASTEL | PASTEL PENCILS | PASTEL CUBES</x:v>
      </x:c>
      <x:c r="L47" t="str">
        <x:v>PR188 | PR254/PO43/PY3 | PR254/PO82/PY3</x:v>
      </x:c>
      <x:c r="M47" t="str">
        <x:v>#E87455</x:v>
      </x:c>
      <x:c r="N47" t="n">
        <x:v>232</x:v>
      </x:c>
      <x:c r="O47" t="n">
        <x:v>116</x:v>
      </x:c>
      <x:c r="P47" t="n">
        <x:v>85</x:v>
      </x:c>
      <x:c r="Q47" t="n">
        <x:v>61.92</x:v>
      </x:c>
      <x:c r="R47" t="n">
        <x:v>42.45</x:v>
      </x:c>
      <x:c r="S47" t="n">
        <x:v>37.73</x:v>
      </x:c>
      <x:c r="T47" t="n">
        <x:v>65.37</x:v>
      </x:c>
      <x:c r="U47" t="str">
        <x:v>#000000</x:v>
      </x:c>
      <x:c r="V47" t="n">
        <x:v>7.06</x:v>
      </x:c>
      <x:c r="W47" t="n">
        <x:v>0.303025</x:v>
      </x:c>
      <x:c r="X47" t="str">
        <x:v>Low</x:v>
      </x:c>
      <x:c r="Y47" t="str">
        <x:v>Average of official PDF swatch samples across distinct source palettes; not a physical colour standard.</x:v>
      </x:c>
    </x:row>
    <x:row r="48">
      <x:c r="A48" t="str">
        <x:v>0e87f956-3dfa-5192-b356-95d43e98ea46</x:v>
      </x:c>
      <x:c r="B48" t="str">
        <x:v>CDA-CODE-061</x:v>
      </x:c>
      <x:c r="C48" t="str">
        <x:v>061</x:v>
      </x:c>
      <x:c r="D48" t="str">
        <x:v>Permanent red</x:v>
      </x:c>
      <x:c r="E48" t="str">
        <x:v>永固紅</x:v>
      </x:c>
      <x:c r="F48" t="str">
        <x:v>パーマネントレッド</x:v>
      </x:c>
      <x:c r="G48" t="str">
        <x:v>Permanent red</x:v>
      </x:c>
      <x:c r="H48" t="str">
        <x:v>永固紅</x:v>
      </x:c>
      <x:c r="I48" t="str">
        <x:v>パーマネントレッド</x:v>
      </x:c>
      <x:c r="J48" t="n">
        <x:v>2</x:v>
      </x:c>
      <x:c r="K48" t="str">
        <x:v>LUMINANCE 6901 | NEOART 6901</x:v>
      </x:c>
      <x:c r="L48" t="str">
        <x:v>PR242</x:v>
      </x:c>
      <x:c r="M48" s="91" t="str">
        <x:v>#EA5E4A</x:v>
      </x:c>
      <x:c r="N48" t="n">
        <x:v>234</x:v>
      </x:c>
      <x:c r="O48" t="n">
        <x:v>94</x:v>
      </x:c>
      <x:c r="P48" t="n">
        <x:v>74</x:v>
      </x:c>
      <x:c r="Q48" t="n">
        <x:v>58.03</x:v>
      </x:c>
      <x:c r="R48" t="n">
        <x:v>52.98</x:v>
      </x:c>
      <x:c r="S48" t="n">
        <x:v>39.15</x:v>
      </x:c>
      <x:c r="T48" t="n">
        <x:v>12.92</x:v>
      </x:c>
      <x:c r="U48" t="str">
        <x:v>#000000</x:v>
      </x:c>
      <x:c r="V48" t="n">
        <x:v>6.2</x:v>
      </x:c>
      <x:c r="W48" t="n">
        <x:v>0.259922</x:v>
      </x:c>
      <x:c r="X48" t="str">
        <x:v>Medium</x:v>
      </x:c>
      <x:c r="Y48" t="str">
        <x:v>Average of official source-palette digital samples; NEOART 6901 added from the 2025 official catalogue chart. Digital values are screen-reference approximations, not manufacturer device-independent standards.</x:v>
      </x:c>
    </x:row>
    <x:row r="49">
      <x:c r="A49" t="str">
        <x:v>cee145ad-620f-5518-8857-cb4c0f17272c</x:v>
      </x:c>
      <x:c r="B49" t="str">
        <x:v>CDA-CODE-062</x:v>
      </x:c>
      <x:c r="C49" t="str">
        <x:v>062</x:v>
      </x:c>
      <x:c r="D49" t="str">
        <x:v>Venetian red</x:v>
      </x:c>
      <x:c r="E49" t="str">
        <x:v>威尼斯紅</x:v>
      </x:c>
      <x:c r="F49" t="str">
        <x:v>ベネチアンレッド</x:v>
      </x:c>
      <x:c r="G49" t="str">
        <x:v>Venetian red</x:v>
      </x:c>
      <x:c r="H49" t="str">
        <x:v>威尼斯紅</x:v>
      </x:c>
      <x:c r="I49" t="str">
        <x:v>ベネチアンレッド</x:v>
      </x:c>
      <x:c r="J49" t="n">
        <x:v>2</x:v>
      </x:c>
      <x:c r="K49" t="str">
        <x:v>PABLO | SUPRACOLOR Soft Aquarelle</x:v>
      </x:c>
      <x:c r="L49" t="str"/>
      <x:c r="M49" t="str">
        <x:v>#F2966D</x:v>
      </x:c>
      <x:c r="N49" t="n">
        <x:v>242</x:v>
      </x:c>
      <x:c r="O49" t="n">
        <x:v>150</x:v>
      </x:c>
      <x:c r="P49" t="n">
        <x:v>109</x:v>
      </x:c>
      <x:c r="Q49" t="n">
        <x:v>70.73</x:v>
      </x:c>
      <x:c r="R49" t="n">
        <x:v>30.56</x:v>
      </x:c>
      <x:c r="S49" t="n">
        <x:v>36.07</x:v>
      </x:c>
      <x:c r="T49" t="n">
        <x:v>21.36</x:v>
      </x:c>
      <x:c r="U49" t="str">
        <x:v>#000000</x:v>
      </x:c>
      <x:c r="V49" t="n">
        <x:v>9.36</x:v>
      </x:c>
      <x:c r="W49" t="n">
        <x:v>0.417941</x:v>
      </x:c>
      <x:c r="X49" t="str">
        <x:v>Medium</x:v>
      </x:c>
      <x:c r="Y49" t="str">
        <x:v>Average of official PDF swatch samples across distinct source palettes; not a physical colour standard.</x:v>
      </x:c>
    </x:row>
    <x:row r="50">
      <x:c r="A50" t="str">
        <x:v>b4ecc4a2-7b75-5baf-8139-3a399957d6ec</x:v>
      </x:c>
      <x:c r="B50" t="str">
        <x:v>CDA-CODE-063</x:v>
      </x:c>
      <x:c r="C50" t="str">
        <x:v>063</x:v>
      </x:c>
      <x:c r="D50" t="str">
        <x:v>English red</x:v>
      </x:c>
      <x:c r="E50" t="str">
        <x:v>英國紅</x:v>
      </x:c>
      <x:c r="F50" t="str">
        <x:v>イングリッシュレッド</x:v>
      </x:c>
      <x:c r="G50" t="str">
        <x:v>English red</x:v>
      </x:c>
      <x:c r="H50" t="str">
        <x:v>英國紅</x:v>
      </x:c>
      <x:c r="I50" t="str">
        <x:v>イングリッシュレッド</x:v>
      </x:c>
      <x:c r="J50" t="n">
        <x:v>4</x:v>
      </x:c>
      <x:c r="K50" t="str">
        <x:v>PABLO | SUPRACOLOR Soft Aquarelle | NEOCOLOR II Aquarelle | NEOPASTEL</x:v>
      </x:c>
      <x:c r="L50" t="str">
        <x:v>PR101/PY42</x:v>
      </x:c>
      <x:c r="M50" t="str">
        <x:v>#D27357</x:v>
      </x:c>
      <x:c r="N50" t="n">
        <x:v>210</x:v>
      </x:c>
      <x:c r="O50" t="n">
        <x:v>115</x:v>
      </x:c>
      <x:c r="P50" t="n">
        <x:v>87</x:v>
      </x:c>
      <x:c r="Q50" t="n">
        <x:v>58.65</x:v>
      </x:c>
      <x:c r="R50" t="n">
        <x:v>34.65</x:v>
      </x:c>
      <x:c r="S50" t="n">
        <x:v>31.91</x:v>
      </x:c>
      <x:c r="T50" t="n">
        <x:v>33.8</x:v>
      </x:c>
      <x:c r="U50" t="str">
        <x:v>#000000</x:v>
      </x:c>
      <x:c r="V50" t="n">
        <x:v>6.33</x:v>
      </x:c>
      <x:c r="W50" t="n">
        <x:v>0.266512</x:v>
      </x:c>
      <x:c r="X50" t="str">
        <x:v>Low</x:v>
      </x:c>
      <x:c r="Y50" t="str">
        <x:v>Average of official PDF swatch samples across distinct source palettes; not a physical colour standard.</x:v>
      </x:c>
    </x:row>
    <x:row r="51">
      <x:c r="A51" t="str">
        <x:v>eca82c70-1fbb-58b4-b1ba-0e54739439d0</x:v>
      </x:c>
      <x:c r="B51" t="str">
        <x:v>CDA-CODE-064</x:v>
      </x:c>
      <x:c r="C51" t="str">
        <x:v>064</x:v>
      </x:c>
      <x:c r="D51" t="str">
        <x:v>Medium russet</x:v>
      </x:c>
      <x:c r="E51" t="str">
        <x:v>中度赤褐</x:v>
      </x:c>
      <x:c r="F51" t="str">
        <x:v>ミディアムラセット</x:v>
      </x:c>
      <x:c r="G51" t="str">
        <x:v>Medium russet</x:v>
      </x:c>
      <x:c r="H51" t="str">
        <x:v>中度赤褐</x:v>
      </x:c>
      <x:c r="I51" t="str">
        <x:v>ミディアムラセット</x:v>
      </x:c>
      <x:c r="J51" t="n">
        <x:v>2</x:v>
      </x:c>
      <x:c r="K51" t="str">
        <x:v>PASTEL PENCILS | PASTEL CUBES</x:v>
      </x:c>
      <x:c r="L51" t="str">
        <x:v>PR101/PBk11</x:v>
      </x:c>
      <x:c r="M51" t="str">
        <x:v>#A54820</x:v>
      </x:c>
      <x:c r="N51" t="n">
        <x:v>165</x:v>
      </x:c>
      <x:c r="O51" t="n">
        <x:v>72</x:v>
      </x:c>
      <x:c r="P51" t="n">
        <x:v>32</x:v>
      </x:c>
      <x:c r="Q51" t="n">
        <x:v>42.37</x:v>
      </x:c>
      <x:c r="R51" t="n">
        <x:v>36.05</x:v>
      </x:c>
      <x:c r="S51" t="n">
        <x:v>41.1</x:v>
      </x:c>
      <x:c r="T51" t="n">
        <x:v>0</x:v>
      </x:c>
      <x:c r="U51" t="str">
        <x:v>#FFFFFF</x:v>
      </x:c>
      <x:c r="V51" t="n">
        <x:v>5.92</x:v>
      </x:c>
      <x:c r="W51" t="n">
        <x:v>0.127383</x:v>
      </x:c>
      <x:c r="X51" t="str">
        <x:v>High</x:v>
      </x:c>
      <x:c r="Y51" t="str">
        <x:v>Average of official PDF swatch samples across distinct source palettes; not a physical colour standard.</x:v>
      </x:c>
    </x:row>
    <x:row r="52">
      <x:c r="A52" t="str">
        <x:v>91a3d2cf-6d79-536f-9dd3-6acea80af176</x:v>
      </x:c>
      <x:c r="B52" t="str">
        <x:v>CDA-CODE-065</x:v>
      </x:c>
      <x:c r="C52" t="str">
        <x:v>065</x:v>
      </x:c>
      <x:c r="D52" t="str">
        <x:v>Russet</x:v>
      </x:c>
      <x:c r="E52" t="str">
        <x:v>赤褐色</x:v>
      </x:c>
      <x:c r="F52" t="str">
        <x:v>ラセット</x:v>
      </x:c>
      <x:c r="G52" t="str">
        <x:v>Russet</x:v>
      </x:c>
      <x:c r="H52" t="str">
        <x:v>赤褐色</x:v>
      </x:c>
      <x:c r="I52" t="str">
        <x:v>ラセット</x:v>
      </x:c>
      <x:c r="J52" t="n">
        <x:v>7</x:v>
      </x:c>
      <x:c r="K52" t="str">
        <x:v>LUMINANCE 6901 | PABLO | SUPRACOLOR Soft Aquarelle | MUSEUM Aquarelle | NEOCOLOR II Aquarelle | NEOPASTEL | NEOART 6901</x:v>
      </x:c>
      <x:c r="L52" t="str">
        <x:v>PR101/PR188/PY42 | PY42/PR101/PR188 | PB15/PO13/PY1/PR3 | PR188/PR101/PY42</x:v>
      </x:c>
      <x:c r="M52" s="93" t="str">
        <x:v>#CD6345</x:v>
      </x:c>
      <x:c r="N52" t="n">
        <x:v>205</x:v>
      </x:c>
      <x:c r="O52" t="n">
        <x:v>99</x:v>
      </x:c>
      <x:c r="P52" t="n">
        <x:v>69</x:v>
      </x:c>
      <x:c r="Q52" t="n">
        <x:v>54.38</x:v>
      </x:c>
      <x:c r="R52" t="n">
        <x:v>39.75</x:v>
      </x:c>
      <x:c r="S52" t="n">
        <x:v>36.47</x:v>
      </x:c>
      <x:c r="T52" t="n">
        <x:v>39.66</x:v>
      </x:c>
      <x:c r="U52" t="str">
        <x:v>#000000</x:v>
      </x:c>
      <x:c r="V52" t="n">
        <x:v>5.47</x:v>
      </x:c>
      <x:c r="W52" t="n">
        <x:v>0.223325</x:v>
      </x:c>
      <x:c r="X52" t="str">
        <x:v>Low</x:v>
      </x:c>
      <x:c r="Y5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53">
      <x:c r="A53" t="str">
        <x:v>cfebfd0a-f69b-5df4-993d-c0405164ccbf</x:v>
      </x:c>
      <x:c r="B53" t="str">
        <x:v>CDA-CODE-066</x:v>
      </x:c>
      <x:c r="C53" t="str">
        <x:v>066</x:v>
      </x:c>
      <x:c r="D53" t="str">
        <x:v>Natural russet</x:v>
      </x:c>
      <x:c r="E53" t="str">
        <x:v>天然赤褐</x:v>
      </x:c>
      <x:c r="F53" t="str">
        <x:v>ナチュラルラセット</x:v>
      </x:c>
      <x:c r="G53" t="str">
        <x:v>Natural russet | Raw Russet</x:v>
      </x:c>
      <x:c r="H53" t="str">
        <x:v>天然赤褐 | 生赤褐</x:v>
      </x:c>
      <x:c r="I53" t="str">
        <x:v>ナチュラルラセット | ローラセット</x:v>
      </x:c>
      <x:c r="J53" t="n">
        <x:v>3</x:v>
      </x:c>
      <x:c r="K53" t="str">
        <x:v>LUMINANCE 6901 | PASTEL PENCILS | PASTEL CUBES</x:v>
      </x:c>
      <x:c r="L53" t="str">
        <x:v>PR101</x:v>
      </x:c>
      <x:c r="M53" t="str">
        <x:v>#B04E34</x:v>
      </x:c>
      <x:c r="N53" t="n">
        <x:v>176</x:v>
      </x:c>
      <x:c r="O53" t="n">
        <x:v>78</x:v>
      </x:c>
      <x:c r="P53" t="n">
        <x:v>52</x:v>
      </x:c>
      <x:c r="Q53" t="n">
        <x:v>45.54</x:v>
      </x:c>
      <x:c r="R53" t="n">
        <x:v>38.22</x:v>
      </x:c>
      <x:c r="S53" t="n">
        <x:v>34.43</x:v>
      </x:c>
      <x:c r="T53" t="n">
        <x:v>22.46</x:v>
      </x:c>
      <x:c r="U53" t="str">
        <x:v>#FFFFFF</x:v>
      </x:c>
      <x:c r="V53" t="n">
        <x:v>5.27</x:v>
      </x:c>
      <x:c r="W53" t="n">
        <x:v>0.149268</x:v>
      </x:c>
      <x:c r="X53" t="str">
        <x:v>Medium</x:v>
      </x:c>
      <x:c r="Y53" t="str">
        <x:v>Average of official PDF swatch samples across distinct source palettes; not a physical colour standard.</x:v>
      </x:c>
    </x:row>
    <x:row r="54">
      <x:c r="A54" t="str">
        <x:v>d24180a2-6c7d-56a5-a306-b47946913f2d</x:v>
      </x:c>
      <x:c r="B54" t="str">
        <x:v>CDA-CODE-067</x:v>
      </x:c>
      <x:c r="C54" t="str">
        <x:v>067</x:v>
      </x:c>
      <x:c r="D54" t="str">
        <x:v>Mahogany</x:v>
      </x:c>
      <x:c r="E54" t="str">
        <x:v>桃花心木色</x:v>
      </x:c>
      <x:c r="F54" t="str">
        <x:v>マホガニー</x:v>
      </x:c>
      <x:c r="G54" t="str">
        <x:v>Mahogany</x:v>
      </x:c>
      <x:c r="H54" t="str">
        <x:v>桃花心木色</x:v>
      </x:c>
      <x:c r="I54" t="str">
        <x:v>マホガニー</x:v>
      </x:c>
      <x:c r="J54" t="n">
        <x:v>3</x:v>
      </x:c>
      <x:c r="K54" t="str">
        <x:v>PABLO | SUPRACOLOR Soft Aquarelle | NEOPASTEL</x:v>
      </x:c>
      <x:c r="L54" t="str">
        <x:v>PY42/PR101/PBk7</x:v>
      </x:c>
      <x:c r="M54" t="str">
        <x:v>#A1695B</x:v>
      </x:c>
      <x:c r="N54" t="n">
        <x:v>161</x:v>
      </x:c>
      <x:c r="O54" t="n">
        <x:v>105</x:v>
      </x:c>
      <x:c r="P54" t="n">
        <x:v>91</x:v>
      </x:c>
      <x:c r="Q54" t="n">
        <x:v>50.02</x:v>
      </x:c>
      <x:c r="R54" t="n">
        <x:v>20.73</x:v>
      </x:c>
      <x:c r="S54" t="n">
        <x:v>17.11</x:v>
      </x:c>
      <x:c r="T54" t="n">
        <x:v>40.7</x:v>
      </x:c>
      <x:c r="U54" t="str">
        <x:v>#000000</x:v>
      </x:c>
      <x:c r="V54" t="n">
        <x:v>4.69</x:v>
      </x:c>
      <x:c r="W54" t="n">
        <x:v>0.184355</x:v>
      </x:c>
      <x:c r="X54" t="str">
        <x:v>Low</x:v>
      </x:c>
      <x:c r="Y54" t="str">
        <x:v>Average of official PDF swatch samples across distinct source palettes; not a physical colour standard.</x:v>
      </x:c>
    </x:row>
    <x:row r="55">
      <x:c r="A55" t="str">
        <x:v>cf74a785-f5e0-5e2c-bf77-3f77f5dd6745</x:v>
      </x:c>
      <x:c r="B55" t="str">
        <x:v>CDA-CODE-068</x:v>
      </x:c>
      <x:c r="C55" t="str">
        <x:v>068</x:v>
      </x:c>
      <x:c r="D55" t="str">
        <x:v>Herculanum red</x:v>
      </x:c>
      <x:c r="E55" t="str">
        <x:v>赫庫蘭尼姆紅</x:v>
      </x:c>
      <x:c r="F55" t="str">
        <x:v>ヘルクラネウムレッド</x:v>
      </x:c>
      <x:c r="G55" t="str">
        <x:v>Herculanum red</x:v>
      </x:c>
      <x:c r="H55" t="str">
        <x:v>赫庫蘭尼姆紅</x:v>
      </x:c>
      <x:c r="I55" t="str">
        <x:v>ヘルクラネウムレッド</x:v>
      </x:c>
      <x:c r="J55" t="n">
        <x:v>4</x:v>
      </x:c>
      <x:c r="K55" t="str">
        <x:v>LUMINANCE 6901 | PASTEL PENCILS | PASTEL CUBES | NEOART 6901</x:v>
      </x:c>
      <x:c r="L55" t="str">
        <x:v>PR101 | PR179/PR168/PR112/PY42</x:v>
      </x:c>
      <x:c r="M55" s="95" t="str">
        <x:v>#F0B19C</x:v>
      </x:c>
      <x:c r="N55" t="n">
        <x:v>240</x:v>
      </x:c>
      <x:c r="O55" t="n">
        <x:v>177</x:v>
      </x:c>
      <x:c r="P55" t="n">
        <x:v>156</x:v>
      </x:c>
      <x:c r="Q55" t="n">
        <x:v>77.5</x:v>
      </x:c>
      <x:c r="R55" t="n">
        <x:v>20.24</x:v>
      </x:c>
      <x:c r="S55" t="n">
        <x:v>19.76</x:v>
      </x:c>
      <x:c r="T55" t="n">
        <x:v>5.3</x:v>
      </x:c>
      <x:c r="U55" t="str">
        <x:v>#000000</x:v>
      </x:c>
      <x:c r="V55" t="n">
        <x:v>11.47</x:v>
      </x:c>
      <x:c r="W55" t="n">
        <x:v>0.523698</x:v>
      </x:c>
      <x:c r="X55" t="str">
        <x:v>High</x:v>
      </x:c>
      <x:c r="Y55" t="str">
        <x:v>Average of official source-palette digital samples; NEOART 6901 added from the 2025 official catalogue chart. Digital values are screen-reference approximations, not manufacturer device-independent standards.</x:v>
      </x:c>
    </x:row>
    <x:row r="56">
      <x:c r="A56" t="str">
        <x:v>cc93e1eb-34d0-5610-9562-5e234935f63d</x:v>
      </x:c>
      <x:c r="B56" t="str">
        <x:v>CDA-CODE-069</x:v>
      </x:c>
      <x:c r="C56" t="str">
        <x:v>069</x:v>
      </x:c>
      <x:c r="D56" t="str">
        <x:v>Burnt sienna</x:v>
      </x:c>
      <x:c r="E56" t="str">
        <x:v>熟赭紅</x:v>
      </x:c>
      <x:c r="F56" t="str">
        <x:v>バーントシェンナ</x:v>
      </x:c>
      <x:c r="G56" t="str">
        <x:v>Burnt Siena | Burnt sienna</x:v>
      </x:c>
      <x:c r="H56" t="str">
        <x:v>熟赭紅</x:v>
      </x:c>
      <x:c r="I56" t="str">
        <x:v>バーントシェンナ</x:v>
      </x:c>
      <x:c r="J56" t="n">
        <x:v>8</x:v>
      </x:c>
      <x:c r="K56" t="str">
        <x:v>LUMINANCE 6901 | PABLO | SUPRACOLOR Soft Aquarelle | NEOCOLOR II Aquarelle | NEOPASTEL | PASTEL PENCILS | PASTEL CUBES | NEOART 6901</x:v>
      </x:c>
      <x:c r="L56" t="str">
        <x:v>PR101/PBk6 | PR101 | PBk6/PR101</x:v>
      </x:c>
      <x:c r="M56" s="97" t="str">
        <x:v>#9D6055</x:v>
      </x:c>
      <x:c r="N56" t="n">
        <x:v>157</x:v>
      </x:c>
      <x:c r="O56" t="n">
        <x:v>96</x:v>
      </x:c>
      <x:c r="P56" t="n">
        <x:v>85</x:v>
      </x:c>
      <x:c r="Q56" t="n">
        <x:v>47.22</x:v>
      </x:c>
      <x:c r="R56" t="n">
        <x:v>23.52</x:v>
      </x:c>
      <x:c r="S56" t="n">
        <x:v>16.78</x:v>
      </x:c>
      <x:c r="T56" t="n">
        <x:v>29.75</x:v>
      </x:c>
      <x:c r="U56" t="str">
        <x:v>#FFFFFF</x:v>
      </x:c>
      <x:c r="V56" t="n">
        <x:v>4.96</x:v>
      </x:c>
      <x:c r="W56" t="n">
        <x:v>0.161897</x:v>
      </x:c>
      <x:c r="X56" t="str">
        <x:v>Low</x:v>
      </x:c>
      <x:c r="Y5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57">
      <x:c r="A57" t="str">
        <x:v>2dcedd03-0d82-5dc4-a34e-7ed1c317e71e</x:v>
      </x:c>
      <x:c r="B57" t="str">
        <x:v>CDA-CODE-070</x:v>
      </x:c>
      <x:c r="C57" t="str">
        <x:v>070</x:v>
      </x:c>
      <x:c r="D57" t="str">
        <x:v>Scarlet</x:v>
      </x:c>
      <x:c r="E57" t="str">
        <x:v>猩紅</x:v>
      </x:c>
      <x:c r="F57" t="str">
        <x:v>スカーレット</x:v>
      </x:c>
      <x:c r="G57" t="str">
        <x:v>Scarlet</x:v>
      </x:c>
      <x:c r="H57" t="str">
        <x:v>猩紅</x:v>
      </x:c>
      <x:c r="I57" t="str">
        <x:v>スカーレット</x:v>
      </x:c>
      <x:c r="J57" t="n">
        <x:v>9</x:v>
      </x:c>
      <x:c r="K57" t="str">
        <x:v>LUMINANCE 6901 | PABLO | SUPRACOLOR Soft Aquarelle | MUSEUM Aquarelle | NEOCOLOR II Aquarelle | NEOPASTEL | PASTEL PENCILS | PASTEL CUBES | NEOART 6901</x:v>
      </x:c>
      <x:c r="L57" t="str">
        <x:v>PR254 | PR170/PR254</x:v>
      </x:c>
      <x:c r="M57" s="99" t="str">
        <x:v>#DE484D</x:v>
      </x:c>
      <x:c r="N57" t="n">
        <x:v>222</x:v>
      </x:c>
      <x:c r="O57" t="n">
        <x:v>72</x:v>
      </x:c>
      <x:c r="P57" t="n">
        <x:v>77</x:v>
      </x:c>
      <x:c r="Q57" t="n">
        <x:v>52.63</x:v>
      </x:c>
      <x:c r="R57" t="n">
        <x:v>58.39</x:v>
      </x:c>
      <x:c r="S57" t="n">
        <x:v>30.44</x:v>
      </x:c>
      <x:c r="T57" t="n">
        <x:v>77.16</x:v>
      </x:c>
      <x:c r="U57" t="str">
        <x:v>#000000</x:v>
      </x:c>
      <x:c r="V57" t="n">
        <x:v>5.14</x:v>
      </x:c>
      <x:c r="W57" t="n">
        <x:v>0.207001</x:v>
      </x:c>
      <x:c r="X57" t="str">
        <x:v>Low</x:v>
      </x:c>
      <x:c r="Y5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58">
      <x:c r="A58" t="str">
        <x:v>ee2773c8-482d-51ce-83d3-72cc028e5a61</x:v>
      </x:c>
      <x:c r="B58" t="str">
        <x:v>CDA-CODE-071</x:v>
      </x:c>
      <x:c r="C58" t="str">
        <x:v>071</x:v>
      </x:c>
      <x:c r="D58" t="str">
        <x:v>Salmon pink</x:v>
      </x:c>
      <x:c r="E58" t="str">
        <x:v>鮭魚粉紅</x:v>
      </x:c>
      <x:c r="F58" t="str">
        <x:v>サーモンピンク</x:v>
      </x:c>
      <x:c r="G58" t="str">
        <x:v>Salmon Pink | Salmon pink</x:v>
      </x:c>
      <x:c r="H58" t="str">
        <x:v>鮭魚粉紅</x:v>
      </x:c>
      <x:c r="I58" t="str">
        <x:v>サーモンピンク</x:v>
      </x:c>
      <x:c r="J58" t="n">
        <x:v>4</x:v>
      </x:c>
      <x:c r="K58" t="str">
        <x:v>PABLO | SUPRACOLOR Soft Aquarelle | NEOCOLOR II Aquarelle | NEOPASTEL</x:v>
      </x:c>
      <x:c r="L58" t="str">
        <x:v>PR168</x:v>
      </x:c>
      <x:c r="M58" t="str">
        <x:v>#F5B1A7</x:v>
      </x:c>
      <x:c r="N58" t="n">
        <x:v>245</x:v>
      </x:c>
      <x:c r="O58" t="n">
        <x:v>177</x:v>
      </x:c>
      <x:c r="P58" t="n">
        <x:v>167</x:v>
      </x:c>
      <x:c r="Q58" t="n">
        <x:v>78.26</x:v>
      </x:c>
      <x:c r="R58" t="n">
        <x:v>23.48</x:v>
      </x:c>
      <x:c r="S58" t="n">
        <x:v>14.95</x:v>
      </x:c>
      <x:c r="T58" t="n">
        <x:v>34.31</x:v>
      </x:c>
      <x:c r="U58" t="str">
        <x:v>#000000</x:v>
      </x:c>
      <x:c r="V58" t="n">
        <x:v>11.73</x:v>
      </x:c>
      <x:c r="W58" t="n">
        <x:v>0.536468</x:v>
      </x:c>
      <x:c r="X58" t="str">
        <x:v>Low</x:v>
      </x:c>
      <x:c r="Y58" t="str">
        <x:v>Average of official PDF swatch samples across distinct source palettes; not a physical colour standard.</x:v>
      </x:c>
    </x:row>
    <x:row r="59">
      <x:c r="A59" t="str">
        <x:v>363313a5-2c52-552f-8f14-166148a40e39</x:v>
      </x:c>
      <x:c r="B59" t="str">
        <x:v>CDA-CODE-075</x:v>
      </x:c>
      <x:c r="C59" t="str">
        <x:v>075</x:v>
      </x:c>
      <x:c r="D59" t="str">
        <x:v>Indian red</x:v>
      </x:c>
      <x:c r="E59" t="str">
        <x:v>印度紅</x:v>
      </x:c>
      <x:c r="F59" t="str">
        <x:v>インディアンレッド</x:v>
      </x:c>
      <x:c r="G59" t="str">
        <x:v>Indian red</x:v>
      </x:c>
      <x:c r="H59" t="str">
        <x:v>印度紅</x:v>
      </x:c>
      <x:c r="I59" t="str">
        <x:v>インディアンレッド</x:v>
      </x:c>
      <x:c r="J59" t="n">
        <x:v>3</x:v>
      </x:c>
      <x:c r="K59" t="str">
        <x:v>PABLO | SUPRACOLOR Soft Aquarelle | NEOPASTEL</x:v>
      </x:c>
      <x:c r="L59" t="str">
        <x:v>PBk6/PR112</x:v>
      </x:c>
      <x:c r="M59" t="str">
        <x:v>#C85F6C</x:v>
      </x:c>
      <x:c r="N59" t="n">
        <x:v>200</x:v>
      </x:c>
      <x:c r="O59" t="n">
        <x:v>95</x:v>
      </x:c>
      <x:c r="P59" t="n">
        <x:v>108</x:v>
      </x:c>
      <x:c r="Q59" t="n">
        <x:v>53.55</x:v>
      </x:c>
      <x:c r="R59" t="n">
        <x:v>43</x:v>
      </x:c>
      <x:c r="S59" t="n">
        <x:v>12.78</x:v>
      </x:c>
      <x:c r="T59" t="n">
        <x:v>53.86</x:v>
      </x:c>
      <x:c r="U59" t="str">
        <x:v>#000000</x:v>
      </x:c>
      <x:c r="V59" t="n">
        <x:v>5.31</x:v>
      </x:c>
      <x:c r="W59" t="n">
        <x:v>0.215465</x:v>
      </x:c>
      <x:c r="X59" t="str">
        <x:v>Low</x:v>
      </x:c>
      <x:c r="Y59" t="str">
        <x:v>Average of official PDF swatch samples across distinct source palettes; not a physical colour standard.</x:v>
      </x:c>
    </x:row>
    <x:row r="60">
      <x:c r="A60" t="str">
        <x:v>e3494ca6-14f6-5a22-a9b3-6f44868b6493</x:v>
      </x:c>
      <x:c r="B60" t="str">
        <x:v>CDA-CODE-077</x:v>
      </x:c>
      <x:c r="C60" t="str">
        <x:v>077</x:v>
      </x:c>
      <x:c r="D60" t="str">
        <x:v>Burnt ochre</x:v>
      </x:c>
      <x:c r="E60" t="str">
        <x:v>熟赭色</x:v>
      </x:c>
      <x:c r="F60" t="str">
        <x:v>バーントオーカー</x:v>
      </x:c>
      <x:c r="G60" t="str">
        <x:v>Burnt ochre</x:v>
      </x:c>
      <x:c r="H60" t="str">
        <x:v>熟赭色</x:v>
      </x:c>
      <x:c r="I60" t="str">
        <x:v>バーントオーカー</x:v>
      </x:c>
      <x:c r="J60" t="n">
        <x:v>3</x:v>
      </x:c>
      <x:c r="K60" t="str">
        <x:v>LUMINANCE 6901 | MUSEUM Aquarelle | NEOART 6901</x:v>
      </x:c>
      <x:c r="L60" t="str">
        <x:v>PY42/PR101 | PR101/PY42</x:v>
      </x:c>
      <x:c r="M60" s="101" t="str">
        <x:v>#C87D52</x:v>
      </x:c>
      <x:c r="N60" t="n">
        <x:v>200</x:v>
      </x:c>
      <x:c r="O60" t="n">
        <x:v>125</x:v>
      </x:c>
      <x:c r="P60" t="n">
        <x:v>82</x:v>
      </x:c>
      <x:c r="Q60" t="n">
        <x:v>59.49</x:v>
      </x:c>
      <x:c r="R60" t="n">
        <x:v>24.9</x:v>
      </x:c>
      <x:c r="S60" t="n">
        <x:v>35.4</x:v>
      </x:c>
      <x:c r="T60" t="n">
        <x:v>11.15</x:v>
      </x:c>
      <x:c r="U60" t="str">
        <x:v>#000000</x:v>
      </x:c>
      <x:c r="V60" t="n">
        <x:v>6.51</x:v>
      </x:c>
      <x:c r="W60" t="n">
        <x:v>0.275558</x:v>
      </x:c>
      <x:c r="X60" t="str">
        <x:v>Medium</x:v>
      </x:c>
      <x:c r="Y60" t="str">
        <x:v>Average of official source-palette digital samples; NEOART 6901 added from the 2025 official catalogue chart. Digital values are screen-reference approximations, not manufacturer device-independent standards.</x:v>
      </x:c>
    </x:row>
    <x:row r="61">
      <x:c r="A61" t="str">
        <x:v>8fc33401-4732-5074-a23a-104fe5efd12f</x:v>
      </x:c>
      <x:c r="B61" t="str">
        <x:v>CDA-CODE-080</x:v>
      </x:c>
      <x:c r="C61" t="str">
        <x:v>080</x:v>
      </x:c>
      <x:c r="D61" t="str">
        <x:v>Carmine Lake</x:v>
      </x:c>
      <x:c r="E61" t="str">
        <x:v>胭脂紅色淀</x:v>
      </x:c>
      <x:c r="F61" t="str">
        <x:v>カーマインレーキ</x:v>
      </x:c>
      <x:c r="G61" t="str">
        <x:v>Carmine Lake</x:v>
      </x:c>
      <x:c r="H61" t="str">
        <x:v>胭脂紅色淀</x:v>
      </x:c>
      <x:c r="I61" t="str">
        <x:v>カーマインレーキ</x:v>
      </x:c>
      <x:c r="J61" t="n">
        <x:v>6</x:v>
      </x:c>
      <x:c r="K61" t="str">
        <x:v>PABLO | SUPRACOLOR Soft Aquarelle | NEOCOLOR II Aquarelle | NEOPASTEL | PASTEL PENCILS | PASTEL CUBES</x:v>
      </x:c>
      <x:c r="L61" t="str">
        <x:v>PR48:3/PR179 | PV19/PR48:4</x:v>
      </x:c>
      <x:c r="M61" t="str">
        <x:v>#CE5071</x:v>
      </x:c>
      <x:c r="N61" t="n">
        <x:v>206</x:v>
      </x:c>
      <x:c r="O61" t="n">
        <x:v>80</x:v>
      </x:c>
      <x:c r="P61" t="n">
        <x:v>113</x:v>
      </x:c>
      <x:c r="Q61" t="n">
        <x:v>51.9</x:v>
      </x:c>
      <x:c r="R61" t="n">
        <x:v>52.63</x:v>
      </x:c>
      <x:c r="S61" t="n">
        <x:v>7.62</x:v>
      </x:c>
      <x:c r="T61" t="n">
        <x:v>67.05</x:v>
      </x:c>
      <x:c r="U61" t="str">
        <x:v>#000000</x:v>
      </x:c>
      <x:c r="V61" t="n">
        <x:v>5.01</x:v>
      </x:c>
      <x:c r="W61" t="n">
        <x:v>0.200514</x:v>
      </x:c>
      <x:c r="X61" t="str">
        <x:v>Low</x:v>
      </x:c>
      <x:c r="Y61" t="str">
        <x:v>Average of official PDF swatch samples across distinct source palettes; not a physical colour standard.</x:v>
      </x:c>
    </x:row>
    <x:row r="62">
      <x:c r="A62" t="str">
        <x:v>211a5e8d-3ee2-580c-9d09-b2a3736b420e</x:v>
      </x:c>
      <x:c r="B62" t="str">
        <x:v>CDA-CODE-081</x:v>
      </x:c>
      <x:c r="C62" t="str">
        <x:v>081</x:v>
      </x:c>
      <x:c r="D62" t="str">
        <x:v>Pink</x:v>
      </x:c>
      <x:c r="E62" t="str">
        <x:v>粉紅色</x:v>
      </x:c>
      <x:c r="F62" t="str">
        <x:v>ピンク</x:v>
      </x:c>
      <x:c r="G62" t="str">
        <x:v>Pink</x:v>
      </x:c>
      <x:c r="H62" t="str">
        <x:v>粉紅色</x:v>
      </x:c>
      <x:c r="I62" t="str">
        <x:v>ピンク</x:v>
      </x:c>
      <x:c r="J62" t="n">
        <x:v>4</x:v>
      </x:c>
      <x:c r="K62" t="str">
        <x:v>PABLO | SUPRACOLOR Soft Aquarelle | NEOCOLOR II Aquarelle | NEOPASTEL</x:v>
      </x:c>
      <x:c r="L62" t="str">
        <x:v>PR170/PR48:4</x:v>
      </x:c>
      <x:c r="M62" t="str">
        <x:v>#F0ACBE</x:v>
      </x:c>
      <x:c r="N62" t="n">
        <x:v>240</x:v>
      </x:c>
      <x:c r="O62" t="n">
        <x:v>172</x:v>
      </x:c>
      <x:c r="P62" t="n">
        <x:v>190</x:v>
      </x:c>
      <x:c r="Q62" t="n">
        <x:v>77.13</x:v>
      </x:c>
      <x:c r="R62" t="n">
        <x:v>27.45</x:v>
      </x:c>
      <x:c r="S62" t="n">
        <x:v>0.78</x:v>
      </x:c>
      <x:c r="T62" t="n">
        <x:v>39.46</x:v>
      </x:c>
      <x:c r="U62" t="str">
        <x:v>#000000</x:v>
      </x:c>
      <x:c r="V62" t="n">
        <x:v>11.35</x:v>
      </x:c>
      <x:c r="W62" t="n">
        <x:v>0.51748</x:v>
      </x:c>
      <x:c r="X62" t="str">
        <x:v>Low</x:v>
      </x:c>
      <x:c r="Y62" t="str">
        <x:v>Average of official PDF swatch samples across distinct source palettes; not a physical colour standard.</x:v>
      </x:c>
    </x:row>
    <x:row r="63">
      <x:c r="A63" t="str">
        <x:v>255654d8-dd32-544f-b3c0-e9e35ab2568f</x:v>
      </x:c>
      <x:c r="B63" t="str">
        <x:v>CDA-CODE-082</x:v>
      </x:c>
      <x:c r="C63" t="str">
        <x:v>082</x:v>
      </x:c>
      <x:c r="D63" t="str">
        <x:v>Old pink</x:v>
      </x:c>
      <x:c r="E63" t="str">
        <x:v>復古粉紅</x:v>
      </x:c>
      <x:c r="F63" t="str">
        <x:v>オールドピンク</x:v>
      </x:c>
      <x:c r="G63" t="str">
        <x:v>Old pink</x:v>
      </x:c>
      <x:c r="H63" t="str">
        <x:v>復古粉紅</x:v>
      </x:c>
      <x:c r="I63" t="str">
        <x:v>オールドピンク</x:v>
      </x:c>
      <x:c r="J63" t="n">
        <x:v>2</x:v>
      </x:c>
      <x:c r="K63" t="str">
        <x:v>PABLO | SUPRACOLOR Soft Aquarelle</x:v>
      </x:c>
      <x:c r="L63" t="str"/>
      <x:c r="M63" t="str">
        <x:v>#F396A2</x:v>
      </x:c>
      <x:c r="N63" t="n">
        <x:v>243</x:v>
      </x:c>
      <x:c r="O63" t="n">
        <x:v>150</x:v>
      </x:c>
      <x:c r="P63" t="n">
        <x:v>162</x:v>
      </x:c>
      <x:c r="Q63" t="n">
        <x:v>71.88</x:v>
      </x:c>
      <x:c r="R63" t="n">
        <x:v>36.32</x:v>
      </x:c>
      <x:c r="S63" t="n">
        <x:v>8.63</x:v>
      </x:c>
      <x:c r="T63" t="n">
        <x:v>36.72</x:v>
      </x:c>
      <x:c r="U63" t="str">
        <x:v>#000000</x:v>
      </x:c>
      <x:c r="V63" t="n">
        <x:v>9.7</x:v>
      </x:c>
      <x:c r="W63" t="n">
        <x:v>0.43476</x:v>
      </x:c>
      <x:c r="X63" t="str">
        <x:v>Low</x:v>
      </x:c>
      <x:c r="Y63" t="str">
        <x:v>Average of official PDF swatch samples across distinct source palettes; not a physical colour standard.</x:v>
      </x:c>
    </x:row>
    <x:row r="64">
      <x:c r="A64" t="str">
        <x:v>ebaf999e-6067-5304-959c-61ee0ffe944e</x:v>
      </x:c>
      <x:c r="B64" t="str">
        <x:v>CDA-CODE-083</x:v>
      </x:c>
      <x:c r="C64" t="str">
        <x:v>083</x:v>
      </x:c>
      <x:c r="D64" t="str">
        <x:v>Ultramarin pink</x:v>
      </x:c>
      <x:c r="E64" t="str">
        <x:v>群青粉紅</x:v>
      </x:c>
      <x:c r="F64" t="str">
        <x:v>ウルトラマリンピンク</x:v>
      </x:c>
      <x:c r="G64" t="str">
        <x:v>Ultramarin pink | Ultramarine pink</x:v>
      </x:c>
      <x:c r="H64" t="str">
        <x:v>群青粉紅</x:v>
      </x:c>
      <x:c r="I64" t="str">
        <x:v>ウルトラマリンピンク</x:v>
      </x:c>
      <x:c r="J64" t="n">
        <x:v>3</x:v>
      </x:c>
      <x:c r="K64" t="str">
        <x:v>LUMINANCE 6901 | PASTEL PENCILS | PASTEL CUBES</x:v>
      </x:c>
      <x:c r="L64" t="str">
        <x:v>PR259 | PR259/PR122</x:v>
      </x:c>
      <x:c r="M64" t="str">
        <x:v>#C096B8</x:v>
      </x:c>
      <x:c r="N64" t="n">
        <x:v>192</x:v>
      </x:c>
      <x:c r="O64" t="n">
        <x:v>150</x:v>
      </x:c>
      <x:c r="P64" t="n">
        <x:v>184</x:v>
      </x:c>
      <x:c r="Q64" t="n">
        <x:v>66.89</x:v>
      </x:c>
      <x:c r="R64" t="n">
        <x:v>21.43</x:v>
      </x:c>
      <x:c r="S64" t="n">
        <x:v>-11.6</x:v>
      </x:c>
      <x:c r="T64" t="n">
        <x:v>9.61</x:v>
      </x:c>
      <x:c r="U64" t="str">
        <x:v>#000000</x:v>
      </x:c>
      <x:c r="V64" t="n">
        <x:v>8.3</x:v>
      </x:c>
      <x:c r="W64" t="n">
        <x:v>0.364799</x:v>
      </x:c>
      <x:c r="X64" t="str">
        <x:v>High</x:v>
      </x:c>
      <x:c r="Y64" t="str">
        <x:v>Average of official PDF swatch samples across distinct source palettes; not a physical colour standard.</x:v>
      </x:c>
    </x:row>
    <x:row r="65">
      <x:c r="A65" t="str">
        <x:v>da971211-9e99-52a4-843a-00873895f793</x:v>
      </x:c>
      <x:c r="B65" t="str">
        <x:v>CDA-CODE-085</x:v>
      </x:c>
      <x:c r="C65" t="str">
        <x:v>085</x:v>
      </x:c>
      <x:c r="D65" t="str">
        <x:v>Bordeaux red</x:v>
      </x:c>
      <x:c r="E65" t="str">
        <x:v>波爾多紅</x:v>
      </x:c>
      <x:c r="F65" t="str">
        <x:v>ボルドーレッド</x:v>
      </x:c>
      <x:c r="G65" t="str">
        <x:v>Bordeaux red</x:v>
      </x:c>
      <x:c r="H65" t="str">
        <x:v>波爾多紅</x:v>
      </x:c>
      <x:c r="I65" t="str">
        <x:v>ボルドーレッド</x:v>
      </x:c>
      <x:c r="J65" t="n">
        <x:v>2</x:v>
      </x:c>
      <x:c r="K65" t="str">
        <x:v>PABLO | SUPRACOLOR Soft Aquarelle</x:v>
      </x:c>
      <x:c r="L65" t="str"/>
      <x:c r="M65" t="str">
        <x:v>#D36C7C</x:v>
      </x:c>
      <x:c r="N65" t="n">
        <x:v>211</x:v>
      </x:c>
      <x:c r="O65" t="n">
        <x:v>108</x:v>
      </x:c>
      <x:c r="P65" t="n">
        <x:v>124</x:v>
      </x:c>
      <x:c r="Q65" t="n">
        <x:v>58.07</x:v>
      </x:c>
      <x:c r="R65" t="n">
        <x:v>42.06</x:v>
      </x:c>
      <x:c r="S65" t="n">
        <x:v>9.99</x:v>
      </x:c>
      <x:c r="T65" t="n">
        <x:v>34.43</x:v>
      </x:c>
      <x:c r="U65" t="str">
        <x:v>#000000</x:v>
      </x:c>
      <x:c r="V65" t="n">
        <x:v>6.21</x:v>
      </x:c>
      <x:c r="W65" t="n">
        <x:v>0.260292</x:v>
      </x:c>
      <x:c r="X65" t="str">
        <x:v>Low</x:v>
      </x:c>
      <x:c r="Y65" t="str">
        <x:v>Average of official PDF swatch samples across distinct source palettes; not a physical colour standard.</x:v>
      </x:c>
    </x:row>
    <x:row r="66">
      <x:c r="A66" t="str">
        <x:v>3159f625-d33c-5af9-a012-e3105a2781ee</x:v>
      </x:c>
      <x:c r="B66" t="str">
        <x:v>CDA-CODE-089</x:v>
      </x:c>
      <x:c r="C66" t="str">
        <x:v>089</x:v>
      </x:c>
      <x:c r="D66" t="str">
        <x:v>Dark carmine</x:v>
      </x:c>
      <x:c r="E66" t="str">
        <x:v>深胭脂紅</x:v>
      </x:c>
      <x:c r="F66" t="str">
        <x:v>ダークカーマイン</x:v>
      </x:c>
      <x:c r="G66" t="str">
        <x:v>Dark carmine</x:v>
      </x:c>
      <x:c r="H66" t="str">
        <x:v>深胭脂紅</x:v>
      </x:c>
      <x:c r="I66" t="str">
        <x:v>ダークカーマイン</x:v>
      </x:c>
      <x:c r="J66" t="n">
        <x:v>4</x:v>
      </x:c>
      <x:c r="K66" t="str">
        <x:v>PABLO | SUPRACOLOR Soft Aquarelle | PASTEL PENCILS | PASTEL CUBES</x:v>
      </x:c>
      <x:c r="L66" t="str">
        <x:v>PR254/PBK11/PY42/PR101/PBK7/PBr7</x:v>
      </x:c>
      <x:c r="M66" t="str">
        <x:v>#AE5063</x:v>
      </x:c>
      <x:c r="N66" t="n">
        <x:v>174</x:v>
      </x:c>
      <x:c r="O66" t="n">
        <x:v>80</x:v>
      </x:c>
      <x:c r="P66" t="n">
        <x:v>99</x:v>
      </x:c>
      <x:c r="Q66" t="n">
        <x:v>46.5</x:v>
      </x:c>
      <x:c r="R66" t="n">
        <x:v>40.27</x:v>
      </x:c>
      <x:c r="S66" t="n">
        <x:v>7.7</x:v>
      </x:c>
      <x:c r="T66" t="n">
        <x:v>42.64</x:v>
      </x:c>
      <x:c r="U66" t="str">
        <x:v>#FFFFFF</x:v>
      </x:c>
      <x:c r="V66" t="n">
        <x:v>5.09</x:v>
      </x:c>
      <x:c r="W66" t="n">
        <x:v>0.156368</x:v>
      </x:c>
      <x:c r="X66" t="str">
        <x:v>Low</x:v>
      </x:c>
      <x:c r="Y66" t="str">
        <x:v>Average of official PDF swatch samples across distinct source palettes; not a physical colour standard.</x:v>
      </x:c>
    </x:row>
    <x:row r="67">
      <x:c r="A67" t="str">
        <x:v>b72cc0ea-a75f-581d-91e3-da56df96481d</x:v>
      </x:c>
      <x:c r="B67" t="str">
        <x:v>CDA-CODE-090</x:v>
      </x:c>
      <x:c r="C67" t="str">
        <x:v>090</x:v>
      </x:c>
      <x:c r="D67" t="str">
        <x:v>Purple</x:v>
      </x:c>
      <x:c r="E67" t="str">
        <x:v>紫色</x:v>
      </x:c>
      <x:c r="F67" t="str">
        <x:v>パープル</x:v>
      </x:c>
      <x:c r="G67" t="str">
        <x:v>Purple</x:v>
      </x:c>
      <x:c r="H67" t="str">
        <x:v>紫色</x:v>
      </x:c>
      <x:c r="I67" t="str">
        <x:v>パープル</x:v>
      </x:c>
      <x:c r="J67" t="n">
        <x:v>4</x:v>
      </x:c>
      <x:c r="K67" t="str">
        <x:v>PABLO | SUPRACOLOR Soft Aquarelle | NEOCOLOR II Aquarelle | NEOPASTEL</x:v>
      </x:c>
      <x:c r="L67" t="str">
        <x:v>PR122</x:v>
      </x:c>
      <x:c r="M67" t="str">
        <x:v>#D06CA0</x:v>
      </x:c>
      <x:c r="N67" t="n">
        <x:v>208</x:v>
      </x:c>
      <x:c r="O67" t="n">
        <x:v>108</x:v>
      </x:c>
      <x:c r="P67" t="n">
        <x:v>160</x:v>
      </x:c>
      <x:c r="Q67" t="n">
        <x:v>58.67</x:v>
      </x:c>
      <x:c r="R67" t="n">
        <x:v>45.57</x:v>
      </x:c>
      <x:c r="S67" t="n">
        <x:v>-10.08</x:v>
      </x:c>
      <x:c r="T67" t="n">
        <x:v>51.19</x:v>
      </x:c>
      <x:c r="U67" t="str">
        <x:v>#000000</x:v>
      </x:c>
      <x:c r="V67" t="n">
        <x:v>6.33</x:v>
      </x:c>
      <x:c r="W67" t="n">
        <x:v>0.266731</x:v>
      </x:c>
      <x:c r="X67" t="str">
        <x:v>Low</x:v>
      </x:c>
      <x:c r="Y67" t="str">
        <x:v>Average of official PDF swatch samples across distinct source palettes; not a physical colour standard.</x:v>
      </x:c>
    </x:row>
    <x:row r="68">
      <x:c r="A68" t="str">
        <x:v>71bb4cc3-85d7-5434-9cba-24e15796e725</x:v>
      </x:c>
      <x:c r="B68" t="str">
        <x:v>CDA-CODE-091</x:v>
      </x:c>
      <x:c r="C68" t="str">
        <x:v>091</x:v>
      </x:c>
      <x:c r="D68" t="str">
        <x:v>Light purple</x:v>
      </x:c>
      <x:c r="E68" t="str">
        <x:v>淺紫色</x:v>
      </x:c>
      <x:c r="F68" t="str">
        <x:v>ライトパープル</x:v>
      </x:c>
      <x:c r="G68" t="str">
        <x:v>Light purple</x:v>
      </x:c>
      <x:c r="H68" t="str">
        <x:v>淺紫色</x:v>
      </x:c>
      <x:c r="I68" t="str">
        <x:v>ライトパープル</x:v>
      </x:c>
      <x:c r="J68" t="n">
        <x:v>2</x:v>
      </x:c>
      <x:c r="K68" t="str">
        <x:v>PABLO | SUPRACOLOR Soft Aquarelle</x:v>
      </x:c>
      <x:c r="L68" t="str"/>
      <x:c r="M68" t="str">
        <x:v>#EEA0BF</x:v>
      </x:c>
      <x:c r="N68" t="n">
        <x:v>238</x:v>
      </x:c>
      <x:c r="O68" t="n">
        <x:v>160</x:v>
      </x:c>
      <x:c r="P68" t="n">
        <x:v>191</x:v>
      </x:c>
      <x:c r="Q68" t="n">
        <x:v>74.24</x:v>
      </x:c>
      <x:c r="R68" t="n">
        <x:v>33.25</x:v>
      </x:c>
      <x:c r="S68" t="n">
        <x:v>-4.03</x:v>
      </x:c>
      <x:c r="T68" t="n">
        <x:v>21.42</x:v>
      </x:c>
      <x:c r="U68" t="str">
        <x:v>#000000</x:v>
      </x:c>
      <x:c r="V68" t="n">
        <x:v>10.42</x:v>
      </x:c>
      <x:c r="W68" t="n">
        <x:v>0.470803</x:v>
      </x:c>
      <x:c r="X68" t="str">
        <x:v>Medium</x:v>
      </x:c>
      <x:c r="Y68" t="str">
        <x:v>Average of official PDF swatch samples across distinct source palettes; not a physical colour standard.</x:v>
      </x:c>
    </x:row>
    <x:row r="69">
      <x:c r="A69" t="str">
        <x:v>e538ef64-8d9e-5a65-841e-49a8b475568d</x:v>
      </x:c>
      <x:c r="B69" t="str">
        <x:v>CDA-CODE-093</x:v>
      </x:c>
      <x:c r="C69" t="str">
        <x:v>093</x:v>
      </x:c>
      <x:c r="D69" t="str">
        <x:v>Violet grey</x:v>
      </x:c>
      <x:c r="E69" t="str">
        <x:v>紫灰色</x:v>
      </x:c>
      <x:c r="F69" t="str">
        <x:v>バイオレットグレー</x:v>
      </x:c>
      <x:c r="G69" t="str">
        <x:v>Violet grey</x:v>
      </x:c>
      <x:c r="H69" t="str">
        <x:v>紫灰色</x:v>
      </x:c>
      <x:c r="I69" t="str">
        <x:v>バイオレットグレー</x:v>
      </x:c>
      <x:c r="J69" t="n">
        <x:v>4</x:v>
      </x:c>
      <x:c r="K69" t="str">
        <x:v>LUMINANCE 6901 | PASTEL PENCILS | PASTEL CUBES | NEOART 6901</x:v>
      </x:c>
      <x:c r="L69" t="str">
        <x:v>PR101/PY42/PV23/PBk6/PBk11 | PB15/PBk11/PV16/PR101 | PR101/PV23/PY42/PBk6/PBk11</x:v>
      </x:c>
      <x:c r="M69" s="103" t="str">
        <x:v>#9D8F96</x:v>
      </x:c>
      <x:c r="N69" t="n">
        <x:v>157</x:v>
      </x:c>
      <x:c r="O69" t="n">
        <x:v>143</x:v>
      </x:c>
      <x:c r="P69" t="n">
        <x:v>150</x:v>
      </x:c>
      <x:c r="Q69" t="n">
        <x:v>60.8</x:v>
      </x:c>
      <x:c r="R69" t="n">
        <x:v>6.49</x:v>
      </x:c>
      <x:c r="S69" t="n">
        <x:v>-1.81</x:v>
      </x:c>
      <x:c r="T69" t="n">
        <x:v>35.91</x:v>
      </x:c>
      <x:c r="U69" t="str">
        <x:v>#000000</x:v>
      </x:c>
      <x:c r="V69" t="n">
        <x:v>6.8</x:v>
      </x:c>
      <x:c r="W69" t="n">
        <x:v>0.29015</x:v>
      </x:c>
      <x:c r="X69" t="str">
        <x:v>Low</x:v>
      </x:c>
      <x:c r="Y69" t="str">
        <x:v>Average of official source-palette digital samples; NEOART 6901 added from the 2025 official catalogue chart. Digital values are screen-reference approximations, not manufacturer device-independent standards.</x:v>
      </x:c>
    </x:row>
    <x:row r="70">
      <x:c r="A70" t="str">
        <x:v>2beb133a-cf7e-5c35-9153-61b92d07030d</x:v>
      </x:c>
      <x:c r="B70" t="str">
        <x:v>CDA-CODE-094</x:v>
      </x:c>
      <x:c r="C70" t="str">
        <x:v>094</x:v>
      </x:c>
      <x:c r="D70" t="str">
        <x:v>Hibiscus pink</x:v>
      </x:c>
      <x:c r="E70" t="str">
        <x:v>木槿粉紅</x:v>
      </x:c>
      <x:c r="F70" t="str">
        <x:v>ハイビスカスピンク</x:v>
      </x:c>
      <x:c r="G70" t="str">
        <x:v>Hibiscus pink</x:v>
      </x:c>
      <x:c r="H70" t="str">
        <x:v>木槿粉紅</x:v>
      </x:c>
      <x:c r="I70" t="str">
        <x:v>ハイビスカスピンク</x:v>
      </x:c>
      <x:c r="J70" t="n">
        <x:v>1</x:v>
      </x:c>
      <x:c r="K70" t="str">
        <x:v>LUMINANCE 6901</x:v>
      </x:c>
      <x:c r="L70" t="str">
        <x:v>PR179/PV19/PB15</x:v>
      </x:c>
      <x:c r="M70" t="str">
        <x:v>#C88281</x:v>
      </x:c>
      <x:c r="N70" t="n">
        <x:v>200</x:v>
      </x:c>
      <x:c r="O70" t="n">
        <x:v>130</x:v>
      </x:c>
      <x:c r="P70" t="n">
        <x:v>129</x:v>
      </x:c>
      <x:c r="Q70" t="n">
        <x:v>61.51</x:v>
      </x:c>
      <x:c r="R70" t="n">
        <x:v>26.89</x:v>
      </x:c>
      <x:c r="S70" t="n">
        <x:v>11.76</x:v>
      </x:c>
      <x:c r="T70" t="n">
        <x:v>0</x:v>
      </x:c>
      <x:c r="U70" t="str">
        <x:v>#000000</x:v>
      </x:c>
      <x:c r="V70" t="n">
        <x:v>6.97</x:v>
      </x:c>
      <x:c r="W70" t="n">
        <x:v>0.298296</x:v>
      </x:c>
      <x:c r="X70" t="str">
        <x:v>High</x:v>
      </x:c>
      <x:c r="Y70" t="str">
        <x:v>Average of official PDF swatch samples across distinct source palettes; not a physical colour standard.</x:v>
      </x:c>
    </x:row>
    <x:row r="71">
      <x:c r="A71" t="str">
        <x:v>b28f8a9f-38b4-53d1-a8d6-2e1f5ef8d4bd</x:v>
      </x:c>
      <x:c r="B71" t="str">
        <x:v>CDA-CODE-095</x:v>
      </x:c>
      <x:c r="C71" t="str">
        <x:v>095</x:v>
      </x:c>
      <x:c r="D71" t="str">
        <x:v>Light aubergine</x:v>
      </x:c>
      <x:c r="E71" t="str">
        <x:v>淺茄紫</x:v>
      </x:c>
      <x:c r="F71" t="str">
        <x:v>ライトオーベルジーヌ</x:v>
      </x:c>
      <x:c r="G71" t="str">
        <x:v>Light aubergine</x:v>
      </x:c>
      <x:c r="H71" t="str">
        <x:v>淺茄紫</x:v>
      </x:c>
      <x:c r="I71" t="str">
        <x:v>ライトオーベルジーヌ</x:v>
      </x:c>
      <x:c r="J71" t="n">
        <x:v>1</x:v>
      </x:c>
      <x:c r="K71" t="str">
        <x:v>LUMINANCE 6901</x:v>
      </x:c>
      <x:c r="L71" t="str">
        <x:v>PR101/PV23/PBk6</x:v>
      </x:c>
      <x:c r="M71" t="str">
        <x:v>#704F65</x:v>
      </x:c>
      <x:c r="N71" t="n">
        <x:v>112</x:v>
      </x:c>
      <x:c r="O71" t="n">
        <x:v>79</x:v>
      </x:c>
      <x:c r="P71" t="n">
        <x:v>101</x:v>
      </x:c>
      <x:c r="Q71" t="n">
        <x:v>37.8</x:v>
      </x:c>
      <x:c r="R71" t="n">
        <x:v>17.72</x:v>
      </x:c>
      <x:c r="S71" t="n">
        <x:v>-7.24</x:v>
      </x:c>
      <x:c r="T71" t="n">
        <x:v>0</x:v>
      </x:c>
      <x:c r="U71" t="str">
        <x:v>#FFFFFF</x:v>
      </x:c>
      <x:c r="V71" t="n">
        <x:v>7.01</x:v>
      </x:c>
      <x:c r="W71" t="n">
        <x:v>0.099763</x:v>
      </x:c>
      <x:c r="X71" t="str">
        <x:v>High</x:v>
      </x:c>
      <x:c r="Y71" t="str">
        <x:v>Average of official PDF swatch samples across distinct source palettes; not a physical colour standard.</x:v>
      </x:c>
    </x:row>
    <x:row r="72">
      <x:c r="A72" t="str">
        <x:v>b1a53e2d-72a1-560f-827c-7dd3d112decc</x:v>
      </x:c>
      <x:c r="B72" t="str">
        <x:v>CDA-CODE-099</x:v>
      </x:c>
      <x:c r="C72" t="str">
        <x:v>099</x:v>
      </x:c>
      <x:c r="D72" t="str">
        <x:v>Aubergine</x:v>
      </x:c>
      <x:c r="E72" t="str">
        <x:v>茄紫色</x:v>
      </x:c>
      <x:c r="F72" t="str">
        <x:v>オーベルジーヌ</x:v>
      </x:c>
      <x:c r="G72" t="str">
        <x:v>Aubergine</x:v>
      </x:c>
      <x:c r="H72" t="str">
        <x:v>茄紫色</x:v>
      </x:c>
      <x:c r="I72" t="str">
        <x:v>オーベルジーヌ</x:v>
      </x:c>
      <x:c r="J72" t="n">
        <x:v>6</x:v>
      </x:c>
      <x:c r="K72" t="str">
        <x:v>PABLO | SUPRACOLOR Soft Aquarelle | NEOCOLOR II Aquarelle | NEOPASTEL | PASTEL PENCILS | PASTEL CUBES</x:v>
      </x:c>
      <x:c r="L72" t="str">
        <x:v>PBk6/PR202 | PV19/PB15</x:v>
      </x:c>
      <x:c r="M72" t="str">
        <x:v>#AA809F</x:v>
      </x:c>
      <x:c r="N72" t="n">
        <x:v>170</x:v>
      </x:c>
      <x:c r="O72" t="n">
        <x:v>128</x:v>
      </x:c>
      <x:c r="P72" t="n">
        <x:v>159</x:v>
      </x:c>
      <x:c r="Q72" t="n">
        <x:v>58.5</x:v>
      </x:c>
      <x:c r="R72" t="n">
        <x:v>21.4</x:v>
      </x:c>
      <x:c r="S72" t="n">
        <x:v>-10.23</x:v>
      </x:c>
      <x:c r="T72" t="n">
        <x:v>59.5</x:v>
      </x:c>
      <x:c r="U72" t="str">
        <x:v>#000000</x:v>
      </x:c>
      <x:c r="V72" t="n">
        <x:v>6.3</x:v>
      </x:c>
      <x:c r="W72" t="n">
        <x:v>0.264876</x:v>
      </x:c>
      <x:c r="X72" t="str">
        <x:v>Low</x:v>
      </x:c>
      <x:c r="Y72" t="str">
        <x:v>Average of official PDF swatch samples across distinct source palettes; not a physical colour standard.</x:v>
      </x:c>
    </x:row>
    <x:row r="73">
      <x:c r="A73" t="str">
        <x:v>7d7a2fc3-34ef-554f-8f35-f3e2c4355962</x:v>
      </x:c>
      <x:c r="B73" t="str">
        <x:v>CDA-CODE-100</x:v>
      </x:c>
      <x:c r="C73" t="str">
        <x:v>100</x:v>
      </x:c>
      <x:c r="D73" t="str">
        <x:v>Purple violet</x:v>
      </x:c>
      <x:c r="E73" t="str">
        <x:v>紫羅蘭</x:v>
      </x:c>
      <x:c r="F73" t="str">
        <x:v>パープルバイオレット</x:v>
      </x:c>
      <x:c r="G73" t="str">
        <x:v>Purple violet</x:v>
      </x:c>
      <x:c r="H73" t="str">
        <x:v>紫羅蘭</x:v>
      </x:c>
      <x:c r="I73" t="str">
        <x:v>パープルバイオレット</x:v>
      </x:c>
      <x:c r="J73" t="n">
        <x:v>3</x:v>
      </x:c>
      <x:c r="K73" t="str">
        <x:v>PABLO | SUPRACOLOR Soft Aquarelle | NEOCOLOR II Aquarelle</x:v>
      </x:c>
      <x:c r="L73" t="str"/>
      <x:c r="M73" t="str">
        <x:v>#D6A3C0</x:v>
      </x:c>
      <x:c r="N73" t="n">
        <x:v>214</x:v>
      </x:c>
      <x:c r="O73" t="n">
        <x:v>163</x:v>
      </x:c>
      <x:c r="P73" t="n">
        <x:v>192</x:v>
      </x:c>
      <x:c r="Q73" t="n">
        <x:v>72.43</x:v>
      </x:c>
      <x:c r="R73" t="n">
        <x:v>23.4</x:v>
      </x:c>
      <x:c r="S73" t="n">
        <x:v>-7.55</x:v>
      </x:c>
      <x:c r="T73" t="n">
        <x:v>51.8</x:v>
      </x:c>
      <x:c r="U73" t="str">
        <x:v>#000000</x:v>
      </x:c>
      <x:c r="V73" t="n">
        <x:v>9.86</x:v>
      </x:c>
      <x:c r="W73" t="n">
        <x:v>0.442963</x:v>
      </x:c>
      <x:c r="X73" t="str">
        <x:v>Low</x:v>
      </x:c>
      <x:c r="Y73" t="str">
        <x:v>Average of official PDF swatch samples across distinct source palettes; not a physical colour standard.</x:v>
      </x:c>
    </x:row>
    <x:row r="74">
      <x:c r="A74" t="str">
        <x:v>64cfa989-ec4f-5dd8-8873-9964e373b07f</x:v>
      </x:c>
      <x:c r="B74" t="str">
        <x:v>CDA-CODE-101</x:v>
      </x:c>
      <x:c r="C74" t="str">
        <x:v>101</x:v>
      </x:c>
      <x:c r="D74" t="str">
        <x:v>Light purple violet</x:v>
      </x:c>
      <x:c r="E74" t="str">
        <x:v>淺紫羅蘭</x:v>
      </x:c>
      <x:c r="F74" t="str">
        <x:v>ライトパープルバイオレット</x:v>
      </x:c>
      <x:c r="G74" t="str">
        <x:v>Light purple violet</x:v>
      </x:c>
      <x:c r="H74" t="str">
        <x:v>淺紫羅蘭</x:v>
      </x:c>
      <x:c r="I74" t="str">
        <x:v>ライトパープルバイオレット</x:v>
      </x:c>
      <x:c r="J74" t="n">
        <x:v>1</x:v>
      </x:c>
      <x:c r="K74" t="str">
        <x:v>NEOPASTEL</x:v>
      </x:c>
      <x:c r="L74" t="str">
        <x:v>PV23/PR122</x:v>
      </x:c>
      <x:c r="M74" t="str">
        <x:v>#BC7EB0</x:v>
      </x:c>
      <x:c r="N74" t="n">
        <x:v>188</x:v>
      </x:c>
      <x:c r="O74" t="n">
        <x:v>126</x:v>
      </x:c>
      <x:c r="P74" t="n">
        <x:v>176</x:v>
      </x:c>
      <x:c r="Q74" t="n">
        <x:v>60.56</x:v>
      </x:c>
      <x:c r="R74" t="n">
        <x:v>31.89</x:v>
      </x:c>
      <x:c r="S74" t="n">
        <x:v>-16.66</x:v>
      </x:c>
      <x:c r="T74" t="n">
        <x:v>0</x:v>
      </x:c>
      <x:c r="U74" t="str">
        <x:v>#000000</x:v>
      </x:c>
      <x:c r="V74" t="n">
        <x:v>6.75</x:v>
      </x:c>
      <x:c r="W74" t="n">
        <x:v>0.287477</x:v>
      </x:c>
      <x:c r="X74" t="str">
        <x:v>High</x:v>
      </x:c>
      <x:c r="Y74" t="str">
        <x:v>Average of official PDF swatch samples across distinct source palettes; not a physical colour standard.</x:v>
      </x:c>
    </x:row>
    <x:row r="75">
      <x:c r="A75" t="str">
        <x:v>d02c5ac7-d0fe-509e-9736-1f2720d93a1a</x:v>
      </x:c>
      <x:c r="B75" t="str">
        <x:v>CDA-CODE-105</x:v>
      </x:c>
      <x:c r="C75" t="str">
        <x:v>105</x:v>
      </x:c>
      <x:c r="D75" t="str">
        <x:v>Plum</x:v>
      </x:c>
      <x:c r="E75" t="str">
        <x:v>梅紫色</x:v>
      </x:c>
      <x:c r="F75" t="str">
        <x:v>プラム</x:v>
      </x:c>
      <x:c r="G75" t="str">
        <x:v>Plum</x:v>
      </x:c>
      <x:c r="H75" t="str">
        <x:v>梅紫色</x:v>
      </x:c>
      <x:c r="I75" t="str">
        <x:v>プラム</x:v>
      </x:c>
      <x:c r="J75" t="n">
        <x:v>2</x:v>
      </x:c>
      <x:c r="K75" t="str">
        <x:v>PASTEL PENCILS | PASTEL CUBES</x:v>
      </x:c>
      <x:c r="L75" t="str">
        <x:v>PR3/PV23/PV19</x:v>
      </x:c>
      <x:c r="M75" t="str">
        <x:v>#5E374E</x:v>
      </x:c>
      <x:c r="N75" t="n">
        <x:v>94</x:v>
      </x:c>
      <x:c r="O75" t="n">
        <x:v>55</x:v>
      </x:c>
      <x:c r="P75" t="n">
        <x:v>78</x:v>
      </x:c>
      <x:c r="Q75" t="n">
        <x:v>28.54</x:v>
      </x:c>
      <x:c r="R75" t="n">
        <x:v>21.09</x:v>
      </x:c>
      <x:c r="S75" t="n">
        <x:v>-6.66</x:v>
      </x:c>
      <x:c r="T75" t="n">
        <x:v>0</x:v>
      </x:c>
      <x:c r="U75" t="str">
        <x:v>#FFFFFF</x:v>
      </x:c>
      <x:c r="V75" t="n">
        <x:v>9.85</x:v>
      </x:c>
      <x:c r="W75" t="n">
        <x:v>0.056621</x:v>
      </x:c>
      <x:c r="X75" t="str">
        <x:v>High</x:v>
      </x:c>
      <x:c r="Y75" t="str">
        <x:v>Average of official PDF swatch samples across distinct source palettes; not a physical colour standard.</x:v>
      </x:c>
    </x:row>
    <x:row r="76">
      <x:c r="A76" t="str">
        <x:v>b4093dcf-a961-55fd-b9dd-e3bd5e19318f</x:v>
      </x:c>
      <x:c r="B76" t="str">
        <x:v>CDA-CODE-106</x:v>
      </x:c>
      <x:c r="C76" t="str">
        <x:v>106</x:v>
      </x:c>
      <x:c r="D76" t="str">
        <x:v>Dark plum</x:v>
      </x:c>
      <x:c r="E76" t="str">
        <x:v>深梅紫</x:v>
      </x:c>
      <x:c r="F76" t="str">
        <x:v>ダークプラム</x:v>
      </x:c>
      <x:c r="G76" t="str">
        <x:v>Dark plum</x:v>
      </x:c>
      <x:c r="H76" t="str">
        <x:v>深梅紫</x:v>
      </x:c>
      <x:c r="I76" t="str">
        <x:v>ダークプラム</x:v>
      </x:c>
      <x:c r="J76" t="n">
        <x:v>1</x:v>
      </x:c>
      <x:c r="K76" t="str">
        <x:v>MUSEUM Aquarelle</x:v>
      </x:c>
      <x:c r="L76" t="str">
        <x:v>PV23/PV19/PR3</x:v>
      </x:c>
      <x:c r="M76" t="str">
        <x:v>#A1587B</x:v>
      </x:c>
      <x:c r="N76" t="n">
        <x:v>161</x:v>
      </x:c>
      <x:c r="O76" t="n">
        <x:v>88</x:v>
      </x:c>
      <x:c r="P76" t="n">
        <x:v>123</x:v>
      </x:c>
      <x:c r="Q76" t="n">
        <x:v>46.96</x:v>
      </x:c>
      <x:c r="R76" t="n">
        <x:v>34.52</x:v>
      </x:c>
      <x:c r="S76" t="n">
        <x:v>-6.4</x:v>
      </x:c>
      <x:c r="T76" t="n">
        <x:v>0</x:v>
      </x:c>
      <x:c r="U76" t="str">
        <x:v>#FFFFFF</x:v>
      </x:c>
      <x:c r="V76" t="n">
        <x:v>5</x:v>
      </x:c>
      <x:c r="W76" t="n">
        <x:v>0.159866</x:v>
      </x:c>
      <x:c r="X76" t="str">
        <x:v>High</x:v>
      </x:c>
      <x:c r="Y76" t="str">
        <x:v>Average of official PDF swatch samples across distinct source palettes; not a physical colour standard.</x:v>
      </x:c>
    </x:row>
    <x:row r="77">
      <x:c r="A77" t="str">
        <x:v>f0a08db4-689d-598f-a25b-26913808fa89</x:v>
      </x:c>
      <x:c r="B77" t="str">
        <x:v>CDA-CODE-110</x:v>
      </x:c>
      <x:c r="C77" t="str">
        <x:v>110</x:v>
      </x:c>
      <x:c r="D77" t="str">
        <x:v>Lilac</x:v>
      </x:c>
      <x:c r="E77" t="str">
        <x:v>丁香紫</x:v>
      </x:c>
      <x:c r="F77" t="str">
        <x:v>ライラック</x:v>
      </x:c>
      <x:c r="G77" t="str">
        <x:v>Lilac</x:v>
      </x:c>
      <x:c r="H77" t="str">
        <x:v>丁香紫</x:v>
      </x:c>
      <x:c r="I77" t="str">
        <x:v>ライラック</x:v>
      </x:c>
      <x:c r="J77" t="n">
        <x:v>4</x:v>
      </x:c>
      <x:c r="K77" t="str">
        <x:v>PABLO | SUPRACOLOR Soft Aquarelle | NEOCOLOR II Aquarelle | NEOPASTEL</x:v>
      </x:c>
      <x:c r="L77" t="str">
        <x:v>PV23/PR122</x:v>
      </x:c>
      <x:c r="M77" t="str">
        <x:v>#A67B9B</x:v>
      </x:c>
      <x:c r="N77" t="n">
        <x:v>166</x:v>
      </x:c>
      <x:c r="O77" t="n">
        <x:v>123</x:v>
      </x:c>
      <x:c r="P77" t="n">
        <x:v>155</x:v>
      </x:c>
      <x:c r="Q77" t="n">
        <x:v>56.72</x:v>
      </x:c>
      <x:c r="R77" t="n">
        <x:v>22.08</x:v>
      </x:c>
      <x:c r="S77" t="n">
        <x:v>-10.63</x:v>
      </x:c>
      <x:c r="T77" t="n">
        <x:v>70.84</x:v>
      </x:c>
      <x:c r="U77" t="str">
        <x:v>#000000</x:v>
      </x:c>
      <x:c r="V77" t="n">
        <x:v>5.93</x:v>
      </x:c>
      <x:c r="W77" t="n">
        <x:v>0.246395</x:v>
      </x:c>
      <x:c r="X77" t="str">
        <x:v>Low</x:v>
      </x:c>
      <x:c r="Y77" t="str">
        <x:v>Average of official PDF swatch samples across distinct source palettes; not a physical colour standard.</x:v>
      </x:c>
    </x:row>
    <x:row r="78">
      <x:c r="A78" t="str">
        <x:v>ed48de5b-9fa5-5c31-aede-7207b4fc5200</x:v>
      </x:c>
      <x:c r="B78" t="str">
        <x:v>CDA-CODE-111</x:v>
      </x:c>
      <x:c r="C78" t="str">
        <x:v>111</x:v>
      </x:c>
      <x:c r="D78" t="str">
        <x:v>Mauve</x:v>
      </x:c>
      <x:c r="E78" t="str">
        <x:v>淡紫色</x:v>
      </x:c>
      <x:c r="F78" t="str">
        <x:v>モーブ</x:v>
      </x:c>
      <x:c r="G78" t="str">
        <x:v>Mauve</x:v>
      </x:c>
      <x:c r="H78" t="str">
        <x:v>淡紫色</x:v>
      </x:c>
      <x:c r="I78" t="str">
        <x:v>モーブ</x:v>
      </x:c>
      <x:c r="J78" t="n">
        <x:v>4</x:v>
      </x:c>
      <x:c r="K78" t="str">
        <x:v>PABLO | SUPRACOLOR Soft Aquarelle | NEOCOLOR II Aquarelle | NEOPASTEL</x:v>
      </x:c>
      <x:c r="L78" t="str">
        <x:v>PV23/PR122</x:v>
      </x:c>
      <x:c r="M78" t="str">
        <x:v>#CD96BF</x:v>
      </x:c>
      <x:c r="N78" t="n">
        <x:v>205</x:v>
      </x:c>
      <x:c r="O78" t="n">
        <x:v>150</x:v>
      </x:c>
      <x:c r="P78" t="n">
        <x:v>191</x:v>
      </x:c>
      <x:c r="Q78" t="n">
        <x:v>68.43</x:v>
      </x:c>
      <x:c r="R78" t="n">
        <x:v>27.18</x:v>
      </x:c>
      <x:c r="S78" t="n">
        <x:v>-13.06</x:v>
      </x:c>
      <x:c r="T78" t="n">
        <x:v>67.2</x:v>
      </x:c>
      <x:c r="U78" t="str">
        <x:v>#000000</x:v>
      </x:c>
      <x:c r="V78" t="n">
        <x:v>8.71</x:v>
      </x:c>
      <x:c r="W78" t="n">
        <x:v>0.385534</x:v>
      </x:c>
      <x:c r="X78" t="str">
        <x:v>Low</x:v>
      </x:c>
      <x:c r="Y78" t="str">
        <x:v>Average of official PDF swatch samples across distinct source palettes; not a physical colour standard.</x:v>
      </x:c>
    </x:row>
    <x:row r="79">
      <x:c r="A79" t="str">
        <x:v>97472986-a576-545d-91ed-c62a5d5bf82d</x:v>
      </x:c>
      <x:c r="B79" t="str">
        <x:v>CDA-CODE-112</x:v>
      </x:c>
      <x:c r="C79" t="str">
        <x:v>112</x:v>
      </x:c>
      <x:c r="D79" t="str">
        <x:v>Manganese violet</x:v>
      </x:c>
      <x:c r="E79" t="str">
        <x:v>錳紫</x:v>
      </x:c>
      <x:c r="F79" t="str">
        <x:v>マンガニーズバイオレット</x:v>
      </x:c>
      <x:c r="G79" t="str">
        <x:v>Manganese violet</x:v>
      </x:c>
      <x:c r="H79" t="str">
        <x:v>錳紫</x:v>
      </x:c>
      <x:c r="I79" t="str">
        <x:v>マンガニーズバイオレット</x:v>
      </x:c>
      <x:c r="J79" t="n">
        <x:v>3</x:v>
      </x:c>
      <x:c r="K79" t="str">
        <x:v>LUMINANCE 6901 | MUSEUM Aquarelle | NEOART 6901</x:v>
      </x:c>
      <x:c r="L79" t="str">
        <x:v>PV16</x:v>
      </x:c>
      <x:c r="M79" s="105" t="str">
        <x:v>#BC9AC0</x:v>
      </x:c>
      <x:c r="N79" t="n">
        <x:v>188</x:v>
      </x:c>
      <x:c r="O79" t="n">
        <x:v>154</x:v>
      </x:c>
      <x:c r="P79" t="n">
        <x:v>192</x:v>
      </x:c>
      <x:c r="Q79" t="n">
        <x:v>67.73</x:v>
      </x:c>
      <x:c r="R79" t="n">
        <x:v>19.34</x:v>
      </x:c>
      <x:c r="S79" t="n">
        <x:v>-14.84</x:v>
      </x:c>
      <x:c r="T79" t="n">
        <x:v>12.64</x:v>
      </x:c>
      <x:c r="U79" t="str">
        <x:v>#000000</x:v>
      </x:c>
      <x:c r="V79" t="n">
        <x:v>8.52</x:v>
      </x:c>
      <x:c r="W79" t="n">
        <x:v>0.376083</x:v>
      </x:c>
      <x:c r="X79" t="str">
        <x:v>Medium</x:v>
      </x:c>
      <x:c r="Y79" t="str">
        <x:v>Average of official source-palette digital samples; NEOART 6901 added from the 2025 official catalogue chart. Digital values are screen-reference approximations, not manufacturer device-independent standards.</x:v>
      </x:c>
    </x:row>
    <x:row r="80">
      <x:c r="A80" t="str">
        <x:v>ab51b8e8-e7ed-58fe-bd90-bac7b58d40cc</x:v>
      </x:c>
      <x:c r="B80" t="str">
        <x:v>CDA-CODE-115</x:v>
      </x:c>
      <x:c r="C80" t="str">
        <x:v>115</x:v>
      </x:c>
      <x:c r="D80" t="str">
        <x:v>Quinacridone purple</x:v>
      </x:c>
      <x:c r="E80" t="str">
        <x:v>喹吖啶酮紫</x:v>
      </x:c>
      <x:c r="F80" t="str">
        <x:v>キナクリドンパープル</x:v>
      </x:c>
      <x:c r="G80" t="str">
        <x:v>Quinacridone purple</x:v>
      </x:c>
      <x:c r="H80" t="str">
        <x:v>喹吖啶酮紫</x:v>
      </x:c>
      <x:c r="I80" t="str">
        <x:v>キナクリドンパープル</x:v>
      </x:c>
      <x:c r="J80" t="n">
        <x:v>1</x:v>
      </x:c>
      <x:c r="K80" t="str">
        <x:v>LUMINANCE 6901</x:v>
      </x:c>
      <x:c r="L80" t="str">
        <x:v>PV55</x:v>
      </x:c>
      <x:c r="M80" t="str">
        <x:v>#642664</x:v>
      </x:c>
      <x:c r="N80" t="n">
        <x:v>100</x:v>
      </x:c>
      <x:c r="O80" t="n">
        <x:v>38</x:v>
      </x:c>
      <x:c r="P80" t="n">
        <x:v>100</x:v>
      </x:c>
      <x:c r="Q80" t="n">
        <x:v>26.78</x:v>
      </x:c>
      <x:c r="R80" t="n">
        <x:v>36.97</x:v>
      </x:c>
      <x:c r="S80" t="n">
        <x:v>-23.67</x:v>
      </x:c>
      <x:c r="T80" t="n">
        <x:v>0</x:v>
      </x:c>
      <x:c r="U80" t="str">
        <x:v>#FFFFFF</x:v>
      </x:c>
      <x:c r="V80" t="n">
        <x:v>10.48</x:v>
      </x:c>
      <x:c r="W80" t="n">
        <x:v>0.050157</x:v>
      </x:c>
      <x:c r="X80" t="str">
        <x:v>High</x:v>
      </x:c>
      <x:c r="Y80" t="str">
        <x:v>Average of official PDF swatch samples across distinct source palettes; not a physical colour standard.</x:v>
      </x:c>
    </x:row>
    <x:row r="81">
      <x:c r="A81" t="str">
        <x:v>fee913f0-b01c-52a4-9be8-3e5be4c01b51</x:v>
      </x:c>
      <x:c r="B81" t="str">
        <x:v>CDA-CODE-120</x:v>
      </x:c>
      <x:c r="C81" t="str">
        <x:v>120</x:v>
      </x:c>
      <x:c r="D81" t="str">
        <x:v>Violet</x:v>
      </x:c>
      <x:c r="E81" t="str">
        <x:v>紫羅蘭色</x:v>
      </x:c>
      <x:c r="F81" t="str">
        <x:v>バイオレット</x:v>
      </x:c>
      <x:c r="G81" t="str">
        <x:v>Violet</x:v>
      </x:c>
      <x:c r="H81" t="str">
        <x:v>紫羅蘭色</x:v>
      </x:c>
      <x:c r="I81" t="str">
        <x:v>バイオレット</x:v>
      </x:c>
      <x:c r="J81" t="n">
        <x:v>9</x:v>
      </x:c>
      <x:c r="K81" t="str">
        <x:v>LUMINANCE 6901 | PABLO | SUPRACOLOR Soft Aquarelle | MUSEUM Aquarelle | NEOCOLOR II Aquarelle | NEOPASTEL | PASTEL PENCILS | PASTEL CUBES | NEOART 6901</x:v>
      </x:c>
      <x:c r="L81" t="str">
        <x:v>PV23 | PB15/PR122</x:v>
      </x:c>
      <x:c r="M81" s="107" t="str">
        <x:v>#725893</x:v>
      </x:c>
      <x:c r="N81" t="n">
        <x:v>114</x:v>
      </x:c>
      <x:c r="O81" t="n">
        <x:v>88</x:v>
      </x:c>
      <x:c r="P81" t="n">
        <x:v>147</x:v>
      </x:c>
      <x:c r="Q81" t="n">
        <x:v>42.25</x:v>
      </x:c>
      <x:c r="R81" t="n">
        <x:v>23.22</x:v>
      </x:c>
      <x:c r="S81" t="n">
        <x:v>-28.56</x:v>
      </x:c>
      <x:c r="T81" t="n">
        <x:v>78.21</x:v>
      </x:c>
      <x:c r="U81" t="str">
        <x:v>#FFFFFF</x:v>
      </x:c>
      <x:c r="V81" t="n">
        <x:v>5.94</x:v>
      </x:c>
      <x:c r="W81" t="n">
        <x:v>0.126634</x:v>
      </x:c>
      <x:c r="X81" t="str">
        <x:v>Low</x:v>
      </x:c>
      <x:c r="Y81" t="str">
        <x:v>Average of official source-palette digital samples; NEOART 6901 added from the 2025 official catalogue chart. Digital values are screen-reference approximations, not manufacturer device-independent standards.</x:v>
      </x:c>
    </x:row>
    <x:row r="82">
      <x:c r="A82" t="str">
        <x:v>5cc912c3-0fa7-51b4-9560-4931c224ce86</x:v>
      </x:c>
      <x:c r="B82" t="str">
        <x:v>CDA-CODE-129</x:v>
      </x:c>
      <x:c r="C82" t="str">
        <x:v>129</x:v>
      </x:c>
      <x:c r="D82" t="str">
        <x:v>Violet brown</x:v>
      </x:c>
      <x:c r="E82" t="str">
        <x:v>紫棕</x:v>
      </x:c>
      <x:c r="F82" t="str">
        <x:v>バイオレットブラウン</x:v>
      </x:c>
      <x:c r="G82" t="str">
        <x:v>Violet brown</x:v>
      </x:c>
      <x:c r="H82" t="str">
        <x:v>紫棕</x:v>
      </x:c>
      <x:c r="I82" t="str">
        <x:v>バイオレットブラウン</x:v>
      </x:c>
      <x:c r="J82" t="n">
        <x:v>1</x:v>
      </x:c>
      <x:c r="K82" t="str">
        <x:v>LUMINANCE 6901</x:v>
      </x:c>
      <x:c r="L82" t="str">
        <x:v>PR101/PV23/PY42/PBk9</x:v>
      </x:c>
      <x:c r="M82" t="str">
        <x:v>#6D527B</x:v>
      </x:c>
      <x:c r="N82" t="n">
        <x:v>109</x:v>
      </x:c>
      <x:c r="O82" t="n">
        <x:v>82</x:v>
      </x:c>
      <x:c r="P82" t="n">
        <x:v>123</x:v>
      </x:c>
      <x:c r="Q82" t="n">
        <x:v>39.1</x:v>
      </x:c>
      <x:c r="R82" t="n">
        <x:v>19.45</x:v>
      </x:c>
      <x:c r="S82" t="n">
        <x:v>-18.93</x:v>
      </x:c>
      <x:c r="T82" t="n">
        <x:v>0</x:v>
      </x:c>
      <x:c r="U82" t="str">
        <x:v>#FFFFFF</x:v>
      </x:c>
      <x:c r="V82" t="n">
        <x:v>6.68</x:v>
      </x:c>
      <x:c r="W82" t="n">
        <x:v>0.107159</x:v>
      </x:c>
      <x:c r="X82" t="str">
        <x:v>High</x:v>
      </x:c>
      <x:c r="Y82" t="str">
        <x:v>Average of official PDF swatch samples across distinct source palettes; not a physical colour standard.</x:v>
      </x:c>
    </x:row>
    <x:row r="83">
      <x:c r="A83" t="str">
        <x:v>43c027dd-6187-531d-b042-64d6d78c816b</x:v>
      </x:c>
      <x:c r="B83" t="str">
        <x:v>CDA-CODE-130</x:v>
      </x:c>
      <x:c r="C83" t="str">
        <x:v>130</x:v>
      </x:c>
      <x:c r="D83" t="str">
        <x:v>Royal blue</x:v>
      </x:c>
      <x:c r="E83" t="str">
        <x:v>皇家藍</x:v>
      </x:c>
      <x:c r="F83" t="str">
        <x:v>ロイヤルブルー</x:v>
      </x:c>
      <x:c r="G83" t="str">
        <x:v>Royal blue</x:v>
      </x:c>
      <x:c r="H83" t="str">
        <x:v>皇家藍</x:v>
      </x:c>
      <x:c r="I83" t="str">
        <x:v>ロイヤルブルー</x:v>
      </x:c>
      <x:c r="J83" t="n">
        <x:v>4</x:v>
      </x:c>
      <x:c r="K83" t="str">
        <x:v>PABLO | SUPRACOLOR Soft Aquarelle | NEOCOLOR II Aquarelle | NEOPASTEL</x:v>
      </x:c>
      <x:c r="L83" t="str">
        <x:v>PB15:3/PV23</x:v>
      </x:c>
      <x:c r="M83" t="str">
        <x:v>#6F76A8</x:v>
      </x:c>
      <x:c r="N83" t="n">
        <x:v>111</x:v>
      </x:c>
      <x:c r="O83" t="n">
        <x:v>118</x:v>
      </x:c>
      <x:c r="P83" t="n">
        <x:v>168</x:v>
      </x:c>
      <x:c r="Q83" t="n">
        <x:v>50.88</x:v>
      </x:c>
      <x:c r="R83" t="n">
        <x:v>9.63</x:v>
      </x:c>
      <x:c r="S83" t="n">
        <x:v>-27.55</x:v>
      </x:c>
      <x:c r="T83" t="n">
        <x:v>56.91</x:v>
      </x:c>
      <x:c r="U83" t="str">
        <x:v>#000000</x:v>
      </x:c>
      <x:c r="V83" t="n">
        <x:v>4.83</x:v>
      </x:c>
      <x:c r="W83" t="n">
        <x:v>0.191635</x:v>
      </x:c>
      <x:c r="X83" t="str">
        <x:v>Low</x:v>
      </x:c>
      <x:c r="Y83" t="str">
        <x:v>Average of official PDF swatch samples across distinct source palettes; not a physical colour standard.</x:v>
      </x:c>
    </x:row>
    <x:row r="84">
      <x:c r="A84" t="str">
        <x:v>e0da0eb4-8bbe-57dd-a5fe-0cf6204da565</x:v>
      </x:c>
      <x:c r="B84" t="str">
        <x:v>CDA-CODE-131</x:v>
      </x:c>
      <x:c r="C84" t="str">
        <x:v>131</x:v>
      </x:c>
      <x:c r="D84" t="str">
        <x:v>Periwinkle blue</x:v>
      </x:c>
      <x:c r="E84" t="str">
        <x:v>長春花藍</x:v>
      </x:c>
      <x:c r="F84" t="str">
        <x:v>ペリウィンクル ブルー</x:v>
      </x:c>
      <x:c r="G84" t="str">
        <x:v>Periwinkle blue</x:v>
      </x:c>
      <x:c r="H84" t="str">
        <x:v>長春花藍</x:v>
      </x:c>
      <x:c r="I84" t="str">
        <x:v>ペリウィンクル ブルー | ペリウィンクルブルー</x:v>
      </x:c>
      <x:c r="J84" t="n">
        <x:v>5</x:v>
      </x:c>
      <x:c r="K84" t="str">
        <x:v>PABLO | SUPRACOLOR Soft Aquarelle | MUSEUM Aquarelle | NEOCOLOR II Aquarelle | NEOPASTEL</x:v>
      </x:c>
      <x:c r="L84" t="str">
        <x:v>PV23 | PV23/PV16</x:v>
      </x:c>
      <x:c r="M84" t="str">
        <x:v>#A885B6</x:v>
      </x:c>
      <x:c r="N84" t="n">
        <x:v>168</x:v>
      </x:c>
      <x:c r="O84" t="n">
        <x:v>133</x:v>
      </x:c>
      <x:c r="P84" t="n">
        <x:v>182</x:v>
      </x:c>
      <x:c r="Q84" t="n">
        <x:v>60.32</x:v>
      </x:c>
      <x:c r="R84" t="n">
        <x:v>22.39</x:v>
      </x:c>
      <x:c r="S84" t="n">
        <x:v>-20.64</x:v>
      </x:c>
      <x:c r="T84" t="n">
        <x:v>59.89</x:v>
      </x:c>
      <x:c r="U84" t="str">
        <x:v>#000000</x:v>
      </x:c>
      <x:c r="V84" t="n">
        <x:v>6.7</x:v>
      </x:c>
      <x:c r="W84" t="n">
        <x:v>0.284773</x:v>
      </x:c>
      <x:c r="X84" t="str">
        <x:v>Low</x:v>
      </x:c>
      <x:c r="Y84" t="str">
        <x:v>Average of official PDF swatch samples across distinct source palettes; not a physical colour standard.</x:v>
      </x:c>
    </x:row>
    <x:row r="85">
      <x:c r="A85" t="str">
        <x:v>596aa4c9-9f95-5ebc-96c2-06535a4cdc02</x:v>
      </x:c>
      <x:c r="B85" t="str">
        <x:v>CDA-CODE-135</x:v>
      </x:c>
      <x:c r="C85" t="str">
        <x:v>135</x:v>
      </x:c>
      <x:c r="D85" t="str">
        <x:v>Bleu de Nîmes</x:v>
      </x:c>
      <x:c r="E85" t="str">
        <x:v>尼姆藍</x:v>
      </x:c>
      <x:c r="F85" t="str">
        <x:v>ブルー・ド・ニーム</x:v>
      </x:c>
      <x:c r="G85" t="str">
        <x:v>Bleu de Nîmes</x:v>
      </x:c>
      <x:c r="H85" t="str">
        <x:v>尼姆藍</x:v>
      </x:c>
      <x:c r="I85" t="str">
        <x:v>ブルー・ド・ニーム</x:v>
      </x:c>
      <x:c r="J85" t="n">
        <x:v>1</x:v>
      </x:c>
      <x:c r="K85" t="str">
        <x:v>LUMINANCE 6901</x:v>
      </x:c>
      <x:c r="L85" t="str">
        <x:v>PB15:3/PV23</x:v>
      </x:c>
      <x:c r="M85" t="str">
        <x:v>#183161</x:v>
      </x:c>
      <x:c r="N85" t="n">
        <x:v>24</x:v>
      </x:c>
      <x:c r="O85" t="n">
        <x:v>49</x:v>
      </x:c>
      <x:c r="P85" t="n">
        <x:v>97</x:v>
      </x:c>
      <x:c r="Q85" t="n">
        <x:v>21.03</x:v>
      </x:c>
      <x:c r="R85" t="n">
        <x:v>8.79</x:v>
      </x:c>
      <x:c r="S85" t="n">
        <x:v>-31.35</x:v>
      </x:c>
      <x:c r="T85" t="n">
        <x:v>0</x:v>
      </x:c>
      <x:c r="U85" t="str">
        <x:v>#FFFFFF</x:v>
      </x:c>
      <x:c r="V85" t="n">
        <x:v>12.72</x:v>
      </x:c>
      <x:c r="W85" t="n">
        <x:v>0.032539</x:v>
      </x:c>
      <x:c r="X85" t="str">
        <x:v>High</x:v>
      </x:c>
      <x:c r="Y85" t="str">
        <x:v>Average of official PDF swatch samples across distinct source palettes; not a physical colour standard.</x:v>
      </x:c>
    </x:row>
    <x:row r="86">
      <x:c r="A86" t="str">
        <x:v>82319dcf-1981-54ac-8bc2-b72f5862f24d</x:v>
      </x:c>
      <x:c r="B86" t="str">
        <x:v>CDA-CODE-139</x:v>
      </x:c>
      <x:c r="C86" t="str">
        <x:v>139</x:v>
      </x:c>
      <x:c r="D86" t="str">
        <x:v>Indigo blue</x:v>
      </x:c>
      <x:c r="E86" t="str">
        <x:v>靛藍</x:v>
      </x:c>
      <x:c r="F86" t="str">
        <x:v>インディゴブルー</x:v>
      </x:c>
      <x:c r="G86" t="str">
        <x:v>Indigo blue</x:v>
      </x:c>
      <x:c r="H86" t="str">
        <x:v>靛藍</x:v>
      </x:c>
      <x:c r="I86" t="str">
        <x:v>インディゴブルー</x:v>
      </x:c>
      <x:c r="J86" t="n">
        <x:v>4</x:v>
      </x:c>
      <x:c r="K86" t="str">
        <x:v>PABLO | SUPRACOLOR Soft Aquarelle | NEOCOLOR II Aquarelle | NEOPASTEL</x:v>
      </x:c>
      <x:c r="L86" t="str">
        <x:v>PB60/PV19/PBk6</x:v>
      </x:c>
      <x:c r="M86" t="str">
        <x:v>#737294</x:v>
      </x:c>
      <x:c r="N86" t="n">
        <x:v>115</x:v>
      </x:c>
      <x:c r="O86" t="n">
        <x:v>114</x:v>
      </x:c>
      <x:c r="P86" t="n">
        <x:v>148</x:v>
      </x:c>
      <x:c r="Q86" t="n">
        <x:v>49.27</x:v>
      </x:c>
      <x:c r="R86" t="n">
        <x:v>8.06</x:v>
      </x:c>
      <x:c r="S86" t="n">
        <x:v>-18.29</x:v>
      </x:c>
      <x:c r="T86" t="n">
        <x:v>51.55</x:v>
      </x:c>
      <x:c r="U86" t="str">
        <x:v>#FFFFFF</x:v>
      </x:c>
      <x:c r="V86" t="n">
        <x:v>4.6</x:v>
      </x:c>
      <x:c r="W86" t="n">
        <x:v>0.178176</x:v>
      </x:c>
      <x:c r="X86" t="str">
        <x:v>Low</x:v>
      </x:c>
      <x:c r="Y86" t="str">
        <x:v>Average of official PDF swatch samples across distinct source palettes; not a physical colour standard.</x:v>
      </x:c>
    </x:row>
    <x:row r="87">
      <x:c r="A87" t="str">
        <x:v>1cc51d9d-3506-5022-8478-a1ae9af587e8</x:v>
      </x:c>
      <x:c r="B87" t="str">
        <x:v>CDA-CODE-140</x:v>
      </x:c>
      <x:c r="C87" t="str">
        <x:v>140</x:v>
      </x:c>
      <x:c r="D87" t="str">
        <x:v>Ultramarine</x:v>
      </x:c>
      <x:c r="E87" t="str">
        <x:v>群青</x:v>
      </x:c>
      <x:c r="F87" t="str">
        <x:v>ウルトラマリン</x:v>
      </x:c>
      <x:c r="G87" t="str">
        <x:v>Ultramarine</x:v>
      </x:c>
      <x:c r="H87" t="str">
        <x:v>群青</x:v>
      </x:c>
      <x:c r="I87" t="str">
        <x:v>ウルトラマリン</x:v>
      </x:c>
      <x:c r="J87" t="n">
        <x:v>8</x:v>
      </x:c>
      <x:c r="K87" t="str">
        <x:v>LUMINANCE 6901 | PABLO | SUPRACOLOR Soft Aquarelle | NEOCOLOR II Aquarelle | NEOPASTEL | PASTEL PENCILS | PASTEL CUBES | NEOART 6901</x:v>
      </x:c>
      <x:c r="L87" t="str">
        <x:v>PB29 | PB29/PB1 | PB15/PB29 | PB29/PB28</x:v>
      </x:c>
      <x:c r="M87" s="109" t="str">
        <x:v>#4675B2</x:v>
      </x:c>
      <x:c r="N87" t="n">
        <x:v>70</x:v>
      </x:c>
      <x:c r="O87" t="n">
        <x:v>117</x:v>
      </x:c>
      <x:c r="P87" t="n">
        <x:v>178</x:v>
      </x:c>
      <x:c r="Q87" t="n">
        <x:v>48.56</x:v>
      </x:c>
      <x:c r="R87" t="n">
        <x:v>3</x:v>
      </x:c>
      <x:c r="S87" t="n">
        <x:v>-37.17</x:v>
      </x:c>
      <x:c r="T87" t="n">
        <x:v>82.19</x:v>
      </x:c>
      <x:c r="U87" t="str">
        <x:v>#FFFFFF</x:v>
      </x:c>
      <x:c r="V87" t="n">
        <x:v>4.72</x:v>
      </x:c>
      <x:c r="W87" t="n">
        <x:v>0.17239</x:v>
      </x:c>
      <x:c r="X87" t="str">
        <x:v>Low</x:v>
      </x:c>
      <x:c r="Y8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88">
      <x:c r="A88" t="str">
        <x:v>2820208d-5c41-5753-be02-69641858efec</x:v>
      </x:c>
      <x:c r="B88" t="str">
        <x:v>CDA-CODE-141</x:v>
      </x:c>
      <x:c r="C88" t="str">
        <x:v>141</x:v>
      </x:c>
      <x:c r="D88" t="str">
        <x:v>Sky blue</x:v>
      </x:c>
      <x:c r="E88" t="str">
        <x:v>天空藍</x:v>
      </x:c>
      <x:c r="F88" t="str">
        <x:v>スカイブルー</x:v>
      </x:c>
      <x:c r="G88" t="str">
        <x:v>Sky blue</x:v>
      </x:c>
      <x:c r="H88" t="str">
        <x:v>天空藍</x:v>
      </x:c>
      <x:c r="I88" t="str">
        <x:v>スカイブルー</x:v>
      </x:c>
      <x:c r="J88" t="n">
        <x:v>4</x:v>
      </x:c>
      <x:c r="K88" t="str">
        <x:v>PABLO | SUPRACOLOR Soft Aquarelle | NEOCOLOR II Aquarelle | NEOPASTEL</x:v>
      </x:c>
      <x:c r="L88" t="str">
        <x:v>PV23/PB15</x:v>
      </x:c>
      <x:c r="M88" t="str">
        <x:v>#90B4D6</x:v>
      </x:c>
      <x:c r="N88" t="n">
        <x:v>144</x:v>
      </x:c>
      <x:c r="O88" t="n">
        <x:v>180</x:v>
      </x:c>
      <x:c r="P88" t="n">
        <x:v>214</x:v>
      </x:c>
      <x:c r="Q88" t="n">
        <x:v>71.84</x:v>
      </x:c>
      <x:c r="R88" t="n">
        <x:v>-4.07</x:v>
      </x:c>
      <x:c r="S88" t="n">
        <x:v>-21.06</x:v>
      </x:c>
      <x:c r="T88" t="n">
        <x:v>45.04</x:v>
      </x:c>
      <x:c r="U88" t="str">
        <x:v>#000000</x:v>
      </x:c>
      <x:c r="V88" t="n">
        <x:v>9.69</x:v>
      </x:c>
      <x:c r="W88" t="n">
        <x:v>0.434268</x:v>
      </x:c>
      <x:c r="X88" t="str">
        <x:v>Low</x:v>
      </x:c>
      <x:c r="Y88" t="str">
        <x:v>Average of official PDF swatch samples across distinct source palettes; not a physical colour standard.</x:v>
      </x:c>
    </x:row>
    <x:row r="89">
      <x:c r="A89" t="str">
        <x:v>8580dae2-477a-5d0e-afcb-89e0a00e77a6</x:v>
      </x:c>
      <x:c r="B89" t="str">
        <x:v>CDA-CODE-145</x:v>
      </x:c>
      <x:c r="C89" t="str">
        <x:v>145</x:v>
      </x:c>
      <x:c r="D89" t="str">
        <x:v>Bluish grey</x:v>
      </x:c>
      <x:c r="E89" t="str">
        <x:v>藍灰色</x:v>
      </x:c>
      <x:c r="F89" t="str">
        <x:v>ブルーグレー</x:v>
      </x:c>
      <x:c r="G89" t="str">
        <x:v>Bluish grey</x:v>
      </x:c>
      <x:c r="H89" t="str">
        <x:v>藍灰色</x:v>
      </x:c>
      <x:c r="I89" t="str">
        <x:v>ブルーグレー</x:v>
      </x:c>
      <x:c r="J89" t="n">
        <x:v>4</x:v>
      </x:c>
      <x:c r="K89" t="str">
        <x:v>PABLO | SUPRACOLOR Soft Aquarelle | PASTEL PENCILS | PASTEL CUBES</x:v>
      </x:c>
      <x:c r="L89" t="str">
        <x:v>PB1/PB60</x:v>
      </x:c>
      <x:c r="M89" t="str">
        <x:v>#5F82AF</x:v>
      </x:c>
      <x:c r="N89" t="n">
        <x:v>95</x:v>
      </x:c>
      <x:c r="O89" t="n">
        <x:v>130</x:v>
      </x:c>
      <x:c r="P89" t="n">
        <x:v>175</x:v>
      </x:c>
      <x:c r="Q89" t="n">
        <x:v>53.48</x:v>
      </x:c>
      <x:c r="R89" t="n">
        <x:v>0.05</x:v>
      </x:c>
      <x:c r="S89" t="n">
        <x:v>-27.64</x:v>
      </x:c>
      <x:c r="T89" t="n">
        <x:v>42.15</x:v>
      </x:c>
      <x:c r="U89" t="str">
        <x:v>#000000</x:v>
      </x:c>
      <x:c r="V89" t="n">
        <x:v>5.3</x:v>
      </x:c>
      <x:c r="W89" t="n">
        <x:v>0.214933</x:v>
      </x:c>
      <x:c r="X89" t="str">
        <x:v>Low</x:v>
      </x:c>
      <x:c r="Y89" t="str">
        <x:v>Average of official PDF swatch samples across distinct source palettes; not a physical colour standard.</x:v>
      </x:c>
    </x:row>
    <x:row r="90">
      <x:c r="A90" t="str">
        <x:v>b0b0f599-0beb-5dd7-b398-ef01ad96ff1b</x:v>
      </x:c>
      <x:c r="B90" t="str">
        <x:v>CDA-CODE-149</x:v>
      </x:c>
      <x:c r="C90" t="str">
        <x:v>149</x:v>
      </x:c>
      <x:c r="D90" t="str">
        <x:v>Night blue</x:v>
      </x:c>
      <x:c r="E90" t="str">
        <x:v>夜藍</x:v>
      </x:c>
      <x:c r="F90" t="str">
        <x:v>ナイト ブルー</x:v>
      </x:c>
      <x:c r="G90" t="str">
        <x:v>Night blue</x:v>
      </x:c>
      <x:c r="H90" t="str">
        <x:v>夜藍</x:v>
      </x:c>
      <x:c r="I90" t="str">
        <x:v>ナイト ブルー | ナイトブルー</x:v>
      </x:c>
      <x:c r="J90" t="n">
        <x:v>8</x:v>
      </x:c>
      <x:c r="K90" t="str">
        <x:v>PABLO | SUPRACOLOR Soft Aquarelle | MUSEUM Aquarelle | NEOCOLOR II Aquarelle | NEOPASTEL | PASTEL PENCILS | PASTEL CUBES | NEOART 6901</x:v>
      </x:c>
      <x:c r="L90" t="str">
        <x:v>PB60 | PBk6/PR202/PB15 | PB1/PBk7 | PB15/PBk6/PB60/PB27</x:v>
      </x:c>
      <x:c r="M90" s="111" t="str">
        <x:v>#486B99</x:v>
      </x:c>
      <x:c r="N90" t="n">
        <x:v>72</x:v>
      </x:c>
      <x:c r="O90" t="n">
        <x:v>107</x:v>
      </x:c>
      <x:c r="P90" t="n">
        <x:v>153</x:v>
      </x:c>
      <x:c r="Q90" t="n">
        <x:v>44.51</x:v>
      </x:c>
      <x:c r="R90" t="n">
        <x:v>1.21</x:v>
      </x:c>
      <x:c r="S90" t="n">
        <x:v>-28.86</x:v>
      </x:c>
      <x:c r="T90" t="n">
        <x:v>65.99</x:v>
      </x:c>
      <x:c r="U90" t="str">
        <x:v>#FFFFFF</x:v>
      </x:c>
      <x:c r="V90" t="n">
        <x:v>5.47</x:v>
      </x:c>
      <x:c r="W90" t="n">
        <x:v>0.14193</x:v>
      </x:c>
      <x:c r="X90" t="str">
        <x:v>Low</x:v>
      </x:c>
      <x:c r="Y90" t="str">
        <x:v>Average of official source-palette digital samples; NEOART 6901 added from the 2025 official catalogue chart. Digital values are screen-reference approximations, not manufacturer device-independent standards.</x:v>
      </x:c>
    </x:row>
    <x:row r="91">
      <x:c r="A91" t="str">
        <x:v>1efcdfd5-1f9c-5830-a849-7c18919825be</x:v>
      </x:c>
      <x:c r="B91" t="str">
        <x:v>CDA-CODE-150</x:v>
      </x:c>
      <x:c r="C91" t="str">
        <x:v>150</x:v>
      </x:c>
      <x:c r="D91" t="str">
        <x:v>Sapphire blue</x:v>
      </x:c>
      <x:c r="E91" t="str">
        <x:v>藍寶石藍</x:v>
      </x:c>
      <x:c r="F91" t="str">
        <x:v>サファイアブルー</x:v>
      </x:c>
      <x:c r="G91" t="str">
        <x:v>Sapphire blue</x:v>
      </x:c>
      <x:c r="H91" t="str">
        <x:v>藍寶石藍</x:v>
      </x:c>
      <x:c r="I91" t="str">
        <x:v>サファイアブルー</x:v>
      </x:c>
      <x:c r="J91" t="n">
        <x:v>4</x:v>
      </x:c>
      <x:c r="K91" t="str">
        <x:v>PABLO | SUPRACOLOR Soft Aquarelle | NEOCOLOR II Aquarelle | NEOPASTEL</x:v>
      </x:c>
      <x:c r="L91" t="str">
        <x:v>PV23/PB15:3/PG7</x:v>
      </x:c>
      <x:c r="M91" t="str">
        <x:v>#5C98C3</x:v>
      </x:c>
      <x:c r="N91" t="n">
        <x:v>92</x:v>
      </x:c>
      <x:c r="O91" t="n">
        <x:v>152</x:v>
      </x:c>
      <x:c r="P91" t="n">
        <x:v>195</x:v>
      </x:c>
      <x:c r="Q91" t="n">
        <x:v>60.49</x:v>
      </x:c>
      <x:c r="R91" t="n">
        <x:v>-7.26</x:v>
      </x:c>
      <x:c r="S91" t="n">
        <x:v>-28.18</x:v>
      </x:c>
      <x:c r="T91" t="n">
        <x:v>77.49</x:v>
      </x:c>
      <x:c r="U91" t="str">
        <x:v>#000000</x:v>
      </x:c>
      <x:c r="V91" t="n">
        <x:v>6.73</x:v>
      </x:c>
      <x:c r="W91" t="n">
        <x:v>0.286719</x:v>
      </x:c>
      <x:c r="X91" t="str">
        <x:v>Low</x:v>
      </x:c>
      <x:c r="Y91" t="str">
        <x:v>Average of official PDF swatch samples across distinct source palettes; not a physical colour standard.</x:v>
      </x:c>
    </x:row>
    <x:row r="92">
      <x:c r="A92" t="str">
        <x:v>30993ab0-8b94-5684-8677-1c4f2f02bb8e</x:v>
      </x:c>
      <x:c r="B92" t="str">
        <x:v>CDA-CODE-151</x:v>
      </x:c>
      <x:c r="C92" t="str">
        <x:v>151</x:v>
      </x:c>
      <x:c r="D92" t="str">
        <x:v>Pastel blue</x:v>
      </x:c>
      <x:c r="E92" t="str">
        <x:v>粉彩藍</x:v>
      </x:c>
      <x:c r="F92" t="str">
        <x:v>パステルブルー</x:v>
      </x:c>
      <x:c r="G92" t="str">
        <x:v>Pastel blue</x:v>
      </x:c>
      <x:c r="H92" t="str">
        <x:v>粉彩藍</x:v>
      </x:c>
      <x:c r="I92" t="str">
        <x:v>パステルブルー</x:v>
      </x:c>
      <x:c r="J92" t="n">
        <x:v>2</x:v>
      </x:c>
      <x:c r="K92" t="str">
        <x:v>PABLO | SUPRACOLOR Soft Aquarelle</x:v>
      </x:c>
      <x:c r="L92" t="str"/>
      <x:c r="M92" t="str">
        <x:v>#7FC1E0</x:v>
      </x:c>
      <x:c r="N92" t="n">
        <x:v>127</x:v>
      </x:c>
      <x:c r="O92" t="n">
        <x:v>193</x:v>
      </x:c>
      <x:c r="P92" t="n">
        <x:v>224</x:v>
      </x:c>
      <x:c r="Q92" t="n">
        <x:v>74.84</x:v>
      </x:c>
      <x:c r="R92" t="n">
        <x:v>-12.95</x:v>
      </x:c>
      <x:c r="S92" t="n">
        <x:v>-22.02</x:v>
      </x:c>
      <x:c r="T92" t="n">
        <x:v>17.09</x:v>
      </x:c>
      <x:c r="U92" t="str">
        <x:v>#000000</x:v>
      </x:c>
      <x:c r="V92" t="n">
        <x:v>10.61</x:v>
      </x:c>
      <x:c r="W92" t="n">
        <x:v>0.480338</x:v>
      </x:c>
      <x:c r="X92" t="str">
        <x:v>Medium</x:v>
      </x:c>
      <x:c r="Y92" t="str">
        <x:v>Average of official PDF swatch samples across distinct source palettes; not a physical colour standard.</x:v>
      </x:c>
    </x:row>
    <x:row r="93">
      <x:c r="A93" t="str">
        <x:v>3c5db537-6064-5064-a505-fe605b85a67d</x:v>
      </x:c>
      <x:c r="B93" t="str">
        <x:v>CDA-CODE-155</x:v>
      </x:c>
      <x:c r="C93" t="str">
        <x:v>155</x:v>
      </x:c>
      <x:c r="D93" t="str">
        <x:v>Blue jeans</x:v>
      </x:c>
      <x:c r="E93" t="str">
        <x:v>牛仔藍</x:v>
      </x:c>
      <x:c r="F93" t="str">
        <x:v>ブルージーンズ</x:v>
      </x:c>
      <x:c r="G93" t="str">
        <x:v>Blue jeans</x:v>
      </x:c>
      <x:c r="H93" t="str">
        <x:v>牛仔藍</x:v>
      </x:c>
      <x:c r="I93" t="str">
        <x:v>ブルージーンズ</x:v>
      </x:c>
      <x:c r="J93" t="n">
        <x:v>3</x:v>
      </x:c>
      <x:c r="K93" t="str">
        <x:v>PABLO | SUPRACOLOR Soft Aquarelle | NEOPASTEL</x:v>
      </x:c>
      <x:c r="L93" t="str">
        <x:v>PBk6/PB60/PB15</x:v>
      </x:c>
      <x:c r="M93" t="str">
        <x:v>#59A1C0</x:v>
      </x:c>
      <x:c r="N93" t="n">
        <x:v>89</x:v>
      </x:c>
      <x:c r="O93" t="n">
        <x:v>161</x:v>
      </x:c>
      <x:c r="P93" t="n">
        <x:v>192</x:v>
      </x:c>
      <x:c r="Q93" t="n">
        <x:v>62.86</x:v>
      </x:c>
      <x:c r="R93" t="n">
        <x:v>-13.78</x:v>
      </x:c>
      <x:c r="S93" t="n">
        <x:v>-22.87</x:v>
      </x:c>
      <x:c r="T93" t="n">
        <x:v>43.73</x:v>
      </x:c>
      <x:c r="U93" t="str">
        <x:v>#000000</x:v>
      </x:c>
      <x:c r="V93" t="n">
        <x:v>7.28</x:v>
      </x:c>
      <x:c r="W93" t="n">
        <x:v>0.314194</x:v>
      </x:c>
      <x:c r="X93" t="str">
        <x:v>Low</x:v>
      </x:c>
      <x:c r="Y93" t="str">
        <x:v>Average of official PDF swatch samples across distinct source palettes; not a physical colour standard.</x:v>
      </x:c>
    </x:row>
    <x:row r="94">
      <x:c r="A94" t="str">
        <x:v>08addc77-b004-586f-abb1-86a724f3b33e</x:v>
      </x:c>
      <x:c r="B94" t="str">
        <x:v>CDA-CODE-159</x:v>
      </x:c>
      <x:c r="C94" t="str">
        <x:v>159</x:v>
      </x:c>
      <x:c r="D94" t="str">
        <x:v>Prussian blue</x:v>
      </x:c>
      <x:c r="E94" t="str">
        <x:v>普魯士藍</x:v>
      </x:c>
      <x:c r="F94" t="str">
        <x:v>プルシャンブルー</x:v>
      </x:c>
      <x:c r="G94" t="str">
        <x:v>Prussian Blue | Prussian blue</x:v>
      </x:c>
      <x:c r="H94" t="str">
        <x:v>普魯士藍</x:v>
      </x:c>
      <x:c r="I94" t="str">
        <x:v>プルシャン ブルー | プルシャンブルー</x:v>
      </x:c>
      <x:c r="J94" t="n">
        <x:v>6</x:v>
      </x:c>
      <x:c r="K94" t="str">
        <x:v>LUMINANCE 6901 | PABLO | SUPRACOLOR Soft Aquarelle | MUSEUM Aquarelle | NEOCOLOR II Aquarelle | NEOPASTEL</x:v>
      </x:c>
      <x:c r="L94" t="str">
        <x:v>PB27 | PBk6/PB60 | PBk6/PV23/PB15:3</x:v>
      </x:c>
      <x:c r="M94" t="str">
        <x:v>#487BA4</x:v>
      </x:c>
      <x:c r="N94" t="n">
        <x:v>72</x:v>
      </x:c>
      <x:c r="O94" t="n">
        <x:v>123</x:v>
      </x:c>
      <x:c r="P94" t="n">
        <x:v>164</x:v>
      </x:c>
      <x:c r="Q94" t="n">
        <x:v>49.76</x:v>
      </x:c>
      <x:c r="R94" t="n">
        <x:v>-4.81</x:v>
      </x:c>
      <x:c r="S94" t="n">
        <x:v>-27.13</x:v>
      </x:c>
      <x:c r="T94" t="n">
        <x:v>67.34</x:v>
      </x:c>
      <x:c r="U94" t="str">
        <x:v>#000000</x:v>
      </x:c>
      <x:c r="V94" t="n">
        <x:v>4.64</x:v>
      </x:c>
      <x:c r="W94" t="n">
        <x:v>0.18224</x:v>
      </x:c>
      <x:c r="X94" t="str">
        <x:v>Low</x:v>
      </x:c>
      <x:c r="Y94" t="str">
        <x:v>Average of official PDF swatch samples across distinct source palettes; not a physical colour standard.</x:v>
      </x:c>
    </x:row>
    <x:row r="95">
      <x:c r="A95" t="str">
        <x:v>c7d32486-36fc-53aa-995f-bd6f486d3f37</x:v>
      </x:c>
      <x:c r="B95" t="str">
        <x:v>CDA-CODE-160</x:v>
      </x:c>
      <x:c r="C95" t="str">
        <x:v>160</x:v>
      </x:c>
      <x:c r="D95" t="str">
        <x:v>Cobalt blue (hue)</x:v>
      </x:c>
      <x:c r="E95" t="str">
        <x:v>鈷藍（色相）</x:v>
      </x:c>
      <x:c r="F95" t="str">
        <x:v>コバルトブルー（ヒュー）</x:v>
      </x:c>
      <x:c r="G95" t="str">
        <x:v>Cobalt Blue (hue) | Cobalt blue (hue)</x:v>
      </x:c>
      <x:c r="H95" t="str">
        <x:v>鈷藍（色相）</x:v>
      </x:c>
      <x:c r="I95" t="str">
        <x:v>コバルトブルー（ヒュー）</x:v>
      </x:c>
      <x:c r="J95" t="n">
        <x:v>4</x:v>
      </x:c>
      <x:c r="K95" t="str">
        <x:v>PABLO | SUPRACOLOR Soft Aquarelle | NEOCOLOR II Aquarelle | NEOPASTEL</x:v>
      </x:c>
      <x:c r="L95" t="str">
        <x:v>PB15:3/PG7</x:v>
      </x:c>
      <x:c r="M95" t="str">
        <x:v>#38A2C0</x:v>
      </x:c>
      <x:c r="N95" t="n">
        <x:v>56</x:v>
      </x:c>
      <x:c r="O95" t="n">
        <x:v>162</x:v>
      </x:c>
      <x:c r="P95" t="n">
        <x:v>192</x:v>
      </x:c>
      <x:c r="Q95" t="n">
        <x:v>62.07</x:v>
      </x:c>
      <x:c r="R95" t="n">
        <x:v>-20.21</x:v>
      </x:c>
      <x:c r="S95" t="n">
        <x:v>-24.17</x:v>
      </x:c>
      <x:c r="T95" t="n">
        <x:v>60.07</x:v>
      </x:c>
      <x:c r="U95" t="str">
        <x:v>#000000</x:v>
      </x:c>
      <x:c r="V95" t="n">
        <x:v>7.1</x:v>
      </x:c>
      <x:c r="W95" t="n">
        <x:v>0.304872</x:v>
      </x:c>
      <x:c r="X95" t="str">
        <x:v>Low</x:v>
      </x:c>
      <x:c r="Y95" t="str">
        <x:v>Average of official PDF swatch samples across distinct source palettes; not a physical colour standard.</x:v>
      </x:c>
    </x:row>
    <x:row r="96">
      <x:c r="A96" t="str">
        <x:v>6ffc111a-0ad6-541a-8290-6ab5dc59fcce</x:v>
      </x:c>
      <x:c r="B96" t="str">
        <x:v>CDA-CODE-161</x:v>
      </x:c>
      <x:c r="C96" t="str">
        <x:v>161</x:v>
      </x:c>
      <x:c r="D96" t="str">
        <x:v>Light blue</x:v>
      </x:c>
      <x:c r="E96" t="str">
        <x:v>淺藍色</x:v>
      </x:c>
      <x:c r="F96" t="str">
        <x:v>ライトブルー</x:v>
      </x:c>
      <x:c r="G96" t="str">
        <x:v>Light blue</x:v>
      </x:c>
      <x:c r="H96" t="str">
        <x:v>淺藍色</x:v>
      </x:c>
      <x:c r="I96" t="str">
        <x:v>ライト ブルー | ライトブルー</x:v>
      </x:c>
      <x:c r="J96" t="n">
        <x:v>8</x:v>
      </x:c>
      <x:c r="K96" t="str">
        <x:v>LUMINANCE 6901 | PABLO | SUPRACOLOR Soft Aquarelle | MUSEUM Aquarelle | NEOCOLOR II Aquarelle | NEOPASTEL | PASTEL PENCILS | PASTEL CUBES</x:v>
      </x:c>
      <x:c r="L96" t="str">
        <x:v>PB15 | PB15:3/PBk9 | PBk9/PB15:3</x:v>
      </x:c>
      <x:c r="M96" t="str">
        <x:v>#66BBDC</x:v>
      </x:c>
      <x:c r="N96" t="n">
        <x:v>102</x:v>
      </x:c>
      <x:c r="O96" t="n">
        <x:v>187</x:v>
      </x:c>
      <x:c r="P96" t="n">
        <x:v>220</x:v>
      </x:c>
      <x:c r="Q96" t="n">
        <x:v>71.91</x:v>
      </x:c>
      <x:c r="R96" t="n">
        <x:v>-16.63</x:v>
      </x:c>
      <x:c r="S96" t="n">
        <x:v>-24.42</x:v>
      </x:c>
      <x:c r="T96" t="n">
        <x:v>53.07</x:v>
      </x:c>
      <x:c r="U96" t="str">
        <x:v>#000000</x:v>
      </x:c>
      <x:c r="V96" t="n">
        <x:v>9.71</x:v>
      </x:c>
      <x:c r="W96" t="n">
        <x:v>0.435327</x:v>
      </x:c>
      <x:c r="X96" t="str">
        <x:v>Low</x:v>
      </x:c>
      <x:c r="Y96" t="str">
        <x:v>Average of official PDF swatch samples across distinct source palettes; not a physical colour standard.</x:v>
      </x:c>
    </x:row>
    <x:row r="97">
      <x:c r="A97" t="str">
        <x:v>6d7dcd75-009a-599d-a72f-1b6cf18443b9</x:v>
      </x:c>
      <x:c r="B97" t="str">
        <x:v>CDA-CODE-162</x:v>
      </x:c>
      <x:c r="C97" t="str">
        <x:v>162</x:v>
      </x:c>
      <x:c r="D97" t="str">
        <x:v>Phthalocyanine blue</x:v>
      </x:c>
      <x:c r="E97" t="str">
        <x:v>酞菁藍</x:v>
      </x:c>
      <x:c r="F97" t="str">
        <x:v>フタロシアニンブルー</x:v>
      </x:c>
      <x:c r="G97" t="str">
        <x:v>Phthalocyanine blue</x:v>
      </x:c>
      <x:c r="H97" t="str">
        <x:v>酞菁藍</x:v>
      </x:c>
      <x:c r="I97" t="str">
        <x:v>フタロシアニン ブルー | フタロシアニンブルー</x:v>
      </x:c>
      <x:c r="J97" t="n">
        <x:v>4</x:v>
      </x:c>
      <x:c r="K97" t="str">
        <x:v>LUMINANCE 6901 | MUSEUM Aquarelle | PASTEL PENCILS | PASTEL CUBES</x:v>
      </x:c>
      <x:c r="L97" t="str">
        <x:v>PB15 | PB15:3</x:v>
      </x:c>
      <x:c r="M97" t="str">
        <x:v>#198AC2</x:v>
      </x:c>
      <x:c r="N97" t="n">
        <x:v>25</x:v>
      </x:c>
      <x:c r="O97" t="n">
        <x:v>138</x:v>
      </x:c>
      <x:c r="P97" t="n">
        <x:v>194</x:v>
      </x:c>
      <x:c r="Q97" t="n">
        <x:v>54.32</x:v>
      </x:c>
      <x:c r="R97" t="n">
        <x:v>-9.61</x:v>
      </x:c>
      <x:c r="S97" t="n">
        <x:v>-37.38</x:v>
      </x:c>
      <x:c r="T97" t="n">
        <x:v>26.64</x:v>
      </x:c>
      <x:c r="U97" t="str">
        <x:v>#000000</x:v>
      </x:c>
      <x:c r="V97" t="n">
        <x:v>5.46</x:v>
      </x:c>
      <x:c r="W97" t="n">
        <x:v>0.222787</x:v>
      </x:c>
      <x:c r="X97" t="str">
        <x:v>Low</x:v>
      </x:c>
      <x:c r="Y97" t="str">
        <x:v>Average of official PDF swatch samples across distinct source palettes; not a physical colour standard.</x:v>
      </x:c>
    </x:row>
    <x:row r="98">
      <x:c r="A98" t="str">
        <x:v>ec221387-abf8-5daf-a96e-3e77a16b0173</x:v>
      </x:c>
      <x:c r="B98" t="str">
        <x:v>CDA-CODE-169</x:v>
      </x:c>
      <x:c r="C98" t="str">
        <x:v>169</x:v>
      </x:c>
      <x:c r="D98" t="str">
        <x:v>Marine blue</x:v>
      </x:c>
      <x:c r="E98" t="str">
        <x:v>海軍藍</x:v>
      </x:c>
      <x:c r="F98" t="str">
        <x:v>マリンブルー</x:v>
      </x:c>
      <x:c r="G98" t="str">
        <x:v>Marine blue</x:v>
      </x:c>
      <x:c r="H98" t="str">
        <x:v>海軍藍</x:v>
      </x:c>
      <x:c r="I98" t="str">
        <x:v>マリンブルー</x:v>
      </x:c>
      <x:c r="J98" t="n">
        <x:v>2</x:v>
      </x:c>
      <x:c r="K98" t="str">
        <x:v>PABLO | SUPRACOLOR Soft Aquarelle</x:v>
      </x:c>
      <x:c r="L98" t="str"/>
      <x:c r="M98" t="str">
        <x:v>#3394BC</x:v>
      </x:c>
      <x:c r="N98" t="n">
        <x:v>51</x:v>
      </x:c>
      <x:c r="O98" t="n">
        <x:v>148</x:v>
      </x:c>
      <x:c r="P98" t="n">
        <x:v>188</x:v>
      </x:c>
      <x:c r="Q98" t="n">
        <x:v>57.57</x:v>
      </x:c>
      <x:c r="R98" t="n">
        <x:v>-14.71</x:v>
      </x:c>
      <x:c r="S98" t="n">
        <x:v>-28.86</x:v>
      </x:c>
      <x:c r="T98" t="n">
        <x:v>41.21</x:v>
      </x:c>
      <x:c r="U98" t="str">
        <x:v>#000000</x:v>
      </x:c>
      <x:c r="V98" t="n">
        <x:v>6.1</x:v>
      </x:c>
      <x:c r="W98" t="n">
        <x:v>0.255145</x:v>
      </x:c>
      <x:c r="X98" t="str">
        <x:v>Low</x:v>
      </x:c>
      <x:c r="Y98" t="str">
        <x:v>Average of official PDF swatch samples across distinct source palettes; not a physical colour standard.</x:v>
      </x:c>
    </x:row>
    <x:row r="99">
      <x:c r="A99" t="str">
        <x:v>60cfb7af-26b5-51df-845a-1aedc11011c5</x:v>
      </x:c>
      <x:c r="B99" t="str">
        <x:v>CDA-CODE-170</x:v>
      </x:c>
      <x:c r="C99" t="str">
        <x:v>170</x:v>
      </x:c>
      <x:c r="D99" t="str">
        <x:v>Azurite blue</x:v>
      </x:c>
      <x:c r="E99" t="str">
        <x:v>藍銅礦藍</x:v>
      </x:c>
      <x:c r="F99" t="str">
        <x:v>アズライトブルー</x:v>
      </x:c>
      <x:c r="G99" t="str">
        <x:v>Azurite blue</x:v>
      </x:c>
      <x:c r="H99" t="str">
        <x:v>藍銅礦藍</x:v>
      </x:c>
      <x:c r="I99" t="str">
        <x:v>アズライトブルー</x:v>
      </x:c>
      <x:c r="J99" t="n">
        <x:v>3</x:v>
      </x:c>
      <x:c r="K99" t="str">
        <x:v>PABLO | SUPRACOLOR Soft Aquarelle | NEOPASTEL</x:v>
      </x:c>
      <x:c r="L99" t="str">
        <x:v>PB15:3/PG7</x:v>
      </x:c>
      <x:c r="M99" t="str">
        <x:v>#11939E</x:v>
      </x:c>
      <x:c r="N99" t="n">
        <x:v>17</x:v>
      </x:c>
      <x:c r="O99" t="n">
        <x:v>147</x:v>
      </x:c>
      <x:c r="P99" t="n">
        <x:v>158</x:v>
      </x:c>
      <x:c r="Q99" t="n">
        <x:v>55.54</x:v>
      </x:c>
      <x:c r="R99" t="n">
        <x:v>-27.55</x:v>
      </x:c>
      <x:c r="S99" t="n">
        <x:v>-14.93</x:v>
      </x:c>
      <x:c r="T99" t="n">
        <x:v>33.51</x:v>
      </x:c>
      <x:c r="U99" t="str">
        <x:v>#000000</x:v>
      </x:c>
      <x:c r="V99" t="n">
        <x:v>5.69</x:v>
      </x:c>
      <x:c r="W99" t="n">
        <x:v>0.234552</x:v>
      </x:c>
      <x:c r="X99" t="str">
        <x:v>Low</x:v>
      </x:c>
      <x:c r="Y99" t="str">
        <x:v>Average of official PDF swatch samples across distinct source palettes; not a physical colour standard.</x:v>
      </x:c>
    </x:row>
    <x:row r="100">
      <x:c r="A100" t="str">
        <x:v>8af82ae3-1ed6-53f3-82c5-825de5d678dc</x:v>
      </x:c>
      <x:c r="B100" t="str">
        <x:v>CDA-CODE-171</x:v>
      </x:c>
      <x:c r="C100" t="str">
        <x:v>171</x:v>
      </x:c>
      <x:c r="D100" t="str">
        <x:v>Turquoise blue</x:v>
      </x:c>
      <x:c r="E100" t="str">
        <x:v>土耳其藍</x:v>
      </x:c>
      <x:c r="F100" t="str">
        <x:v>ターコイズブルー</x:v>
      </x:c>
      <x:c r="G100" t="str">
        <x:v>Turquoise blue</x:v>
      </x:c>
      <x:c r="H100" t="str">
        <x:v>土耳其藍</x:v>
      </x:c>
      <x:c r="I100" t="str">
        <x:v>ターコイズ ブルー | ターコイズブルー</x:v>
      </x:c>
      <x:c r="J100" t="n">
        <x:v>6</x:v>
      </x:c>
      <x:c r="K100" t="str">
        <x:v>LUMINANCE 6901 | PABLO | SUPRACOLOR Soft Aquarelle | MUSEUM Aquarelle | NEOCOLOR II Aquarelle | NEOPASTEL</x:v>
      </x:c>
      <x:c r="L100" t="str">
        <x:v>PB15/PG7 | PB15:3/PG7/PBk9 | PG7/PB15</x:v>
      </x:c>
      <x:c r="M100" t="str">
        <x:v>#6EC3D1</x:v>
      </x:c>
      <x:c r="N100" t="n">
        <x:v>110</x:v>
      </x:c>
      <x:c r="O100" t="n">
        <x:v>195</x:v>
      </x:c>
      <x:c r="P100" t="n">
        <x:v>209</x:v>
      </x:c>
      <x:c r="Q100" t="n">
        <x:v>74.15</x:v>
      </x:c>
      <x:c r="R100" t="n">
        <x:v>-22.04</x:v>
      </x:c>
      <x:c r="S100" t="n">
        <x:v>-15.01</x:v>
      </x:c>
      <x:c r="T100" t="n">
        <x:v>39.63</x:v>
      </x:c>
      <x:c r="U100" t="str">
        <x:v>#000000</x:v>
      </x:c>
      <x:c r="V100" t="n">
        <x:v>10.39</x:v>
      </x:c>
      <x:c r="W100" t="n">
        <x:v>0.469487</x:v>
      </x:c>
      <x:c r="X100" t="str">
        <x:v>Low</x:v>
      </x:c>
      <x:c r="Y100" t="str">
        <x:v>Average of official PDF swatch samples across distinct source palettes; not a physical colour standard.</x:v>
      </x:c>
    </x:row>
    <x:row r="101">
      <x:c r="A101" t="str">
        <x:v>4231c496-9609-55e3-b7b2-f62a8cae5f25</x:v>
      </x:c>
      <x:c r="B101" t="str">
        <x:v>CDA-CODE-180</x:v>
      </x:c>
      <x:c r="C101" t="str">
        <x:v>180</x:v>
      </x:c>
      <x:c r="D101" t="str">
        <x:v>Malachite green</x:v>
      </x:c>
      <x:c r="E101" t="str">
        <x:v>孔雀石綠</x:v>
      </x:c>
      <x:c r="F101" t="str">
        <x:v>マラカイトグリーン</x:v>
      </x:c>
      <x:c r="G101" t="str">
        <x:v>Malachite green</x:v>
      </x:c>
      <x:c r="H101" t="str">
        <x:v>孔雀石綠</x:v>
      </x:c>
      <x:c r="I101" t="str">
        <x:v>マラカイトグリーン</x:v>
      </x:c>
      <x:c r="J101" t="n">
        <x:v>7</x:v>
      </x:c>
      <x:c r="K101" t="str">
        <x:v>LUMINANCE 6901 | PABLO | SUPRACOLOR Soft Aquarelle | NEOCOLOR II Aquarelle | NEOPASTEL | PASTEL PENCILS | PASTEL CUBES</x:v>
      </x:c>
      <x:c r="L101" t="str">
        <x:v>PB15/PY3/PBk7 | PG7/PB15 | PG7/PBk9</x:v>
      </x:c>
      <x:c r="M101" t="str">
        <x:v>#2B909C</x:v>
      </x:c>
      <x:c r="N101" t="n">
        <x:v>43</x:v>
      </x:c>
      <x:c r="O101" t="n">
        <x:v>144</x:v>
      </x:c>
      <x:c r="P101" t="n">
        <x:v>156</x:v>
      </x:c>
      <x:c r="Q101" t="n">
        <x:v>54.93</x:v>
      </x:c>
      <x:c r="R101" t="n">
        <x:v>-24.18</x:v>
      </x:c>
      <x:c r="S101" t="n">
        <x:v>-14.67</x:v>
      </x:c>
      <x:c r="T101" t="n">
        <x:v>59.39</x:v>
      </x:c>
      <x:c r="U101" t="str">
        <x:v>#000000</x:v>
      </x:c>
      <x:c r="V101" t="n">
        <x:v>5.57</x:v>
      </x:c>
      <x:c r="W101" t="n">
        <x:v>0.228604</x:v>
      </x:c>
      <x:c r="X101" t="str">
        <x:v>Low</x:v>
      </x:c>
      <x:c r="Y101" t="str">
        <x:v>Average of official PDF swatch samples across distinct source palettes; not a physical colour standard.</x:v>
      </x:c>
    </x:row>
    <x:row r="102">
      <x:c r="A102" t="str">
        <x:v>af2a2944-e566-5dee-8ba8-64d621eb0cbf</x:v>
      </x:c>
      <x:c r="B102" t="str">
        <x:v>CDA-CODE-181</x:v>
      </x:c>
      <x:c r="C102" t="str">
        <x:v>181</x:v>
      </x:c>
      <x:c r="D102" t="str">
        <x:v>Light malachite green</x:v>
      </x:c>
      <x:c r="E102" t="str">
        <x:v>淺孔雀石綠</x:v>
      </x:c>
      <x:c r="F102" t="str">
        <x:v>ライトマラカイトグリーン</x:v>
      </x:c>
      <x:c r="G102" t="str">
        <x:v>Light malachite green</x:v>
      </x:c>
      <x:c r="H102" t="str">
        <x:v>淺孔雀石綠</x:v>
      </x:c>
      <x:c r="I102" t="str">
        <x:v>ライト マラカイト グリーン | ライトマラカイトグリーン</x:v>
      </x:c>
      <x:c r="J102" t="n">
        <x:v>5</x:v>
      </x:c>
      <x:c r="K102" t="str">
        <x:v>LUMINANCE 6901 | PABLO | SUPRACOLOR Soft Aquarelle | MUSEUM Aquarelle | NEOART 6901</x:v>
      </x:c>
      <x:c r="L102" t="str">
        <x:v>PG7/PBk9 | PBk9/PG7</x:v>
      </x:c>
      <x:c r="M102" s="113" t="str">
        <x:v>#91CEC1</x:v>
      </x:c>
      <x:c r="N102" t="n">
        <x:v>145</x:v>
      </x:c>
      <x:c r="O102" t="n">
        <x:v>206</x:v>
      </x:c>
      <x:c r="P102" t="n">
        <x:v>193</x:v>
      </x:c>
      <x:c r="Q102" t="n">
        <x:v>78.47</x:v>
      </x:c>
      <x:c r="R102" t="n">
        <x:v>-22.25</x:v>
      </x:c>
      <x:c r="S102" t="n">
        <x:v>0.21</x:v>
      </x:c>
      <x:c r="T102" t="n">
        <x:v>19.27</x:v>
      </x:c>
      <x:c r="U102" t="str">
        <x:v>#000000</x:v>
      </x:c>
      <x:c r="V102" t="n">
        <x:v>11.8</x:v>
      </x:c>
      <x:c r="W102" t="n">
        <x:v>0.540126</x:v>
      </x:c>
      <x:c r="X102" t="str">
        <x:v>Medium</x:v>
      </x:c>
      <x:c r="Y10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03">
      <x:c r="A103" t="str">
        <x:v>1e70d834-fddd-5135-a908-aff1980efa95</x:v>
      </x:c>
      <x:c r="B103" t="str">
        <x:v>CDA-CODE-182</x:v>
      </x:c>
      <x:c r="C103" t="str">
        <x:v>182</x:v>
      </x:c>
      <x:c r="D103" t="str">
        <x:v>Cobalt green</x:v>
      </x:c>
      <x:c r="E103" t="str">
        <x:v>鈷綠</x:v>
      </x:c>
      <x:c r="F103" t="str">
        <x:v>コバルトグリーン</x:v>
      </x:c>
      <x:c r="G103" t="str">
        <x:v>Cobalt green</x:v>
      </x:c>
      <x:c r="H103" t="str">
        <x:v>鈷綠</x:v>
      </x:c>
      <x:c r="I103" t="str">
        <x:v>コバルト グリーン | コバルトグリーン</x:v>
      </x:c>
      <x:c r="J103" t="n">
        <x:v>3</x:v>
      </x:c>
      <x:c r="K103" t="str">
        <x:v>LUMINANCE 6901 | MUSEUM Aquarelle | NEOART 6901</x:v>
      </x:c>
      <x:c r="L103" t="str">
        <x:v>PG50</x:v>
      </x:c>
      <x:c r="M103" s="115" t="str">
        <x:v>#9ECDAB</x:v>
      </x:c>
      <x:c r="N103" t="n">
        <x:v>158</x:v>
      </x:c>
      <x:c r="O103" t="n">
        <x:v>205</x:v>
      </x:c>
      <x:c r="P103" t="n">
        <x:v>171</x:v>
      </x:c>
      <x:c r="Q103" t="n">
        <x:v>78.39</x:v>
      </x:c>
      <x:c r="R103" t="n">
        <x:v>-22.17</x:v>
      </x:c>
      <x:c r="S103" t="n">
        <x:v>11.97</x:v>
      </x:c>
      <x:c r="T103" t="n">
        <x:v>31.81</x:v>
      </x:c>
      <x:c r="U103" t="str">
        <x:v>#000000</x:v>
      </x:c>
      <x:c r="V103" t="n">
        <x:v>11.77</x:v>
      </x:c>
      <x:c r="W103" t="n">
        <x:v>0.53872</x:v>
      </x:c>
      <x:c r="X103" t="str">
        <x:v>Low</x:v>
      </x:c>
      <x:c r="Y103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04">
      <x:c r="A104" t="str">
        <x:v>12724f05-b502-59f7-a985-93fdace159dd</x:v>
      </x:c>
      <x:c r="B104" t="str">
        <x:v>CDA-CODE-185</x:v>
      </x:c>
      <x:c r="C104" t="str">
        <x:v>185</x:v>
      </x:c>
      <x:c r="D104" t="str">
        <x:v>Ice blue</x:v>
      </x:c>
      <x:c r="E104" t="str">
        <x:v>冰藍</x:v>
      </x:c>
      <x:c r="F104" t="str">
        <x:v>アイスブルー</x:v>
      </x:c>
      <x:c r="G104" t="str">
        <x:v>Ice blue</x:v>
      </x:c>
      <x:c r="H104" t="str">
        <x:v>冰藍</x:v>
      </x:c>
      <x:c r="I104" t="str">
        <x:v>アイス ブルー | アイスブルー</x:v>
      </x:c>
      <x:c r="J104" t="n">
        <x:v>5</x:v>
      </x:c>
      <x:c r="K104" t="str">
        <x:v>LUMINANCE 6901 | MUSEUM Aquarelle | PASTEL PENCILS | PASTEL CUBES | NEOART 6901</x:v>
      </x:c>
      <x:c r="L104" t="str">
        <x:v>PB16</x:v>
      </x:c>
      <x:c r="M104" s="117" t="str">
        <x:v>#187AA0</x:v>
      </x:c>
      <x:c r="N104" t="n">
        <x:v>24</x:v>
      </x:c>
      <x:c r="O104" t="n">
        <x:v>122</x:v>
      </x:c>
      <x:c r="P104" t="n">
        <x:v>160</x:v>
      </x:c>
      <x:c r="Q104" t="n">
        <x:v>47.82</x:v>
      </x:c>
      <x:c r="R104" t="n">
        <x:v>-13.04</x:v>
      </x:c>
      <x:c r="S104" t="n">
        <x:v>-27.94</x:v>
      </x:c>
      <x:c r="T104" t="n">
        <x:v>21.67</x:v>
      </x:c>
      <x:c r="U104" t="str">
        <x:v>#FFFFFF</x:v>
      </x:c>
      <x:c r="V104" t="n">
        <x:v>4.85</x:v>
      </x:c>
      <x:c r="W104" t="n">
        <x:v>0.166513</x:v>
      </x:c>
      <x:c r="X104" t="str">
        <x:v>Low</x:v>
      </x:c>
      <x:c r="Y104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05">
      <x:c r="A105" t="str">
        <x:v>d91a39dc-f93b-5b8b-a953-a353d4f54b4e</x:v>
      </x:c>
      <x:c r="B105" t="str">
        <x:v>CDA-CODE-190</x:v>
      </x:c>
      <x:c r="C105" t="str">
        <x:v>190</x:v>
      </x:c>
      <x:c r="D105" t="str">
        <x:v>Greenish blue</x:v>
      </x:c>
      <x:c r="E105" t="str">
        <x:v>綠藍色</x:v>
      </x:c>
      <x:c r="F105" t="str">
        <x:v>グリーニッシュブルー</x:v>
      </x:c>
      <x:c r="G105" t="str">
        <x:v>Greenish blue</x:v>
      </x:c>
      <x:c r="H105" t="str">
        <x:v>綠藍色</x:v>
      </x:c>
      <x:c r="I105" t="str">
        <x:v>グリーニッシュブルー</x:v>
      </x:c>
      <x:c r="J105" t="n">
        <x:v>4</x:v>
      </x:c>
      <x:c r="K105" t="str">
        <x:v>PABLO | SUPRACOLOR Soft Aquarelle | NEOCOLOR II Aquarelle | NEOPASTEL</x:v>
      </x:c>
      <x:c r="L105" t="str">
        <x:v>PG7/PB15</x:v>
      </x:c>
      <x:c r="M105" t="str">
        <x:v>#369E96</x:v>
      </x:c>
      <x:c r="N105" t="n">
        <x:v>54</x:v>
      </x:c>
      <x:c r="O105" t="n">
        <x:v>158</x:v>
      </x:c>
      <x:c r="P105" t="n">
        <x:v>150</x:v>
      </x:c>
      <x:c r="Q105" t="n">
        <x:v>59.38</x:v>
      </x:c>
      <x:c r="R105" t="n">
        <x:v>-31.27</x:v>
      </x:c>
      <x:c r="S105" t="n">
        <x:v>-4.56</x:v>
      </x:c>
      <x:c r="T105" t="n">
        <x:v>46.09</x:v>
      </x:c>
      <x:c r="U105" t="str">
        <x:v>#000000</x:v>
      </x:c>
      <x:c r="V105" t="n">
        <x:v>6.49</x:v>
      </x:c>
      <x:c r="W105" t="n">
        <x:v>0.2744</x:v>
      </x:c>
      <x:c r="X105" t="str">
        <x:v>Low</x:v>
      </x:c>
      <x:c r="Y105" t="str">
        <x:v>Average of official PDF swatch samples across distinct source palettes; not a physical colour standard.</x:v>
      </x:c>
    </x:row>
    <x:row r="106">
      <x:c r="A106" t="str">
        <x:v>295c1c8c-f3a3-598e-9fb8-99b3a59852df</x:v>
      </x:c>
      <x:c r="B106" t="str">
        <x:v>CDA-CODE-191</x:v>
      </x:c>
      <x:c r="C106" t="str">
        <x:v>191</x:v>
      </x:c>
      <x:c r="D106" t="str">
        <x:v>Turquoise</x:v>
      </x:c>
      <x:c r="E106" t="str">
        <x:v>綠松石色</x:v>
      </x:c>
      <x:c r="F106" t="str">
        <x:v>ターコイズ</x:v>
      </x:c>
      <x:c r="G106" t="str">
        <x:v>Turquoise</x:v>
      </x:c>
      <x:c r="H106" t="str">
        <x:v>綠松石色</x:v>
      </x:c>
      <x:c r="I106" t="str">
        <x:v>ターコイズ</x:v>
      </x:c>
      <x:c r="J106" t="n">
        <x:v>4</x:v>
      </x:c>
      <x:c r="K106" t="str">
        <x:v>PABLO | SUPRACOLOR Soft Aquarelle | NEOCOLOR II Aquarelle | NEOPASTEL</x:v>
      </x:c>
      <x:c r="L106" t="str">
        <x:v>PB15:3/PG7</x:v>
      </x:c>
      <x:c r="M106" t="str">
        <x:v>#7ECBC2</x:v>
      </x:c>
      <x:c r="N106" t="n">
        <x:v>126</x:v>
      </x:c>
      <x:c r="O106" t="n">
        <x:v>203</x:v>
      </x:c>
      <x:c r="P106" t="n">
        <x:v>194</x:v>
      </x:c>
      <x:c r="Q106" t="n">
        <x:v>76.7</x:v>
      </x:c>
      <x:c r="R106" t="n">
        <x:v>-25.85</x:v>
      </x:c>
      <x:c r="S106" t="n">
        <x:v>-3.02</x:v>
      </x:c>
      <x:c r="T106" t="n">
        <x:v>41.44</x:v>
      </x:c>
      <x:c r="U106" t="str">
        <x:v>#000000</x:v>
      </x:c>
      <x:c r="V106" t="n">
        <x:v>11.21</x:v>
      </x:c>
      <x:c r="W106" t="n">
        <x:v>0.510425</x:v>
      </x:c>
      <x:c r="X106" t="str">
        <x:v>Low</x:v>
      </x:c>
      <x:c r="Y106" t="str">
        <x:v>Average of official PDF swatch samples across distinct source palettes; not a physical colour standard.</x:v>
      </x:c>
    </x:row>
    <x:row r="107">
      <x:c r="A107" t="str">
        <x:v>9d26ba70-2933-5d48-92be-1fd1287b451c</x:v>
      </x:c>
      <x:c r="B107" t="str">
        <x:v>CDA-CODE-195</x:v>
      </x:c>
      <x:c r="C107" t="str">
        <x:v>195</x:v>
      </x:c>
      <x:c r="D107" t="str">
        <x:v>Opaline green</x:v>
      </x:c>
      <x:c r="E107" t="str">
        <x:v>乳白綠</x:v>
      </x:c>
      <x:c r="F107" t="str">
        <x:v>オパリングリーン</x:v>
      </x:c>
      <x:c r="G107" t="str">
        <x:v>Opaline green</x:v>
      </x:c>
      <x:c r="H107" t="str">
        <x:v>乳白綠</x:v>
      </x:c>
      <x:c r="I107" t="str">
        <x:v>オパリングリーン</x:v>
      </x:c>
      <x:c r="J107" t="n">
        <x:v>3</x:v>
      </x:c>
      <x:c r="K107" t="str">
        <x:v>PABLO | SUPRACOLOR Soft Aquarelle | NEOPASTEL</x:v>
      </x:c>
      <x:c r="L107" t="str">
        <x:v>PBk6/PB15/PG7</x:v>
      </x:c>
      <x:c r="M107" t="str">
        <x:v>#27A098</x:v>
      </x:c>
      <x:c r="N107" t="n">
        <x:v>39</x:v>
      </x:c>
      <x:c r="O107" t="n">
        <x:v>160</x:v>
      </x:c>
      <x:c r="P107" t="n">
        <x:v>152</x:v>
      </x:c>
      <x:c r="Q107" t="n">
        <x:v>59.74</x:v>
      </x:c>
      <x:c r="R107" t="n">
        <x:v>-33.75</x:v>
      </x:c>
      <x:c r="S107" t="n">
        <x:v>-5.19</x:v>
      </x:c>
      <x:c r="T107" t="n">
        <x:v>27.54</x:v>
      </x:c>
      <x:c r="U107" t="str">
        <x:v>#000000</x:v>
      </x:c>
      <x:c r="V107" t="n">
        <x:v>6.57</x:v>
      </x:c>
      <x:c r="W107" t="n">
        <x:v>0.278399</x:v>
      </x:c>
      <x:c r="X107" t="str">
        <x:v>Low</x:v>
      </x:c>
      <x:c r="Y107" t="str">
        <x:v>Average of official PDF swatch samples across distinct source palettes; not a physical colour standard.</x:v>
      </x:c>
    </x:row>
    <x:row r="108">
      <x:c r="A108" t="str">
        <x:v>acd1f677-a0b6-52a5-9f16-3917bf335a93</x:v>
      </x:c>
      <x:c r="B108" t="str">
        <x:v>CDA-CODE-200</x:v>
      </x:c>
      <x:c r="C108" t="str">
        <x:v>200</x:v>
      </x:c>
      <x:c r="D108" t="str">
        <x:v>Bluish green</x:v>
      </x:c>
      <x:c r="E108" t="str">
        <x:v>藍綠色</x:v>
      </x:c>
      <x:c r="F108" t="str">
        <x:v>ブルーイッシュグリーン</x:v>
      </x:c>
      <x:c r="G108" t="str">
        <x:v>Bluish green</x:v>
      </x:c>
      <x:c r="H108" t="str">
        <x:v>藍綠色</x:v>
      </x:c>
      <x:c r="I108" t="str">
        <x:v>ブルーイッシュグリーン</x:v>
      </x:c>
      <x:c r="J108" t="n">
        <x:v>3</x:v>
      </x:c>
      <x:c r="K108" t="str">
        <x:v>PABLO | SUPRACOLOR Soft Aquarelle | NEOPASTEL</x:v>
      </x:c>
      <x:c r="L108" t="str">
        <x:v>PB15:3/PY3</x:v>
      </x:c>
      <x:c r="M108" t="str">
        <x:v>#269275</x:v>
      </x:c>
      <x:c r="N108" t="n">
        <x:v>38</x:v>
      </x:c>
      <x:c r="O108" t="n">
        <x:v>146</x:v>
      </x:c>
      <x:c r="P108" t="n">
        <x:v>117</x:v>
      </x:c>
      <x:c r="Q108" t="n">
        <x:v>54.29</x:v>
      </x:c>
      <x:c r="R108" t="n">
        <x:v>-37.14</x:v>
      </x:c>
      <x:c r="S108" t="n">
        <x:v>6.81</x:v>
      </x:c>
      <x:c r="T108" t="n">
        <x:v>37.33</x:v>
      </x:c>
      <x:c r="U108" t="str">
        <x:v>#000000</x:v>
      </x:c>
      <x:c r="V108" t="n">
        <x:v>5.45</x:v>
      </x:c>
      <x:c r="W108" t="n">
        <x:v>0.222542</x:v>
      </x:c>
      <x:c r="X108" t="str">
        <x:v>Low</x:v>
      </x:c>
      <x:c r="Y108" t="str">
        <x:v>Average of official PDF swatch samples across distinct source palettes; not a physical colour standard.</x:v>
      </x:c>
    </x:row>
    <x:row r="109">
      <x:c r="A109" t="str">
        <x:v>41c705d7-153e-5378-b6fd-211680ba74d8</x:v>
      </x:c>
      <x:c r="B109" t="str">
        <x:v>CDA-CODE-201</x:v>
      </x:c>
      <x:c r="C109" t="str">
        <x:v>201</x:v>
      </x:c>
      <x:c r="D109" t="str">
        <x:v>Veronese green</x:v>
      </x:c>
      <x:c r="E109" t="str">
        <x:v>維羅內塞綠</x:v>
      </x:c>
      <x:c r="F109" t="str">
        <x:v>ベロネーゼグリーン</x:v>
      </x:c>
      <x:c r="G109" t="str">
        <x:v>Veronese green</x:v>
      </x:c>
      <x:c r="H109" t="str">
        <x:v>維羅內塞綠</x:v>
      </x:c>
      <x:c r="I109" t="str">
        <x:v>ベロネーゼグリーン</x:v>
      </x:c>
      <x:c r="J109" t="n">
        <x:v>4</x:v>
      </x:c>
      <x:c r="K109" t="str">
        <x:v>PABLO | SUPRACOLOR Soft Aquarelle | NEOCOLOR II Aquarelle | NEOPASTEL</x:v>
      </x:c>
      <x:c r="L109" t="str">
        <x:v>PY3/PG7</x:v>
      </x:c>
      <x:c r="M109" t="str">
        <x:v>#65BD99</x:v>
      </x:c>
      <x:c r="N109" t="n">
        <x:v>101</x:v>
      </x:c>
      <x:c r="O109" t="n">
        <x:v>189</x:v>
      </x:c>
      <x:c r="P109" t="n">
        <x:v>153</x:v>
      </x:c>
      <x:c r="Q109" t="n">
        <x:v>70.5</x:v>
      </x:c>
      <x:c r="R109" t="n">
        <x:v>-35.02</x:v>
      </x:c>
      <x:c r="S109" t="n">
        <x:v>10.09</x:v>
      </x:c>
      <x:c r="T109" t="n">
        <x:v>38.74</x:v>
      </x:c>
      <x:c r="U109" t="str">
        <x:v>#000000</x:v>
      </x:c>
      <x:c r="V109" t="n">
        <x:v>9.29</x:v>
      </x:c>
      <x:c r="W109" t="n">
        <x:v>0.414618</x:v>
      </x:c>
      <x:c r="X109" t="str">
        <x:v>Low</x:v>
      </x:c>
      <x:c r="Y109" t="str">
        <x:v>Average of official PDF swatch samples across distinct source palettes; not a physical colour standard.</x:v>
      </x:c>
    </x:row>
    <x:row r="110">
      <x:c r="A110" t="str">
        <x:v>20169bd8-fae1-5c8f-b26d-df9ab6e5a19c</x:v>
      </x:c>
      <x:c r="B110" t="str">
        <x:v>CDA-CODE-210</x:v>
      </x:c>
      <x:c r="C110" t="str">
        <x:v>210</x:v>
      </x:c>
      <x:c r="D110" t="str">
        <x:v>Emerald green</x:v>
      </x:c>
      <x:c r="E110" t="str">
        <x:v>祖母綠</x:v>
      </x:c>
      <x:c r="F110" t="str">
        <x:v>エメラルド グリーン</x:v>
      </x:c>
      <x:c r="G110" t="str">
        <x:v>Emerald green</x:v>
      </x:c>
      <x:c r="H110" t="str">
        <x:v>祖母綠</x:v>
      </x:c>
      <x:c r="I110" t="str">
        <x:v>エメラルド グリーン | エメラルドグリーン</x:v>
      </x:c>
      <x:c r="J110" t="n">
        <x:v>5</x:v>
      </x:c>
      <x:c r="K110" t="str">
        <x:v>PABLO | SUPRACOLOR Soft Aquarelle | MUSEUM Aquarelle | NEOCOLOR II Aquarelle | NEOPASTEL</x:v>
      </x:c>
      <x:c r="L110" t="str">
        <x:v>PY3/PB15 | PY3/PB15:3</x:v>
      </x:c>
      <x:c r="M110" t="str">
        <x:v>#61AB83</x:v>
      </x:c>
      <x:c r="N110" t="n">
        <x:v>97</x:v>
      </x:c>
      <x:c r="O110" t="n">
        <x:v>171</x:v>
      </x:c>
      <x:c r="P110" t="n">
        <x:v>131</x:v>
      </x:c>
      <x:c r="Q110" t="n">
        <x:v>64.41</x:v>
      </x:c>
      <x:c r="R110" t="n">
        <x:v>-32.37</x:v>
      </x:c>
      <x:c r="S110" t="n">
        <x:v>13.52</x:v>
      </x:c>
      <x:c r="T110" t="n">
        <x:v>55.65</x:v>
      </x:c>
      <x:c r="U110" t="str">
        <x:v>#000000</x:v>
      </x:c>
      <x:c r="V110" t="n">
        <x:v>7.66</x:v>
      </x:c>
      <x:c r="W110" t="n">
        <x:v>0.333059</x:v>
      </x:c>
      <x:c r="X110" t="str">
        <x:v>Low</x:v>
      </x:c>
      <x:c r="Y110" t="str">
        <x:v>Average of official PDF swatch samples across distinct source palettes; not a physical colour standard.</x:v>
      </x:c>
    </x:row>
    <x:row r="111">
      <x:c r="A111" t="str">
        <x:v>456d0f17-a8f0-5d1b-88fa-d78fc8317ec0</x:v>
      </x:c>
      <x:c r="B111" t="str">
        <x:v>CDA-CODE-211</x:v>
      </x:c>
      <x:c r="C111" t="str">
        <x:v>211</x:v>
      </x:c>
      <x:c r="D111" t="str">
        <x:v>Jade green</x:v>
      </x:c>
      <x:c r="E111" t="str">
        <x:v>玉綠色</x:v>
      </x:c>
      <x:c r="F111" t="str">
        <x:v>ジェードグリーン</x:v>
      </x:c>
      <x:c r="G111" t="str">
        <x:v>Jade green</x:v>
      </x:c>
      <x:c r="H111" t="str">
        <x:v>玉綠色</x:v>
      </x:c>
      <x:c r="I111" t="str">
        <x:v>ジェードグリーン</x:v>
      </x:c>
      <x:c r="J111" t="n">
        <x:v>4</x:v>
      </x:c>
      <x:c r="K111" t="str">
        <x:v>PABLO | SUPRACOLOR Soft Aquarelle | NEOCOLOR II Aquarelle | NEOPASTEL</x:v>
      </x:c>
      <x:c r="L111" t="str">
        <x:v>PY1/PG7</x:v>
      </x:c>
      <x:c r="M111" t="str">
        <x:v>#A4D6C0</x:v>
      </x:c>
      <x:c r="N111" t="n">
        <x:v>164</x:v>
      </x:c>
      <x:c r="O111" t="n">
        <x:v>214</x:v>
      </x:c>
      <x:c r="P111" t="n">
        <x:v>192</x:v>
      </x:c>
      <x:c r="Q111" t="n">
        <x:v>81.72</x:v>
      </x:c>
      <x:c r="R111" t="n">
        <x:v>-20.66</x:v>
      </x:c>
      <x:c r="S111" t="n">
        <x:v>5.6</x:v>
      </x:c>
      <x:c r="T111" t="n">
        <x:v>37.67</x:v>
      </x:c>
      <x:c r="U111" t="str">
        <x:v>#000000</x:v>
      </x:c>
      <x:c r="V111" t="n">
        <x:v>12.96</x:v>
      </x:c>
      <x:c r="W111" t="n">
        <x:v>0.597914</x:v>
      </x:c>
      <x:c r="X111" t="str">
        <x:v>Low</x:v>
      </x:c>
      <x:c r="Y111" t="str">
        <x:v>Average of official PDF swatch samples across distinct source palettes; not a physical colour standard.</x:v>
      </x:c>
    </x:row>
    <x:row r="112">
      <x:c r="A112" t="str">
        <x:v>c4654ab2-e8d8-51fb-bafc-1edaae0fcf72</x:v>
      </x:c>
      <x:c r="B112" t="str">
        <x:v>CDA-CODE-212</x:v>
      </x:c>
      <x:c r="C112" t="str">
        <x:v>212</x:v>
      </x:c>
      <x:c r="D112" t="str">
        <x:v>Chromium oxyde green</x:v>
      </x:c>
      <x:c r="E112" t="str">
        <x:v>氧化鉻綠</x:v>
      </x:c>
      <x:c r="F112" t="str">
        <x:v>クロムオキサイドグリーン</x:v>
      </x:c>
      <x:c r="G112" t="str">
        <x:v>Chromium oxyde green</x:v>
      </x:c>
      <x:c r="H112" t="str">
        <x:v>氧化鉻綠</x:v>
      </x:c>
      <x:c r="I112" t="str">
        <x:v>クロミウム オキサイド グリーン | クロムオキサイドグリーン</x:v>
      </x:c>
      <x:c r="J112" t="n">
        <x:v>5</x:v>
      </x:c>
      <x:c r="K112" t="str">
        <x:v>LUMINANCE 6901 | MUSEUM Aquarelle | NEOCOLOR II Aquarelle | PASTEL PENCILS | PASTEL CUBES</x:v>
      </x:c>
      <x:c r="L112" t="str">
        <x:v>PG17 | PG17­</x:v>
      </x:c>
      <x:c r="M112" t="str">
        <x:v>#91B082</x:v>
      </x:c>
      <x:c r="N112" t="n">
        <x:v>145</x:v>
      </x:c>
      <x:c r="O112" t="n">
        <x:v>176</x:v>
      </x:c>
      <x:c r="P112" t="n">
        <x:v>130</x:v>
      </x:c>
      <x:c r="Q112" t="n">
        <x:v>68.52</x:v>
      </x:c>
      <x:c r="R112" t="n">
        <x:v>-19.28</x:v>
      </x:c>
      <x:c r="S112" t="n">
        <x:v>20.17</x:v>
      </x:c>
      <x:c r="T112" t="n">
        <x:v>36.21</x:v>
      </x:c>
      <x:c r="U112" t="str">
        <x:v>#000000</x:v>
      </x:c>
      <x:c r="V112" t="n">
        <x:v>8.74</x:v>
      </x:c>
      <x:c r="W112" t="n">
        <x:v>0.386821</x:v>
      </x:c>
      <x:c r="X112" t="str">
        <x:v>Low</x:v>
      </x:c>
      <x:c r="Y112" t="str">
        <x:v>Average of official PDF swatch samples across distinct source palettes; not a physical colour standard.</x:v>
      </x:c>
    </x:row>
    <x:row r="113">
      <x:c r="A113" t="str">
        <x:v>0176cdf8-a3fa-5528-ae60-e5daa068acaa</x:v>
      </x:c>
      <x:c r="B113" t="str">
        <x:v>CDA-CODE-214</x:v>
      </x:c>
      <x:c r="C113" t="str">
        <x:v>214</x:v>
      </x:c>
      <x:c r="D113" t="str">
        <x:v>Beryl green</x:v>
      </x:c>
      <x:c r="E113" t="str">
        <x:v>綠柱石綠</x:v>
      </x:c>
      <x:c r="F113" t="str">
        <x:v>ベリルグリーン</x:v>
      </x:c>
      <x:c r="G113" t="str">
        <x:v>Beryl green</x:v>
      </x:c>
      <x:c r="H113" t="str">
        <x:v>綠柱石綠</x:v>
      </x:c>
      <x:c r="I113" t="str">
        <x:v>ベリルグリーン</x:v>
      </x:c>
      <x:c r="J113" t="n">
        <x:v>4</x:v>
      </x:c>
      <x:c r="K113" t="str">
        <x:v>LUMINANCE 6901 | MUSEUM Aquarelle | PASTEL PENCILS | PASTEL CUBES</x:v>
      </x:c>
      <x:c r="L113" t="str">
        <x:v>PG7</x:v>
      </x:c>
      <x:c r="M113" t="str">
        <x:v>#2AA295</x:v>
      </x:c>
      <x:c r="N113" t="n">
        <x:v>42</x:v>
      </x:c>
      <x:c r="O113" t="n">
        <x:v>162</x:v>
      </x:c>
      <x:c r="P113" t="n">
        <x:v>149</x:v>
      </x:c>
      <x:c r="Q113" t="n">
        <x:v>60.34</x:v>
      </x:c>
      <x:c r="R113" t="n">
        <x:v>-35.17</x:v>
      </x:c>
      <x:c r="S113" t="n">
        <x:v>-2.61</x:v>
      </x:c>
      <x:c r="T113" t="n">
        <x:v>15.01</x:v>
      </x:c>
      <x:c r="U113" t="str">
        <x:v>#000000</x:v>
      </x:c>
      <x:c r="V113" t="n">
        <x:v>6.7</x:v>
      </x:c>
      <x:c r="W113" t="n">
        <x:v>0.285028</x:v>
      </x:c>
      <x:c r="X113" t="str">
        <x:v>Medium</x:v>
      </x:c>
      <x:c r="Y113" t="str">
        <x:v>Average of official PDF swatch samples across distinct source palettes; not a physical colour standard.</x:v>
      </x:c>
    </x:row>
    <x:row r="114">
      <x:c r="A114" t="str">
        <x:v>aea5e20b-e7e8-5a1d-a41e-89b67633ffcd</x:v>
      </x:c>
      <x:c r="B114" t="str">
        <x:v>CDA-CODE-215</x:v>
      </x:c>
      <x:c r="C114" t="str">
        <x:v>215</x:v>
      </x:c>
      <x:c r="D114" t="str">
        <x:v>Greyish green</x:v>
      </x:c>
      <x:c r="E114" t="str">
        <x:v>灰綠色</x:v>
      </x:c>
      <x:c r="F114" t="str">
        <x:v>グレイッシュグリーン</x:v>
      </x:c>
      <x:c r="G114" t="str">
        <x:v>Greyish green</x:v>
      </x:c>
      <x:c r="H114" t="str">
        <x:v>灰綠色</x:v>
      </x:c>
      <x:c r="I114" t="str">
        <x:v>グレイッシュグリーン</x:v>
      </x:c>
      <x:c r="J114" t="n">
        <x:v>3</x:v>
      </x:c>
      <x:c r="K114" t="str">
        <x:v>PABLO | SUPRACOLOR Soft Aquarelle | NEOPASTEL</x:v>
      </x:c>
      <x:c r="L114" t="str">
        <x:v>PBk6/PY3/PG7</x:v>
      </x:c>
      <x:c r="M114" t="str">
        <x:v>#33AB85</x:v>
      </x:c>
      <x:c r="N114" t="n">
        <x:v>51</x:v>
      </x:c>
      <x:c r="O114" t="n">
        <x:v>171</x:v>
      </x:c>
      <x:c r="P114" t="n">
        <x:v>133</x:v>
      </x:c>
      <x:c r="Q114" t="n">
        <x:v>62.94</x:v>
      </x:c>
      <x:c r="R114" t="n">
        <x:v>-42.1</x:v>
      </x:c>
      <x:c r="S114" t="n">
        <x:v>10.14</x:v>
      </x:c>
      <x:c r="T114" t="n">
        <x:v>30.24</x:v>
      </x:c>
      <x:c r="U114" t="str">
        <x:v>#000000</x:v>
      </x:c>
      <x:c r="V114" t="n">
        <x:v>7.3</x:v>
      </x:c>
      <x:c r="W114" t="n">
        <x:v>0.315231</x:v>
      </x:c>
      <x:c r="X114" t="str">
        <x:v>Low</x:v>
      </x:c>
      <x:c r="Y114" t="str">
        <x:v>Average of official PDF swatch samples across distinct source palettes; not a physical colour standard.</x:v>
      </x:c>
    </x:row>
    <x:row r="115">
      <x:c r="A115" t="str">
        <x:v>69a03597-fa02-5bd4-9968-b3f74f6fcd04</x:v>
      </x:c>
      <x:c r="B115" t="str">
        <x:v>CDA-CODE-220</x:v>
      </x:c>
      <x:c r="C115" t="str">
        <x:v>220</x:v>
      </x:c>
      <x:c r="D115" t="str">
        <x:v>Grass green</x:v>
      </x:c>
      <x:c r="E115" t="str">
        <x:v>草綠色</x:v>
      </x:c>
      <x:c r="F115" t="str">
        <x:v>グラスグリーン</x:v>
      </x:c>
      <x:c r="G115" t="str">
        <x:v>Grass Green | Grass green</x:v>
      </x:c>
      <x:c r="H115" t="str">
        <x:v>草綠色</x:v>
      </x:c>
      <x:c r="I115" t="str">
        <x:v>グラス グリーン | グラスグリーン</x:v>
      </x:c>
      <x:c r="J115" t="n">
        <x:v>7</x:v>
      </x:c>
      <x:c r="K115" t="str">
        <x:v>LUMINANCE 6901 | PABLO | SUPRACOLOR Soft Aquarelle | MUSEUM Aquarelle | NEOCOLOR II Aquarelle | NEOPASTEL | NEOART 6901</x:v>
      </x:c>
      <x:c r="L115" t="str">
        <x:v>PY1/PY3/PG7 | PY3/PG7/PY1 | PG7/PY3/PY1</x:v>
      </x:c>
      <x:c r="M115" s="119" t="str">
        <x:v>#60B667</x:v>
      </x:c>
      <x:c r="N115" t="n">
        <x:v>96</x:v>
      </x:c>
      <x:c r="O115" t="n">
        <x:v>182</x:v>
      </x:c>
      <x:c r="P115" t="n">
        <x:v>103</x:v>
      </x:c>
      <x:c r="Q115" t="n">
        <x:v>67.22</x:v>
      </x:c>
      <x:c r="R115" t="n">
        <x:v>-42.67</x:v>
      </x:c>
      <x:c r="S115" t="n">
        <x:v>32.32</x:v>
      </x:c>
      <x:c r="T115" t="n">
        <x:v>58.49</x:v>
      </x:c>
      <x:c r="U115" t="str">
        <x:v>#000000</x:v>
      </x:c>
      <x:c r="V115" t="n">
        <x:v>8.38</x:v>
      </x:c>
      <x:c r="W115" t="n">
        <x:v>0.36922</x:v>
      </x:c>
      <x:c r="X115" t="str">
        <x:v>Low</x:v>
      </x:c>
      <x:c r="Y115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16">
      <x:c r="A116" t="str">
        <x:v>115b9877-af13-5144-8904-8e991327a83a</x:v>
      </x:c>
      <x:c r="B116" t="str">
        <x:v>CDA-CODE-221</x:v>
      </x:c>
      <x:c r="C116" t="str">
        <x:v>221</x:v>
      </x:c>
      <x:c r="D116" t="str">
        <x:v>Light green</x:v>
      </x:c>
      <x:c r="E116" t="str">
        <x:v>淺綠色</x:v>
      </x:c>
      <x:c r="F116" t="str">
        <x:v>ライトグリーン</x:v>
      </x:c>
      <x:c r="G116" t="str">
        <x:v>Light green</x:v>
      </x:c>
      <x:c r="H116" t="str">
        <x:v>淺綠色</x:v>
      </x:c>
      <x:c r="I116" t="str">
        <x:v>ライトグリーン</x:v>
      </x:c>
      <x:c r="J116" t="n">
        <x:v>2</x:v>
      </x:c>
      <x:c r="K116" t="str">
        <x:v>PABLO | SUPRACOLOR Soft Aquarelle</x:v>
      </x:c>
      <x:c r="L116" t="str"/>
      <x:c r="M116" t="str">
        <x:v>#CAE096</x:v>
      </x:c>
      <x:c r="N116" t="n">
        <x:v>202</x:v>
      </x:c>
      <x:c r="O116" t="n">
        <x:v>224</x:v>
      </x:c>
      <x:c r="P116" t="n">
        <x:v>150</x:v>
      </x:c>
      <x:c r="Q116" t="n">
        <x:v>86.04</x:v>
      </x:c>
      <x:c r="R116" t="n">
        <x:v>-19.38</x:v>
      </x:c>
      <x:c r="S116" t="n">
        <x:v>33.89</x:v>
      </x:c>
      <x:c r="T116" t="n">
        <x:v>7.32</x:v>
      </x:c>
      <x:c r="U116" t="str">
        <x:v>#000000</x:v>
      </x:c>
      <x:c r="V116" t="n">
        <x:v>14.61</x:v>
      </x:c>
      <x:c r="W116" t="n">
        <x:v>0.680699</x:v>
      </x:c>
      <x:c r="X116" t="str">
        <x:v>High</x:v>
      </x:c>
      <x:c r="Y116" t="str">
        <x:v>Average of official PDF swatch samples across distinct source palettes; not a physical colour standard.</x:v>
      </x:c>
    </x:row>
    <x:row r="117">
      <x:c r="A117" t="str">
        <x:v>d67f22eb-8649-5739-bafd-f445d45c47b5</x:v>
      </x:c>
      <x:c r="B117" t="str">
        <x:v>CDA-CODE-225</x:v>
      </x:c>
      <x:c r="C117" t="str">
        <x:v>225</x:v>
      </x:c>
      <x:c r="D117" t="str">
        <x:v>Moss green</x:v>
      </x:c>
      <x:c r="E117" t="str">
        <x:v>苔綠色</x:v>
      </x:c>
      <x:c r="F117" t="str">
        <x:v>モスグリーン</x:v>
      </x:c>
      <x:c r="G117" t="str">
        <x:v>Moss green</x:v>
      </x:c>
      <x:c r="H117" t="str">
        <x:v>苔綠色</x:v>
      </x:c>
      <x:c r="I117" t="str">
        <x:v>モス グリーン | モスグリーン</x:v>
      </x:c>
      <x:c r="J117" t="n">
        <x:v>9</x:v>
      </x:c>
      <x:c r="K117" t="str">
        <x:v>LUMINANCE 6901 | PABLO | SUPRACOLOR Soft Aquarelle | MUSEUM Aquarelle | NEOCOLOR II Aquarelle | NEOPASTEL | PASTEL PENCILS | PASTEL CUBES | NEOART 6901</x:v>
      </x:c>
      <x:c r="L117" t="str">
        <x:v>PY3/PB60/PBk6 | PB15/PBk7/PY74/PY3 | PY1/PY3/PG7/PO61/PBk6 | PB15/PY3/PY74/PBk7 | PBk6/PB60/PY3</x:v>
      </x:c>
      <x:c r="M117" s="121" t="str">
        <x:v>#6D9356</x:v>
      </x:c>
      <x:c r="N117" t="n">
        <x:v>109</x:v>
      </x:c>
      <x:c r="O117" t="n">
        <x:v>147</x:v>
      </x:c>
      <x:c r="P117" t="n">
        <x:v>86</x:v>
      </x:c>
      <x:c r="Q117" t="n">
        <x:v>56.87</x:v>
      </x:c>
      <x:c r="R117" t="n">
        <x:v>-24.75</x:v>
      </x:c>
      <x:c r="S117" t="n">
        <x:v>28.13</x:v>
      </x:c>
      <x:c r="T117" t="n">
        <x:v>51.5</x:v>
      </x:c>
      <x:c r="U117" t="str">
        <x:v>#000000</x:v>
      </x:c>
      <x:c r="V117" t="n">
        <x:v>5.96</x:v>
      </x:c>
      <x:c r="W117" t="n">
        <x:v>0.247905</x:v>
      </x:c>
      <x:c r="X117" t="str">
        <x:v>Low</x:v>
      </x:c>
      <x:c r="Y11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18">
      <x:c r="A118" t="str">
        <x:v>95617532-4337-5a36-9e80-86ddcfd90f23</x:v>
      </x:c>
      <x:c r="B118" t="str">
        <x:v>CDA-CODE-229</x:v>
      </x:c>
      <x:c r="C118" t="str">
        <x:v>229</x:v>
      </x:c>
      <x:c r="D118" t="str">
        <x:v>Dark green</x:v>
      </x:c>
      <x:c r="E118" t="str">
        <x:v>深綠色</x:v>
      </x:c>
      <x:c r="F118" t="str">
        <x:v>ダークグリーン</x:v>
      </x:c>
      <x:c r="G118" t="str">
        <x:v>Dark green</x:v>
      </x:c>
      <x:c r="H118" t="str">
        <x:v>深綠色</x:v>
      </x:c>
      <x:c r="I118" t="str">
        <x:v>ダークグリーン</x:v>
      </x:c>
      <x:c r="J118" t="n">
        <x:v>6</x:v>
      </x:c>
      <x:c r="K118" t="str">
        <x:v>PABLO | SUPRACOLOR Soft Aquarelle | NEOCOLOR II Aquarelle | NEOPASTEL | PASTEL PENCILS | PASTEL CUBES</x:v>
      </x:c>
      <x:c r="L118" t="str">
        <x:v>PB15:3/PY1/PO62/PY3 | PBk11/PY42/PR101</x:v>
      </x:c>
      <x:c r="M118" t="str">
        <x:v>#4D8971</x:v>
      </x:c>
      <x:c r="N118" t="n">
        <x:v>77</x:v>
      </x:c>
      <x:c r="O118" t="n">
        <x:v>137</x:v>
      </x:c>
      <x:c r="P118" t="n">
        <x:v>113</x:v>
      </x:c>
      <x:c r="Q118" t="n">
        <x:v>52.58</x:v>
      </x:c>
      <x:c r="R118" t="n">
        <x:v>-25.47</x:v>
      </x:c>
      <x:c r="S118" t="n">
        <x:v>6.83</x:v>
      </x:c>
      <x:c r="T118" t="n">
        <x:v>60.98</x:v>
      </x:c>
      <x:c r="U118" t="str">
        <x:v>#000000</x:v>
      </x:c>
      <x:c r="V118" t="n">
        <x:v>5.13</x:v>
      </x:c>
      <x:c r="W118" t="n">
        <x:v>0.206614</x:v>
      </x:c>
      <x:c r="X118" t="str">
        <x:v>Low</x:v>
      </x:c>
      <x:c r="Y118" t="str">
        <x:v>Average of official PDF swatch samples across distinct source palettes; not a physical colour standard.</x:v>
      </x:c>
    </x:row>
    <x:row r="119">
      <x:c r="A119" t="str">
        <x:v>d6bdf492-4bae-524b-9a86-07c3bd564bd9</x:v>
      </x:c>
      <x:c r="B119" t="str">
        <x:v>CDA-CODE-230</x:v>
      </x:c>
      <x:c r="C119" t="str">
        <x:v>230</x:v>
      </x:c>
      <x:c r="D119" t="str">
        <x:v>Yellow green</x:v>
      </x:c>
      <x:c r="E119" t="str">
        <x:v>黃綠色</x:v>
      </x:c>
      <x:c r="F119" t="str">
        <x:v>イエローグリーン</x:v>
      </x:c>
      <x:c r="G119" t="str">
        <x:v>Yellow Green | Yellow green</x:v>
      </x:c>
      <x:c r="H119" t="str">
        <x:v>黃綠色</x:v>
      </x:c>
      <x:c r="I119" t="str">
        <x:v>イエローグリーン</x:v>
      </x:c>
      <x:c r="J119" t="n">
        <x:v>4</x:v>
      </x:c>
      <x:c r="K119" t="str">
        <x:v>PABLO | SUPRACOLOR Soft Aquarelle | NEOCOLOR II Aquarelle | NEOPASTEL</x:v>
      </x:c>
      <x:c r="L119" t="str">
        <x:v>PY3/PG7</x:v>
      </x:c>
      <x:c r="M119" t="str">
        <x:v>#BAD574</x:v>
      </x:c>
      <x:c r="N119" t="n">
        <x:v>186</x:v>
      </x:c>
      <x:c r="O119" t="n">
        <x:v>213</x:v>
      </x:c>
      <x:c r="P119" t="n">
        <x:v>116</x:v>
      </x:c>
      <x:c r="Q119" t="n">
        <x:v>81.45</x:v>
      </x:c>
      <x:c r="R119" t="n">
        <x:v>-24.11</x:v>
      </x:c>
      <x:c r="S119" t="n">
        <x:v>44.77</x:v>
      </x:c>
      <x:c r="T119" t="n">
        <x:v>51.86</x:v>
      </x:c>
      <x:c r="U119" t="str">
        <x:v>#000000</x:v>
      </x:c>
      <x:c r="V119" t="n">
        <x:v>12.86</x:v>
      </x:c>
      <x:c r="W119" t="n">
        <x:v>0.592886</x:v>
      </x:c>
      <x:c r="X119" t="str">
        <x:v>Low</x:v>
      </x:c>
      <x:c r="Y119" t="str">
        <x:v>Average of official PDF swatch samples across distinct source palettes; not a physical colour standard.</x:v>
      </x:c>
    </x:row>
    <x:row r="120">
      <x:c r="A120" t="str">
        <x:v>8d5c3121-4cf0-53c5-8e3b-540d6f1e1304</x:v>
      </x:c>
      <x:c r="B120" t="str">
        <x:v>CDA-CODE-231</x:v>
      </x:c>
      <x:c r="C120" t="str">
        <x:v>231</x:v>
      </x:c>
      <x:c r="D120" t="str">
        <x:v>Lime green</x:v>
      </x:c>
      <x:c r="E120" t="str">
        <x:v>萊姆綠</x:v>
      </x:c>
      <x:c r="F120" t="str">
        <x:v>ライムグリーン</x:v>
      </x:c>
      <x:c r="G120" t="str">
        <x:v>Lime green</x:v>
      </x:c>
      <x:c r="H120" t="str">
        <x:v>萊姆綠</x:v>
      </x:c>
      <x:c r="I120" t="str">
        <x:v>ライムグリーン</x:v>
      </x:c>
      <x:c r="J120" t="n">
        <x:v>4</x:v>
      </x:c>
      <x:c r="K120" t="str">
        <x:v>PABLO | SUPRACOLOR Soft Aquarelle | NEOCOLOR II Aquarelle | NEOPASTEL</x:v>
      </x:c>
      <x:c r="L120" t="str">
        <x:v>PY3/PG7</x:v>
      </x:c>
      <x:c r="M120" t="str">
        <x:v>#E0E7A0</x:v>
      </x:c>
      <x:c r="N120" t="n">
        <x:v>224</x:v>
      </x:c>
      <x:c r="O120" t="n">
        <x:v>231</x:v>
      </x:c>
      <x:c r="P120" t="n">
        <x:v>160</x:v>
      </x:c>
      <x:c r="Q120" t="n">
        <x:v>89.64</x:v>
      </x:c>
      <x:c r="R120" t="n">
        <x:v>-13.36</x:v>
      </x:c>
      <x:c r="S120" t="n">
        <x:v>33.87</x:v>
      </x:c>
      <x:c r="T120" t="n">
        <x:v>35.34</x:v>
      </x:c>
      <x:c r="U120" t="str">
        <x:v>#000000</x:v>
      </x:c>
      <x:c r="V120" t="n">
        <x:v>16.11</x:v>
      </x:c>
      <x:c r="W120" t="n">
        <x:v>0.755372</x:v>
      </x:c>
      <x:c r="X120" t="str">
        <x:v>Low</x:v>
      </x:c>
      <x:c r="Y120" t="str">
        <x:v>Average of official PDF swatch samples across distinct source palettes; not a physical colour standard.</x:v>
      </x:c>
    </x:row>
    <x:row r="121">
      <x:c r="A121" t="str">
        <x:v>51e03714-d1e1-5468-a60a-87faedd3f490</x:v>
      </x:c>
      <x:c r="B121" t="str">
        <x:v>CDA-CODE-232</x:v>
      </x:c>
      <x:c r="C121" t="str">
        <x:v>232</x:v>
      </x:c>
      <x:c r="D121" t="str">
        <x:v>Middle moss green 10%</x:v>
      </x:c>
      <x:c r="E121" t="str">
        <x:v>中苔綠 10%</x:v>
      </x:c>
      <x:c r="F121" t="str">
        <x:v>ミドルモスグリーン 10%</x:v>
      </x:c>
      <x:c r="G121" t="str">
        <x:v>Middle moss green 10%</x:v>
      </x:c>
      <x:c r="H121" t="str">
        <x:v>中苔綠 10%</x:v>
      </x:c>
      <x:c r="I121" t="str">
        <x:v>ミドルモスグリーン 10%</x:v>
      </x:c>
      <x:c r="J121" t="n">
        <x:v>2</x:v>
      </x:c>
      <x:c r="K121" t="str">
        <x:v>PASTEL PENCILS | PASTEL CUBES</x:v>
      </x:c>
      <x:c r="L121" t="str">
        <x:v>PY74/PB15/PO82</x:v>
      </x:c>
      <x:c r="M121" t="str">
        <x:v>#AFB22A</x:v>
      </x:c>
      <x:c r="N121" t="n">
        <x:v>175</x:v>
      </x:c>
      <x:c r="O121" t="n">
        <x:v>178</x:v>
      </x:c>
      <x:c r="P121" t="n">
        <x:v>42</x:v>
      </x:c>
      <x:c r="Q121" t="n">
        <x:v>70.26</x:v>
      </x:c>
      <x:c r="R121" t="n">
        <x:v>-16.82</x:v>
      </x:c>
      <x:c r="S121" t="n">
        <x:v>63.81</x:v>
      </x:c>
      <x:c r="T121" t="n">
        <x:v>0</x:v>
      </x:c>
      <x:c r="U121" t="str">
        <x:v>#000000</x:v>
      </x:c>
      <x:c r="V121" t="n">
        <x:v>9.22</x:v>
      </x:c>
      <x:c r="W121" t="n">
        <x:v>0.411219</x:v>
      </x:c>
      <x:c r="X121" t="str">
        <x:v>High</x:v>
      </x:c>
      <x:c r="Y121" t="str">
        <x:v>Average of official PDF swatch samples across distinct source palettes; not a physical colour standard.</x:v>
      </x:c>
    </x:row>
    <x:row r="122">
      <x:c r="A122" t="str">
        <x:v>0c91d227-03cd-5ff8-8c48-a46915b9e1a0</x:v>
      </x:c>
      <x:c r="B122" t="str">
        <x:v>CDA-CODE-234</x:v>
      </x:c>
      <x:c r="C122" t="str">
        <x:v>234</x:v>
      </x:c>
      <x:c r="D122" t="str">
        <x:v>Middle moss green 30%</x:v>
      </x:c>
      <x:c r="E122" t="str">
        <x:v>中苔綠 30%</x:v>
      </x:c>
      <x:c r="F122" t="str">
        <x:v>ミドルモスグリーン 30%</x:v>
      </x:c>
      <x:c r="G122" t="str">
        <x:v>Middle moss green 30%</x:v>
      </x:c>
      <x:c r="H122" t="str">
        <x:v>中苔綠 30%</x:v>
      </x:c>
      <x:c r="I122" t="str">
        <x:v>ミドルモスグリーン 30%</x:v>
      </x:c>
      <x:c r="J122" t="n">
        <x:v>2</x:v>
      </x:c>
      <x:c r="K122" t="str">
        <x:v>PASTEL PENCILS | PASTEL CUBES</x:v>
      </x:c>
      <x:c r="L122" t="str">
        <x:v>PY74/PB15/PO82</x:v>
      </x:c>
      <x:c r="M122" t="str">
        <x:v>#498532</x:v>
      </x:c>
      <x:c r="N122" t="n">
        <x:v>73</x:v>
      </x:c>
      <x:c r="O122" t="n">
        <x:v>133</x:v>
      </x:c>
      <x:c r="P122" t="n">
        <x:v>50</x:v>
      </x:c>
      <x:c r="Q122" t="n">
        <x:v>50</x:v>
      </x:c>
      <x:c r="R122" t="n">
        <x:v>-35.7</x:v>
      </x:c>
      <x:c r="S122" t="n">
        <x:v>37.88</x:v>
      </x:c>
      <x:c r="T122" t="n">
        <x:v>0</x:v>
      </x:c>
      <x:c r="U122" t="str">
        <x:v>#000000</x:v>
      </x:c>
      <x:c r="V122" t="n">
        <x:v>4.68</x:v>
      </x:c>
      <x:c r="W122" t="n">
        <x:v>0.184218</x:v>
      </x:c>
      <x:c r="X122" t="str">
        <x:v>High</x:v>
      </x:c>
      <x:c r="Y122" t="str">
        <x:v>Average of official PDF swatch samples across distinct source palettes; not a physical colour standard.</x:v>
      </x:c>
    </x:row>
    <x:row r="123">
      <x:c r="A123" t="str">
        <x:v>9cde9379-a512-5d66-95a5-8d0965821d47</x:v>
      </x:c>
      <x:c r="B123" t="str">
        <x:v>CDA-CODE-239</x:v>
      </x:c>
      <x:c r="C123" t="str">
        <x:v>239</x:v>
      </x:c>
      <x:c r="D123" t="str">
        <x:v>Spruce green</x:v>
      </x:c>
      <x:c r="E123" t="str">
        <x:v>雲杉綠</x:v>
      </x:c>
      <x:c r="F123" t="str">
        <x:v>スプルースグリーン</x:v>
      </x:c>
      <x:c r="G123" t="str">
        <x:v>Spruce green</x:v>
      </x:c>
      <x:c r="H123" t="str">
        <x:v>雲杉綠</x:v>
      </x:c>
      <x:c r="I123" t="str">
        <x:v>スプルースグリーン</x:v>
      </x:c>
      <x:c r="J123" t="n">
        <x:v>2</x:v>
      </x:c>
      <x:c r="K123" t="str">
        <x:v>PABLO | SUPRACOLOR Soft Aquarelle</x:v>
      </x:c>
      <x:c r="L123" t="str"/>
      <x:c r="M123" t="str">
        <x:v>#5DB27E</x:v>
      </x:c>
      <x:c r="N123" t="n">
        <x:v>93</x:v>
      </x:c>
      <x:c r="O123" t="n">
        <x:v>178</x:v>
      </x:c>
      <x:c r="P123" t="n">
        <x:v>126</x:v>
      </x:c>
      <x:c r="Q123" t="n">
        <x:v>66.27</x:v>
      </x:c>
      <x:c r="R123" t="n">
        <x:v>-37.71</x:v>
      </x:c>
      <x:c r="S123" t="n">
        <x:v>18.81</x:v>
      </x:c>
      <x:c r="T123" t="n">
        <x:v>36.11</x:v>
      </x:c>
      <x:c r="U123" t="str">
        <x:v>#000000</x:v>
      </x:c>
      <x:c r="V123" t="n">
        <x:v>8.13</x:v>
      </x:c>
      <x:c r="W123" t="n">
        <x:v>0.356743</x:v>
      </x:c>
      <x:c r="X123" t="str">
        <x:v>Low</x:v>
      </x:c>
      <x:c r="Y123" t="str">
        <x:v>Average of official PDF swatch samples across distinct source palettes; not a physical colour standard.</x:v>
      </x:c>
    </x:row>
    <x:row r="124">
      <x:c r="A124" t="str">
        <x:v>e71849e5-e37c-518f-99a0-9189b6af2b63</x:v>
      </x:c>
      <x:c r="B124" t="str">
        <x:v>CDA-CODE-240</x:v>
      </x:c>
      <x:c r="C124" t="str">
        <x:v>240</x:v>
      </x:c>
      <x:c r="D124" t="str">
        <x:v>Lemon yellow</x:v>
      </x:c>
      <x:c r="E124" t="str">
        <x:v>檸檬黃</x:v>
      </x:c>
      <x:c r="F124" t="str">
        <x:v>レモンイエロー</x:v>
      </x:c>
      <x:c r="G124" t="str">
        <x:v>Lemon Yellow | Lemon yellow</x:v>
      </x:c>
      <x:c r="H124" t="str">
        <x:v>檸檬黃</x:v>
      </x:c>
      <x:c r="I124" t="str">
        <x:v>レモン イエロー | レモンイエロー</x:v>
      </x:c>
      <x:c r="J124" t="n">
        <x:v>9</x:v>
      </x:c>
      <x:c r="K124" t="str">
        <x:v>LUMINANCE 6901 | PABLO | SUPRACOLOR Soft Aquarelle | MUSEUM Aquarelle | NEOCOLOR II Aquarelle | NEOPASTEL | PASTEL PENCILS | PASTEL CUBES | NEOART 6901</x:v>
      </x:c>
      <x:c r="L124" t="str">
        <x:v>PY3 | PY3/PG7</x:v>
      </x:c>
      <x:c r="M124" s="123" t="str">
        <x:v>#F5E85B</x:v>
      </x:c>
      <x:c r="N124" t="n">
        <x:v>245</x:v>
      </x:c>
      <x:c r="O124" t="n">
        <x:v>232</x:v>
      </x:c>
      <x:c r="P124" t="n">
        <x:v>91</x:v>
      </x:c>
      <x:c r="Q124" t="n">
        <x:v>90.73</x:v>
      </x:c>
      <x:c r="R124" t="n">
        <x:v>-11.95</x:v>
      </x:c>
      <x:c r="S124" t="n">
        <x:v>67.86</x:v>
      </x:c>
      <x:c r="T124" t="n">
        <x:v>42.28</x:v>
      </x:c>
      <x:c r="U124" t="str">
        <x:v>#000000</x:v>
      </x:c>
      <x:c r="V124" t="n">
        <x:v>16.58</x:v>
      </x:c>
      <x:c r="W124" t="n">
        <x:v>0.77881</x:v>
      </x:c>
      <x:c r="X124" t="str">
        <x:v>Low</x:v>
      </x:c>
      <x:c r="Y124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25">
      <x:c r="A125" t="str">
        <x:v>1c68f8d1-8f6d-5e99-9049-4955fb2973de</x:v>
      </x:c>
      <x:c r="B125" t="str">
        <x:v>CDA-CODE-241</x:v>
      </x:c>
      <x:c r="C125" t="str">
        <x:v>241</x:v>
      </x:c>
      <x:c r="D125" t="str">
        <x:v>Light lemon yellow</x:v>
      </x:c>
      <x:c r="E125" t="str">
        <x:v>淺檸檬黃</x:v>
      </x:c>
      <x:c r="F125" t="str">
        <x:v>ライトレモンイエロー</x:v>
      </x:c>
      <x:c r="G125" t="str">
        <x:v>Light lemon yellow</x:v>
      </x:c>
      <x:c r="H125" t="str">
        <x:v>淺檸檬黃</x:v>
      </x:c>
      <x:c r="I125" t="str">
        <x:v>ライトレモンイエロー</x:v>
      </x:c>
      <x:c r="J125" t="n">
        <x:v>4</x:v>
      </x:c>
      <x:c r="K125" t="str">
        <x:v>PABLO | SUPRACOLOR Soft Aquarelle | PASTEL PENCILS | PASTEL CUBES</x:v>
      </x:c>
      <x:c r="L125" t="str">
        <x:v>PY53</x:v>
      </x:c>
      <x:c r="M125" t="str">
        <x:v>#F0EBB4</x:v>
      </x:c>
      <x:c r="N125" t="n">
        <x:v>240</x:v>
      </x:c>
      <x:c r="O125" t="n">
        <x:v>235</x:v>
      </x:c>
      <x:c r="P125" t="n">
        <x:v>180</x:v>
      </x:c>
      <x:c r="Q125" t="n">
        <x:v>92.24</x:v>
      </x:c>
      <x:c r="R125" t="n">
        <x:v>-6.81</x:v>
      </x:c>
      <x:c r="S125" t="n">
        <x:v>27.37</x:v>
      </x:c>
      <x:c r="T125" t="n">
        <x:v>13.39</x:v>
      </x:c>
      <x:c r="U125" t="str">
        <x:v>#000000</x:v>
      </x:c>
      <x:c r="V125" t="n">
        <x:v>17.25</x:v>
      </x:c>
      <x:c r="W125" t="n">
        <x:v>0.812372</x:v>
      </x:c>
      <x:c r="X125" t="str">
        <x:v>Medium</x:v>
      </x:c>
      <x:c r="Y125" t="str">
        <x:v>Average of official PDF swatch samples across distinct source palettes; not a physical colour standard.</x:v>
      </x:c>
    </x:row>
    <x:row r="126">
      <x:c r="A126" t="str">
        <x:v>002524a5-f889-5959-9b3e-11b1cd28562b</x:v>
      </x:c>
      <x:c r="B126" t="str">
        <x:v>CDA-CODE-242</x:v>
      </x:c>
      <x:c r="C126" t="str">
        <x:v>242</x:v>
      </x:c>
      <x:c r="D126" t="str">
        <x:v>Primerose</x:v>
      </x:c>
      <x:c r="E126" t="str">
        <x:v>報春花黃</x:v>
      </x:c>
      <x:c r="F126" t="str">
        <x:v>プリムローズ</x:v>
      </x:c>
      <x:c r="G126" t="str">
        <x:v>Primerose</x:v>
      </x:c>
      <x:c r="H126" t="str">
        <x:v>報春花黃</x:v>
      </x:c>
      <x:c r="I126" t="str">
        <x:v>プライムローズ | プリムローズ</x:v>
      </x:c>
      <x:c r="J126" t="n">
        <x:v>3</x:v>
      </x:c>
      <x:c r="K126" t="str">
        <x:v>LUMINANCE 6901 | MUSEUM Aquarelle | NEOART 6901</x:v>
      </x:c>
      <x:c r="L126" t="str">
        <x:v>PY42/PY53 | PY53/PY42</x:v>
      </x:c>
      <x:c r="M126" s="125" t="str">
        <x:v>#FBF1C2</x:v>
      </x:c>
      <x:c r="N126" t="n">
        <x:v>251</x:v>
      </x:c>
      <x:c r="O126" t="n">
        <x:v>241</x:v>
      </x:c>
      <x:c r="P126" t="n">
        <x:v>194</x:v>
      </x:c>
      <x:c r="Q126" t="n">
        <x:v>94.87</x:v>
      </x:c>
      <x:c r="R126" t="n">
        <x:v>-3.9</x:v>
      </x:c>
      <x:c r="S126" t="n">
        <x:v>23.96</x:v>
      </x:c>
      <x:c r="T126" t="n">
        <x:v>19.59</x:v>
      </x:c>
      <x:c r="U126" t="str">
        <x:v>#000000</x:v>
      </x:c>
      <x:c r="V126" t="n">
        <x:v>18.46</x:v>
      </x:c>
      <x:c r="W126" t="n">
        <x:v>0.873149</x:v>
      </x:c>
      <x:c r="X126" t="str">
        <x:v>Medium</x:v>
      </x:c>
      <x:c r="Y12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27">
      <x:c r="A127" t="str">
        <x:v>f0a13765-ef81-542a-9934-ea45cff10684</x:v>
      </x:c>
      <x:c r="B127" t="str">
        <x:v>CDA-CODE-243</x:v>
      </x:c>
      <x:c r="C127" t="str">
        <x:v>243</x:v>
      </x:c>
      <x:c r="D127" t="str">
        <x:v>Light olive 20%</x:v>
      </x:c>
      <x:c r="E127" t="str">
        <x:v>淺橄欖色 20%</x:v>
      </x:c>
      <x:c r="F127" t="str">
        <x:v>ライトオリーブ 20%</x:v>
      </x:c>
      <x:c r="G127" t="str">
        <x:v>Light olive 20%</x:v>
      </x:c>
      <x:c r="H127" t="str">
        <x:v>淺橄欖色 20%</x:v>
      </x:c>
      <x:c r="I127" t="str">
        <x:v>ライトオリーブ 20%</x:v>
      </x:c>
      <x:c r="J127" t="n">
        <x:v>2</x:v>
      </x:c>
      <x:c r="K127" t="str">
        <x:v>PASTEL PENCILS | PASTEL CUBES</x:v>
      </x:c>
      <x:c r="L127" t="str">
        <x:v>PY74/PG17/PY42</x:v>
      </x:c>
      <x:c r="M127" t="str">
        <x:v>#ACC160</x:v>
      </x:c>
      <x:c r="N127" t="n">
        <x:v>172</x:v>
      </x:c>
      <x:c r="O127" t="n">
        <x:v>193</x:v>
      </x:c>
      <x:c r="P127" t="n">
        <x:v>96</x:v>
      </x:c>
      <x:c r="Q127" t="n">
        <x:v>74.67</x:v>
      </x:c>
      <x:c r="R127" t="n">
        <x:v>-21.85</x:v>
      </x:c>
      <x:c r="S127" t="n">
        <x:v>46.02</x:v>
      </x:c>
      <x:c r="T127" t="n">
        <x:v>0</x:v>
      </x:c>
      <x:c r="U127" t="str">
        <x:v>#000000</x:v>
      </x:c>
      <x:c r="V127" t="n">
        <x:v>10.55</x:v>
      </x:c>
      <x:c r="W127" t="n">
        <x:v>0.477551</x:v>
      </x:c>
      <x:c r="X127" t="str">
        <x:v>High</x:v>
      </x:c>
      <x:c r="Y127" t="str">
        <x:v>Average of official PDF swatch samples across distinct source palettes; not a physical colour standard.</x:v>
      </x:c>
    </x:row>
    <x:row r="128">
      <x:c r="A128" t="str">
        <x:v>592280bd-2cc9-5bea-bb70-ba5d26898542</x:v>
      </x:c>
      <x:c r="B128" t="str">
        <x:v>CDA-CODE-245</x:v>
      </x:c>
      <x:c r="C128" t="str">
        <x:v>245</x:v>
      </x:c>
      <x:c r="D128" t="str">
        <x:v>Light olive</x:v>
      </x:c>
      <x:c r="E128" t="str">
        <x:v>淺橄欖色</x:v>
      </x:c>
      <x:c r="F128" t="str">
        <x:v>ライト オリーブ</x:v>
      </x:c>
      <x:c r="G128" t="str">
        <x:v>Light olive | Light olive 40%</x:v>
      </x:c>
      <x:c r="H128" t="str">
        <x:v>淺橄欖色 | 淺橄欖色 40%</x:v>
      </x:c>
      <x:c r="I128" t="str">
        <x:v>ライト オリーブ | ライトオリーブ | ライトオリーブ 40%</x:v>
      </x:c>
      <x:c r="J128" t="n">
        <x:v>7</x:v>
      </x:c>
      <x:c r="K128" t="str">
        <x:v>PABLO | SUPRACOLOR Soft Aquarelle | MUSEUM Aquarelle | NEOCOLOR II Aquarelle | NEOPASTEL | PASTEL PENCILS | PASTEL CUBES</x:v>
      </x:c>
      <x:c r="L128" t="str">
        <x:v>PO13/PY13/PG7/PY3/PO61 | PO61/PY1/PG7 | PY74/PG17/PY42</x:v>
      </x:c>
      <x:c r="M128" t="str">
        <x:v>#BCC156</x:v>
      </x:c>
      <x:c r="N128" t="n">
        <x:v>188</x:v>
      </x:c>
      <x:c r="O128" t="n">
        <x:v>193</x:v>
      </x:c>
      <x:c r="P128" t="n">
        <x:v>86</x:v>
      </x:c>
      <x:c r="Q128" t="n">
        <x:v>75.76</x:v>
      </x:c>
      <x:c r="R128" t="n">
        <x:v>-16.24</x:v>
      </x:c>
      <x:c r="S128" t="n">
        <x:v>52.3</x:v>
      </x:c>
      <x:c r="T128" t="n">
        <x:v>38.78</x:v>
      </x:c>
      <x:c r="U128" t="str">
        <x:v>#000000</x:v>
      </x:c>
      <x:c r="V128" t="n">
        <x:v>10.9</x:v>
      </x:c>
      <x:c r="W128" t="n">
        <x:v>0.495032</x:v>
      </x:c>
      <x:c r="X128" t="str">
        <x:v>Low</x:v>
      </x:c>
      <x:c r="Y128" t="str">
        <x:v>Average of official PDF swatch samples across distinct source palettes; not a physical colour standard.</x:v>
      </x:c>
    </x:row>
    <x:row r="129">
      <x:c r="A129" t="str">
        <x:v>e6c72f87-8dc4-5cb7-90a2-d6b44c12faf7</x:v>
      </x:c>
      <x:c r="B129" t="str">
        <x:v>CDA-CODE-249</x:v>
      </x:c>
      <x:c r="C129" t="str">
        <x:v>249</x:v>
      </x:c>
      <x:c r="D129" t="str">
        <x:v>Olive</x:v>
      </x:c>
      <x:c r="E129" t="str">
        <x:v>深橄欖色</x:v>
      </x:c>
      <x:c r="F129" t="str">
        <x:v>オリーブ</x:v>
      </x:c>
      <x:c r="G129" t="str">
        <x:v>Olive</x:v>
      </x:c>
      <x:c r="H129" t="str">
        <x:v>深橄欖色</x:v>
      </x:c>
      <x:c r="I129" t="str">
        <x:v>オリーブ | ダークオリーブ</x:v>
      </x:c>
      <x:c r="J129" t="n">
        <x:v>5</x:v>
      </x:c>
      <x:c r="K129" t="str">
        <x:v>PABLO | SUPRACOLOR Soft Aquarelle | MUSEUM Aquarelle | NEOCOLOR II Aquarelle | NEOPASTEL</x:v>
      </x:c>
      <x:c r="L129" t="str">
        <x:v>PY1/PG7/PBk6/PO61 | PY13/PY1/PO62/PBk6</x:v>
      </x:c>
      <x:c r="M129" t="str">
        <x:v>#AAA64D</x:v>
      </x:c>
      <x:c r="N129" t="n">
        <x:v>170</x:v>
      </x:c>
      <x:c r="O129" t="n">
        <x:v>166</x:v>
      </x:c>
      <x:c r="P129" t="n">
        <x:v>77</x:v>
      </x:c>
      <x:c r="Q129" t="n">
        <x:v>66.79</x:v>
      </x:c>
      <x:c r="R129" t="n">
        <x:v>-10.64</x:v>
      </x:c>
      <x:c r="S129" t="n">
        <x:v>45.86</x:v>
      </x:c>
      <x:c r="T129" t="n">
        <x:v>40.81</x:v>
      </x:c>
      <x:c r="U129" t="str">
        <x:v>#000000</x:v>
      </x:c>
      <x:c r="V129" t="n">
        <x:v>8.27</x:v>
      </x:c>
      <x:c r="W129" t="n">
        <x:v>0.363543</x:v>
      </x:c>
      <x:c r="X129" t="str">
        <x:v>Low</x:v>
      </x:c>
      <x:c r="Y129" t="str">
        <x:v>Average of official PDF swatch samples across distinct source palettes; not a physical colour standard.</x:v>
      </x:c>
    </x:row>
    <x:row r="130">
      <x:c r="A130" t="str">
        <x:v>a36f41da-2a4f-5347-af79-4684b0317670</x:v>
      </x:c>
      <x:c r="B130" t="str">
        <x:v>CDA-CODE-250</x:v>
      </x:c>
      <x:c r="C130" t="str">
        <x:v>250</x:v>
      </x:c>
      <x:c r="D130" t="str">
        <x:v>Canary yellow</x:v>
      </x:c>
      <x:c r="E130" t="str">
        <x:v>金絲雀黃</x:v>
      </x:c>
      <x:c r="F130" t="str">
        <x:v>カナリアイエロー</x:v>
      </x:c>
      <x:c r="G130" t="str">
        <x:v>Canary yellow</x:v>
      </x:c>
      <x:c r="H130" t="str">
        <x:v>金絲雀黃</x:v>
      </x:c>
      <x:c r="I130" t="str">
        <x:v>カナリアイエロー</x:v>
      </x:c>
      <x:c r="J130" t="n">
        <x:v>3</x:v>
      </x:c>
      <x:c r="K130" t="str">
        <x:v>PABLO | SUPRACOLOR Soft Aquarelle | NEOCOLOR II Aquarelle</x:v>
      </x:c>
      <x:c r="L130" t="str"/>
      <x:c r="M130" t="str">
        <x:v>#FBED73</x:v>
      </x:c>
      <x:c r="N130" t="n">
        <x:v>251</x:v>
      </x:c>
      <x:c r="O130" t="n">
        <x:v>237</x:v>
      </x:c>
      <x:c r="P130" t="n">
        <x:v>115</x:v>
      </x:c>
      <x:c r="Q130" t="n">
        <x:v>92.72</x:v>
      </x:c>
      <x:c r="R130" t="n">
        <x:v>-10.36</x:v>
      </x:c>
      <x:c r="S130" t="n">
        <x:v>59.88</x:v>
      </x:c>
      <x:c r="T130" t="n">
        <x:v>36.2</x:v>
      </x:c>
      <x:c r="U130" t="str">
        <x:v>#000000</x:v>
      </x:c>
      <x:c r="V130" t="n">
        <x:v>17.46</x:v>
      </x:c>
      <x:c r="W130" t="n">
        <x:v>0.823154</x:v>
      </x:c>
      <x:c r="X130" t="str">
        <x:v>Low</x:v>
      </x:c>
      <x:c r="Y130" t="str">
        <x:v>Average of official PDF swatch samples across distinct source palettes; not a physical colour standard.</x:v>
      </x:c>
    </x:row>
    <x:row r="131">
      <x:c r="A131" t="str">
        <x:v>06d5be45-8f90-573d-a96f-05ec46073790</x:v>
      </x:c>
      <x:c r="B131" t="str">
        <x:v>CDA-CODE-260</x:v>
      </x:c>
      <x:c r="C131" t="str">
        <x:v>260</x:v>
      </x:c>
      <x:c r="D131" t="str">
        <x:v>Blue</x:v>
      </x:c>
      <x:c r="E131" t="str">
        <x:v>藍色</x:v>
      </x:c>
      <x:c r="F131" t="str">
        <x:v>ブルー</x:v>
      </x:c>
      <x:c r="G131" t="str">
        <x:v>Blue</x:v>
      </x:c>
      <x:c r="H131" t="str">
        <x:v>藍色</x:v>
      </x:c>
      <x:c r="I131" t="str">
        <x:v>ブルー</x:v>
      </x:c>
      <x:c r="J131" t="n">
        <x:v>4</x:v>
      </x:c>
      <x:c r="K131" t="str">
        <x:v>PABLO | SUPRACOLOR Soft Aquarelle | NEOCOLOR II Aquarelle | NEOPASTEL</x:v>
      </x:c>
      <x:c r="L131" t="str">
        <x:v>PB15</x:v>
      </x:c>
      <x:c r="M131" t="str">
        <x:v>#5B8FC1</x:v>
      </x:c>
      <x:c r="N131" t="n">
        <x:v>91</x:v>
      </x:c>
      <x:c r="O131" t="n">
        <x:v>143</x:v>
      </x:c>
      <x:c r="P131" t="n">
        <x:v>193</x:v>
      </x:c>
      <x:c r="Q131" t="n">
        <x:v>57.77</x:v>
      </x:c>
      <x:c r="R131" t="n">
        <x:v>-3</x:v>
      </x:c>
      <x:c r="S131" t="n">
        <x:v>-31.27</x:v>
      </x:c>
      <x:c r="T131" t="n">
        <x:v>79.76</x:v>
      </x:c>
      <x:c r="U131" t="str">
        <x:v>#000000</x:v>
      </x:c>
      <x:c r="V131" t="n">
        <x:v>6.14</x:v>
      </x:c>
      <x:c r="W131" t="n">
        <x:v>0.257193</x:v>
      </x:c>
      <x:c r="X131" t="str">
        <x:v>Low</x:v>
      </x:c>
      <x:c r="Y131" t="str">
        <x:v>Average of official PDF swatch samples across distinct source palettes; not a physical colour standard.</x:v>
      </x:c>
    </x:row>
    <x:row r="132">
      <x:c r="A132" t="str">
        <x:v>7fed9c50-7917-5c2c-949a-4fc34a33385f</x:v>
      </x:c>
      <x:c r="B132" t="str">
        <x:v>CDA-CODE-270</x:v>
      </x:c>
      <x:c r="C132" t="str">
        <x:v>270</x:v>
      </x:c>
      <x:c r="D132" t="str">
        <x:v>Raspberry red</x:v>
      </x:c>
      <x:c r="E132" t="str">
        <x:v>覆盆子紅</x:v>
      </x:c>
      <x:c r="F132" t="str">
        <x:v>ラズベリーレッド</x:v>
      </x:c>
      <x:c r="G132" t="str">
        <x:v>Raspberry red</x:v>
      </x:c>
      <x:c r="H132" t="str">
        <x:v>覆盆子紅</x:v>
      </x:c>
      <x:c r="I132" t="str">
        <x:v>ラズベリーレッド</x:v>
      </x:c>
      <x:c r="J132" t="n">
        <x:v>3</x:v>
      </x:c>
      <x:c r="K132" t="str">
        <x:v>PABLO | SUPRACOLOR Soft Aquarelle | NEOPASTEL</x:v>
      </x:c>
      <x:c r="L132" t="str">
        <x:v>PR112</x:v>
      </x:c>
      <x:c r="M132" t="str">
        <x:v>#EC6E87</x:v>
      </x:c>
      <x:c r="N132" t="n">
        <x:v>236</x:v>
      </x:c>
      <x:c r="O132" t="n">
        <x:v>110</x:v>
      </x:c>
      <x:c r="P132" t="n">
        <x:v>135</x:v>
      </x:c>
      <x:c r="Q132" t="n">
        <x:v>62.29</x:v>
      </x:c>
      <x:c r="R132" t="n">
        <x:v>50.94</x:v>
      </x:c>
      <x:c r="S132" t="n">
        <x:v>10.1</x:v>
      </x:c>
      <x:c r="T132" t="n">
        <x:v>28.98</x:v>
      </x:c>
      <x:c r="U132" t="str">
        <x:v>#000000</x:v>
      </x:c>
      <x:c r="V132" t="n">
        <x:v>7.15</x:v>
      </x:c>
      <x:c r="W132" t="n">
        <x:v>0.30734</x:v>
      </x:c>
      <x:c r="X132" t="str">
        <x:v>Low</x:v>
      </x:c>
      <x:c r="Y132" t="str">
        <x:v>Average of official PDF swatch samples across distinct source palettes; not a physical colour standard.</x:v>
      </x:c>
    </x:row>
    <x:row r="133">
      <x:c r="A133" t="str">
        <x:v>6822217d-d89f-53cd-a6b0-807aa44726ba</x:v>
      </x:c>
      <x:c r="B133" t="str">
        <x:v>CDA-CODE-280</x:v>
      </x:c>
      <x:c r="C133" t="str">
        <x:v>280</x:v>
      </x:c>
      <x:c r="D133" t="str">
        <x:v>Ruby red</x:v>
      </x:c>
      <x:c r="E133" t="str">
        <x:v>紅寶石紅</x:v>
      </x:c>
      <x:c r="F133" t="str">
        <x:v>ルビーレッド</x:v>
      </x:c>
      <x:c r="G133" t="str">
        <x:v>Ruby red</x:v>
      </x:c>
      <x:c r="H133" t="str">
        <x:v>紅寶石紅</x:v>
      </x:c>
      <x:c r="I133" t="str">
        <x:v>ルビーレッド</x:v>
      </x:c>
      <x:c r="J133" t="n">
        <x:v>4</x:v>
      </x:c>
      <x:c r="K133" t="str">
        <x:v>PABLO | SUPRACOLOR Soft Aquarelle | NEOCOLOR II Aquarelle | NEOPASTEL</x:v>
      </x:c>
      <x:c r="L133" t="str">
        <x:v>PR254</x:v>
      </x:c>
      <x:c r="M133" t="str">
        <x:v>#E26278</x:v>
      </x:c>
      <x:c r="N133" t="n">
        <x:v>226</x:v>
      </x:c>
      <x:c r="O133" t="n">
        <x:v>98</x:v>
      </x:c>
      <x:c r="P133" t="n">
        <x:v>120</x:v>
      </x:c>
      <x:c r="Q133" t="n">
        <x:v>58.29</x:v>
      </x:c>
      <x:c r="R133" t="n">
        <x:v>51.74</x:v>
      </x:c>
      <x:c r="S133" t="n">
        <x:v>12.94</x:v>
      </x:c>
      <x:c r="T133" t="n">
        <x:v>55.49</x:v>
      </x:c>
      <x:c r="U133" t="str">
        <x:v>#000000</x:v>
      </x:c>
      <x:c r="V133" t="n">
        <x:v>6.25</x:v>
      </x:c>
      <x:c r="W133" t="n">
        <x:v>0.262602</x:v>
      </x:c>
      <x:c r="X133" t="str">
        <x:v>Low</x:v>
      </x:c>
      <x:c r="Y133" t="str">
        <x:v>Average of official PDF swatch samples across distinct source palettes; not a physical colour standard.</x:v>
      </x:c>
    </x:row>
    <x:row r="134">
      <x:c r="A134" t="str">
        <x:v>85f425db-0bc5-5524-9965-cf796483df0d</x:v>
      </x:c>
      <x:c r="B134" t="str">
        <x:v>CDA-CODE-290</x:v>
      </x:c>
      <x:c r="C134" t="str">
        <x:v>290</x:v>
      </x:c>
      <x:c r="D134" t="str">
        <x:v>Empire green</x:v>
      </x:c>
      <x:c r="E134" t="str">
        <x:v>帝國綠</x:v>
      </x:c>
      <x:c r="F134" t="str">
        <x:v>エンパイアグリーン</x:v>
      </x:c>
      <x:c r="G134" t="str">
        <x:v>Empire green</x:v>
      </x:c>
      <x:c r="H134" t="str">
        <x:v>帝國綠</x:v>
      </x:c>
      <x:c r="I134" t="str">
        <x:v>エンパイアグリーン</x:v>
      </x:c>
      <x:c r="J134" t="n">
        <x:v>2</x:v>
      </x:c>
      <x:c r="K134" t="str">
        <x:v>PABLO | SUPRACOLOR Soft Aquarelle</x:v>
      </x:c>
      <x:c r="L134" t="str"/>
      <x:c r="M134" t="str">
        <x:v>#56BA92</x:v>
      </x:c>
      <x:c r="N134" t="n">
        <x:v>86</x:v>
      </x:c>
      <x:c r="O134" t="n">
        <x:v>186</x:v>
      </x:c>
      <x:c r="P134" t="n">
        <x:v>146</x:v>
      </x:c>
      <x:c r="Q134" t="n">
        <x:v>68.87</x:v>
      </x:c>
      <x:c r="R134" t="n">
        <x:v>-38.85</x:v>
      </x:c>
      <x:c r="S134" t="n">
        <x:v>11.52</x:v>
      </x:c>
      <x:c r="T134" t="n">
        <x:v>32.2</x:v>
      </x:c>
      <x:c r="U134" t="str">
        <x:v>#000000</x:v>
      </x:c>
      <x:c r="V134" t="n">
        <x:v>8.83</x:v>
      </x:c>
      <x:c r="W134" t="n">
        <x:v>0.391716</x:v>
      </x:c>
      <x:c r="X134" t="str">
        <x:v>Low</x:v>
      </x:c>
      <x:c r="Y134" t="str">
        <x:v>Average of official PDF swatch samples across distinct source palettes; not a physical colour standard.</x:v>
      </x:c>
    </x:row>
    <x:row r="135">
      <x:c r="A135" t="str">
        <x:v>a0ce686f-7535-53f8-b53e-5ecadedba3d5</x:v>
      </x:c>
      <x:c r="B135" t="str">
        <x:v>CDA-CODE-300</x:v>
      </x:c>
      <x:c r="C135" t="str">
        <x:v>300</x:v>
      </x:c>
      <x:c r="D135" t="str">
        <x:v>Fast orange</x:v>
      </x:c>
      <x:c r="E135" t="str">
        <x:v>耐久橙</x:v>
      </x:c>
      <x:c r="F135" t="str">
        <x:v>ファストオレンジ</x:v>
      </x:c>
      <x:c r="G135" t="str">
        <x:v>Fast orange</x:v>
      </x:c>
      <x:c r="H135" t="str">
        <x:v>耐久橙</x:v>
      </x:c>
      <x:c r="I135" t="str">
        <x:v>ファストオレンジ</x:v>
      </x:c>
      <x:c r="J135" t="n">
        <x:v>6</x:v>
      </x:c>
      <x:c r="K135" t="str">
        <x:v>PABLO | SUPRACOLOR Soft Aquarelle | NEOCOLOR II Aquarelle | NEOPASTEL | PASTEL PENCILS | PASTEL CUBES</x:v>
      </x:c>
      <x:c r="L135" t="str">
        <x:v>PO62</x:v>
      </x:c>
      <x:c r="M135" t="str">
        <x:v>#F3B23B</x:v>
      </x:c>
      <x:c r="N135" t="n">
        <x:v>243</x:v>
      </x:c>
      <x:c r="O135" t="n">
        <x:v>178</x:v>
      </x:c>
      <x:c r="P135" t="n">
        <x:v>59</x:v>
      </x:c>
      <x:c r="Q135" t="n">
        <x:v>76.81</x:v>
      </x:c>
      <x:c r="R135" t="n">
        <x:v>13.24</x:v>
      </x:c>
      <x:c r="S135" t="n">
        <x:v>66.32</x:v>
      </x:c>
      <x:c r="T135" t="n">
        <x:v>31.07</x:v>
      </x:c>
      <x:c r="U135" t="str">
        <x:v>#000000</x:v>
      </x:c>
      <x:c r="V135" t="n">
        <x:v>11.24</x:v>
      </x:c>
      <x:c r="W135" t="n">
        <x:v>0.512112</x:v>
      </x:c>
      <x:c r="X135" t="str">
        <x:v>Low</x:v>
      </x:c>
      <x:c r="Y135" t="str">
        <x:v>Average of official PDF swatch samples across distinct source palettes; not a physical colour standard.</x:v>
      </x:c>
    </x:row>
    <x:row r="136">
      <x:c r="A136" t="str">
        <x:v>39bf01fa-a31a-593e-a617-859ebd045d80</x:v>
      </x:c>
      <x:c r="B136" t="str">
        <x:v>CDA-CODE-350</x:v>
      </x:c>
      <x:c r="C136" t="str">
        <x:v>350</x:v>
      </x:c>
      <x:c r="D136" t="str">
        <x:v>Purplish red</x:v>
      </x:c>
      <x:c r="E136" t="str">
        <x:v>紫紅色</x:v>
      </x:c>
      <x:c r="F136" t="str">
        <x:v>パープリッシュレッド</x:v>
      </x:c>
      <x:c r="G136" t="str">
        <x:v>Purplish Red | Purplish red</x:v>
      </x:c>
      <x:c r="H136" t="str">
        <x:v>紫紅色</x:v>
      </x:c>
      <x:c r="I136" t="str">
        <x:v>パープリッシュ レッド | パープリッシュレッド</x:v>
      </x:c>
      <x:c r="J136" t="n">
        <x:v>8</x:v>
      </x:c>
      <x:c r="K136" t="str">
        <x:v>LUMINANCE 6901 | PABLO | SUPRACOLOR Soft Aquarelle | MUSEUM Aquarelle | NEOPASTEL | PASTEL PENCILS | PASTEL CUBES | NEOART 6901</x:v>
      </x:c>
      <x:c r="L136" t="str">
        <x:v>PR122/PR179 | PR122</x:v>
      </x:c>
      <x:c r="M136" s="127" t="str">
        <x:v>#BF4383</x:v>
      </x:c>
      <x:c r="N136" t="n">
        <x:v>191</x:v>
      </x:c>
      <x:c r="O136" t="n">
        <x:v>67</x:v>
      </x:c>
      <x:c r="P136" t="n">
        <x:v>131</x:v>
      </x:c>
      <x:c r="Q136" t="n">
        <x:v>47.92</x:v>
      </x:c>
      <x:c r="R136" t="n">
        <x:v>55.54</x:v>
      </x:c>
      <x:c r="S136" t="n">
        <x:v>-9.32</x:v>
      </x:c>
      <x:c r="T136" t="n">
        <x:v>32.4</x:v>
      </x:c>
      <x:c r="U136" t="str">
        <x:v>#FFFFFF</x:v>
      </x:c>
      <x:c r="V136" t="n">
        <x:v>4.83</x:v>
      </x:c>
      <x:c r="W136" t="n">
        <x:v>0.167294</x:v>
      </x:c>
      <x:c r="X136" t="str">
        <x:v>Low</x:v>
      </x:c>
      <x:c r="Y13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37">
      <x:c r="A137" t="str">
        <x:v>af4c8d4a-7fbd-5dbe-9455-0e110ad4b140</x:v>
      </x:c>
      <x:c r="B137" t="str">
        <x:v>CDA-CODE-370</x:v>
      </x:c>
      <x:c r="C137" t="str">
        <x:v>370</x:v>
      </x:c>
      <x:c r="D137" t="str">
        <x:v>Gentian blue</x:v>
      </x:c>
      <x:c r="E137" t="str">
        <x:v>龍膽藍</x:v>
      </x:c>
      <x:c r="F137" t="str">
        <x:v>ゲンチアンブルー</x:v>
      </x:c>
      <x:c r="G137" t="str">
        <x:v>Gentian blue</x:v>
      </x:c>
      <x:c r="H137" t="str">
        <x:v>龍膽藍</x:v>
      </x:c>
      <x:c r="I137" t="str">
        <x:v>ゲンチアンブルー</x:v>
      </x:c>
      <x:c r="J137" t="n">
        <x:v>3</x:v>
      </x:c>
      <x:c r="K137" t="str">
        <x:v>PABLO | SUPRACOLOR Soft Aquarelle | NEOPASTEL</x:v>
      </x:c>
      <x:c r="L137" t="str">
        <x:v>PB15:3</x:v>
      </x:c>
      <x:c r="M137" t="str">
        <x:v>#4098C9</x:v>
      </x:c>
      <x:c r="N137" t="n">
        <x:v>64</x:v>
      </x:c>
      <x:c r="O137" t="n">
        <x:v>152</x:v>
      </x:c>
      <x:c r="P137" t="n">
        <x:v>201</x:v>
      </x:c>
      <x:c r="Q137" t="n">
        <x:v>59.67</x:v>
      </x:c>
      <x:c r="R137" t="n">
        <x:v>-10.67</x:v>
      </x:c>
      <x:c r="S137" t="n">
        <x:v>-32.9</x:v>
      </x:c>
      <x:c r="T137" t="n">
        <x:v>55.34</x:v>
      </x:c>
      <x:c r="U137" t="str">
        <x:v>#000000</x:v>
      </x:c>
      <x:c r="V137" t="n">
        <x:v>6.55</x:v>
      </x:c>
      <x:c r="W137" t="n">
        <x:v>0.277635</x:v>
      </x:c>
      <x:c r="X137" t="str">
        <x:v>Low</x:v>
      </x:c>
      <x:c r="Y137" t="str">
        <x:v>Average of official PDF swatch samples across distinct source palettes; not a physical colour standard.</x:v>
      </x:c>
    </x:row>
    <x:row r="138">
      <x:c r="A138" t="str">
        <x:v>bed30998-0793-53b4-9881-02cd79e5aff0</x:v>
      </x:c>
      <x:c r="B138" t="str">
        <x:v>CDA-CODE-371</x:v>
      </x:c>
      <x:c r="C138" t="str">
        <x:v>371</x:v>
      </x:c>
      <x:c r="D138" t="str">
        <x:v>Bluish pale</x:v>
      </x:c>
      <x:c r="E138" t="str">
        <x:v>淡藍色</x:v>
      </x:c>
      <x:c r="F138" t="str">
        <x:v>ペールブルー</x:v>
      </x:c>
      <x:c r="G138" t="str">
        <x:v>Bluish pale</x:v>
      </x:c>
      <x:c r="H138" t="str">
        <x:v>淡藍色</x:v>
      </x:c>
      <x:c r="I138" t="str">
        <x:v>ペールブルー</x:v>
      </x:c>
      <x:c r="J138" t="n">
        <x:v>2</x:v>
      </x:c>
      <x:c r="K138" t="str">
        <x:v>PABLO | SUPRACOLOR Soft Aquarelle</x:v>
      </x:c>
      <x:c r="L138" t="str"/>
      <x:c r="M138" t="str">
        <x:v>#C2E1E6</x:v>
      </x:c>
      <x:c r="N138" t="n">
        <x:v>194</x:v>
      </x:c>
      <x:c r="O138" t="n">
        <x:v>225</x:v>
      </x:c>
      <x:c r="P138" t="n">
        <x:v>230</x:v>
      </x:c>
      <x:c r="Q138" t="n">
        <x:v>87.5</x:v>
      </x:c>
      <x:c r="R138" t="n">
        <x:v>-9.13</x:v>
      </x:c>
      <x:c r="S138" t="n">
        <x:v>-5.86</x:v>
      </x:c>
      <x:c r="T138" t="n">
        <x:v>3.81</x:v>
      </x:c>
      <x:c r="U138" t="str">
        <x:v>#000000</x:v>
      </x:c>
      <x:c r="V138" t="n">
        <x:v>15.21</x:v>
      </x:c>
      <x:c r="W138" t="n">
        <x:v>0.710329</x:v>
      </x:c>
      <x:c r="X138" t="str">
        <x:v>High</x:v>
      </x:c>
      <x:c r="Y138" t="str">
        <x:v>Average of official PDF swatch samples across distinct source palettes; not a physical colour standard.</x:v>
      </x:c>
    </x:row>
    <x:row r="139">
      <x:c r="A139" t="str">
        <x:v>041ab24f-ad59-5075-a15a-4afb1abf3da3</x:v>
      </x:c>
      <x:c r="B139" t="str">
        <x:v>CDA-CODE-401</x:v>
      </x:c>
      <x:c r="C139" t="str">
        <x:v>401</x:v>
      </x:c>
      <x:c r="D139" t="str">
        <x:v>Ash grey</x:v>
      </x:c>
      <x:c r="E139" t="str">
        <x:v>灰燼灰</x:v>
      </x:c>
      <x:c r="F139" t="str">
        <x:v>アッシュグレー</x:v>
      </x:c>
      <x:c r="G139" t="str">
        <x:v>Ash grey</x:v>
      </x:c>
      <x:c r="H139" t="str">
        <x:v>灰燼灰</x:v>
      </x:c>
      <x:c r="I139" t="str">
        <x:v>アッシュグレー</x:v>
      </x:c>
      <x:c r="J139" t="n">
        <x:v>3</x:v>
      </x:c>
      <x:c r="K139" t="str">
        <x:v>PABLO | SUPRACOLOR Soft Aquarelle | NEOPASTEL</x:v>
      </x:c>
      <x:c r="L139" t="str">
        <x:v>PBk6/PY42</x:v>
      </x:c>
      <x:c r="M139" t="str">
        <x:v>#E5DECA</x:v>
      </x:c>
      <x:c r="N139" t="n">
        <x:v>229</x:v>
      </x:c>
      <x:c r="O139" t="n">
        <x:v>222</x:v>
      </x:c>
      <x:c r="P139" t="n">
        <x:v>202</x:v>
      </x:c>
      <x:c r="Q139" t="n">
        <x:v>88.53</x:v>
      </x:c>
      <x:c r="R139" t="n">
        <x:v>-0.97</x:v>
      </x:c>
      <x:c r="S139" t="n">
        <x:v>10.66</x:v>
      </x:c>
      <x:c r="T139" t="n">
        <x:v>15.57</x:v>
      </x:c>
      <x:c r="U139" t="str">
        <x:v>#000000</x:v>
      </x:c>
      <x:c r="V139" t="n">
        <x:v>15.63</x:v>
      </x:c>
      <x:c r="W139" t="n">
        <x:v>0.731648</x:v>
      </x:c>
      <x:c r="X139" t="str">
        <x:v>Medium</x:v>
      </x:c>
      <x:c r="Y139" t="str">
        <x:v>Average of official PDF swatch samples across distinct source palettes; not a physical colour standard.</x:v>
      </x:c>
    </x:row>
    <x:row r="140">
      <x:c r="A140" t="str">
        <x:v>ff5f9226-afd3-51de-841e-1af120ed7973</x:v>
      </x:c>
      <x:c r="B140" t="str">
        <x:v>CDA-CODE-402</x:v>
      </x:c>
      <x:c r="C140" t="str">
        <x:v>402</x:v>
      </x:c>
      <x:c r="D140" t="str">
        <x:v>Light beige</x:v>
      </x:c>
      <x:c r="E140" t="str">
        <x:v>淺米色</x:v>
      </x:c>
      <x:c r="F140" t="str">
        <x:v>ライトベージュ</x:v>
      </x:c>
      <x:c r="G140" t="str">
        <x:v>Light beige</x:v>
      </x:c>
      <x:c r="H140" t="str">
        <x:v>淺米色</x:v>
      </x:c>
      <x:c r="I140" t="str">
        <x:v>ライトベージュ</x:v>
      </x:c>
      <x:c r="J140" t="n">
        <x:v>3</x:v>
      </x:c>
      <x:c r="K140" t="str">
        <x:v>PABLO | SUPRACOLOR Soft Aquarelle | NEOPASTEL</x:v>
      </x:c>
      <x:c r="L140" t="str">
        <x:v>PR101/PY42</x:v>
      </x:c>
      <x:c r="M140" t="str">
        <x:v>#D7CABF</x:v>
      </x:c>
      <x:c r="N140" t="n">
        <x:v>215</x:v>
      </x:c>
      <x:c r="O140" t="n">
        <x:v>202</x:v>
      </x:c>
      <x:c r="P140" t="n">
        <x:v>191</x:v>
      </x:c>
      <x:c r="Q140" t="n">
        <x:v>82.08</x:v>
      </x:c>
      <x:c r="R140" t="n">
        <x:v>2.66</x:v>
      </x:c>
      <x:c r="S140" t="n">
        <x:v>7.11</x:v>
      </x:c>
      <x:c r="T140" t="n">
        <x:v>19.33</x:v>
      </x:c>
      <x:c r="U140" t="str">
        <x:v>#000000</x:v>
      </x:c>
      <x:c r="V140" t="n">
        <x:v>13.09</x:v>
      </x:c>
      <x:c r="W140" t="n">
        <x:v>0.604497</x:v>
      </x:c>
      <x:c r="X140" t="str">
        <x:v>Medium</x:v>
      </x:c>
      <x:c r="Y140" t="str">
        <x:v>Average of official PDF swatch samples across distinct source palettes; not a physical colour standard.</x:v>
      </x:c>
    </x:row>
    <x:row r="141">
      <x:c r="A141" t="str">
        <x:v>a0fc0aee-2321-5612-af14-a6e399efdb96</x:v>
      </x:c>
      <x:c r="B141" t="str">
        <x:v>CDA-CODE-403</x:v>
      </x:c>
      <x:c r="C141" t="str">
        <x:v>403</x:v>
      </x:c>
      <x:c r="D141" t="str">
        <x:v>Beige</x:v>
      </x:c>
      <x:c r="E141" t="str">
        <x:v>米色</x:v>
      </x:c>
      <x:c r="F141" t="str">
        <x:v>ベージュ</x:v>
      </x:c>
      <x:c r="G141" t="str">
        <x:v>Beige</x:v>
      </x:c>
      <x:c r="H141" t="str">
        <x:v>米色</x:v>
      </x:c>
      <x:c r="I141" t="str">
        <x:v>ベージュ</x:v>
      </x:c>
      <x:c r="J141" t="n">
        <x:v>4</x:v>
      </x:c>
      <x:c r="K141" t="str">
        <x:v>PABLO | SUPRACOLOR Soft Aquarelle | NEOCOLOR II Aquarelle | NEOPASTEL</x:v>
      </x:c>
      <x:c r="L141" t="str">
        <x:v>PBk6/PY42/PR101</x:v>
      </x:c>
      <x:c r="M141" t="str">
        <x:v>#C6B3A2</x:v>
      </x:c>
      <x:c r="N141" t="n">
        <x:v>198</x:v>
      </x:c>
      <x:c r="O141" t="n">
        <x:v>179</x:v>
      </x:c>
      <x:c r="P141" t="n">
        <x:v>162</x:v>
      </x:c>
      <x:c r="Q141" t="n">
        <x:v>74.1</x:v>
      </x:c>
      <x:c r="R141" t="n">
        <x:v>4.01</x:v>
      </x:c>
      <x:c r="S141" t="n">
        <x:v>11.15</x:v>
      </x:c>
      <x:c r="T141" t="n">
        <x:v>29.13</x:v>
      </x:c>
      <x:c r="U141" t="str">
        <x:v>#000000</x:v>
      </x:c>
      <x:c r="V141" t="n">
        <x:v>10.37</x:v>
      </x:c>
      <x:c r="W141" t="n">
        <x:v>0.468546</x:v>
      </x:c>
      <x:c r="X141" t="str">
        <x:v>Low</x:v>
      </x:c>
      <x:c r="Y141" t="str">
        <x:v>Average of official PDF swatch samples across distinct source palettes; not a physical colour standard.</x:v>
      </x:c>
    </x:row>
    <x:row r="142">
      <x:c r="A142" t="str">
        <x:v>f6926c57-dc5d-502d-bdb4-bb82e40c9927</x:v>
      </x:c>
      <x:c r="B142" t="str">
        <x:v>CDA-CODE-404</x:v>
      </x:c>
      <x:c r="C142" t="str">
        <x:v>404</x:v>
      </x:c>
      <x:c r="D142" t="str">
        <x:v>Brownish beige</x:v>
      </x:c>
      <x:c r="E142" t="str">
        <x:v>褐米色</x:v>
      </x:c>
      <x:c r="F142" t="str">
        <x:v>ブラウニッシュベージュ</x:v>
      </x:c>
      <x:c r="G142" t="str">
        <x:v>Brownish beige</x:v>
      </x:c>
      <x:c r="H142" t="str">
        <x:v>褐米色</x:v>
      </x:c>
      <x:c r="I142" t="str">
        <x:v>ブラウニッシュベージュ</x:v>
      </x:c>
      <x:c r="J142" t="n">
        <x:v>2</x:v>
      </x:c>
      <x:c r="K142" t="str">
        <x:v>PABLO | SUPRACOLOR Soft Aquarelle</x:v>
      </x:c>
      <x:c r="L142" t="str"/>
      <x:c r="M142" t="str">
        <x:v>#B89E89</x:v>
      </x:c>
      <x:c r="N142" t="n">
        <x:v>184</x:v>
      </x:c>
      <x:c r="O142" t="n">
        <x:v>158</x:v>
      </x:c>
      <x:c r="P142" t="n">
        <x:v>137</x:v>
      </x:c>
      <x:c r="Q142" t="n">
        <x:v>66.86</x:v>
      </x:c>
      <x:c r="R142" t="n">
        <x:v>6.29</x:v>
      </x:c>
      <x:c r="S142" t="n">
        <x:v>14.52</x:v>
      </x:c>
      <x:c r="T142" t="n">
        <x:v>28.86</x:v>
      </x:c>
      <x:c r="U142" t="str">
        <x:v>#000000</x:v>
      </x:c>
      <x:c r="V142" t="n">
        <x:v>8.29</x:v>
      </x:c>
      <x:c r="W142" t="n">
        <x:v>0.364502</x:v>
      </x:c>
      <x:c r="X142" t="str">
        <x:v>Low</x:v>
      </x:c>
      <x:c r="Y142" t="str">
        <x:v>Average of official PDF swatch samples across distinct source palettes; not a physical colour standard.</x:v>
      </x:c>
    </x:row>
    <x:row r="143">
      <x:c r="A143" t="str">
        <x:v>6e05dd60-a9ff-5683-a982-bbf95922269e</x:v>
      </x:c>
      <x:c r="B143" t="str">
        <x:v>CDA-CODE-405</x:v>
      </x:c>
      <x:c r="C143" t="str">
        <x:v>405</x:v>
      </x:c>
      <x:c r="D143" t="str">
        <x:v>Cocoa</x:v>
      </x:c>
      <x:c r="E143" t="str">
        <x:v>可可棕</x:v>
      </x:c>
      <x:c r="F143" t="str">
        <x:v>ココア</x:v>
      </x:c>
      <x:c r="G143" t="str">
        <x:v>Cocoa</x:v>
      </x:c>
      <x:c r="H143" t="str">
        <x:v>可可棕</x:v>
      </x:c>
      <x:c r="I143" t="str">
        <x:v>ココア</x:v>
      </x:c>
      <x:c r="J143" t="n">
        <x:v>3</x:v>
      </x:c>
      <x:c r="K143" t="str">
        <x:v>PABLO | SUPRACOLOR Soft Aquarelle | NEOPASTEL</x:v>
      </x:c>
      <x:c r="L143" t="str">
        <x:v>PBk6/PY42/PR101</x:v>
      </x:c>
      <x:c r="M143" t="str">
        <x:v>#8B756C</x:v>
      </x:c>
      <x:c r="N143" t="n">
        <x:v>139</x:v>
      </x:c>
      <x:c r="O143" t="n">
        <x:v>117</x:v>
      </x:c>
      <x:c r="P143" t="n">
        <x:v>108</x:v>
      </x:c>
      <x:c r="Q143" t="n">
        <x:v>51.03</x:v>
      </x:c>
      <x:c r="R143" t="n">
        <x:v>7.05</x:v>
      </x:c>
      <x:c r="S143" t="n">
        <x:v>8.15</x:v>
      </x:c>
      <x:c r="T143" t="n">
        <x:v>27.37</x:v>
      </x:c>
      <x:c r="U143" t="str">
        <x:v>#000000</x:v>
      </x:c>
      <x:c r="V143" t="n">
        <x:v>4.86</x:v>
      </x:c>
      <x:c r="W143" t="n">
        <x:v>0.192943</x:v>
      </x:c>
      <x:c r="X143" t="str">
        <x:v>Low</x:v>
      </x:c>
      <x:c r="Y143" t="str">
        <x:v>Average of official PDF swatch samples across distinct source palettes; not a physical colour standard.</x:v>
      </x:c>
    </x:row>
    <x:row r="144">
      <x:c r="A144" t="str">
        <x:v>031b6d1b-99f0-5097-97b4-5f2daeaf1a50</x:v>
      </x:c>
      <x:c r="B144" t="str">
        <x:v>CDA-CODE-407</x:v>
      </x:c>
      <x:c r="C144" t="str">
        <x:v>407</x:v>
      </x:c>
      <x:c r="D144" t="str">
        <x:v>Sepia</x:v>
      </x:c>
      <x:c r="E144" t="str">
        <x:v>深褐色</x:v>
      </x:c>
      <x:c r="F144" t="str">
        <x:v>セピア</x:v>
      </x:c>
      <x:c r="G144" t="str">
        <x:v>Sepia</x:v>
      </x:c>
      <x:c r="H144" t="str">
        <x:v>深褐色</x:v>
      </x:c>
      <x:c r="I144" t="str">
        <x:v>セピア</x:v>
      </x:c>
      <x:c r="J144" t="n">
        <x:v>6</x:v>
      </x:c>
      <x:c r="K144" t="str">
        <x:v>LUMINANCE 6901 | PABLO | SUPRACOLOR Soft Aquarelle | NEOCOLOR II Aquarelle | NEOPASTEL | NEOART 6901</x:v>
      </x:c>
      <x:c r="L144" t="str">
        <x:v>PR101/PBr7/PBk6/PBk11 | PBk7/PY42/PR101 | PBk6/PR101/PY42/PBk11</x:v>
      </x:c>
      <x:c r="M144" s="129" t="str">
        <x:v>#72665B</x:v>
      </x:c>
      <x:c r="N144" t="n">
        <x:v>114</x:v>
      </x:c>
      <x:c r="O144" t="n">
        <x:v>102</x:v>
      </x:c>
      <x:c r="P144" t="n">
        <x:v>91</x:v>
      </x:c>
      <x:c r="Q144" t="n">
        <x:v>44</x:v>
      </x:c>
      <x:c r="R144" t="n">
        <x:v>2.78</x:v>
      </x:c>
      <x:c r="S144" t="n">
        <x:v>7.95</x:v>
      </x:c>
      <x:c r="T144" t="n">
        <x:v>47.41</x:v>
      </x:c>
      <x:c r="U144" t="str">
        <x:v>#FFFFFF</x:v>
      </x:c>
      <x:c r="V144" t="n">
        <x:v>5.57</x:v>
      </x:c>
      <x:c r="W144" t="n">
        <x:v>0.138355</x:v>
      </x:c>
      <x:c r="X144" t="str">
        <x:v>Low</x:v>
      </x:c>
      <x:c r="Y144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45">
      <x:c r="A145" t="str">
        <x:v>7a98f2fc-d14c-5f7a-be39-a7e7c879131c</x:v>
      </x:c>
      <x:c r="B145" t="str">
        <x:v>CDA-CODE-408</x:v>
      </x:c>
      <x:c r="C145" t="str">
        <x:v>408</x:v>
      </x:c>
      <x:c r="D145" t="str">
        <x:v>Dark Sepia</x:v>
      </x:c>
      <x:c r="E145" t="str">
        <x:v>深褐棕</x:v>
      </x:c>
      <x:c r="F145" t="str">
        <x:v>ダークセピア</x:v>
      </x:c>
      <x:c r="G145" t="str">
        <x:v>Dark Sepia</x:v>
      </x:c>
      <x:c r="H145" t="str">
        <x:v>深褐棕</x:v>
      </x:c>
      <x:c r="I145" t="str">
        <x:v>ダークセピア</x:v>
      </x:c>
      <x:c r="J145" t="n">
        <x:v>2</x:v>
      </x:c>
      <x:c r="K145" t="str">
        <x:v>PASTEL PENCILS | PASTEL CUBES</x:v>
      </x:c>
      <x:c r="L145" t="str"/>
      <x:c r="M145" t="str">
        <x:v>#3A2F2B</x:v>
      </x:c>
      <x:c r="N145" t="n">
        <x:v>58</x:v>
      </x:c>
      <x:c r="O145" t="n">
        <x:v>47</x:v>
      </x:c>
      <x:c r="P145" t="n">
        <x:v>43</x:v>
      </x:c>
      <x:c r="Q145" t="n">
        <x:v>20.47</x:v>
      </x:c>
      <x:c r="R145" t="n">
        <x:v>4.22</x:v>
      </x:c>
      <x:c r="S145" t="n">
        <x:v>4.44</x:v>
      </x:c>
      <x:c r="T145" t="n">
        <x:v>0</x:v>
      </x:c>
      <x:c r="U145" t="str">
        <x:v>#FFFFFF</x:v>
      </x:c>
      <x:c r="V145" t="n">
        <x:v>12.95</x:v>
      </x:c>
      <x:c r="W145" t="n">
        <x:v>0.03107</x:v>
      </x:c>
      <x:c r="X145" t="str">
        <x:v>High</x:v>
      </x:c>
      <x:c r="Y145" t="str">
        <x:v>Average of official PDF swatch samples across distinct source palettes; not a physical colour standard.</x:v>
      </x:c>
    </x:row>
    <x:row r="146">
      <x:c r="A146" t="str">
        <x:v>41364623-e3c2-523d-9478-e65b4eedf55e</x:v>
      </x:c>
      <x:c r="B146" t="str">
        <x:v>CDA-CODE-409</x:v>
      </x:c>
      <x:c r="C146" t="str">
        <x:v>409</x:v>
      </x:c>
      <x:c r="D146" t="str">
        <x:v>Charcoal grey</x:v>
      </x:c>
      <x:c r="E146" t="str">
        <x:v>炭灰色</x:v>
      </x:c>
      <x:c r="F146" t="str">
        <x:v>チャコールグレー</x:v>
      </x:c>
      <x:c r="G146" t="str">
        <x:v>Charcoal grey</x:v>
      </x:c>
      <x:c r="H146" t="str">
        <x:v>炭灰色</x:v>
      </x:c>
      <x:c r="I146" t="str">
        <x:v>チャコールグレー</x:v>
      </x:c>
      <x:c r="J146" t="n">
        <x:v>3</x:v>
      </x:c>
      <x:c r="K146" t="str">
        <x:v>PABLO | SUPRACOLOR Soft Aquarelle | NEOCOLOR II Aquarelle</x:v>
      </x:c>
      <x:c r="L146" t="str"/>
      <x:c r="M146" t="str">
        <x:v>#746A61</x:v>
      </x:c>
      <x:c r="N146" t="n">
        <x:v>116</x:v>
      </x:c>
      <x:c r="O146" t="n">
        <x:v>106</x:v>
      </x:c>
      <x:c r="P146" t="n">
        <x:v>97</x:v>
      </x:c>
      <x:c r="Q146" t="n">
        <x:v>45.48</x:v>
      </x:c>
      <x:c r="R146" t="n">
        <x:v>2.27</x:v>
      </x:c>
      <x:c r="S146" t="n">
        <x:v>6.47</x:v>
      </x:c>
      <x:c r="T146" t="n">
        <x:v>30.06</x:v>
      </x:c>
      <x:c r="U146" t="str">
        <x:v>#FFFFFF</x:v>
      </x:c>
      <x:c r="V146" t="n">
        <x:v>5.28</x:v>
      </x:c>
      <x:c r="W146" t="n">
        <x:v>0.148841</x:v>
      </x:c>
      <x:c r="X146" t="str">
        <x:v>Low</x:v>
      </x:c>
      <x:c r="Y146" t="str">
        <x:v>Average of official PDF swatch samples across distinct source palettes; not a physical colour standard.</x:v>
      </x:c>
    </x:row>
    <x:row r="147">
      <x:c r="A147" t="str">
        <x:v>845a10ab-0e55-5261-a78c-6068c40eb6da</x:v>
      </x:c>
      <x:c r="B147" t="str">
        <x:v>CDA-CODE-460</x:v>
      </x:c>
      <x:c r="C147" t="str">
        <x:v>460</x:v>
      </x:c>
      <x:c r="D147" t="str">
        <x:v>Peacock green</x:v>
      </x:c>
      <x:c r="E147" t="str">
        <x:v>孔雀綠</x:v>
      </x:c>
      <x:c r="F147" t="str">
        <x:v>ピーコックグリーン</x:v>
      </x:c>
      <x:c r="G147" t="str">
        <x:v>Peacock green</x:v>
      </x:c>
      <x:c r="H147" t="str">
        <x:v>孔雀綠</x:v>
      </x:c>
      <x:c r="I147" t="str">
        <x:v>ピーコックグリーン</x:v>
      </x:c>
      <x:c r="J147" t="n">
        <x:v>2</x:v>
      </x:c>
      <x:c r="K147" t="str">
        <x:v>PABLO | SUPRACOLOR Soft Aquarelle</x:v>
      </x:c>
      <x:c r="L147" t="str"/>
      <x:c r="M147" t="str">
        <x:v>#56C398</x:v>
      </x:c>
      <x:c r="N147" t="n">
        <x:v>86</x:v>
      </x:c>
      <x:c r="O147" t="n">
        <x:v>195</x:v>
      </x:c>
      <x:c r="P147" t="n">
        <x:v>152</x:v>
      </x:c>
      <x:c r="Q147" t="n">
        <x:v>71.74</x:v>
      </x:c>
      <x:c r="R147" t="n">
        <x:v>-41.51</x:v>
      </x:c>
      <x:c r="S147" t="n">
        <x:v>12.31</x:v>
      </x:c>
      <x:c r="T147" t="n">
        <x:v>29.61</x:v>
      </x:c>
      <x:c r="U147" t="str">
        <x:v>#000000</x:v>
      </x:c>
      <x:c r="V147" t="n">
        <x:v>9.66</x:v>
      </x:c>
      <x:c r="W147" t="n">
        <x:v>0.432756</x:v>
      </x:c>
      <x:c r="X147" t="str">
        <x:v>Low</x:v>
      </x:c>
      <x:c r="Y147" t="str">
        <x:v>Average of official PDF swatch samples across distinct source palettes; not a physical colour standard.</x:v>
      </x:c>
    </x:row>
    <x:row r="148">
      <x:c r="A148" t="str">
        <x:v>e5fd455d-0e91-54ba-bac2-04493fa22e11</x:v>
      </x:c>
      <x:c r="B148" t="str">
        <x:v>CDA-CODE-470</x:v>
      </x:c>
      <x:c r="C148" t="str">
        <x:v>470</x:v>
      </x:c>
      <x:c r="D148" t="str">
        <x:v>Spring green</x:v>
      </x:c>
      <x:c r="E148" t="str">
        <x:v>春綠色</x:v>
      </x:c>
      <x:c r="F148" t="str">
        <x:v>スプリンググリーン</x:v>
      </x:c>
      <x:c r="G148" t="str">
        <x:v>Spring Green | Spring green</x:v>
      </x:c>
      <x:c r="H148" t="str">
        <x:v>春綠色</x:v>
      </x:c>
      <x:c r="I148" t="str">
        <x:v>スプリング グリーン | スプリンググリーン</x:v>
      </x:c>
      <x:c r="J148" t="n">
        <x:v>6</x:v>
      </x:c>
      <x:c r="K148" t="str">
        <x:v>LUMINANCE 6901 | PABLO | SUPRACOLOR Soft Aquarelle | MUSEUM Aquarelle | NEOPASTEL | NEOART 6901</x:v>
      </x:c>
      <x:c r="L148" t="str">
        <x:v>PY3/PG7 | PG7/PY3</x:v>
      </x:c>
      <x:c r="M148" s="131" t="str">
        <x:v>#BED462</x:v>
      </x:c>
      <x:c r="N148" t="n">
        <x:v>190</x:v>
      </x:c>
      <x:c r="O148" t="n">
        <x:v>212</x:v>
      </x:c>
      <x:c r="P148" t="n">
        <x:v>98</x:v>
      </x:c>
      <x:c r="Q148" t="n">
        <x:v>81.25</x:v>
      </x:c>
      <x:c r="R148" t="n">
        <x:v>-23.82</x:v>
      </x:c>
      <x:c r="S148" t="n">
        <x:v>53.13</x:v>
      </x:c>
      <x:c r="T148" t="n">
        <x:v>33.23</x:v>
      </x:c>
      <x:c r="U148" t="str">
        <x:v>#000000</x:v>
      </x:c>
      <x:c r="V148" t="n">
        <x:v>12.78</x:v>
      </x:c>
      <x:c r="W148" t="n">
        <x:v>0.58916</x:v>
      </x:c>
      <x:c r="X148" t="str">
        <x:v>Low</x:v>
      </x:c>
      <x:c r="Y148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49">
      <x:c r="A149" t="str">
        <x:v>2677a322-c649-5014-8cdd-4123960858a3</x:v>
      </x:c>
      <x:c r="B149" t="str">
        <x:v>CDA-CODE-491</x:v>
      </x:c>
      <x:c r="C149" t="str">
        <x:v>491</x:v>
      </x:c>
      <x:c r="D149" t="str">
        <x:v>Cream</x:v>
      </x:c>
      <x:c r="E149" t="str">
        <x:v>奶油色</x:v>
      </x:c>
      <x:c r="F149" t="str">
        <x:v>クリーム</x:v>
      </x:c>
      <x:c r="G149" t="str">
        <x:v>Cream</x:v>
      </x:c>
      <x:c r="H149" t="str">
        <x:v>奶油色</x:v>
      </x:c>
      <x:c r="I149" t="str">
        <x:v>クリーム</x:v>
      </x:c>
      <x:c r="J149" t="n">
        <x:v>3</x:v>
      </x:c>
      <x:c r="K149" t="str">
        <x:v>PABLO | SUPRACOLOR Soft Aquarelle | NEOPASTEL</x:v>
      </x:c>
      <x:c r="L149" t="str">
        <x:v>PY42</x:v>
      </x:c>
      <x:c r="M149" t="str">
        <x:v>#FAE9D1</x:v>
      </x:c>
      <x:c r="N149" t="n">
        <x:v>250</x:v>
      </x:c>
      <x:c r="O149" t="n">
        <x:v>233</x:v>
      </x:c>
      <x:c r="P149" t="n">
        <x:v>209</x:v>
      </x:c>
      <x:c r="Q149" t="n">
        <x:v>93.1</x:v>
      </x:c>
      <x:c r="R149" t="n">
        <x:v>1.95</x:v>
      </x:c>
      <x:c r="S149" t="n">
        <x:v>13.75</x:v>
      </x:c>
      <x:c r="T149" t="n">
        <x:v>9.25</x:v>
      </x:c>
      <x:c r="U149" t="str">
        <x:v>#000000</x:v>
      </x:c>
      <x:c r="V149" t="n">
        <x:v>17.64</x:v>
      </x:c>
      <x:c r="W149" t="n">
        <x:v>0.832053</x:v>
      </x:c>
      <x:c r="X149" t="str">
        <x:v>High</x:v>
      </x:c>
      <x:c r="Y149" t="str">
        <x:v>Average of official PDF swatch samples across distinct source palettes; not a physical colour standard.</x:v>
      </x:c>
    </x:row>
    <x:row r="150">
      <x:c r="A150" t="str">
        <x:v>1f225a02-e19a-5ba5-afe7-19744aaa8e3e</x:v>
      </x:c>
      <x:c r="B150" t="str">
        <x:v>CDA-CODE-493</x:v>
      </x:c>
      <x:c r="C150" t="str">
        <x:v>493</x:v>
      </x:c>
      <x:c r="D150" t="str">
        <x:v>Granite rose</x:v>
      </x:c>
      <x:c r="E150" t="str">
        <x:v>花崗岩粉紅</x:v>
      </x:c>
      <x:c r="F150" t="str">
        <x:v>グラナイトローズ</x:v>
      </x:c>
      <x:c r="G150" t="str">
        <x:v>Granite rose</x:v>
      </x:c>
      <x:c r="H150" t="str">
        <x:v>花崗岩粉紅</x:v>
      </x:c>
      <x:c r="I150" t="str">
        <x:v>グラナイトローズ</x:v>
      </x:c>
      <x:c r="J150" t="n">
        <x:v>3</x:v>
      </x:c>
      <x:c r="K150" t="str">
        <x:v>PABLO | SUPRACOLOR Soft Aquarelle | NEOPASTEL</x:v>
      </x:c>
      <x:c r="L150" t="str">
        <x:v>PR101</x:v>
      </x:c>
      <x:c r="M150" t="str">
        <x:v>#F9D3C4</x:v>
      </x:c>
      <x:c r="N150" t="n">
        <x:v>249</x:v>
      </x:c>
      <x:c r="O150" t="n">
        <x:v>211</x:v>
      </x:c>
      <x:c r="P150" t="n">
        <x:v>196</x:v>
      </x:c>
      <x:c r="Q150" t="n">
        <x:v>87.35</x:v>
      </x:c>
      <x:c r="R150" t="n">
        <x:v>11.02</x:v>
      </x:c>
      <x:c r="S150" t="n">
        <x:v>12.37</x:v>
      </x:c>
      <x:c r="T150" t="n">
        <x:v>9.18</x:v>
      </x:c>
      <x:c r="U150" t="str">
        <x:v>#000000</x:v>
      </x:c>
      <x:c r="V150" t="n">
        <x:v>15.14</x:v>
      </x:c>
      <x:c r="W150" t="n">
        <x:v>0.707138</x:v>
      </x:c>
      <x:c r="X150" t="str">
        <x:v>High</x:v>
      </x:c>
      <x:c r="Y150" t="str">
        <x:v>Average of official PDF swatch samples across distinct source palettes; not a physical colour standard.</x:v>
      </x:c>
    </x:row>
    <x:row r="151">
      <x:c r="A151" t="str">
        <x:v>2389d9d0-ecac-5dc3-922c-5004968271df</x:v>
      </x:c>
      <x:c r="B151" t="str">
        <x:v>CDA-CODE-495</x:v>
      </x:c>
      <x:c r="C151" t="str">
        <x:v>495</x:v>
      </x:c>
      <x:c r="D151" t="str">
        <x:v>Slate grey</x:v>
      </x:c>
      <x:c r="E151" t="str">
        <x:v>板岩灰</x:v>
      </x:c>
      <x:c r="F151" t="str">
        <x:v>スレートグレー</x:v>
      </x:c>
      <x:c r="G151" t="str">
        <x:v>Slate grey</x:v>
      </x:c>
      <x:c r="H151" t="str">
        <x:v>板岩灰</x:v>
      </x:c>
      <x:c r="I151" t="str">
        <x:v>スレート グレイ | スレートグレー</x:v>
      </x:c>
      <x:c r="J151" t="n">
        <x:v>8</x:v>
      </x:c>
      <x:c r="K151" t="str">
        <x:v>LUMINANCE 6901 | PABLO | SUPRACOLOR Soft Aquarelle | MUSEUM Aquarelle | NEOPASTEL | PASTEL PENCILS | PASTEL CUBES | NEOART 6901</x:v>
      </x:c>
      <x:c r="L151" t="str">
        <x:v>Graphite | PBk9</x:v>
      </x:c>
      <x:c r="M151" s="133" t="str">
        <x:v>#676765</x:v>
      </x:c>
      <x:c r="N151" t="n">
        <x:v>103</x:v>
      </x:c>
      <x:c r="O151" t="n">
        <x:v>103</x:v>
      </x:c>
      <x:c r="P151" t="n">
        <x:v>101</x:v>
      </x:c>
      <x:c r="Q151" t="n">
        <x:v>43.54</x:v>
      </x:c>
      <x:c r="R151" t="n">
        <x:v>-0.41</x:v>
      </x:c>
      <x:c r="S151" t="n">
        <x:v>1.13</x:v>
      </x:c>
      <x:c r="T151" t="n">
        <x:v>31.09</x:v>
      </x:c>
      <x:c r="U151" t="str">
        <x:v>#FFFFFF</x:v>
      </x:c>
      <x:c r="V151" t="n">
        <x:v>5.67</x:v>
      </x:c>
      <x:c r="W151" t="n">
        <x:v>0.135236</x:v>
      </x:c>
      <x:c r="X151" t="str">
        <x:v>Low</x:v>
      </x:c>
      <x:c r="Y151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52">
      <x:c r="A152" t="str">
        <x:v>91d57ab5-52d4-5164-8f15-564f1470e385</x:v>
      </x:c>
      <x:c r="B152" t="str">
        <x:v>CDA-CODE-496</x:v>
      </x:c>
      <x:c r="C152" t="str">
        <x:v>496</x:v>
      </x:c>
      <x:c r="D152" t="str">
        <x:v>Ivory Black</x:v>
      </x:c>
      <x:c r="E152" t="str">
        <x:v>象牙黑</x:v>
      </x:c>
      <x:c r="F152" t="str">
        <x:v>アイボリ ブラック</x:v>
      </x:c>
      <x:c r="G152" t="str">
        <x:v>Ivory Black | Ivory black</x:v>
      </x:c>
      <x:c r="H152" t="str">
        <x:v>象牙黑</x:v>
      </x:c>
      <x:c r="I152" t="str">
        <x:v>アイボリ ブラック | アイボリーブラック</x:v>
      </x:c>
      <x:c r="J152" t="n">
        <x:v>4</x:v>
      </x:c>
      <x:c r="K152" t="str">
        <x:v>PABLO | SUPRACOLOR Soft Aquarelle | MUSEUM Aquarelle | NEOPASTEL</x:v>
      </x:c>
      <x:c r="L152" t="str">
        <x:v>PBk7 | PBk7/PY42/PR101</x:v>
      </x:c>
      <x:c r="M152" t="str">
        <x:v>#54524E</x:v>
      </x:c>
      <x:c r="N152" t="n">
        <x:v>84</x:v>
      </x:c>
      <x:c r="O152" t="n">
        <x:v>82</x:v>
      </x:c>
      <x:c r="P152" t="n">
        <x:v>78</x:v>
      </x:c>
      <x:c r="Q152" t="n">
        <x:v>34.94</x:v>
      </x:c>
      <x:c r="R152" t="n">
        <x:v>-0.01</x:v>
      </x:c>
      <x:c r="S152" t="n">
        <x:v>2.63</x:v>
      </x:c>
      <x:c r="T152" t="n">
        <x:v>43.25</x:v>
      </x:c>
      <x:c r="U152" t="str">
        <x:v>#FFFFFF</x:v>
      </x:c>
      <x:c r="V152" t="n">
        <x:v>7.8</x:v>
      </x:c>
      <x:c r="W152" t="n">
        <x:v>0.084695</x:v>
      </x:c>
      <x:c r="X152" t="str">
        <x:v>Low</x:v>
      </x:c>
      <x:c r="Y152" t="str">
        <x:v>Average of official PDF swatch samples across distinct source palettes; not a physical colour standard.</x:v>
      </x:c>
    </x:row>
    <x:row r="153">
      <x:c r="A153" t="str">
        <x:v>626a6f45-e626-566f-8eee-647ee5477aa2</x:v>
      </x:c>
      <x:c r="B153" t="str">
        <x:v>CDA-CODE-497</x:v>
      </x:c>
      <x:c r="C153" t="str">
        <x:v>497</x:v>
      </x:c>
      <x:c r="D153" t="str">
        <x:v>Bronze</x:v>
      </x:c>
      <x:c r="E153" t="str">
        <x:v>青銅色</x:v>
      </x:c>
      <x:c r="F153" t="str">
        <x:v>ブロンズ</x:v>
      </x:c>
      <x:c r="G153" t="str">
        <x:v>Bronze</x:v>
      </x:c>
      <x:c r="H153" t="str">
        <x:v>青銅色</x:v>
      </x:c>
      <x:c r="I153" t="str">
        <x:v>ブロンズ</x:v>
      </x:c>
      <x:c r="J153" t="n">
        <x:v>4</x:v>
      </x:c>
      <x:c r="K153" t="str">
        <x:v>PABLO | SUPRACOLOR Soft Aquarelle | NEOCOLOR II Aquarelle | NEOPASTEL</x:v>
      </x:c>
      <x:c r="L153" t="str">
        <x:v>Aluminium powder/PO34/PR188/PY3</x:v>
      </x:c>
      <x:c r="M153" t="str">
        <x:v>#C38062</x:v>
      </x:c>
      <x:c r="N153" t="n">
        <x:v>195</x:v>
      </x:c>
      <x:c r="O153" t="n">
        <x:v>128</x:v>
      </x:c>
      <x:c r="P153" t="n">
        <x:v>98</x:v>
      </x:c>
      <x:c r="Q153" t="n">
        <x:v>59.82</x:v>
      </x:c>
      <x:c r="R153" t="n">
        <x:v>22.58</x:v>
      </x:c>
      <x:c r="S153" t="n">
        <x:v>26.9</x:v>
      </x:c>
      <x:c r="T153" t="n">
        <x:v>29.48</x:v>
      </x:c>
      <x:c r="U153" t="str">
        <x:v>#000000</x:v>
      </x:c>
      <x:c r="V153" t="n">
        <x:v>6.58</x:v>
      </x:c>
      <x:c r="W153" t="n">
        <x:v>0.279223</x:v>
      </x:c>
      <x:c r="X153" t="str">
        <x:v>Low</x:v>
      </x:c>
      <x:c r="Y153" t="str">
        <x:v>Average of official PDF swatch samples across distinct source palettes; not a physical colour standard.</x:v>
      </x:c>
    </x:row>
    <x:row r="154">
      <x:c r="A154" t="str">
        <x:v>03989b1a-4440-5f14-a358-38a260b8270e</x:v>
      </x:c>
      <x:c r="B154" t="str">
        <x:v>CDA-CODE-498</x:v>
      </x:c>
      <x:c r="C154" t="str">
        <x:v>498</x:v>
      </x:c>
      <x:c r="D154" t="str">
        <x:v>Silver</x:v>
      </x:c>
      <x:c r="E154" t="str">
        <x:v>銀色</x:v>
      </x:c>
      <x:c r="F154" t="str">
        <x:v>シルバー</x:v>
      </x:c>
      <x:c r="G154" t="str">
        <x:v>Silver</x:v>
      </x:c>
      <x:c r="H154" t="str">
        <x:v>銀色</x:v>
      </x:c>
      <x:c r="I154" t="str">
        <x:v>シルバー</x:v>
      </x:c>
      <x:c r="J154" t="n">
        <x:v>4</x:v>
      </x:c>
      <x:c r="K154" t="str">
        <x:v>PABLO | SUPRACOLOR Soft Aquarelle | NEOCOLOR II Aquarelle | NEOPASTEL</x:v>
      </x:c>
      <x:c r="L154" t="str">
        <x:v>Aluminium powder</x:v>
      </x:c>
      <x:c r="M154" t="str">
        <x:v>#BCBAB3</x:v>
      </x:c>
      <x:c r="N154" t="n">
        <x:v>188</x:v>
      </x:c>
      <x:c r="O154" t="n">
        <x:v>186</x:v>
      </x:c>
      <x:c r="P154" t="n">
        <x:v>179</x:v>
      </x:c>
      <x:c r="Q154" t="n">
        <x:v>75.49</x:v>
      </x:c>
      <x:c r="R154" t="n">
        <x:v>-0.57</x:v>
      </x:c>
      <x:c r="S154" t="n">
        <x:v>3.79</x:v>
      </x:c>
      <x:c r="T154" t="n">
        <x:v>24.34</x:v>
      </x:c>
      <x:c r="U154" t="str">
        <x:v>#000000</x:v>
      </x:c>
      <x:c r="V154" t="n">
        <x:v>10.81</x:v>
      </x:c>
      <x:c r="W154" t="n">
        <x:v>0.490639</x:v>
      </x:c>
      <x:c r="X154" t="str">
        <x:v>Medium</x:v>
      </x:c>
      <x:c r="Y154" t="str">
        <x:v>Average of official PDF swatch samples across distinct source palettes; not a physical colour standard.</x:v>
      </x:c>
    </x:row>
    <x:row r="155">
      <x:c r="A155" t="str">
        <x:v>28c12bd9-5252-5aa7-b4d7-b871d20e5a42</x:v>
      </x:c>
      <x:c r="B155" t="str">
        <x:v>CDA-CODE-499</x:v>
      </x:c>
      <x:c r="C155" t="str">
        <x:v>499</x:v>
      </x:c>
      <x:c r="D155" t="str">
        <x:v>Gold</x:v>
      </x:c>
      <x:c r="E155" t="str">
        <x:v>金色</x:v>
      </x:c>
      <x:c r="F155" t="str">
        <x:v>ゴールド</x:v>
      </x:c>
      <x:c r="G155" t="str">
        <x:v>Gold</x:v>
      </x:c>
      <x:c r="H155" t="str">
        <x:v>金色</x:v>
      </x:c>
      <x:c r="I155" t="str">
        <x:v>ゴールド</x:v>
      </x:c>
      <x:c r="J155" t="n">
        <x:v>4</x:v>
      </x:c>
      <x:c r="K155" t="str">
        <x:v>PABLO | SUPRACOLOR Soft Aquarelle | NEOCOLOR II Aquarelle | NEOPASTEL</x:v>
      </x:c>
      <x:c r="L155" t="str">
        <x:v>Aluminium powder/PY13/PO61/PR112</x:v>
      </x:c>
      <x:c r="M155" t="str">
        <x:v>#C0AE68</x:v>
      </x:c>
      <x:c r="N155" t="n">
        <x:v>192</x:v>
      </x:c>
      <x:c r="O155" t="n">
        <x:v>174</x:v>
      </x:c>
      <x:c r="P155" t="n">
        <x:v>104</x:v>
      </x:c>
      <x:c r="Q155" t="n">
        <x:v>71.2</x:v>
      </x:c>
      <x:c r="R155" t="n">
        <x:v>-3.13</x:v>
      </x:c>
      <x:c r="S155" t="n">
        <x:v>38.15</x:v>
      </x:c>
      <x:c r="T155" t="n">
        <x:v>32.92</x:v>
      </x:c>
      <x:c r="U155" t="str">
        <x:v>#000000</x:v>
      </x:c>
      <x:c r="V155" t="n">
        <x:v>9.5</x:v>
      </x:c>
      <x:c r="W155" t="n">
        <x:v>0.42478</x:v>
      </x:c>
      <x:c r="X155" t="str">
        <x:v>Low</x:v>
      </x:c>
      <x:c r="Y155" t="str">
        <x:v>Average of official PDF swatch samples across distinct source palettes; not a physical colour standard.</x:v>
      </x:c>
    </x:row>
    <x:row r="156">
      <x:c r="A156" t="str">
        <x:v>dc4c1cca-6a3d-57e2-91d0-ab77e4c3a7f1</x:v>
      </x:c>
      <x:c r="B156" t="str">
        <x:v>CDA-CODE-504</x:v>
      </x:c>
      <x:c r="C156" t="str">
        <x:v>504</x:v>
      </x:c>
      <x:c r="D156" t="str">
        <x:v>Payne’s grey 30%</x:v>
      </x:c>
      <x:c r="E156" t="str">
        <x:v>佩恩灰 30%</x:v>
      </x:c>
      <x:c r="F156" t="str">
        <x:v>ペインズグレー 30%</x:v>
      </x:c>
      <x:c r="G156" t="str">
        <x:v>Payne’s grey 30%</x:v>
      </x:c>
      <x:c r="H156" t="str">
        <x:v>佩恩灰 30%</x:v>
      </x:c>
      <x:c r="I156" t="str">
        <x:v>ペインズグレー 30%</x:v>
      </x:c>
      <x:c r="J156" t="n">
        <x:v>2</x:v>
      </x:c>
      <x:c r="K156" t="str">
        <x:v>LUMINANCE 6901 | NEOART 6901</x:v>
      </x:c>
      <x:c r="L156" t="str">
        <x:v>PB29/PBk6</x:v>
      </x:c>
      <x:c r="M156" s="135" t="str">
        <x:v>#A2A8B0</x:v>
      </x:c>
      <x:c r="N156" t="n">
        <x:v>162</x:v>
      </x:c>
      <x:c r="O156" t="n">
        <x:v>168</x:v>
      </x:c>
      <x:c r="P156" t="n">
        <x:v>176</x:v>
      </x:c>
      <x:c r="Q156" t="n">
        <x:v>68.62</x:v>
      </x:c>
      <x:c r="R156" t="n">
        <x:v>-0.53</x:v>
      </x:c>
      <x:c r="S156" t="n">
        <x:v>-4.85</x:v>
      </x:c>
      <x:c r="T156" t="n">
        <x:v>9.34</x:v>
      </x:c>
      <x:c r="U156" t="str">
        <x:v>#000000</x:v>
      </x:c>
      <x:c r="V156" t="n">
        <x:v>8.76</x:v>
      </x:c>
      <x:c r="W156" t="n">
        <x:v>0.388212</x:v>
      </x:c>
      <x:c r="X156" t="str">
        <x:v>High</x:v>
      </x:c>
      <x:c r="Y15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57">
      <x:c r="A157" t="str">
        <x:v>e9000de0-6e08-51b1-a546-501e5d5e1bc9</x:v>
      </x:c>
      <x:c r="B157" t="str">
        <x:v>CDA-CODE-506</x:v>
      </x:c>
      <x:c r="C157" t="str">
        <x:v>506</x:v>
      </x:c>
      <x:c r="D157" t="str">
        <x:v>Payne’s grey 50%</x:v>
      </x:c>
      <x:c r="E157" t="str">
        <x:v>佩恩灰 50%</x:v>
      </x:c>
      <x:c r="F157" t="str">
        <x:v>ペインズグレー 50%</x:v>
      </x:c>
      <x:c r="G157" t="str">
        <x:v>Payne’s grey 50%</x:v>
      </x:c>
      <x:c r="H157" t="str">
        <x:v>佩恩灰 50%</x:v>
      </x:c>
      <x:c r="I157" t="str">
        <x:v>ペインズグレー 50%</x:v>
      </x:c>
      <x:c r="J157" t="n">
        <x:v>2</x:v>
      </x:c>
      <x:c r="K157" t="str">
        <x:v>PASTEL PENCILS | PASTEL CUBES</x:v>
      </x:c>
      <x:c r="L157" t="str"/>
      <x:c r="M157" t="str">
        <x:v>#536278</x:v>
      </x:c>
      <x:c r="N157" t="n">
        <x:v>83</x:v>
      </x:c>
      <x:c r="O157" t="n">
        <x:v>98</x:v>
      </x:c>
      <x:c r="P157" t="n">
        <x:v>120</x:v>
      </x:c>
      <x:c r="Q157" t="n">
        <x:v>41.1</x:v>
      </x:c>
      <x:c r="R157" t="n">
        <x:v>-0.11</x:v>
      </x:c>
      <x:c r="S157" t="n">
        <x:v>-14.22</x:v>
      </x:c>
      <x:c r="T157" t="n">
        <x:v>0</x:v>
      </x:c>
      <x:c r="U157" t="str">
        <x:v>#FFFFFF</x:v>
      </x:c>
      <x:c r="V157" t="n">
        <x:v>6.2</x:v>
      </x:c>
      <x:c r="W157" t="n">
        <x:v>0.119304</x:v>
      </x:c>
      <x:c r="X157" t="str">
        <x:v>High</x:v>
      </x:c>
      <x:c r="Y157" t="str">
        <x:v>Average of official PDF swatch samples across distinct source palettes; not a physical colour standard.</x:v>
      </x:c>
    </x:row>
    <x:row r="158">
      <x:c r="A158" t="str">
        <x:v>e0a38842-55ea-528d-9bac-5d5adb64b760</x:v>
      </x:c>
      <x:c r="B158" t="str">
        <x:v>CDA-CODE-507</x:v>
      </x:c>
      <x:c r="C158" t="str">
        <x:v>507</x:v>
      </x:c>
      <x:c r="D158" t="str">
        <x:v>Payne’s grey 60%</x:v>
      </x:c>
      <x:c r="E158" t="str">
        <x:v>佩恩灰 60%</x:v>
      </x:c>
      <x:c r="F158" t="str">
        <x:v>ペインズグレー 60%</x:v>
      </x:c>
      <x:c r="G158" t="str">
        <x:v>Payne’s grey 60%</x:v>
      </x:c>
      <x:c r="H158" t="str">
        <x:v>佩恩灰 60%</x:v>
      </x:c>
      <x:c r="I158" t="str">
        <x:v>ペインズグレー 60%</x:v>
      </x:c>
      <x:c r="J158" t="n">
        <x:v>1</x:v>
      </x:c>
      <x:c r="K158" t="str">
        <x:v>LUMINANCE 6901</x:v>
      </x:c>
      <x:c r="L158" t="str">
        <x:v>PB29/PBk6</x:v>
      </x:c>
      <x:c r="M158" t="str">
        <x:v>#6D7A86</x:v>
      </x:c>
      <x:c r="N158" t="n">
        <x:v>109</x:v>
      </x:c>
      <x:c r="O158" t="n">
        <x:v>122</x:v>
      </x:c>
      <x:c r="P158" t="n">
        <x:v>134</x:v>
      </x:c>
      <x:c r="Q158" t="n">
        <x:v>50.56</x:v>
      </x:c>
      <x:c r="R158" t="n">
        <x:v>-2.08</x:v>
      </x:c>
      <x:c r="S158" t="n">
        <x:v>-8.15</x:v>
      </x:c>
      <x:c r="T158" t="n">
        <x:v>0</x:v>
      </x:c>
      <x:c r="U158" t="str">
        <x:v>#000000</x:v>
      </x:c>
      <x:c r="V158" t="n">
        <x:v>4.78</x:v>
      </x:c>
      <x:c r="W158" t="n">
        <x:v>0.188915</x:v>
      </x:c>
      <x:c r="X158" t="str">
        <x:v>High</x:v>
      </x:c>
      <x:c r="Y158" t="str">
        <x:v>Average of official PDF swatch samples across distinct source palettes; not a physical colour standard.</x:v>
      </x:c>
    </x:row>
    <x:row r="159">
      <x:c r="A159" t="str">
        <x:v>ac1b5a77-594e-5945-b354-658024eb187d</x:v>
      </x:c>
      <x:c r="B159" t="str">
        <x:v>CDA-CODE-508</x:v>
      </x:c>
      <x:c r="C159" t="str">
        <x:v>508</x:v>
      </x:c>
      <x:c r="D159" t="str">
        <x:v>Payne’s grey</x:v>
      </x:c>
      <x:c r="E159" t="str">
        <x:v>佩恩灰</x:v>
      </x:c>
      <x:c r="F159" t="str">
        <x:v>ペインズグレイ</x:v>
      </x:c>
      <x:c r="G159" t="str">
        <x:v>Payne’s grey | Payne’s grey 70%</x:v>
      </x:c>
      <x:c r="H159" t="str">
        <x:v>佩恩灰 | 佩恩灰 70%</x:v>
      </x:c>
      <x:c r="I159" t="str">
        <x:v>ペインズグレイ | ペインズグレー | ペインズグレー 70%</x:v>
      </x:c>
      <x:c r="J159" t="n">
        <x:v>3</x:v>
      </x:c>
      <x:c r="K159" t="str">
        <x:v>LUMINANCE 6901 | MUSEUM Aquarelle | NEOCOLOR II Aquarelle</x:v>
      </x:c>
      <x:c r="L159" t="str">
        <x:v>PB29/PBk6 | PBk6/PB29</x:v>
      </x:c>
      <x:c r="M159" t="str">
        <x:v>#888C93</x:v>
      </x:c>
      <x:c r="N159" t="n">
        <x:v>136</x:v>
      </x:c>
      <x:c r="O159" t="n">
        <x:v>140</x:v>
      </x:c>
      <x:c r="P159" t="n">
        <x:v>147</x:v>
      </x:c>
      <x:c r="Q159" t="n">
        <x:v>58.13</x:v>
      </x:c>
      <x:c r="R159" t="n">
        <x:v>-0.03</x:v>
      </x:c>
      <x:c r="S159" t="n">
        <x:v>-4.23</x:v>
      </x:c>
      <x:c r="T159" t="n">
        <x:v>50.83</x:v>
      </x:c>
      <x:c r="U159" t="str">
        <x:v>#000000</x:v>
      </x:c>
      <x:c r="V159" t="n">
        <x:v>6.22</x:v>
      </x:c>
      <x:c r="W159" t="n">
        <x:v>0.26097</x:v>
      </x:c>
      <x:c r="X159" t="str">
        <x:v>Low</x:v>
      </x:c>
      <x:c r="Y159" t="str">
        <x:v>Average of official PDF swatch samples across distinct source palettes; not a physical colour standard.</x:v>
      </x:c>
    </x:row>
    <x:row r="160">
      <x:c r="A160" t="str">
        <x:v>ef3f1cf0-2053-5807-97ac-68a6bafc21e7</x:v>
      </x:c>
      <x:c r="B160" t="str">
        <x:v>CDA-CODE-512</x:v>
      </x:c>
      <x:c r="C160" t="str">
        <x:v>512</x:v>
      </x:c>
      <x:c r="D160" t="str">
        <x:v>Light cadmium yellow</x:v>
      </x:c>
      <x:c r="E160" t="str">
        <x:v>淺鎘黃</x:v>
      </x:c>
      <x:c r="F160" t="str">
        <x:v>ライトカドミウムイエロー</x:v>
      </x:c>
      <x:c r="G160" t="str">
        <x:v>Light cadmium yellow</x:v>
      </x:c>
      <x:c r="H160" t="str">
        <x:v>淺鎘黃</x:v>
      </x:c>
      <x:c r="I160" t="str">
        <x:v>ライトカドミウムイエロー</x:v>
      </x:c>
      <x:c r="J160" t="n">
        <x:v>2</x:v>
      </x:c>
      <x:c r="K160" t="str">
        <x:v>PASTEL PENCILS | PASTEL CUBES</x:v>
      </x:c>
      <x:c r="L160" t="str">
        <x:v>PY3/PY74</x:v>
      </x:c>
      <x:c r="M160" t="str">
        <x:v>#CFB930</x:v>
      </x:c>
      <x:c r="N160" t="n">
        <x:v>207</x:v>
      </x:c>
      <x:c r="O160" t="n">
        <x:v>185</x:v>
      </x:c>
      <x:c r="P160" t="n">
        <x:v>48</x:v>
      </x:c>
      <x:c r="Q160" t="n">
        <x:v>74.94</x:v>
      </x:c>
      <x:c r="R160" t="n">
        <x:v>-6.31</x:v>
      </x:c>
      <x:c r="S160" t="n">
        <x:v>67.17</x:v>
      </x:c>
      <x:c r="T160" t="n">
        <x:v>0</x:v>
      </x:c>
      <x:c r="U160" t="str">
        <x:v>#000000</x:v>
      </x:c>
      <x:c r="V160" t="n">
        <x:v>10.64</x:v>
      </x:c>
      <x:c r="W160" t="n">
        <x:v>0.481767</x:v>
      </x:c>
      <x:c r="X160" t="str">
        <x:v>High</x:v>
      </x:c>
      <x:c r="Y160" t="str">
        <x:v>Average of official PDF swatch samples across distinct source palettes; not a physical colour standard.</x:v>
      </x:c>
    </x:row>
    <x:row r="161">
      <x:c r="A161" t="str">
        <x:v>4b64779a-d814-5ee5-9dae-59d32ed71f86</x:v>
      </x:c>
      <x:c r="B161" t="str">
        <x:v>CDA-CODE-520</x:v>
      </x:c>
      <x:c r="C161" t="str">
        <x:v>520</x:v>
      </x:c>
      <x:c r="D161" t="str">
        <x:v>Medium cadmium yellow (imit.)</x:v>
      </x:c>
      <x:c r="E161" t="str">
        <x:v>中鎘黃（仿色）</x:v>
      </x:c>
      <x:c r="F161" t="str">
        <x:v>ミディアムカドミウムイエロー（模倣色）</x:v>
      </x:c>
      <x:c r="G161" t="str">
        <x:v>Medium cadmium yellow (imit.)</x:v>
      </x:c>
      <x:c r="H161" t="str">
        <x:v>中鎘黃（仿色）</x:v>
      </x:c>
      <x:c r="I161" t="str">
        <x:v>ミディアムカドミウムイエロー（模倣色）</x:v>
      </x:c>
      <x:c r="J161" t="n">
        <x:v>1</x:v>
      </x:c>
      <x:c r="K161" t="str">
        <x:v>LUMINANCE 6901</x:v>
      </x:c>
      <x:c r="L161" t="str">
        <x:v>PY154</x:v>
      </x:c>
      <x:c r="M161" t="str">
        <x:v>#FFE851</x:v>
      </x:c>
      <x:c r="N161" t="n">
        <x:v>255</x:v>
      </x:c>
      <x:c r="O161" t="n">
        <x:v>232</x:v>
      </x:c>
      <x:c r="P161" t="n">
        <x:v>81</x:v>
      </x:c>
      <x:c r="Q161" t="n">
        <x:v>91.49</x:v>
      </x:c>
      <x:c r="R161" t="n">
        <x:v>-8.41</x:v>
      </x:c>
      <x:c r="S161" t="n">
        <x:v>72.85</x:v>
      </x:c>
      <x:c r="T161" t="n">
        <x:v>0</x:v>
      </x:c>
      <x:c r="U161" t="str">
        <x:v>#000000</x:v>
      </x:c>
      <x:c r="V161" t="n">
        <x:v>16.91</x:v>
      </x:c>
      <x:c r="W161" t="n">
        <x:v>0.795673</x:v>
      </x:c>
      <x:c r="X161" t="str">
        <x:v>High</x:v>
      </x:c>
      <x:c r="Y161" t="str">
        <x:v>Average of official PDF swatch samples across distinct source palettes; not a physical colour standard.</x:v>
      </x:c>
    </x:row>
    <x:row r="162">
      <x:c r="A162" t="str">
        <x:v>1d40cde8-3df0-5175-aa68-3d928de841b5</x:v>
      </x:c>
      <x:c r="B162" t="str">
        <x:v>CDA-CODE-521</x:v>
      </x:c>
      <x:c r="C162" t="str">
        <x:v>521</x:v>
      </x:c>
      <x:c r="D162" t="str">
        <x:v>Sahara yellow</x:v>
      </x:c>
      <x:c r="E162" t="str">
        <x:v>撒哈拉黃</x:v>
      </x:c>
      <x:c r="F162" t="str">
        <x:v>サハライエロー</x:v>
      </x:c>
      <x:c r="G162" t="str">
        <x:v>Sahara yellow</x:v>
      </x:c>
      <x:c r="H162" t="str">
        <x:v>撒哈拉黃</x:v>
      </x:c>
      <x:c r="I162" t="str">
        <x:v>サハライエロー</x:v>
      </x:c>
      <x:c r="J162" t="n">
        <x:v>1</x:v>
      </x:c>
      <x:c r="K162" t="str">
        <x:v>NEOCOLOR II Aquarelle</x:v>
      </x:c>
      <x:c r="L162" t="str"/>
      <x:c r="M162" t="str">
        <x:v>#FFEF9C</x:v>
      </x:c>
      <x:c r="N162" t="n">
        <x:v>255</x:v>
      </x:c>
      <x:c r="O162" t="n">
        <x:v>239</x:v>
      </x:c>
      <x:c r="P162" t="n">
        <x:v>156</x:v>
      </x:c>
      <x:c r="Q162" t="n">
        <x:v>94.05</x:v>
      </x:c>
      <x:c r="R162" t="n">
        <x:v>-6.03</x:v>
      </x:c>
      <x:c r="S162" t="n">
        <x:v>42.09</x:v>
      </x:c>
      <x:c r="T162" t="n">
        <x:v>0</x:v>
      </x:c>
      <x:c r="U162" t="str">
        <x:v>#000000</x:v>
      </x:c>
      <x:c r="V162" t="n">
        <x:v>18.08</x:v>
      </x:c>
      <x:c r="W162" t="n">
        <x:v>0.853933</x:v>
      </x:c>
      <x:c r="X162" t="str">
        <x:v>High</x:v>
      </x:c>
      <x:c r="Y162" t="str">
        <x:v>Average of official PDF swatch samples across distinct source palettes; not a physical colour standard.</x:v>
      </x:c>
    </x:row>
    <x:row r="163">
      <x:c r="A163" t="str">
        <x:v>7d3d4738-6b95-5ec4-8322-7c2c315a041f</x:v>
      </x:c>
      <x:c r="B163" t="str">
        <x:v>CDA-CODE-523</x:v>
      </x:c>
      <x:c r="C163" t="str">
        <x:v>523</x:v>
      </x:c>
      <x:c r="D163" t="str">
        <x:v>Indian yellow</x:v>
      </x:c>
      <x:c r="E163" t="str">
        <x:v>印度黃</x:v>
      </x:c>
      <x:c r="F163" t="str">
        <x:v>インディアンイエロー</x:v>
      </x:c>
      <x:c r="G163" t="str">
        <x:v>Indian yellow</x:v>
      </x:c>
      <x:c r="H163" t="str">
        <x:v>印度黃</x:v>
      </x:c>
      <x:c r="I163" t="str">
        <x:v>インディアンイエロー</x:v>
      </x:c>
      <x:c r="J163" t="n">
        <x:v>1</x:v>
      </x:c>
      <x:c r="K163" t="str">
        <x:v>LUMINANCE 6901</x:v>
      </x:c>
      <x:c r="L163" t="str">
        <x:v>PY150</x:v>
      </x:c>
      <x:c r="M163" t="str">
        <x:v>#E1B748</x:v>
      </x:c>
      <x:c r="N163" t="n">
        <x:v>225</x:v>
      </x:c>
      <x:c r="O163" t="n">
        <x:v>183</x:v>
      </x:c>
      <x:c r="P163" t="n">
        <x:v>72</x:v>
      </x:c>
      <x:c r="Q163" t="n">
        <x:v>76.28</x:v>
      </x:c>
      <x:c r="R163" t="n">
        <x:v>3.58</x:v>
      </x:c>
      <x:c r="S163" t="n">
        <x:v>59.98</x:v>
      </x:c>
      <x:c r="T163" t="n">
        <x:v>0</x:v>
      </x:c>
      <x:c r="U163" t="str">
        <x:v>#000000</x:v>
      </x:c>
      <x:c r="V163" t="n">
        <x:v>11.07</x:v>
      </x:c>
      <x:c r="W163" t="n">
        <x:v>0.503424</x:v>
      </x:c>
      <x:c r="X163" t="str">
        <x:v>High</x:v>
      </x:c>
      <x:c r="Y163" t="str">
        <x:v>Average of official PDF swatch samples across distinct source palettes; not a physical colour standard.</x:v>
      </x:c>
    </x:row>
    <x:row r="164">
      <x:c r="A164" t="str">
        <x:v>10923d99-7757-55a9-b1f4-db9c8bd7d6be</x:v>
      </x:c>
      <x:c r="B164" t="str">
        <x:v>CDA-CODE-530</x:v>
      </x:c>
      <x:c r="C164" t="str">
        <x:v>530</x:v>
      </x:c>
      <x:c r="D164" t="str">
        <x:v>Gold Cadmium Yellow</x:v>
      </x:c>
      <x:c r="E164" t="str">
        <x:v>金鎘黃</x:v>
      </x:c>
      <x:c r="F164" t="str">
        <x:v>ゴールドカドミウムイエロー</x:v>
      </x:c>
      <x:c r="G164" t="str">
        <x:v>Gold Cadmium Yellow</x:v>
      </x:c>
      <x:c r="H164" t="str">
        <x:v>金鎘黃</x:v>
      </x:c>
      <x:c r="I164" t="str">
        <x:v>ゴールドカドミウムイエロー</x:v>
      </x:c>
      <x:c r="J164" t="n">
        <x:v>4</x:v>
      </x:c>
      <x:c r="K164" t="str">
        <x:v>MUSEUM Aquarelle | PASTEL PENCILS | PASTEL CUBES | NEOART 6901</x:v>
      </x:c>
      <x:c r="L164" t="str">
        <x:v>PO62/PY74/PY83 | PY3/PY74/PO62 | PY184</x:v>
      </x:c>
      <x:c r="M164" s="137" t="str">
        <x:v>#EFC325</x:v>
      </x:c>
      <x:c r="N164" t="n">
        <x:v>239</x:v>
      </x:c>
      <x:c r="O164" t="n">
        <x:v>195</x:v>
      </x:c>
      <x:c r="P164" t="n">
        <x:v>37</x:v>
      </x:c>
      <x:c r="Q164" t="n">
        <x:v>80.47</x:v>
      </x:c>
      <x:c r="R164" t="n">
        <x:v>1.97</x:v>
      </x:c>
      <x:c r="S164" t="n">
        <x:v>76.3</x:v>
      </x:c>
      <x:c r="T164" t="n">
        <x:v>28.96</x:v>
      </x:c>
      <x:c r="U164" t="str">
        <x:v>#000000</x:v>
      </x:c>
      <x:c r="V164" t="n">
        <x:v>12.5</x:v>
      </x:c>
      <x:c r="W164" t="n">
        <x:v>0.575145</x:v>
      </x:c>
      <x:c r="X164" t="str">
        <x:v>Low</x:v>
      </x:c>
      <x:c r="Y164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65">
      <x:c r="A165" t="str">
        <x:v>cfe710d6-7aa4-56b0-aee1-f4e991104414</x:v>
      </x:c>
      <x:c r="B165" t="str">
        <x:v>CDA-CODE-533</x:v>
      </x:c>
      <x:c r="C165" t="str">
        <x:v>533</x:v>
      </x:c>
      <x:c r="D165" t="str">
        <x:v>Dark cadmium orange (imit.)</x:v>
      </x:c>
      <x:c r="E165" t="str">
        <x:v>深鎘橙（仿色）</x:v>
      </x:c>
      <x:c r="F165" t="str">
        <x:v>ダークカドミウムオレンジ（模倣色）</x:v>
      </x:c>
      <x:c r="G165" t="str">
        <x:v>Dark cadmium orange (imit.)</x:v>
      </x:c>
      <x:c r="H165" t="str">
        <x:v>深鎘橙（仿色）</x:v>
      </x:c>
      <x:c r="I165" t="str">
        <x:v>ダークカドミウムオレンジ（模倣色）</x:v>
      </x:c>
      <x:c r="J165" t="n">
        <x:v>1</x:v>
      </x:c>
      <x:c r="K165" t="str">
        <x:v>LUMINANCE 6901</x:v>
      </x:c>
      <x:c r="L165" t="str">
        <x:v>PO43</x:v>
      </x:c>
      <x:c r="M165" t="str">
        <x:v>#EB5F3B</x:v>
      </x:c>
      <x:c r="N165" t="n">
        <x:v>235</x:v>
      </x:c>
      <x:c r="O165" t="n">
        <x:v>95</x:v>
      </x:c>
      <x:c r="P165" t="n">
        <x:v>59</x:v>
      </x:c>
      <x:c r="Q165" t="n">
        <x:v>58.2</x:v>
      </x:c>
      <x:c r="R165" t="n">
        <x:v>52.2</x:v>
      </x:c>
      <x:c r="S165" t="n">
        <x:v>47.32</x:v>
      </x:c>
      <x:c r="T165" t="n">
        <x:v>0</x:v>
      </x:c>
      <x:c r="U165" t="str">
        <x:v>#000000</x:v>
      </x:c>
      <x:c r="V165" t="n">
        <x:v>6.23</x:v>
      </x:c>
      <x:c r="W165" t="n">
        <x:v>0.261624</x:v>
      </x:c>
      <x:c r="X165" t="str">
        <x:v>High</x:v>
      </x:c>
      <x:c r="Y165" t="str">
        <x:v>Average of official PDF swatch samples across distinct source palettes; not a physical colour standard.</x:v>
      </x:c>
    </x:row>
    <x:row r="166">
      <x:c r="A166" t="str">
        <x:v>fa5b3bb5-f9dc-5118-89a0-79634009ed1c</x:v>
      </x:c>
      <x:c r="B166" t="str">
        <x:v>CDA-CODE-541</x:v>
      </x:c>
      <x:c r="C166" t="str">
        <x:v>541</x:v>
      </x:c>
      <x:c r="D166" t="str">
        <x:v>Light flesh 5%</x:v>
      </x:c>
      <x:c r="E166" t="str">
        <x:v>淺膚色 5%</x:v>
      </x:c>
      <x:c r="F166" t="str">
        <x:v>ライトフレッシュ 5%</x:v>
      </x:c>
      <x:c r="G166" t="str">
        <x:v>Light flesh 5%</x:v>
      </x:c>
      <x:c r="H166" t="str">
        <x:v>淺膚色 5%</x:v>
      </x:c>
      <x:c r="I166" t="str">
        <x:v>ライトフレッシュ 5%</x:v>
      </x:c>
      <x:c r="J166" t="n">
        <x:v>2</x:v>
      </x:c>
      <x:c r="K166" t="str">
        <x:v>PASTEL PENCILS | PASTEL CUBES</x:v>
      </x:c>
      <x:c r="L166" t="str">
        <x:v>PO82/PR259</x:v>
      </x:c>
      <x:c r="M166" t="str">
        <x:v>#E6DAC5</x:v>
      </x:c>
      <x:c r="N166" t="n">
        <x:v>230</x:v>
      </x:c>
      <x:c r="O166" t="n">
        <x:v>218</x:v>
      </x:c>
      <x:c r="P166" t="n">
        <x:v>197</x:v>
      </x:c>
      <x:c r="Q166" t="n">
        <x:v>87.48</x:v>
      </x:c>
      <x:c r="R166" t="n">
        <x:v>0.66</x:v>
      </x:c>
      <x:c r="S166" t="n">
        <x:v>11.81</x:v>
      </x:c>
      <x:c r="T166" t="n">
        <x:v>0</x:v>
      </x:c>
      <x:c r="U166" t="str">
        <x:v>#000000</x:v>
      </x:c>
      <x:c r="V166" t="n">
        <x:v>15.2</x:v>
      </x:c>
      <x:c r="W166" t="n">
        <x:v>0.70997</x:v>
      </x:c>
      <x:c r="X166" t="str">
        <x:v>High</x:v>
      </x:c>
      <x:c r="Y166" t="str">
        <x:v>Average of official PDF swatch samples across distinct source palettes; not a physical colour standard.</x:v>
      </x:c>
    </x:row>
    <x:row r="167">
      <x:c r="A167" t="str">
        <x:v>e6b97c63-44ad-5921-912c-ff40fdb5df56</x:v>
      </x:c>
      <x:c r="B167" t="str">
        <x:v>CDA-CODE-542</x:v>
      </x:c>
      <x:c r="C167" t="str">
        <x:v>542</x:v>
      </x:c>
      <x:c r="D167" t="str">
        <x:v>Light flesh 10%</x:v>
      </x:c>
      <x:c r="E167" t="str">
        <x:v>淺膚色 10%</x:v>
      </x:c>
      <x:c r="F167" t="str">
        <x:v>ライトフレッシュ10%</x:v>
      </x:c>
      <x:c r="G167" t="str">
        <x:v>Butternut | Light flesh 10%</x:v>
      </x:c>
      <x:c r="H167" t="str">
        <x:v>淺膚色 10% | 胡桃木色</x:v>
      </x:c>
      <x:c r="I167" t="str">
        <x:v>バターナット | ライトフレッシュ 10% | ライトフレッシュ10%</x:v>
      </x:c>
      <x:c r="J167" t="n">
        <x:v>5</x:v>
      </x:c>
      <x:c r="K167" t="str">
        <x:v>LUMINANCE 6901 | MUSEUM Aquarelle | PASTEL PENCILS | PASTEL CUBES | NEOART 6901</x:v>
      </x:c>
      <x:c r="L167" t="str">
        <x:v>PO82</x:v>
      </x:c>
      <x:c r="M167" s="139" t="str">
        <x:v>#F4D7AD</x:v>
      </x:c>
      <x:c r="N167" t="n">
        <x:v>244</x:v>
      </x:c>
      <x:c r="O167" t="n">
        <x:v>215</x:v>
      </x:c>
      <x:c r="P167" t="n">
        <x:v>173</x:v>
      </x:c>
      <x:c r="Q167" t="n">
        <x:v>87.41</x:v>
      </x:c>
      <x:c r="R167" t="n">
        <x:v>3.95</x:v>
      </x:c>
      <x:c r="S167" t="n">
        <x:v>24.45</x:v>
      </x:c>
      <x:c r="T167" t="n">
        <x:v>12.32</x:v>
      </x:c>
      <x:c r="U167" t="str">
        <x:v>#000000</x:v>
      </x:c>
      <x:c r="V167" t="n">
        <x:v>15.17</x:v>
      </x:c>
      <x:c r="W167" t="n">
        <x:v>0.708511</x:v>
      </x:c>
      <x:c r="X167" t="str">
        <x:v>Medium</x:v>
      </x:c>
      <x:c r="Y16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68">
      <x:c r="A168" t="str">
        <x:v>797bbd12-75ce-5096-9f93-f1c2fd4218a3</x:v>
      </x:c>
      <x:c r="B168" t="str">
        <x:v>CDA-CODE-548</x:v>
      </x:c>
      <x:c r="C168" t="str">
        <x:v>548</x:v>
      </x:c>
      <x:c r="D168" t="str">
        <x:v>Raw umber</x:v>
      </x:c>
      <x:c r="E168" t="str">
        <x:v>生褐色</x:v>
      </x:c>
      <x:c r="F168" t="str">
        <x:v>ローアンバー</x:v>
      </x:c>
      <x:c r="G168" t="str">
        <x:v>Raw umber | Umber</x:v>
      </x:c>
      <x:c r="H168" t="str">
        <x:v>生褐色 | 褐土色</x:v>
      </x:c>
      <x:c r="I168" t="str">
        <x:v>ジェニュインアンバー | ローアンバー</x:v>
      </x:c>
      <x:c r="J168" t="n">
        <x:v>3</x:v>
      </x:c>
      <x:c r="K168" t="str">
        <x:v>LUMINANCE 6901 | MUSEUM Aquarelle | NEOART 6901</x:v>
      </x:c>
      <x:c r="L168" t="str">
        <x:v>PR101/PY42/PBk11 | PBk11/PY42 | PBk11/PY42/PR101</x:v>
      </x:c>
      <x:c r="M168" s="141" t="str">
        <x:v>#A1815C</x:v>
      </x:c>
      <x:c r="N168" t="n">
        <x:v>161</x:v>
      </x:c>
      <x:c r="O168" t="n">
        <x:v>129</x:v>
      </x:c>
      <x:c r="P168" t="n">
        <x:v>92</x:v>
      </x:c>
      <x:c r="Q168" t="n">
        <x:v>56.14</x:v>
      </x:c>
      <x:c r="R168" t="n">
        <x:v>7.18</x:v>
      </x:c>
      <x:c r="S168" t="n">
        <x:v>24.71</x:v>
      </x:c>
      <x:c r="T168" t="n">
        <x:v>30.39</x:v>
      </x:c>
      <x:c r="U168" t="str">
        <x:v>#000000</x:v>
      </x:c>
      <x:c r="V168" t="n">
        <x:v>5.81</x:v>
      </x:c>
      <x:c r="W168" t="n">
        <x:v>0.240503</x:v>
      </x:c>
      <x:c r="X168" t="str">
        <x:v>Low</x:v>
      </x:c>
      <x:c r="Y168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69">
      <x:c r="A169" t="str">
        <x:v>078c0ed9-39a1-5954-addf-1a9c9f9d078e</x:v>
      </x:c>
      <x:c r="B169" t="str">
        <x:v>CDA-CODE-560</x:v>
      </x:c>
      <x:c r="C169" t="str">
        <x:v>560</x:v>
      </x:c>
      <x:c r="D169" t="str">
        <x:v>Light Cadmium Red</x:v>
      </x:c>
      <x:c r="E169" t="str">
        <x:v>淺鎘紅</x:v>
      </x:c>
      <x:c r="F169" t="str">
        <x:v>ライトカドミウムレッド</x:v>
      </x:c>
      <x:c r="G169" t="str">
        <x:v>Light Cadmium Red | Light cadmium red</x:v>
      </x:c>
      <x:c r="H169" t="str">
        <x:v>淺鎘紅</x:v>
      </x:c>
      <x:c r="I169" t="str">
        <x:v>ライトカドミウムレッド</x:v>
      </x:c>
      <x:c r="J169" t="n">
        <x:v>2</x:v>
      </x:c>
      <x:c r="K169" t="str">
        <x:v>MUSEUM Aquarelle | NEOCOLOR II Aquarelle</x:v>
      </x:c>
      <x:c r="L169" t="str">
        <x:v>PR188</x:v>
      </x:c>
      <x:c r="M169" t="str">
        <x:v>#F0918B</x:v>
      </x:c>
      <x:c r="N169" t="n">
        <x:v>240</x:v>
      </x:c>
      <x:c r="O169" t="n">
        <x:v>145</x:v>
      </x:c>
      <x:c r="P169" t="n">
        <x:v>139</x:v>
      </x:c>
      <x:c r="Q169" t="n">
        <x:v>69.93</x:v>
      </x:c>
      <x:c r="R169" t="n">
        <x:v>35.19</x:v>
      </x:c>
      <x:c r="S169" t="n">
        <x:v>18.6</x:v>
      </x:c>
      <x:c r="T169" t="n">
        <x:v>76.49</x:v>
      </x:c>
      <x:c r="U169" t="str">
        <x:v>#000000</x:v>
      </x:c>
      <x:c r="V169" t="n">
        <x:v>9.13</x:v>
      </x:c>
      <x:c r="W169" t="n">
        <x:v>0.406401</x:v>
      </x:c>
      <x:c r="X169" t="str">
        <x:v>Low</x:v>
      </x:c>
      <x:c r="Y169" t="str">
        <x:v>Average of official PDF swatch samples across distinct source palettes; not a physical colour standard.</x:v>
      </x:c>
    </x:row>
    <x:row r="170">
      <x:c r="A170" t="str">
        <x:v>fcb6aaca-0994-5002-ac62-765b4a7bc21b</x:v>
      </x:c>
      <x:c r="B170" t="str">
        <x:v>CDA-CODE-571</x:v>
      </x:c>
      <x:c r="C170" t="str">
        <x:v>571</x:v>
      </x:c>
      <x:c r="D170" t="str">
        <x:v>Anthraquinoid pink</x:v>
      </x:c>
      <x:c r="E170" t="str">
        <x:v>蒽醌粉紅</x:v>
      </x:c>
      <x:c r="F170" t="str">
        <x:v>アントラキノイドピンク</x:v>
      </x:c>
      <x:c r="G170" t="str">
        <x:v>Anthraquinoid pink</x:v>
      </x:c>
      <x:c r="H170" t="str">
        <x:v>蒽醌粉紅</x:v>
      </x:c>
      <x:c r="I170" t="str">
        <x:v>アントラキノイドピンク | アントラキノンピンク</x:v>
      </x:c>
      <x:c r="J170" t="n">
        <x:v>4</x:v>
      </x:c>
      <x:c r="K170" t="str">
        <x:v>LUMINANCE 6901 | MUSEUM Aquarelle | PASTEL PENCILS | PASTEL CUBES</x:v>
      </x:c>
      <x:c r="L170" t="str">
        <x:v>PR168</x:v>
      </x:c>
      <x:c r="M170" t="str">
        <x:v>#E5827D</x:v>
      </x:c>
      <x:c r="N170" t="n">
        <x:v>229</x:v>
      </x:c>
      <x:c r="O170" t="n">
        <x:v>130</x:v>
      </x:c>
      <x:c r="P170" t="n">
        <x:v>125</x:v>
      </x:c>
      <x:c r="Q170" t="n">
        <x:v>65.05</x:v>
      </x:c>
      <x:c r="R170" t="n">
        <x:v>37.44</x:v>
      </x:c>
      <x:c r="S170" t="n">
        <x:v>19.49</x:v>
      </x:c>
      <x:c r="T170" t="n">
        <x:v>32.13</x:v>
      </x:c>
      <x:c r="U170" t="str">
        <x:v>#000000</x:v>
      </x:c>
      <x:c r="V170" t="n">
        <x:v>7.82</x:v>
      </x:c>
      <x:c r="W170" t="n">
        <x:v>0.341039</x:v>
      </x:c>
      <x:c r="X170" t="str">
        <x:v>Low</x:v>
      </x:c>
      <x:c r="Y170" t="str">
        <x:v>Average of official PDF swatch samples across distinct source palettes; not a physical colour standard.</x:v>
      </x:c>
    </x:row>
    <x:row r="171">
      <x:c r="A171" t="str">
        <x:v>0af77181-5001-50c2-bbb8-a392d6367b1a</x:v>
      </x:c>
      <x:c r="B171" t="str">
        <x:v>CDA-CODE-575</x:v>
      </x:c>
      <x:c r="C171" t="str">
        <x:v>575</x:v>
      </x:c>
      <x:c r="D171" t="str">
        <x:v>Carmine lake</x:v>
      </x:c>
      <x:c r="E171" t="str">
        <x:v>胭脂紅色淀</x:v>
      </x:c>
      <x:c r="F171" t="str">
        <x:v>カーマインレーキ</x:v>
      </x:c>
      <x:c r="G171" t="str">
        <x:v>Carmine Lake | Carmine lake</x:v>
      </x:c>
      <x:c r="H171" t="str">
        <x:v>胭脂紅色淀</x:v>
      </x:c>
      <x:c r="I171" t="str">
        <x:v>カーマインレーキ</x:v>
      </x:c>
      <x:c r="J171" t="n">
        <x:v>2</x:v>
      </x:c>
      <x:c r="K171" t="str">
        <x:v>LUMINANCE 6901 | MUSEUM Aquarelle</x:v>
      </x:c>
      <x:c r="L171" t="str">
        <x:v>PR179/PBk7</x:v>
      </x:c>
      <x:c r="M171" t="str">
        <x:v>#623032</x:v>
      </x:c>
      <x:c r="N171" t="n">
        <x:v>98</x:v>
      </x:c>
      <x:c r="O171" t="n">
        <x:v>48</x:v>
      </x:c>
      <x:c r="P171" t="n">
        <x:v>50</x:v>
      </x:c>
      <x:c r="Q171" t="n">
        <x:v>26.57</x:v>
      </x:c>
      <x:c r="R171" t="n">
        <x:v>22.76</x:v>
      </x:c>
      <x:c r="S171" t="n">
        <x:v>9.08</x:v>
      </x:c>
      <x:c r="T171" t="n">
        <x:v>18.77</x:v>
      </x:c>
      <x:c r="U171" t="str">
        <x:v>#FFFFFF</x:v>
      </x:c>
      <x:c r="V171" t="n">
        <x:v>10.56</x:v>
      </x:c>
      <x:c r="W171" t="n">
        <x:v>0.049409</x:v>
      </x:c>
      <x:c r="X171" t="str">
        <x:v>Medium</x:v>
      </x:c>
      <x:c r="Y171" t="str">
        <x:v>Average of official PDF swatch samples across distinct source palettes; not a physical colour standard.</x:v>
      </x:c>
    </x:row>
    <x:row r="172">
      <x:c r="A172" t="str">
        <x:v>a6ba056d-6724-54ba-b405-10d9de67b4a4</x:v>
      </x:c>
      <x:c r="B172" t="str">
        <x:v>CDA-CODE-580</x:v>
      </x:c>
      <x:c r="C172" t="str">
        <x:v>580</x:v>
      </x:c>
      <x:c r="D172" t="str">
        <x:v>Anthraquinone carmine</x:v>
      </x:c>
      <x:c r="E172" t="str">
        <x:v>蒽醌胭脂紅</x:v>
      </x:c>
      <x:c r="F172" t="str">
        <x:v>アントラキノンカーマイン</x:v>
      </x:c>
      <x:c r="G172" t="str">
        <x:v>Anthraquinone carmine</x:v>
      </x:c>
      <x:c r="H172" t="str">
        <x:v>蒽醌胭脂紅</x:v>
      </x:c>
      <x:c r="I172" t="str">
        <x:v>アントラキノンカーマイン</x:v>
      </x:c>
      <x:c r="J172" t="n">
        <x:v>2</x:v>
      </x:c>
      <x:c r="K172" t="str">
        <x:v>LUMINANCE 6901 | NEOART 6901</x:v>
      </x:c>
      <x:c r="L172" t="str">
        <x:v>PR177</x:v>
      </x:c>
      <x:c r="M172" s="143" t="str">
        <x:v>#C62B41</x:v>
      </x:c>
      <x:c r="N172" t="n">
        <x:v>198</x:v>
      </x:c>
      <x:c r="O172" t="n">
        <x:v>43</x:v>
      </x:c>
      <x:c r="P172" t="n">
        <x:v>65</x:v>
      </x:c>
      <x:c r="Q172" t="n">
        <x:v>44.4</x:v>
      </x:c>
      <x:c r="R172" t="n">
        <x:v>60.47</x:v>
      </x:c>
      <x:c r="S172" t="n">
        <x:v>26.37</x:v>
      </x:c>
      <x:c r="T172" t="n">
        <x:v>23.18</x:v>
      </x:c>
      <x:c r="U172" t="str">
        <x:v>#FFFFFF</x:v>
      </x:c>
      <x:c r="V172" t="n">
        <x:v>5.49</x:v>
      </x:c>
      <x:c r="W172" t="n">
        <x:v>0.141152</x:v>
      </x:c>
      <x:c r="X172" t="str">
        <x:v>Low</x:v>
      </x:c>
      <x:c r="Y17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73">
      <x:c r="A173" t="str">
        <x:v>d612d7ac-3f3b-585f-921d-ba2432829883</x:v>
      </x:c>
      <x:c r="B173" t="str">
        <x:v>CDA-CODE-581</x:v>
      </x:c>
      <x:c r="C173" t="str">
        <x:v>581</x:v>
      </x:c>
      <x:c r="D173" t="str">
        <x:v>Pink white</x:v>
      </x:c>
      <x:c r="E173" t="str">
        <x:v>粉白色</x:v>
      </x:c>
      <x:c r="F173" t="str">
        <x:v>ピンクホワイト</x:v>
      </x:c>
      <x:c r="G173" t="str">
        <x:v>Pink white</x:v>
      </x:c>
      <x:c r="H173" t="str">
        <x:v>粉白色</x:v>
      </x:c>
      <x:c r="I173" t="str">
        <x:v>ピンクホワイト</x:v>
      </x:c>
      <x:c r="J173" t="n">
        <x:v>3</x:v>
      </x:c>
      <x:c r="K173" t="str">
        <x:v>LUMINANCE 6901 | PASTEL PENCILS | PASTEL CUBES</x:v>
      </x:c>
      <x:c r="L173" t="str">
        <x:v>PR101 | PW6/PR101</x:v>
      </x:c>
      <x:c r="M173" t="str">
        <x:v>#DBCFC7</x:v>
      </x:c>
      <x:c r="N173" t="n">
        <x:v>219</x:v>
      </x:c>
      <x:c r="O173" t="n">
        <x:v>207</x:v>
      </x:c>
      <x:c r="P173" t="n">
        <x:v>199</x:v>
      </x:c>
      <x:c r="Q173" t="n">
        <x:v>83.87</x:v>
      </x:c>
      <x:c r="R173" t="n">
        <x:v>2.78</x:v>
      </x:c>
      <x:c r="S173" t="n">
        <x:v>5.46</x:v>
      </x:c>
      <x:c r="T173" t="n">
        <x:v>16.4</x:v>
      </x:c>
      <x:c r="U173" t="str">
        <x:v>#000000</x:v>
      </x:c>
      <x:c r="V173" t="n">
        <x:v>13.76</x:v>
      </x:c>
      <x:c r="W173" t="n">
        <x:v>0.638092</x:v>
      </x:c>
      <x:c r="X173" t="str">
        <x:v>Medium</x:v>
      </x:c>
      <x:c r="Y173" t="str">
        <x:v>Average of official PDF swatch samples across distinct source palettes; not a physical colour standard.</x:v>
      </x:c>
    </x:row>
    <x:row r="174">
      <x:c r="A174" t="str">
        <x:v>9a8d0b77-a905-5609-be66-ec6a25cc2c83</x:v>
      </x:c>
      <x:c r="B174" t="str">
        <x:v>CDA-CODE-582</x:v>
      </x:c>
      <x:c r="C174" t="str">
        <x:v>582</x:v>
      </x:c>
      <x:c r="D174" t="str">
        <x:v>Portrait pink</x:v>
      </x:c>
      <x:c r="E174" t="str">
        <x:v>肖像粉紅</x:v>
      </x:c>
      <x:c r="F174" t="str">
        <x:v>ポートレートピンク</x:v>
      </x:c>
      <x:c r="G174" t="str">
        <x:v>Portrait pink</x:v>
      </x:c>
      <x:c r="H174" t="str">
        <x:v>肖像粉紅</x:v>
      </x:c>
      <x:c r="I174" t="str">
        <x:v>ポートレートピンク</x:v>
      </x:c>
      <x:c r="J174" t="n">
        <x:v>2</x:v>
      </x:c>
      <x:c r="K174" t="str">
        <x:v>PASTEL PENCILS | PASTEL CUBES</x:v>
      </x:c>
      <x:c r="L174" t="str">
        <x:v>PR112</x:v>
      </x:c>
      <x:c r="M174" t="str">
        <x:v>#C95462</x:v>
      </x:c>
      <x:c r="N174" t="n">
        <x:v>201</x:v>
      </x:c>
      <x:c r="O174" t="n">
        <x:v>84</x:v>
      </x:c>
      <x:c r="P174" t="n">
        <x:v>98</x:v>
      </x:c>
      <x:c r="Q174" t="n">
        <x:v>51.43</x:v>
      </x:c>
      <x:c r="R174" t="n">
        <x:v>47.74</x:v>
      </x:c>
      <x:c r="S174" t="n">
        <x:v>15.82</x:v>
      </x:c>
      <x:c r="T174" t="n">
        <x:v>0</x:v>
      </x:c>
      <x:c r="U174" t="str">
        <x:v>#000000</x:v>
      </x:c>
      <x:c r="V174" t="n">
        <x:v>4.93</x:v>
      </x:c>
      <x:c r="W174" t="n">
        <x:v>0.1964</x:v>
      </x:c>
      <x:c r="X174" t="str">
        <x:v>High</x:v>
      </x:c>
      <x:c r="Y174" t="str">
        <x:v>Average of official PDF swatch samples across distinct source palettes; not a physical colour standard.</x:v>
      </x:c>
    </x:row>
    <x:row r="175">
      <x:c r="A175" t="str">
        <x:v>5780f78b-af0e-59ae-80af-4c20afd80775</x:v>
      </x:c>
      <x:c r="B175" t="str">
        <x:v>CDA-CODE-583</x:v>
      </x:c>
      <x:c r="C175" t="str">
        <x:v>583</x:v>
      </x:c>
      <x:c r="D175" t="str">
        <x:v>Violet pink</x:v>
      </x:c>
      <x:c r="E175" t="str">
        <x:v>紫粉紅</x:v>
      </x:c>
      <x:c r="F175" t="str">
        <x:v>バイオレットピンク</x:v>
      </x:c>
      <x:c r="G175" t="str">
        <x:v>Violet Pink | Violet pink</x:v>
      </x:c>
      <x:c r="H175" t="str">
        <x:v>紫粉紅</x:v>
      </x:c>
      <x:c r="I175" t="str">
        <x:v>バイオレットピンク</x:v>
      </x:c>
      <x:c r="J175" t="n">
        <x:v>5</x:v>
      </x:c>
      <x:c r="K175" t="str">
        <x:v>LUMINANCE 6901 | MUSEUM Aquarelle | PASTEL PENCILS | PASTEL CUBES | NEOART 6901</x:v>
      </x:c>
      <x:c r="L175" t="str">
        <x:v>PR101/PR168/PO82/PR122/PY42/PBr7/PBk7/PBk11 | PR101/PR168/PO82/PR122/PBk11/PY42/PBr7/PBk7 | PR101/PR168/PO82/PR122/PBk11/PY42/PBk7/PBr7</x:v>
      </x:c>
      <x:c r="M175" s="145" t="str">
        <x:v>#C98B91</x:v>
      </x:c>
      <x:c r="N175" t="n">
        <x:v>201</x:v>
      </x:c>
      <x:c r="O175" t="n">
        <x:v>139</x:v>
      </x:c>
      <x:c r="P175" t="n">
        <x:v>145</x:v>
      </x:c>
      <x:c r="Q175" t="n">
        <x:v>64.1</x:v>
      </x:c>
      <x:c r="R175" t="n">
        <x:v>24.46</x:v>
      </x:c>
      <x:c r="S175" t="n">
        <x:v>6.38</x:v>
      </x:c>
      <x:c r="T175" t="n">
        <x:v>23.95</x:v>
      </x:c>
      <x:c r="U175" t="str">
        <x:v>#000000</x:v>
      </x:c>
      <x:c r="V175" t="n">
        <x:v>7.59</x:v>
      </x:c>
      <x:c r="W175" t="n">
        <x:v>0.329271</x:v>
      </x:c>
      <x:c r="X175" t="str">
        <x:v>Low</x:v>
      </x:c>
      <x:c r="Y175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76">
      <x:c r="A176" t="str">
        <x:v>191801bc-d7f5-59fc-95eb-bde93a74e9ef</x:v>
      </x:c>
      <x:c r="B176" t="str">
        <x:v>CDA-CODE-585</x:v>
      </x:c>
      <x:c r="C176" t="str">
        <x:v>585</x:v>
      </x:c>
      <x:c r="D176" t="str">
        <x:v>Perylene brown</x:v>
      </x:c>
      <x:c r="E176" t="str">
        <x:v>苝棕</x:v>
      </x:c>
      <x:c r="F176" t="str">
        <x:v>ペリレンブラウン</x:v>
      </x:c>
      <x:c r="G176" t="str">
        <x:v>Perylene brown</x:v>
      </x:c>
      <x:c r="H176" t="str">
        <x:v>苝棕</x:v>
      </x:c>
      <x:c r="I176" t="str">
        <x:v>ペリレンブラウン</x:v>
      </x:c>
      <x:c r="J176" t="n">
        <x:v>4</x:v>
      </x:c>
      <x:c r="K176" t="str">
        <x:v>LUMINANCE 6901 | PASTEL PENCILS | PASTEL CUBES | NEOART 6901</x:v>
      </x:c>
      <x:c r="L176" t="str">
        <x:v>PR179</x:v>
      </x:c>
      <x:c r="M176" s="147" t="str">
        <x:v>#9F4543</x:v>
      </x:c>
      <x:c r="N176" t="n">
        <x:v>159</x:v>
      </x:c>
      <x:c r="O176" t="n">
        <x:v>69</x:v>
      </x:c>
      <x:c r="P176" t="n">
        <x:v>67</x:v>
      </x:c>
      <x:c r="Q176" t="n">
        <x:v>41.27</x:v>
      </x:c>
      <x:c r="R176" t="n">
        <x:v>37.27</x:v>
      </x:c>
      <x:c r="S176" t="n">
        <x:v>19.73</x:v>
      </x:c>
      <x:c r="T176" t="n">
        <x:v>18.03</x:v>
      </x:c>
      <x:c r="U176" t="str">
        <x:v>#FFFFFF</x:v>
      </x:c>
      <x:c r="V176" t="n">
        <x:v>6.16</x:v>
      </x:c>
      <x:c r="W176" t="n">
        <x:v>0.120324</x:v>
      </x:c>
      <x:c r="X176" t="str">
        <x:v>Medium</x:v>
      </x:c>
      <x:c r="Y17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77">
      <x:c r="A177" t="str">
        <x:v>1c995da1-1f47-5d3b-a7bd-3dab168c278f</x:v>
      </x:c>
      <x:c r="B177" t="str">
        <x:v>CDA-CODE-589</x:v>
      </x:c>
      <x:c r="C177" t="str">
        <x:v>589</x:v>
      </x:c>
      <x:c r="D177" t="str">
        <x:v>Crimson alizarin (hue)</x:v>
      </x:c>
      <x:c r="E177" t="str">
        <x:v>茜素深紅（色相）</x:v>
      </x:c>
      <x:c r="F177" t="str">
        <x:v>アリザリンクリムゾン（ヒュー）</x:v>
      </x:c>
      <x:c r="G177" t="str">
        <x:v>Crimson alizarin (hue)</x:v>
      </x:c>
      <x:c r="H177" t="str">
        <x:v>茜素深紅（色相）</x:v>
      </x:c>
      <x:c r="I177" t="str">
        <x:v>アリザリンクリムゾン（ヒュー）</x:v>
      </x:c>
      <x:c r="J177" t="n">
        <x:v>2</x:v>
      </x:c>
      <x:c r="K177" t="str">
        <x:v>LUMINANCE 6901 | NEOCOLOR II Aquarelle</x:v>
      </x:c>
      <x:c r="L177" t="str">
        <x:v>PR178/PV19</x:v>
      </x:c>
      <x:c r="M177" t="str">
        <x:v>#C16366</x:v>
      </x:c>
      <x:c r="N177" t="n">
        <x:v>193</x:v>
      </x:c>
      <x:c r="O177" t="n">
        <x:v>99</x:v>
      </x:c>
      <x:c r="P177" t="n">
        <x:v>102</x:v>
      </x:c>
      <x:c r="Q177" t="n">
        <x:v>53.19</x:v>
      </x:c>
      <x:c r="R177" t="n">
        <x:v>37.8</x:v>
      </x:c>
      <x:c r="S177" t="n">
        <x:v>15.67</x:v>
      </x:c>
      <x:c r="T177" t="n">
        <x:v>36.06</x:v>
      </x:c>
      <x:c r="U177" t="str">
        <x:v>#000000</x:v>
      </x:c>
      <x:c r="V177" t="n">
        <x:v>5.24</x:v>
      </x:c>
      <x:c r="W177" t="n">
        <x:v>0.212204</x:v>
      </x:c>
      <x:c r="X177" t="str">
        <x:v>Low</x:v>
      </x:c>
      <x:c r="Y177" t="str">
        <x:v>Average of official PDF swatch samples across distinct source palettes; not a physical colour standard.</x:v>
      </x:c>
    </x:row>
    <x:row r="178">
      <x:c r="A178" t="str">
        <x:v>047298da-6d09-523e-9069-4047b99c7147</x:v>
      </x:c>
      <x:c r="B178" t="str">
        <x:v>CDA-CODE-599</x:v>
      </x:c>
      <x:c r="C178" t="str">
        <x:v>599</x:v>
      </x:c>
      <x:c r="D178" t="str">
        <x:v>Crimson aubergine</x:v>
      </x:c>
      <x:c r="E178" t="str">
        <x:v>深紅茄紫</x:v>
      </x:c>
      <x:c r="F178" t="str">
        <x:v>クリムゾンオーベルジーヌ</x:v>
      </x:c>
      <x:c r="G178" t="str">
        <x:v>Crimson aubergine</x:v>
      </x:c>
      <x:c r="H178" t="str">
        <x:v>深紅茄紫</x:v>
      </x:c>
      <x:c r="I178" t="str">
        <x:v>クリムソンオーバージーン | クリムゾンオーベルジーヌ</x:v>
      </x:c>
      <x:c r="J178" t="n">
        <x:v>2</x:v>
      </x:c>
      <x:c r="K178" t="str">
        <x:v>LUMINANCE 6901 | MUSEUM Aquarelle</x:v>
      </x:c>
      <x:c r="L178" t="str">
        <x:v>PR179/PV19/PB15</x:v>
      </x:c>
      <x:c r="M178" t="str">
        <x:v>#A34250</x:v>
      </x:c>
      <x:c r="N178" t="n">
        <x:v>163</x:v>
      </x:c>
      <x:c r="O178" t="n">
        <x:v>66</x:v>
      </x:c>
      <x:c r="P178" t="n">
        <x:v>80</x:v>
      </x:c>
      <x:c r="Q178" t="n">
        <x:v>41.63</x:v>
      </x:c>
      <x:c r="R178" t="n">
        <x:v>41.36</x:v>
      </x:c>
      <x:c r="S178" t="n">
        <x:v>12.31</x:v>
      </x:c>
      <x:c r="T178" t="n">
        <x:v>23.55</x:v>
      </x:c>
      <x:c r="U178" t="str">
        <x:v>#FFFFFF</x:v>
      </x:c>
      <x:c r="V178" t="n">
        <x:v>6.08</x:v>
      </x:c>
      <x:c r="W178" t="n">
        <x:v>0.122621</x:v>
      </x:c>
      <x:c r="X178" t="str">
        <x:v>Medium</x:v>
      </x:c>
      <x:c r="Y178" t="str">
        <x:v>Average of official PDF swatch samples across distinct source palettes; not a physical colour standard.</x:v>
      </x:c>
    </x:row>
    <x:row r="179">
      <x:c r="A179" t="str">
        <x:v>17c766ce-3e12-5e1f-9fb6-f9f4c0259413</x:v>
      </x:c>
      <x:c r="B179" t="str">
        <x:v>CDA-CODE-620</x:v>
      </x:c>
      <x:c r="C179" t="str">
        <x:v>620</x:v>
      </x:c>
      <x:c r="D179" t="str">
        <x:v>Cobalt Violet</x:v>
      </x:c>
      <x:c r="E179" t="str">
        <x:v>鈷紫</x:v>
      </x:c>
      <x:c r="F179" t="str">
        <x:v>コバルトバイオレット</x:v>
      </x:c>
      <x:c r="G179" t="str">
        <x:v>Cobalt Violet</x:v>
      </x:c>
      <x:c r="H179" t="str">
        <x:v>鈷紫</x:v>
      </x:c>
      <x:c r="I179" t="str">
        <x:v>コバルトバイオレット</x:v>
      </x:c>
      <x:c r="J179" t="n">
        <x:v>2</x:v>
      </x:c>
      <x:c r="K179" t="str">
        <x:v>PASTEL PENCILS | PASTEL CUBES</x:v>
      </x:c>
      <x:c r="L179" t="str">
        <x:v>PV23/PB15/PB29</x:v>
      </x:c>
      <x:c r="M179" t="str">
        <x:v>#46377E</x:v>
      </x:c>
      <x:c r="N179" t="n">
        <x:v>70</x:v>
      </x:c>
      <x:c r="O179" t="n">
        <x:v>55</x:v>
      </x:c>
      <x:c r="P179" t="n">
        <x:v>126</x:v>
      </x:c>
      <x:c r="Q179" t="n">
        <x:v>28.22</x:v>
      </x:c>
      <x:c r="R179" t="n">
        <x:v>25.33</x:v>
      </x:c>
      <x:c r="S179" t="n">
        <x:v>-38.2</x:v>
      </x:c>
      <x:c r="T179" t="n">
        <x:v>0</x:v>
      </x:c>
      <x:c r="U179" t="str">
        <x:v>#FFFFFF</x:v>
      </x:c>
      <x:c r="V179" t="n">
        <x:v>9.96</x:v>
      </x:c>
      <x:c r="W179" t="n">
        <x:v>0.055408</x:v>
      </x:c>
      <x:c r="X179" t="str">
        <x:v>High</x:v>
      </x:c>
      <x:c r="Y179" t="str">
        <x:v>Average of official PDF swatch samples across distinct source palettes; not a physical colour standard.</x:v>
      </x:c>
    </x:row>
    <x:row r="180">
      <x:c r="A180" t="str">
        <x:v>57ee2f2c-cdf8-5267-a3a7-36efff5f2339</x:v>
      </x:c>
      <x:c r="B180" t="str">
        <x:v>CDA-CODE-630</x:v>
      </x:c>
      <x:c r="C180" t="str">
        <x:v>630</x:v>
      </x:c>
      <x:c r="D180" t="str">
        <x:v>Ultramarine violet</x:v>
      </x:c>
      <x:c r="E180" t="str">
        <x:v>群青紫</x:v>
      </x:c>
      <x:c r="F180" t="str">
        <x:v>ウルトラマリンバイオレット</x:v>
      </x:c>
      <x:c r="G180" t="str">
        <x:v>Ultramarine violet</x:v>
      </x:c>
      <x:c r="H180" t="str">
        <x:v>群青紫</x:v>
      </x:c>
      <x:c r="I180" t="str">
        <x:v>ウルトラマリンバイオレット</x:v>
      </x:c>
      <x:c r="J180" t="n">
        <x:v>2</x:v>
      </x:c>
      <x:c r="K180" t="str">
        <x:v>LUMINANCE 6901 | MUSEUM Aquarelle</x:v>
      </x:c>
      <x:c r="L180" t="str">
        <x:v>PV15</x:v>
      </x:c>
      <x:c r="M180" t="str">
        <x:v>#A4A2C8</x:v>
      </x:c>
      <x:c r="N180" t="n">
        <x:v>164</x:v>
      </x:c>
      <x:c r="O180" t="n">
        <x:v>162</x:v>
      </x:c>
      <x:c r="P180" t="n">
        <x:v>200</x:v>
      </x:c>
      <x:c r="Q180" t="n">
        <x:v>67.95</x:v>
      </x:c>
      <x:c r="R180" t="n">
        <x:v>8.59</x:v>
      </x:c>
      <x:c r="S180" t="n">
        <x:v>-19.15</x:v>
      </x:c>
      <x:c r="T180" t="n">
        <x:v>10.46</x:v>
      </x:c>
      <x:c r="U180" t="str">
        <x:v>#000000</x:v>
      </x:c>
      <x:c r="V180" t="n">
        <x:v>8.58</x:v>
      </x:c>
      <x:c r="W180" t="n">
        <x:v>0.379033</x:v>
      </x:c>
      <x:c r="X180" t="str">
        <x:v>Medium</x:v>
      </x:c>
      <x:c r="Y180" t="str">
        <x:v>Average of official PDF swatch samples across distinct source palettes; not a physical colour standard.</x:v>
      </x:c>
    </x:row>
    <x:row r="181">
      <x:c r="A181" t="str">
        <x:v>d2185fd9-b13b-589e-bb8f-dfdd477ef0bd</x:v>
      </x:c>
      <x:c r="B181" t="str">
        <x:v>CDA-CODE-631</x:v>
      </x:c>
      <x:c r="C181" t="str">
        <x:v>631</x:v>
      </x:c>
      <x:c r="D181" t="str">
        <x:v>Light ultramarine violet</x:v>
      </x:c>
      <x:c r="E181" t="str">
        <x:v>淺群青紫</x:v>
      </x:c>
      <x:c r="F181" t="str">
        <x:v>ライトウルトラマリンバイオレット</x:v>
      </x:c>
      <x:c r="G181" t="str">
        <x:v>Light ultramarine violet</x:v>
      </x:c>
      <x:c r="H181" t="str">
        <x:v>淺群青紫</x:v>
      </x:c>
      <x:c r="I181" t="str">
        <x:v>ライトウルトラマリンバイオレット</x:v>
      </x:c>
      <x:c r="J181" t="n">
        <x:v>2</x:v>
      </x:c>
      <x:c r="K181" t="str">
        <x:v>PASTEL PENCILS | PASTEL CUBES</x:v>
      </x:c>
      <x:c r="L181" t="str">
        <x:v>PV15</x:v>
      </x:c>
      <x:c r="M181" t="str">
        <x:v>#A095A7</x:v>
      </x:c>
      <x:c r="N181" t="n">
        <x:v>160</x:v>
      </x:c>
      <x:c r="O181" t="n">
        <x:v>149</x:v>
      </x:c>
      <x:c r="P181" t="n">
        <x:v>167</x:v>
      </x:c>
      <x:c r="Q181" t="n">
        <x:v>63.14</x:v>
      </x:c>
      <x:c r="R181" t="n">
        <x:v>7.49</x:v>
      </x:c>
      <x:c r="S181" t="n">
        <x:v>-7.95</x:v>
      </x:c>
      <x:c r="T181" t="n">
        <x:v>0</x:v>
      </x:c>
      <x:c r="U181" t="str">
        <x:v>#000000</x:v>
      </x:c>
      <x:c r="V181" t="n">
        <x:v>7.35</x:v>
      </x:c>
      <x:c r="W181" t="n">
        <x:v>0.317585</x:v>
      </x:c>
      <x:c r="X181" t="str">
        <x:v>High</x:v>
      </x:c>
      <x:c r="Y181" t="str">
        <x:v>Average of official PDF swatch samples across distinct source palettes; not a physical colour standard.</x:v>
      </x:c>
    </x:row>
    <x:row r="182">
      <x:c r="A182" t="str">
        <x:v>2eb95630-5bad-5fcf-bd5f-cba4f8aed753</x:v>
      </x:c>
      <x:c r="B182" t="str">
        <x:v>CDA-CODE-639</x:v>
      </x:c>
      <x:c r="C182" t="str">
        <x:v>639</x:v>
      </x:c>
      <x:c r="D182" t="str">
        <x:v>Dark indigo</x:v>
      </x:c>
      <x:c r="E182" t="str">
        <x:v>深靛藍</x:v>
      </x:c>
      <x:c r="F182" t="str">
        <x:v>ダークインディゴ</x:v>
      </x:c>
      <x:c r="G182" t="str">
        <x:v>Dark indigo</x:v>
      </x:c>
      <x:c r="H182" t="str">
        <x:v>深靛藍</x:v>
      </x:c>
      <x:c r="I182" t="str">
        <x:v>ダークインディゴ</x:v>
      </x:c>
      <x:c r="J182" t="n">
        <x:v>2</x:v>
      </x:c>
      <x:c r="K182" t="str">
        <x:v>LUMINANCE 6901 | NEOART 6901</x:v>
      </x:c>
      <x:c r="L182" t="str">
        <x:v>PB60/PR254</x:v>
      </x:c>
      <x:c r="M182" s="149" t="str">
        <x:v>#38343C</x:v>
      </x:c>
      <x:c r="N182" t="n">
        <x:v>56</x:v>
      </x:c>
      <x:c r="O182" t="n">
        <x:v>52</x:v>
      </x:c>
      <x:c r="P182" t="n">
        <x:v>60</x:v>
      </x:c>
      <x:c r="Q182" t="n">
        <x:v>22.38</x:v>
      </x:c>
      <x:c r="R182" t="n">
        <x:v>3.62</x:v>
      </x:c>
      <x:c r="S182" t="n">
        <x:v>-4.37</x:v>
      </x:c>
      <x:c r="T182" t="n">
        <x:v>17.73</x:v>
      </x:c>
      <x:c r="U182" t="str">
        <x:v>#FFFFFF</x:v>
      </x:c>
      <x:c r="V182" t="n">
        <x:v>12.18</x:v>
      </x:c>
      <x:c r="W182" t="n">
        <x:v>0.03623</x:v>
      </x:c>
      <x:c r="X182" t="str">
        <x:v>Medium</x:v>
      </x:c>
      <x:c r="Y182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83">
      <x:c r="A183" t="str">
        <x:v>937144bd-6167-53c7-b4e7-f2982d1f341d</x:v>
      </x:c>
      <x:c r="B183" t="str">
        <x:v>CDA-CODE-640</x:v>
      </x:c>
      <x:c r="C183" t="str">
        <x:v>640</x:v>
      </x:c>
      <x:c r="D183" t="str">
        <x:v>Dark Ultramarine</x:v>
      </x:c>
      <x:c r="E183" t="str">
        <x:v>深群青</x:v>
      </x:c>
      <x:c r="F183" t="str">
        <x:v>ダークウルトラマリン</x:v>
      </x:c>
      <x:c r="G183" t="str">
        <x:v>Dark Ultramarine</x:v>
      </x:c>
      <x:c r="H183" t="str">
        <x:v>深群青</x:v>
      </x:c>
      <x:c r="I183" t="str">
        <x:v>ダークウルトラマリン</x:v>
      </x:c>
      <x:c r="J183" t="n">
        <x:v>1</x:v>
      </x:c>
      <x:c r="K183" t="str">
        <x:v>MUSEUM Aquarelle</x:v>
      </x:c>
      <x:c r="L183" t="str">
        <x:v>PB29/PB1</x:v>
      </x:c>
      <x:c r="M183" t="str">
        <x:v>#0B6CB1</x:v>
      </x:c>
      <x:c r="N183" t="n">
        <x:v>11</x:v>
      </x:c>
      <x:c r="O183" t="n">
        <x:v>108</x:v>
      </x:c>
      <x:c r="P183" t="n">
        <x:v>177</x:v>
      </x:c>
      <x:c r="Q183" t="n">
        <x:v>44.19</x:v>
      </x:c>
      <x:c r="R183" t="n">
        <x:v>1.01</x:v>
      </x:c>
      <x:c r="S183" t="n">
        <x:v>-43.61</x:v>
      </x:c>
      <x:c r="T183" t="n">
        <x:v>0</x:v>
      </x:c>
      <x:c r="U183" t="str">
        <x:v>#FFFFFF</x:v>
      </x:c>
      <x:c r="V183" t="n">
        <x:v>5.53</x:v>
      </x:c>
      <x:c r="W183" t="n">
        <x:v>0.139706</x:v>
      </x:c>
      <x:c r="X183" t="str">
        <x:v>High</x:v>
      </x:c>
      <x:c r="Y183" t="str">
        <x:v>Average of official PDF swatch samples across distinct source palettes; not a physical colour standard.</x:v>
      </x:c>
    </x:row>
    <x:row r="184">
      <x:c r="A184" t="str">
        <x:v>d4e32d9d-da85-5b30-afb8-7868d3b5cf73</x:v>
      </x:c>
      <x:c r="B184" t="str">
        <x:v>CDA-CODE-649</x:v>
      </x:c>
      <x:c r="C184" t="str">
        <x:v>649</x:v>
      </x:c>
      <x:c r="D184" t="str">
        <x:v>Indanthrone blue</x:v>
      </x:c>
      <x:c r="E184" t="str">
        <x:v>陰丹酮藍</x:v>
      </x:c>
      <x:c r="F184" t="str">
        <x:v>インダンスロンブルー</x:v>
      </x:c>
      <x:c r="G184" t="str">
        <x:v>Indanthrone blue</x:v>
      </x:c>
      <x:c r="H184" t="str">
        <x:v>陰丹酮藍</x:v>
      </x:c>
      <x:c r="I184" t="str">
        <x:v>インダンスロンブルー</x:v>
      </x:c>
      <x:c r="J184" t="n">
        <x:v>1</x:v>
      </x:c>
      <x:c r="K184" t="str">
        <x:v>LUMINANCE 6901</x:v>
      </x:c>
      <x:c r="L184" t="str">
        <x:v>PB60</x:v>
      </x:c>
      <x:c r="M184" t="str">
        <x:v>#1B233B</x:v>
      </x:c>
      <x:c r="N184" t="n">
        <x:v>27</x:v>
      </x:c>
      <x:c r="O184" t="n">
        <x:v>35</x:v>
      </x:c>
      <x:c r="P184" t="n">
        <x:v>59</x:v>
      </x:c>
      <x:c r="Q184" t="n">
        <x:v>14.12</x:v>
      </x:c>
      <x:c r="R184" t="n">
        <x:v>4.48</x:v>
      </x:c>
      <x:c r="S184" t="n">
        <x:v>-16.58</x:v>
      </x:c>
      <x:c r="T184" t="n">
        <x:v>0</x:v>
      </x:c>
      <x:c r="U184" t="str">
        <x:v>#FFFFFF</x:v>
      </x:c>
      <x:c r="V184" t="n">
        <x:v>15.55</x:v>
      </x:c>
      <x:c r="W184" t="n">
        <x:v>0.017508</x:v>
      </x:c>
      <x:c r="X184" t="str">
        <x:v>High</x:v>
      </x:c>
      <x:c r="Y184" t="str">
        <x:v>Average of official PDF swatch samples across distinct source palettes; not a physical colour standard.</x:v>
      </x:c>
    </x:row>
    <x:row r="185">
      <x:c r="A185" t="str">
        <x:v>60575496-4bf3-561c-b9db-74f11cbfa728</x:v>
      </x:c>
      <x:c r="B185" t="str">
        <x:v>CDA-CODE-660</x:v>
      </x:c>
      <x:c r="C185" t="str">
        <x:v>660</x:v>
      </x:c>
      <x:c r="D185" t="str">
        <x:v>Cobalt blue</x:v>
      </x:c>
      <x:c r="E185" t="str">
        <x:v>鈷藍</x:v>
      </x:c>
      <x:c r="F185" t="str">
        <x:v>コバルトブルー</x:v>
      </x:c>
      <x:c r="G185" t="str">
        <x:v>Cobalt blue | Middle Cobalt Blue</x:v>
      </x:c>
      <x:c r="H185" t="str">
        <x:v>中鈷藍 | 鈷藍</x:v>
      </x:c>
      <x:c r="I185" t="str">
        <x:v>コバルトブルー | ミドルコバルトブルー</x:v>
      </x:c>
      <x:c r="J185" t="n">
        <x:v>2</x:v>
      </x:c>
      <x:c r="K185" t="str">
        <x:v>LUMINANCE 6901 | MUSEUM Aquarelle</x:v>
      </x:c>
      <x:c r="L185" t="str">
        <x:v>PB15/PB29</x:v>
      </x:c>
      <x:c r="M185" t="str">
        <x:v>#2891CA</x:v>
      </x:c>
      <x:c r="N185" t="n">
        <x:v>40</x:v>
      </x:c>
      <x:c r="O185" t="n">
        <x:v>145</x:v>
      </x:c>
      <x:c r="P185" t="n">
        <x:v>202</x:v>
      </x:c>
      <x:c r="Q185" t="n">
        <x:v>57.04</x:v>
      </x:c>
      <x:c r="R185" t="n">
        <x:v>-9.44</x:v>
      </x:c>
      <x:c r="S185" t="n">
        <x:v>-37.62</x:v>
      </x:c>
      <x:c r="T185" t="n">
        <x:v>22.92</x:v>
      </x:c>
      <x:c r="U185" t="str">
        <x:v>#000000</x:v>
      </x:c>
      <x:c r="V185" t="n">
        <x:v>5.99</x:v>
      </x:c>
      <x:c r="W185" t="n">
        <x:v>0.249662</x:v>
      </x:c>
      <x:c r="X185" t="str">
        <x:v>Medium</x:v>
      </x:c>
      <x:c r="Y185" t="str">
        <x:v>Average of official PDF swatch samples across distinct source palettes; not a physical colour standard.</x:v>
      </x:c>
    </x:row>
    <x:row r="186">
      <x:c r="A186" t="str">
        <x:v>ae9ade29-b330-52ae-9360-9950a169fd51</x:v>
      </x:c>
      <x:c r="B186" t="str">
        <x:v>CDA-CODE-661</x:v>
      </x:c>
      <x:c r="C186" t="str">
        <x:v>661</x:v>
      </x:c>
      <x:c r="D186" t="str">
        <x:v>Cobalt blue 5%</x:v>
      </x:c>
      <x:c r="E186" t="str">
        <x:v>鈷藍 5%</x:v>
      </x:c>
      <x:c r="F186" t="str">
        <x:v>コバルトブルー 5%</x:v>
      </x:c>
      <x:c r="G186" t="str">
        <x:v>Cobalt blue 5% | Light cobalt blue</x:v>
      </x:c>
      <x:c r="H186" t="str">
        <x:v>淺鈷藍 | 鈷藍 5%</x:v>
      </x:c>
      <x:c r="I186" t="str">
        <x:v>コバルトブルー 5% | ライトコバルトブルー</x:v>
      </x:c>
      <x:c r="J186" t="n">
        <x:v>6</x:v>
      </x:c>
      <x:c r="K186" t="str">
        <x:v>LUMINANCE 6901 | MUSEUM Aquarelle | NEOCOLOR II Aquarelle | PASTEL PENCILS | PASTEL CUBES | NEOART 6901</x:v>
      </x:c>
      <x:c r="L186" t="str">
        <x:v>PB28 | PB28/PW6</x:v>
      </x:c>
      <x:c r="M186" s="151" t="str">
        <x:v>#B9D6E9</x:v>
      </x:c>
      <x:c r="N186" t="n">
        <x:v>185</x:v>
      </x:c>
      <x:c r="O186" t="n">
        <x:v>214</x:v>
      </x:c>
      <x:c r="P186" t="n">
        <x:v>233</x:v>
      </x:c>
      <x:c r="Q186" t="n">
        <x:v>84.12</x:v>
      </x:c>
      <x:c r="R186" t="n">
        <x:v>-5.6</x:v>
      </x:c>
      <x:c r="S186" t="n">
        <x:v>-12.54</x:v>
      </x:c>
      <x:c r="T186" t="n">
        <x:v>26.15</x:v>
      </x:c>
      <x:c r="U186" t="str">
        <x:v>#000000</x:v>
      </x:c>
      <x:c r="V186" t="n">
        <x:v>13.86</x:v>
      </x:c>
      <x:c r="W186" t="n">
        <x:v>0.642906</x:v>
      </x:c>
      <x:c r="X186" t="str">
        <x:v>Low</x:v>
      </x:c>
      <x:c r="Y18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87">
      <x:c r="A187" t="str">
        <x:v>843d7a32-b595-5877-aa98-10ee6d7cff66</x:v>
      </x:c>
      <x:c r="B187" t="str">
        <x:v>CDA-CODE-662</x:v>
      </x:c>
      <x:c r="C187" t="str">
        <x:v>662</x:v>
      </x:c>
      <x:c r="D187" t="str">
        <x:v>Cobalt blue 10%</x:v>
      </x:c>
      <x:c r="E187" t="str">
        <x:v>鈷藍 10%</x:v>
      </x:c>
      <x:c r="F187" t="str">
        <x:v>コバルトブルー 10%</x:v>
      </x:c>
      <x:c r="G187" t="str">
        <x:v>Cobalt blue 10% | Genuine cobalt Blue</x:v>
      </x:c>
      <x:c r="H187" t="str">
        <x:v>真鈷藍 | 鈷藍 10%</x:v>
      </x:c>
      <x:c r="I187" t="str">
        <x:v>コバルトブルー 10% | セルリアンブルー</x:v>
      </x:c>
      <x:c r="J187" t="n">
        <x:v>5</x:v>
      </x:c>
      <x:c r="K187" t="str">
        <x:v>LUMINANCE 6901 | MUSEUM Aquarelle | PASTEL PENCILS | PASTEL CUBES | NEOART 6901</x:v>
      </x:c>
      <x:c r="L187" t="str">
        <x:v>PB28 | PB28/PW6</x:v>
      </x:c>
      <x:c r="M187" s="153" t="str">
        <x:v>#86B0D7</x:v>
      </x:c>
      <x:c r="N187" t="n">
        <x:v>134</x:v>
      </x:c>
      <x:c r="O187" t="n">
        <x:v>176</x:v>
      </x:c>
      <x:c r="P187" t="n">
        <x:v>215</x:v>
      </x:c>
      <x:c r="Q187" t="n">
        <x:v>70.19</x:v>
      </x:c>
      <x:c r="R187" t="n">
        <x:v>-4.41</x:v>
      </x:c>
      <x:c r="S187" t="n">
        <x:v>-24.18</x:v>
      </x:c>
      <x:c r="T187" t="n">
        <x:v>18.01</x:v>
      </x:c>
      <x:c r="U187" t="str">
        <x:v>#000000</x:v>
      </x:c>
      <x:c r="V187" t="n">
        <x:v>9.21</x:v>
      </x:c>
      <x:c r="W187" t="n">
        <x:v>0.410253</x:v>
      </x:c>
      <x:c r="X187" t="str">
        <x:v>Medium</x:v>
      </x:c>
      <x:c r="Y187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88">
      <x:c r="A188" t="str">
        <x:v>dc48c81f-4a63-5cc2-8f10-e38e77492609</x:v>
      </x:c>
      <x:c r="B188" t="str">
        <x:v>CDA-CODE-664</x:v>
      </x:c>
      <x:c r="C188" t="str">
        <x:v>664</x:v>
      </x:c>
      <x:c r="D188" t="str">
        <x:v>Cobalt blue 30%</x:v>
      </x:c>
      <x:c r="E188" t="str">
        <x:v>鈷藍 30%</x:v>
      </x:c>
      <x:c r="F188" t="str">
        <x:v>コバルトブルー 30%</x:v>
      </x:c>
      <x:c r="G188" t="str">
        <x:v>Cobalt blue 30%</x:v>
      </x:c>
      <x:c r="H188" t="str">
        <x:v>鈷藍 30%</x:v>
      </x:c>
      <x:c r="I188" t="str">
        <x:v>コバルトブルー 30%</x:v>
      </x:c>
      <x:c r="J188" t="n">
        <x:v>2</x:v>
      </x:c>
      <x:c r="K188" t="str">
        <x:v>PASTEL PENCILS | PASTEL CUBES</x:v>
      </x:c>
      <x:c r="L188" t="str">
        <x:v>PB28</x:v>
      </x:c>
      <x:c r="M188" t="str">
        <x:v>#74A7D3</x:v>
      </x:c>
      <x:c r="N188" t="n">
        <x:v>116</x:v>
      </x:c>
      <x:c r="O188" t="n">
        <x:v>167</x:v>
      </x:c>
      <x:c r="P188" t="n">
        <x:v>211</x:v>
      </x:c>
      <x:c r="Q188" t="n">
        <x:v>66.56</x:v>
      </x:c>
      <x:c r="R188" t="n">
        <x:v>-5.24</x:v>
      </x:c>
      <x:c r="S188" t="n">
        <x:v>-27.64</x:v>
      </x:c>
      <x:c r="T188" t="n">
        <x:v>0</x:v>
      </x:c>
      <x:c r="U188" t="str">
        <x:v>#000000</x:v>
      </x:c>
      <x:c r="V188" t="n">
        <x:v>8.21</x:v>
      </x:c>
      <x:c r="W188" t="n">
        <x:v>0.360536</x:v>
      </x:c>
      <x:c r="X188" t="str">
        <x:v>High</x:v>
      </x:c>
      <x:c r="Y188" t="str">
        <x:v>Average of official PDF swatch samples across distinct source palettes; not a physical colour standard.</x:v>
      </x:c>
    </x:row>
    <x:row r="189">
      <x:c r="A189" t="str">
        <x:v>a76095f6-edb6-5489-9821-27eec0081a78</x:v>
      </x:c>
      <x:c r="B189" t="str">
        <x:v>CDA-CODE-670</x:v>
      </x:c>
      <x:c r="C189" t="str">
        <x:v>670</x:v>
      </x:c>
      <x:c r="D189" t="str">
        <x:v>Permanent Blue</x:v>
      </x:c>
      <x:c r="E189" t="str">
        <x:v>永固藍</x:v>
      </x:c>
      <x:c r="F189" t="str">
        <x:v>パーマネントブルー</x:v>
      </x:c>
      <x:c r="G189" t="str">
        <x:v>Permanent Blue</x:v>
      </x:c>
      <x:c r="H189" t="str">
        <x:v>永固藍</x:v>
      </x:c>
      <x:c r="I189" t="str">
        <x:v>パーマネントブルー</x:v>
      </x:c>
      <x:c r="J189" t="n">
        <x:v>1</x:v>
      </x:c>
      <x:c r="K189" t="str">
        <x:v>MUSEUM Aquarelle</x:v>
      </x:c>
      <x:c r="L189" t="str">
        <x:v>PG7/PB15:3</x:v>
      </x:c>
      <x:c r="M189" t="str">
        <x:v>#1170A1</x:v>
      </x:c>
      <x:c r="N189" t="n">
        <x:v>17</x:v>
      </x:c>
      <x:c r="O189" t="n">
        <x:v>112</x:v>
      </x:c>
      <x:c r="P189" t="n">
        <x:v>161</x:v>
      </x:c>
      <x:c r="Q189" t="n">
        <x:v>44.63</x:v>
      </x:c>
      <x:c r="R189" t="n">
        <x:v>-7.37</x:v>
      </x:c>
      <x:c r="S189" t="n">
        <x:v>-33.52</x:v>
      </x:c>
      <x:c r="T189" t="n">
        <x:v>0</x:v>
      </x:c>
      <x:c r="U189" t="str">
        <x:v>#FFFFFF</x:v>
      </x:c>
      <x:c r="V189" t="n">
        <x:v>5.45</x:v>
      </x:c>
      <x:c r="W189" t="n">
        <x:v>0.142807</x:v>
      </x:c>
      <x:c r="X189" t="str">
        <x:v>High</x:v>
      </x:c>
      <x:c r="Y189" t="str">
        <x:v>Average of official PDF swatch samples across distinct source palettes; not a physical colour standard.</x:v>
      </x:c>
    </x:row>
    <x:row r="190">
      <x:c r="A190" t="str">
        <x:v>e2230f13-16ca-5a7a-a705-fef540d1b9f2</x:v>
      </x:c>
      <x:c r="B190" t="str">
        <x:v>CDA-CODE-671</x:v>
      </x:c>
      <x:c r="C190" t="str">
        <x:v>671</x:v>
      </x:c>
      <x:c r="D190" t="str">
        <x:v>Chrysocolla blue</x:v>
      </x:c>
      <x:c r="E190" t="str">
        <x:v>矽孔雀石藍</x:v>
      </x:c>
      <x:c r="F190" t="str">
        <x:v>クリソコラブルー</x:v>
      </x:c>
      <x:c r="G190" t="str">
        <x:v>Chrysocolla blue</x:v>
      </x:c>
      <x:c r="H190" t="str">
        <x:v>矽孔雀石藍</x:v>
      </x:c>
      <x:c r="I190" t="str">
        <x:v>クリソコラブルー</x:v>
      </x:c>
      <x:c r="J190" t="n">
        <x:v>2</x:v>
      </x:c>
      <x:c r="K190" t="str">
        <x:v>LUMINANCE 6901 | NEOART 6901</x:v>
      </x:c>
      <x:c r="L190" t="str">
        <x:v>PB28</x:v>
      </x:c>
      <x:c r="M190" s="155" t="str">
        <x:v>#58BEC2</x:v>
      </x:c>
      <x:c r="N190" t="n">
        <x:v>88</x:v>
      </x:c>
      <x:c r="O190" t="n">
        <x:v>190</x:v>
      </x:c>
      <x:c r="P190" t="n">
        <x:v>194</x:v>
      </x:c>
      <x:c r="Q190" t="n">
        <x:v>71.41</x:v>
      </x:c>
      <x:c r="R190" t="n">
        <x:v>-28.33</x:v>
      </x:c>
      <x:c r="S190" t="n">
        <x:v>-11.03</x:v>
      </x:c>
      <x:c r="T190" t="n">
        <x:v>9.64</x:v>
      </x:c>
      <x:c r="U190" t="str">
        <x:v>#000000</x:v>
      </x:c>
      <x:c r="V190" t="n">
        <x:v>9.56</x:v>
      </x:c>
      <x:c r="W190" t="n">
        <x:v>0.427967</x:v>
      </x:c>
      <x:c r="X190" t="str">
        <x:v>High</x:v>
      </x:c>
      <x:c r="Y190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91">
      <x:c r="A191" t="str">
        <x:v>7ea92f7f-586c-548b-94f9-236bd9e56ace</x:v>
      </x:c>
      <x:c r="B191" t="str">
        <x:v>CDA-CODE-710</x:v>
      </x:c>
      <x:c r="C191" t="str">
        <x:v>710</x:v>
      </x:c>
      <x:c r="D191" t="str">
        <x:v>Phthalocyanine Green</x:v>
      </x:c>
      <x:c r="E191" t="str">
        <x:v>酞菁綠</x:v>
      </x:c>
      <x:c r="F191" t="str">
        <x:v>フタロシアニングリーン</x:v>
      </x:c>
      <x:c r="G191" t="str">
        <x:v>Phthalocyanine Green | Phthalocyanine green</x:v>
      </x:c>
      <x:c r="H191" t="str">
        <x:v>酞菁綠</x:v>
      </x:c>
      <x:c r="I191" t="str">
        <x:v>フタロシアニングリーン</x:v>
      </x:c>
      <x:c r="J191" t="n">
        <x:v>2</x:v>
      </x:c>
      <x:c r="K191" t="str">
        <x:v>MUSEUM Aquarelle | NEOCOLOR II Aquarelle</x:v>
      </x:c>
      <x:c r="L191" t="str">
        <x:v>PG7</x:v>
      </x:c>
      <x:c r="M191" t="str">
        <x:v>#56AD95</x:v>
      </x:c>
      <x:c r="N191" t="n">
        <x:v>86</x:v>
      </x:c>
      <x:c r="O191" t="n">
        <x:v>173</x:v>
      </x:c>
      <x:c r="P191" t="n">
        <x:v>149</x:v>
      </x:c>
      <x:c r="Q191" t="n">
        <x:v>64.99</x:v>
      </x:c>
      <x:c r="R191" t="n">
        <x:v>-32.17</x:v>
      </x:c>
      <x:c r="S191" t="n">
        <x:v>4.32</x:v>
      </x:c>
      <x:c r="T191" t="n">
        <x:v>25.42</x:v>
      </x:c>
      <x:c r="U191" t="str">
        <x:v>#000000</x:v>
      </x:c>
      <x:c r="V191" t="n">
        <x:v>7.81</x:v>
      </x:c>
      <x:c r="W191" t="n">
        <x:v>0.340355</x:v>
      </x:c>
      <x:c r="X191" t="str">
        <x:v>Low</x:v>
      </x:c>
      <x:c r="Y191" t="str">
        <x:v>Average of official PDF swatch samples across distinct source palettes; not a physical colour standard.</x:v>
      </x:c>
    </x:row>
    <x:row r="192">
      <x:c r="A192" t="str">
        <x:v>7756c06d-ee9e-54d5-8835-3ba6ee02ae35</x:v>
      </x:c>
      <x:c r="B192" t="str">
        <x:v>CDA-CODE-711</x:v>
      </x:c>
      <x:c r="C192" t="str">
        <x:v>711</x:v>
      </x:c>
      <x:c r="D192" t="str">
        <x:v>Earth green</x:v>
      </x:c>
      <x:c r="E192" t="str">
        <x:v>土綠色</x:v>
      </x:c>
      <x:c r="F192" t="str">
        <x:v>アースグリーン</x:v>
      </x:c>
      <x:c r="G192" t="str">
        <x:v>Earth green</x:v>
      </x:c>
      <x:c r="H192" t="str">
        <x:v>土綠色</x:v>
      </x:c>
      <x:c r="I192" t="str">
        <x:v>アースグリーン</x:v>
      </x:c>
      <x:c r="J192" t="n">
        <x:v>2</x:v>
      </x:c>
      <x:c r="K192" t="str">
        <x:v>PASTEL PENCILS | PASTEL CUBES</x:v>
      </x:c>
      <x:c r="L192" t="str">
        <x:v>PG23</x:v>
      </x:c>
      <x:c r="M192" t="str">
        <x:v>#B8C4B5</x:v>
      </x:c>
      <x:c r="N192" t="n">
        <x:v>184</x:v>
      </x:c>
      <x:c r="O192" t="n">
        <x:v>196</x:v>
      </x:c>
      <x:c r="P192" t="n">
        <x:v>181</x:v>
      </x:c>
      <x:c r="Q192" t="n">
        <x:v>77.88</x:v>
      </x:c>
      <x:c r="R192" t="n">
        <x:v>-6.9</x:v>
      </x:c>
      <x:c r="S192" t="n">
        <x:v>6.11</x:v>
      </x:c>
      <x:c r="T192" t="n">
        <x:v>0</x:v>
      </x:c>
      <x:c r="U192" t="str">
        <x:v>#000000</x:v>
      </x:c>
      <x:c r="V192" t="n">
        <x:v>11.6</x:v>
      </x:c>
      <x:c r="W192" t="n">
        <x:v>0.530064</x:v>
      </x:c>
      <x:c r="X192" t="str">
        <x:v>High</x:v>
      </x:c>
      <x:c r="Y192" t="str">
        <x:v>Average of official PDF swatch samples across distinct source palettes; not a physical colour standard.</x:v>
      </x:c>
    </x:row>
    <x:row r="193">
      <x:c r="A193" t="str">
        <x:v>6c5f3fda-0825-5449-9b88-408baed70f76</x:v>
      </x:c>
      <x:c r="B193" t="str">
        <x:v>CDA-CODE-712</x:v>
      </x:c>
      <x:c r="C193" t="str">
        <x:v>712</x:v>
      </x:c>
      <x:c r="D193" t="str">
        <x:v>Verdigris</x:v>
      </x:c>
      <x:c r="E193" t="str">
        <x:v>銅綠</x:v>
      </x:c>
      <x:c r="F193" t="str">
        <x:v>バーディグリス</x:v>
      </x:c>
      <x:c r="G193" t="str">
        <x:v>Verdigris</x:v>
      </x:c>
      <x:c r="H193" t="str">
        <x:v>銅綠</x:v>
      </x:c>
      <x:c r="I193" t="str">
        <x:v>バーディグリス</x:v>
      </x:c>
      <x:c r="J193" t="n">
        <x:v>2</x:v>
      </x:c>
      <x:c r="K193" t="str">
        <x:v>PASTEL PENCILS | PASTEL CUBES</x:v>
      </x:c>
      <x:c r="L193" t="str">
        <x:v>PG17/PB28</x:v>
      </x:c>
      <x:c r="M193" t="str">
        <x:v>#C0C9BF</x:v>
      </x:c>
      <x:c r="N193" t="n">
        <x:v>192</x:v>
      </x:c>
      <x:c r="O193" t="n">
        <x:v>201</x:v>
      </x:c>
      <x:c r="P193" t="n">
        <x:v>191</x:v>
      </x:c>
      <x:c r="Q193" t="n">
        <x:v>80.03</x:v>
      </x:c>
      <x:c r="R193" t="n">
        <x:v>-4.93</x:v>
      </x:c>
      <x:c r="S193" t="n">
        <x:v>3.92</x:v>
      </x:c>
      <x:c r="T193" t="n">
        <x:v>0</x:v>
      </x:c>
      <x:c r="U193" t="str">
        <x:v>#000000</x:v>
      </x:c>
      <x:c r="V193" t="n">
        <x:v>12.35</x:v>
      </x:c>
      <x:c r="W193" t="n">
        <x:v>0.567413</x:v>
      </x:c>
      <x:c r="X193" t="str">
        <x:v>High</x:v>
      </x:c>
      <x:c r="Y193" t="str">
        <x:v>Average of official PDF swatch samples across distinct source palettes; not a physical colour standard.</x:v>
      </x:c>
    </x:row>
    <x:row r="194">
      <x:c r="A194" t="str">
        <x:v>b90119e4-fdfd-5ad6-85a6-e273aa9f318e</x:v>
      </x:c>
      <x:c r="B194" t="str">
        <x:v>CDA-CODE-713</x:v>
      </x:c>
      <x:c r="C194" t="str">
        <x:v>713</x:v>
      </x:c>
      <x:c r="D194" t="str">
        <x:v>Middle verdigris</x:v>
      </x:c>
      <x:c r="E194" t="str">
        <x:v>中銅綠</x:v>
      </x:c>
      <x:c r="F194" t="str">
        <x:v>ミドルバーディグリス</x:v>
      </x:c>
      <x:c r="G194" t="str">
        <x:v>Middle verdigris</x:v>
      </x:c>
      <x:c r="H194" t="str">
        <x:v>中銅綠</x:v>
      </x:c>
      <x:c r="I194" t="str">
        <x:v>ミドルバーディグリス</x:v>
      </x:c>
      <x:c r="J194" t="n">
        <x:v>1</x:v>
      </x:c>
      <x:c r="K194" t="str">
        <x:v>LUMINANCE 6901</x:v>
      </x:c>
      <x:c r="L194" t="str">
        <x:v>PG17/PB28</x:v>
      </x:c>
      <x:c r="M194" t="str">
        <x:v>#A0CA9E</x:v>
      </x:c>
      <x:c r="N194" t="n">
        <x:v>160</x:v>
      </x:c>
      <x:c r="O194" t="n">
        <x:v>202</x:v>
      </x:c>
      <x:c r="P194" t="n">
        <x:v>158</x:v>
      </x:c>
      <x:c r="Q194" t="n">
        <x:v>77.39</x:v>
      </x:c>
      <x:c r="R194" t="n">
        <x:v>-22.35</x:v>
      </x:c>
      <x:c r="S194" t="n">
        <x:v>17.52</x:v>
      </x:c>
      <x:c r="T194" t="n">
        <x:v>0</x:v>
      </x:c>
      <x:c r="U194" t="str">
        <x:v>#000000</x:v>
      </x:c>
      <x:c r="V194" t="n">
        <x:v>11.44</x:v>
      </x:c>
      <x:c r="W194" t="n">
        <x:v>0.521833</x:v>
      </x:c>
      <x:c r="X194" t="str">
        <x:v>High</x:v>
      </x:c>
      <x:c r="Y194" t="str">
        <x:v>Average of official PDF swatch samples across distinct source palettes; not a physical colour standard.</x:v>
      </x:c>
    </x:row>
    <x:row r="195">
      <x:c r="A195" t="str">
        <x:v>48ca12f8-f7d3-5d41-b780-6b350b301b7d</x:v>
      </x:c>
      <x:c r="B195" t="str">
        <x:v>CDA-CODE-718</x:v>
      </x:c>
      <x:c r="C195" t="str">
        <x:v>718</x:v>
      </x:c>
      <x:c r="D195" t="str">
        <x:v>Middle phthalocyanine green</x:v>
      </x:c>
      <x:c r="E195" t="str">
        <x:v>中酞菁綠</x:v>
      </x:c>
      <x:c r="F195" t="str">
        <x:v>ミドルフタロシアニングリーン</x:v>
      </x:c>
      <x:c r="G195" t="str">
        <x:v>Middle phthalocyanine green</x:v>
      </x:c>
      <x:c r="H195" t="str">
        <x:v>中酞菁綠</x:v>
      </x:c>
      <x:c r="I195" t="str">
        <x:v>ミドルフタロシアニングリーン</x:v>
      </x:c>
      <x:c r="J195" t="n">
        <x:v>2</x:v>
      </x:c>
      <x:c r="K195" t="str">
        <x:v>PASTEL PENCILS | PASTEL CUBES</x:v>
      </x:c>
      <x:c r="L195" t="str">
        <x:v>PB15/PBk11/PY42/PR101</x:v>
      </x:c>
      <x:c r="M195" t="str">
        <x:v>#35503D</x:v>
      </x:c>
      <x:c r="N195" t="n">
        <x:v>53</x:v>
      </x:c>
      <x:c r="O195" t="n">
        <x:v>80</x:v>
      </x:c>
      <x:c r="P195" t="n">
        <x:v>61</x:v>
      </x:c>
      <x:c r="Q195" t="n">
        <x:v>31.42</x:v>
      </x:c>
      <x:c r="R195" t="n">
        <x:v>-14.84</x:v>
      </x:c>
      <x:c r="S195" t="n">
        <x:v>8.01</x:v>
      </x:c>
      <x:c r="T195" t="n">
        <x:v>0</x:v>
      </x:c>
      <x:c r="U195" t="str">
        <x:v>#FFFFFF</x:v>
      </x:c>
      <x:c r="V195" t="n">
        <x:v>8.87</x:v>
      </x:c>
      <x:c r="W195" t="n">
        <x:v>0.068311</x:v>
      </x:c>
      <x:c r="X195" t="str">
        <x:v>High</x:v>
      </x:c>
      <x:c r="Y195" t="str">
        <x:v>Average of official PDF swatch samples across distinct source palettes; not a physical colour standard.</x:v>
      </x:c>
    </x:row>
    <x:row r="196">
      <x:c r="A196" t="str">
        <x:v>01dd26ab-6e02-5056-9d96-5443617efb5f</x:v>
      </x:c>
      <x:c r="B196" t="str">
        <x:v>CDA-CODE-719</x:v>
      </x:c>
      <x:c r="C196" t="str">
        <x:v>719</x:v>
      </x:c>
      <x:c r="D196" t="str">
        <x:v>Dark phthalocyanine green</x:v>
      </x:c>
      <x:c r="E196" t="str">
        <x:v>深酞菁綠</x:v>
      </x:c>
      <x:c r="F196" t="str">
        <x:v>ダークフタロシアニングリーン</x:v>
      </x:c>
      <x:c r="G196" t="str">
        <x:v>Dark phthalocyanine green</x:v>
      </x:c>
      <x:c r="H196" t="str">
        <x:v>深酞菁綠</x:v>
      </x:c>
      <x:c r="I196" t="str">
        <x:v>ダークフタロシアニングリーン</x:v>
      </x:c>
      <x:c r="J196" t="n">
        <x:v>5</x:v>
      </x:c>
      <x:c r="K196" t="str">
        <x:v>LUMINANCE 6901 | MUSEUM Aquarelle | PASTEL PENCILS | PASTEL CUBES | NEOART 6901</x:v>
      </x:c>
      <x:c r="L196" t="str">
        <x:v>PY74/PY3/PBk7/PB15 | PB15/PBk7/PY74/PY3 | PB15/PBk11/PY42/PR101 | PBk6/PB15/PY3/PY74</x:v>
      </x:c>
      <x:c r="M196" s="157" t="str">
        <x:v>#445C4A</x:v>
      </x:c>
      <x:c r="N196" t="n">
        <x:v>68</x:v>
      </x:c>
      <x:c r="O196" t="n">
        <x:v>92</x:v>
      </x:c>
      <x:c r="P196" t="n">
        <x:v>74</x:v>
      </x:c>
      <x:c r="Q196" t="n">
        <x:v>36.7</x:v>
      </x:c>
      <x:c r="R196" t="n">
        <x:v>-13.21</x:v>
      </x:c>
      <x:c r="S196" t="n">
        <x:v>7.47</x:v>
      </x:c>
      <x:c r="T196" t="n">
        <x:v>25.31</x:v>
      </x:c>
      <x:c r="U196" t="str">
        <x:v>#FFFFFF</x:v>
      </x:c>
      <x:c r="V196" t="n">
        <x:v>7.3</x:v>
      </x:c>
      <x:c r="W196" t="n">
        <x:v>0.093776</x:v>
      </x:c>
      <x:c r="X196" t="str">
        <x:v>Low</x:v>
      </x:c>
      <x:c r="Y196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97">
      <x:c r="A197" t="str">
        <x:v>45ea4757-a06c-528d-95a0-af6022384e81</x:v>
      </x:c>
      <x:c r="B197" t="str">
        <x:v>CDA-CODE-720</x:v>
      </x:c>
      <x:c r="C197" t="str">
        <x:v>720</x:v>
      </x:c>
      <x:c r="D197" t="str">
        <x:v>Bright Green</x:v>
      </x:c>
      <x:c r="E197" t="str">
        <x:v>亮綠色</x:v>
      </x:c>
      <x:c r="F197" t="str">
        <x:v>ブライトグリーン</x:v>
      </x:c>
      <x:c r="G197" t="str">
        <x:v>Bright Green | Bright green</x:v>
      </x:c>
      <x:c r="H197" t="str">
        <x:v>亮綠色</x:v>
      </x:c>
      <x:c r="I197" t="str">
        <x:v>ブライトグリーン</x:v>
      </x:c>
      <x:c r="J197" t="n">
        <x:v>2</x:v>
      </x:c>
      <x:c r="K197" t="str">
        <x:v>MUSEUM Aquarelle | NEOCOLOR II Aquarelle</x:v>
      </x:c>
      <x:c r="L197" t="str">
        <x:v>PG36/PY1/PY3</x:v>
      </x:c>
      <x:c r="M197" t="str">
        <x:v>#9ECA7A</x:v>
      </x:c>
      <x:c r="N197" t="n">
        <x:v>158</x:v>
      </x:c>
      <x:c r="O197" t="n">
        <x:v>202</x:v>
      </x:c>
      <x:c r="P197" t="n">
        <x:v>122</x:v>
      </x:c>
      <x:c r="Q197" t="n">
        <x:v>76.63</x:v>
      </x:c>
      <x:c r="R197" t="n">
        <x:v>-28.56</x:v>
      </x:c>
      <x:c r="S197" t="n">
        <x:v>35.31</x:v>
      </x:c>
      <x:c r="T197" t="n">
        <x:v>52.23</x:v>
      </x:c>
      <x:c r="U197" t="str">
        <x:v>#000000</x:v>
      </x:c>
      <x:c r="V197" t="n">
        <x:v>11.18</x:v>
      </x:c>
      <x:c r="W197" t="n">
        <x:v>0.509153</x:v>
      </x:c>
      <x:c r="X197" t="str">
        <x:v>Low</x:v>
      </x:c>
      <x:c r="Y197" t="str">
        <x:v>Average of official PDF swatch samples across distinct source palettes; not a physical colour standard.</x:v>
      </x:c>
    </x:row>
    <x:row r="198">
      <x:c r="A198" t="str">
        <x:v>fe471dd8-33c9-54df-a9b0-faeeebc6123e</x:v>
      </x:c>
      <x:c r="B198" t="str">
        <x:v>CDA-CODE-729</x:v>
      </x:c>
      <x:c r="C198" t="str">
        <x:v>729</x:v>
      </x:c>
      <x:c r="D198" t="str">
        <x:v>Dark english green</x:v>
      </x:c>
      <x:c r="E198" t="str">
        <x:v>深英國綠</x:v>
      </x:c>
      <x:c r="F198" t="str">
        <x:v>ダークイングリッシュグリーン</x:v>
      </x:c>
      <x:c r="G198" t="str">
        <x:v>Dark english green</x:v>
      </x:c>
      <x:c r="H198" t="str">
        <x:v>深英國綠</x:v>
      </x:c>
      <x:c r="I198" t="str">
        <x:v>ダークイングリッシュグリーン</x:v>
      </x:c>
      <x:c r="J198" t="n">
        <x:v>2</x:v>
      </x:c>
      <x:c r="K198" t="str">
        <x:v>LUMINANCE 6901 | NEOART 6901</x:v>
      </x:c>
      <x:c r="L198" t="str">
        <x:v>PG7/PBk9 | PBk9/PG7</x:v>
      </x:c>
      <x:c r="M198" s="159" t="str">
        <x:v>#048678</x:v>
      </x:c>
      <x:c r="N198" t="n">
        <x:v>4</x:v>
      </x:c>
      <x:c r="O198" t="n">
        <x:v>134</x:v>
      </x:c>
      <x:c r="P198" t="n">
        <x:v>120</x:v>
      </x:c>
      <x:c r="Q198" t="n">
        <x:v>50.01</x:v>
      </x:c>
      <x:c r="R198" t="n">
        <x:v>-33.96</x:v>
      </x:c>
      <x:c r="S198" t="n">
        <x:v>-1.17</x:v>
      </x:c>
      <x:c r="T198" t="n">
        <x:v>24.19</x:v>
      </x:c>
      <x:c r="U198" t="str">
        <x:v>#000000</x:v>
      </x:c>
      <x:c r="V198" t="n">
        <x:v>4.69</x:v>
      </x:c>
      <x:c r="W198" t="n">
        <x:v>0.184321</x:v>
      </x:c>
      <x:c r="X198" t="str">
        <x:v>Low</x:v>
      </x:c>
      <x:c r="Y198" t="str">
        <x:v>Average of official source-palette digital samples; NEOART 6901 added from the 2025 official catalogue chart. Digital values are screen-reference approximations, not manufacturer device-independent standards.</x:v>
      </x:c>
    </x:row>
    <x:row r="199">
      <x:c r="A199" t="str">
        <x:v>bfd2fd00-6ce4-5f21-89c9-696b8fc30e6c</x:v>
      </x:c>
      <x:c r="B199" t="str">
        <x:v>CDA-CODE-730</x:v>
      </x:c>
      <x:c r="C199" t="str">
        <x:v>730</x:v>
      </x:c>
      <x:c r="D199" t="str">
        <x:v>Chinese green</x:v>
      </x:c>
      <x:c r="E199" t="str">
        <x:v>中國綠</x:v>
      </x:c>
      <x:c r="F199" t="str">
        <x:v>チャイニーズグリーン</x:v>
      </x:c>
      <x:c r="G199" t="str">
        <x:v>Chinese green</x:v>
      </x:c>
      <x:c r="H199" t="str">
        <x:v>中國綠</x:v>
      </x:c>
      <x:c r="I199" t="str">
        <x:v>チャイニーズグリーン</x:v>
      </x:c>
      <x:c r="J199" t="n">
        <x:v>3</x:v>
      </x:c>
      <x:c r="K199" t="str">
        <x:v>NEOCOLOR II Aquarelle | PASTEL PENCILS | PASTEL CUBES</x:v>
      </x:c>
      <x:c r="L199" t="str">
        <x:v>PY3/PG7</x:v>
      </x:c>
      <x:c r="M199" t="str">
        <x:v>#ECE279</x:v>
      </x:c>
      <x:c r="N199" t="n">
        <x:v>236</x:v>
      </x:c>
      <x:c r="O199" t="n">
        <x:v>226</x:v>
      </x:c>
      <x:c r="P199" t="n">
        <x:v>121</x:v>
      </x:c>
      <x:c r="Q199" t="n">
        <x:v>88.74</x:v>
      </x:c>
      <x:c r="R199" t="n">
        <x:v>-10.39</x:v>
      </x:c>
      <x:c r="S199" t="n">
        <x:v>52.11</x:v>
      </x:c>
      <x:c r="T199" t="n">
        <x:v>12.24</x:v>
      </x:c>
      <x:c r="U199" t="str">
        <x:v>#000000</x:v>
      </x:c>
      <x:c r="V199" t="n">
        <x:v>15.72</x:v>
      </x:c>
      <x:c r="W199" t="n">
        <x:v>0.736061</x:v>
      </x:c>
      <x:c r="X199" t="str">
        <x:v>Medium</x:v>
      </x:c>
      <x:c r="Y199" t="str">
        <x:v>Average of official PDF swatch samples across distinct source palettes; not a physical colour standard.</x:v>
      </x:c>
    </x:row>
    <x:row r="200">
      <x:c r="A200" t="str">
        <x:v>6d12cdba-3e12-5fc3-9fbd-401d578575d8</x:v>
      </x:c>
      <x:c r="B200" t="str">
        <x:v>CDA-CODE-732</x:v>
      </x:c>
      <x:c r="C200" t="str">
        <x:v>732</x:v>
      </x:c>
      <x:c r="D200" t="str">
        <x:v>Brown olive 10%</x:v>
      </x:c>
      <x:c r="E200" t="str">
        <x:v>棕橄欖色 10%</x:v>
      </x:c>
      <x:c r="F200" t="str">
        <x:v>ブラウンオリーブ 10%</x:v>
      </x:c>
      <x:c r="G200" t="str">
        <x:v>Brown Olive 10% | Brown olive 10%</x:v>
      </x:c>
      <x:c r="H200" t="str">
        <x:v>棕橄欖色 10%</x:v>
      </x:c>
      <x:c r="I200" t="str">
        <x:v>ブラウンオリーブ 10%</x:v>
      </x:c>
      <x:c r="J200" t="n">
        <x:v>3</x:v>
      </x:c>
      <x:c r="K200" t="str">
        <x:v>LUMINANCE 6901 | PASTEL PENCILS | PASTEL CUBES</x:v>
      </x:c>
      <x:c r="L200" t="str">
        <x:v>PY42/PBk6 | PY42/PBk9</x:v>
      </x:c>
      <x:c r="M200" t="str">
        <x:v>#D5C8A2</x:v>
      </x:c>
      <x:c r="N200" t="n">
        <x:v>213</x:v>
      </x:c>
      <x:c r="O200" t="n">
        <x:v>200</x:v>
      </x:c>
      <x:c r="P200" t="n">
        <x:v>162</x:v>
      </x:c>
      <x:c r="Q200" t="n">
        <x:v>80.77</x:v>
      </x:c>
      <x:c r="R200" t="n">
        <x:v>-1.45</x:v>
      </x:c>
      <x:c r="S200" t="n">
        <x:v>20.68</x:v>
      </x:c>
      <x:c r="T200" t="n">
        <x:v>12.7</x:v>
      </x:c>
      <x:c r="U200" t="str">
        <x:v>#000000</x:v>
      </x:c>
      <x:c r="V200" t="n">
        <x:v>12.61</x:v>
      </x:c>
      <x:c r="W200" t="n">
        <x:v>0.580633</x:v>
      </x:c>
      <x:c r="X200" t="str">
        <x:v>Medium</x:v>
      </x:c>
      <x:c r="Y200" t="str">
        <x:v>Average of official PDF swatch samples across distinct source palettes; not a physical colour standard.</x:v>
      </x:c>
    </x:row>
    <x:row r="201">
      <x:c r="A201" t="str">
        <x:v>d40b9436-8b9d-5cce-9be9-a1f17bad987d</x:v>
      </x:c>
      <x:c r="B201" t="str">
        <x:v>CDA-CODE-736</x:v>
      </x:c>
      <x:c r="C201" t="str">
        <x:v>736</x:v>
      </x:c>
      <x:c r="D201" t="str">
        <x:v>Brown olive 50%</x:v>
      </x:c>
      <x:c r="E201" t="str">
        <x:v>棕橄欖色 50%</x:v>
      </x:c>
      <x:c r="F201" t="str">
        <x:v>ブラウンオリーブ 50%</x:v>
      </x:c>
      <x:c r="G201" t="str">
        <x:v>Brown Olive 50% | Brown olive 50%</x:v>
      </x:c>
      <x:c r="H201" t="str">
        <x:v>棕橄欖色 50%</x:v>
      </x:c>
      <x:c r="I201" t="str">
        <x:v>ブラウンオリーブ 50% | ブラウンオリーブ50%</x:v>
      </x:c>
      <x:c r="J201" t="n">
        <x:v>5</x:v>
      </x:c>
      <x:c r="K201" t="str">
        <x:v>LUMINANCE 6901 | MUSEUM Aquarelle | PASTEL PENCILS | PASTEL CUBES | NEOART 6901</x:v>
      </x:c>
      <x:c r="L201" t="str">
        <x:v>PY42/PBk9 | PY42/PBk6 | PBk6/PY42</x:v>
      </x:c>
      <x:c r="M201" s="161" t="str">
        <x:v>#BCA472</x:v>
      </x:c>
      <x:c r="N201" t="n">
        <x:v>188</x:v>
      </x:c>
      <x:c r="O201" t="n">
        <x:v>164</x:v>
      </x:c>
      <x:c r="P201" t="n">
        <x:v>114</x:v>
      </x:c>
      <x:c r="Q201" t="n">
        <x:v>68.36</x:v>
      </x:c>
      <x:c r="R201" t="n">
        <x:v>1.65</x:v>
      </x:c>
      <x:c r="S201" t="n">
        <x:v>29.18</x:v>
      </x:c>
      <x:c r="T201" t="n">
        <x:v>28.65</x:v>
      </x:c>
      <x:c r="U201" t="str">
        <x:v>#000000</x:v>
      </x:c>
      <x:c r="V201" t="n">
        <x:v>8.69</x:v>
      </x:c>
      <x:c r="W201" t="n">
        <x:v>0.384572</x:v>
      </x:c>
      <x:c r="X201" t="str">
        <x:v>Low</x:v>
      </x:c>
      <x:c r="Y201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02">
      <x:c r="A202" t="str">
        <x:v>05533add-1662-5b3c-a80e-e27e3ea148cd</x:v>
      </x:c>
      <x:c r="B202" t="str">
        <x:v>CDA-CODE-739</x:v>
      </x:c>
      <x:c r="C202" t="str">
        <x:v>739</x:v>
      </x:c>
      <x:c r="D202" t="str">
        <x:v>Dark sap green</x:v>
      </x:c>
      <x:c r="E202" t="str">
        <x:v>深樹液綠</x:v>
      </x:c>
      <x:c r="F202" t="str">
        <x:v>ダークサップグリーン</x:v>
      </x:c>
      <x:c r="G202" t="str">
        <x:v>Dark sap green</x:v>
      </x:c>
      <x:c r="H202" t="str">
        <x:v>深樹液綠</x:v>
      </x:c>
      <x:c r="I202" t="str">
        <x:v>ダークサップグリーン</x:v>
      </x:c>
      <x:c r="J202" t="n">
        <x:v>2</x:v>
      </x:c>
      <x:c r="K202" t="str">
        <x:v>LUMINANCE 6901 | MUSEUM Aquarelle</x:v>
      </x:c>
      <x:c r="L202" t="str">
        <x:v>PG7/PBk6</x:v>
      </x:c>
      <x:c r="M202" t="str">
        <x:v>#307D7A</x:v>
      </x:c>
      <x:c r="N202" t="n">
        <x:v>48</x:v>
      </x:c>
      <x:c r="O202" t="n">
        <x:v>125</x:v>
      </x:c>
      <x:c r="P202" t="n">
        <x:v>122</x:v>
      </x:c>
      <x:c r="Q202" t="n">
        <x:v>47.88</x:v>
      </x:c>
      <x:c r="R202" t="n">
        <x:v>-24.06</x:v>
      </x:c>
      <x:c r="S202" t="n">
        <x:v>-5.41</x:v>
      </x:c>
      <x:c r="T202" t="n">
        <x:v>36.54</x:v>
      </x:c>
      <x:c r="U202" t="str">
        <x:v>#FFFFFF</x:v>
      </x:c>
      <x:c r="V202" t="n">
        <x:v>4.84</x:v>
      </x:c>
      <x:c r="W202" t="n">
        <x:v>0.167008</x:v>
      </x:c>
      <x:c r="X202" t="str">
        <x:v>Low</x:v>
      </x:c>
      <x:c r="Y202" t="str">
        <x:v>Average of official PDF swatch samples across distinct source palettes; not a physical colour standard.</x:v>
      </x:c>
    </x:row>
    <x:row r="203">
      <x:c r="A203" t="str">
        <x:v>8874dcef-a9da-5c2f-af73-bf0af94ebb38</x:v>
      </x:c>
      <x:c r="B203" t="str">
        <x:v>CDA-CODE-741</x:v>
      </x:c>
      <x:c r="C203" t="str">
        <x:v>741</x:v>
      </x:c>
      <x:c r="D203" t="str">
        <x:v>Warm earth 5%</x:v>
      </x:c>
      <x:c r="E203" t="str">
        <x:v>暖土色 5%</x:v>
      </x:c>
      <x:c r="F203" t="str">
        <x:v>ウォームアース 5%</x:v>
      </x:c>
      <x:c r="G203" t="str">
        <x:v>Dark flesh 5% | Warm earth 5%</x:v>
      </x:c>
      <x:c r="H203" t="str">
        <x:v>暖土色 5% | 深膚色 5%</x:v>
      </x:c>
      <x:c r="I203" t="str">
        <x:v>ウォームアース 5% | ダークフレッシュ 5%</x:v>
      </x:c>
      <x:c r="J203" t="n">
        <x:v>3</x:v>
      </x:c>
      <x:c r="K203" t="str">
        <x:v>LUMINANCE 6901 | PASTEL PENCILS | PASTEL CUBES</x:v>
      </x:c>
      <x:c r="L203" t="str">
        <x:v>PR101/PO82/PBk7/PBr7/PBk11/PY42/PR101 | PY42/PR101/PBk6</x:v>
      </x:c>
      <x:c r="M203" t="str">
        <x:v>#CF9980</x:v>
      </x:c>
      <x:c r="N203" t="n">
        <x:v>207</x:v>
      </x:c>
      <x:c r="O203" t="n">
        <x:v>153</x:v>
      </x:c>
      <x:c r="P203" t="n">
        <x:v>128</x:v>
      </x:c>
      <x:c r="Q203" t="n">
        <x:v>67.73</x:v>
      </x:c>
      <x:c r="R203" t="n">
        <x:v>16.94</x:v>
      </x:c>
      <x:c r="S203" t="n">
        <x:v>21.06</x:v>
      </x:c>
      <x:c r="T203" t="n">
        <x:v>6.47</x:v>
      </x:c>
      <x:c r="U203" t="str">
        <x:v>#000000</x:v>
      </x:c>
      <x:c r="V203" t="n">
        <x:v>8.52</x:v>
      </x:c>
      <x:c r="W203" t="n">
        <x:v>0.376064</x:v>
      </x:c>
      <x:c r="X203" t="str">
        <x:v>High</x:v>
      </x:c>
      <x:c r="Y203" t="str">
        <x:v>Average of official PDF swatch samples across distinct source palettes; not a physical colour standard.</x:v>
      </x:c>
    </x:row>
    <x:row r="204">
      <x:c r="A204" t="str">
        <x:v>e36ade24-7ba9-537a-8819-c1869a018fcd</x:v>
      </x:c>
      <x:c r="B204" t="str">
        <x:v>CDA-CODE-745</x:v>
      </x:c>
      <x:c r="C204" t="str">
        <x:v>745</x:v>
      </x:c>
      <x:c r="D204" t="str">
        <x:v>Warm earth 40%</x:v>
      </x:c>
      <x:c r="E204" t="str">
        <x:v>暖土色 40%</x:v>
      </x:c>
      <x:c r="F204" t="str">
        <x:v>ウォームアース 40%</x:v>
      </x:c>
      <x:c r="G204" t="str">
        <x:v>Dark flesh 40% | Warm earth 40%</x:v>
      </x:c>
      <x:c r="H204" t="str">
        <x:v>暖土色 40% | 深膚色 40%</x:v>
      </x:c>
      <x:c r="I204" t="str">
        <x:v>ウォームアース 40% | ダークフレッシュ 40%</x:v>
      </x:c>
      <x:c r="J204" t="n">
        <x:v>3</x:v>
      </x:c>
      <x:c r="K204" t="str">
        <x:v>LUMINANCE 6901 | PASTEL PENCILS | PASTEL CUBES</x:v>
      </x:c>
      <x:c r="L204" t="str">
        <x:v>PR101/PO82/PBk7/PBr7/PBk11/PY42/PR101 | PR101/PO82/PY42/PBk7/PBr7/PBk11</x:v>
      </x:c>
      <x:c r="M204" t="str">
        <x:v>#9E7666</x:v>
      </x:c>
      <x:c r="N204" t="n">
        <x:v>158</x:v>
      </x:c>
      <x:c r="O204" t="n">
        <x:v>118</x:v>
      </x:c>
      <x:c r="P204" t="n">
        <x:v>102</x:v>
      </x:c>
      <x:c r="Q204" t="n">
        <x:v>53.15</x:v>
      </x:c>
      <x:c r="R204" t="n">
        <x:v>13.4</x:v>
      </x:c>
      <x:c r="S204" t="n">
        <x:v>14.92</x:v>
      </x:c>
      <x:c r="T204" t="n">
        <x:v>7.73</x:v>
      </x:c>
      <x:c r="U204" t="str">
        <x:v>#000000</x:v>
      </x:c>
      <x:c r="V204" t="n">
        <x:v>5.24</x:v>
      </x:c>
      <x:c r="W204" t="n">
        <x:v>0.211853</x:v>
      </x:c>
      <x:c r="X204" t="str">
        <x:v>High</x:v>
      </x:c>
      <x:c r="Y204" t="str">
        <x:v>Average of official PDF swatch samples across distinct source palettes; not a physical colour standard.</x:v>
      </x:c>
    </x:row>
    <x:row r="205">
      <x:c r="A205" t="str">
        <x:v>1c5a3b98-9174-57d0-bd87-a6f4469fcb6c</x:v>
      </x:c>
      <x:c r="B205" t="str">
        <x:v>CDA-CODE-746</x:v>
      </x:c>
      <x:c r="C205" t="str">
        <x:v>746</x:v>
      </x:c>
      <x:c r="D205" t="str">
        <x:v>Dark flesh 50%</x:v>
      </x:c>
      <x:c r="E205" t="str">
        <x:v>深膚色 50%</x:v>
      </x:c>
      <x:c r="F205" t="str">
        <x:v>ダークフレッシュ50%</x:v>
      </x:c>
      <x:c r="G205" t="str">
        <x:v>Dark flesh 50%</x:v>
      </x:c>
      <x:c r="H205" t="str">
        <x:v>深膚色 50%</x:v>
      </x:c>
      <x:c r="I205" t="str">
        <x:v>ダークフレッシュ 50% | ダークフレッシュ50%</x:v>
      </x:c>
      <x:c r="J205" t="n">
        <x:v>3</x:v>
      </x:c>
      <x:c r="K205" t="str">
        <x:v>MUSEUM Aquarelle | PASTEL PENCILS | PASTEL CUBES</x:v>
      </x:c>
      <x:c r="L205" t="str">
        <x:v>PR101/PO82/PBk7/PBr7/PBk11/PY42/PR101 | PR101/PY42/PBk6</x:v>
      </x:c>
      <x:c r="M205" t="str">
        <x:v>#A17E6C</x:v>
      </x:c>
      <x:c r="N205" t="n">
        <x:v>161</x:v>
      </x:c>
      <x:c r="O205" t="n">
        <x:v>126</x:v>
      </x:c>
      <x:c r="P205" t="n">
        <x:v>108</x:v>
      </x:c>
      <x:c r="Q205" t="n">
        <x:v>55.67</x:v>
      </x:c>
      <x:c r="R205" t="n">
        <x:v>10.87</x:v>
      </x:c>
      <x:c r="S205" t="n">
        <x:v>14.98</x:v>
      </x:c>
      <x:c r="T205" t="n">
        <x:v>10.83</x:v>
      </x:c>
      <x:c r="U205" t="str">
        <x:v>#000000</x:v>
      </x:c>
      <x:c r="V205" t="n">
        <x:v>5.72</x:v>
      </x:c>
      <x:c r="W205" t="n">
        <x:v>0.235815</x:v>
      </x:c>
      <x:c r="X205" t="str">
        <x:v>Medium</x:v>
      </x:c>
      <x:c r="Y205" t="str">
        <x:v>Average of official PDF swatch samples across distinct source palettes; not a physical colour standard.</x:v>
      </x:c>
    </x:row>
    <x:row r="206">
      <x:c r="A206" t="str">
        <x:v>fb8b22bf-931a-5020-aba1-6e2f47b4542f</x:v>
      </x:c>
      <x:c r="B206" t="str">
        <x:v>CDA-CODE-748</x:v>
      </x:c>
      <x:c r="C206" t="str">
        <x:v>748</x:v>
      </x:c>
      <x:c r="D206" t="str">
        <x:v>Dark flesh</x:v>
      </x:c>
      <x:c r="E206" t="str">
        <x:v>深膚色</x:v>
      </x:c>
      <x:c r="F206" t="str">
        <x:v>ダークフレッシュ</x:v>
      </x:c>
      <x:c r="G206" t="str">
        <x:v>Dark flesh</x:v>
      </x:c>
      <x:c r="H206" t="str">
        <x:v>深膚色</x:v>
      </x:c>
      <x:c r="I206" t="str">
        <x:v>ダークフレッシュ</x:v>
      </x:c>
      <x:c r="J206" t="n">
        <x:v>3</x:v>
      </x:c>
      <x:c r="K206" t="str">
        <x:v>LUMINANCE 6901 | PASTEL PENCILS | PASTEL CUBES</x:v>
      </x:c>
      <x:c r="L206" t="str">
        <x:v>PR179/PBk7/PBr7/PBk11/PY42/PR101 | PR179/PY42/PR101/PBr7/PBk7/PBk11</x:v>
      </x:c>
      <x:c r="M206" t="str">
        <x:v>#56403B</x:v>
      </x:c>
      <x:c r="N206" t="n">
        <x:v>86</x:v>
      </x:c>
      <x:c r="O206" t="n">
        <x:v>64</x:v>
      </x:c>
      <x:c r="P206" t="n">
        <x:v>59</x:v>
      </x:c>
      <x:c r="Q206" t="n">
        <x:v>29.31</x:v>
      </x:c>
      <x:c r="R206" t="n">
        <x:v>8.73</x:v>
      </x:c>
      <x:c r="S206" t="n">
        <x:v>6.76</x:v>
      </x:c>
      <x:c r="T206" t="n">
        <x:v>14.81</x:v>
      </x:c>
      <x:c r="U206" t="str">
        <x:v>#FFFFFF</x:v>
      </x:c>
      <x:c r="V206" t="n">
        <x:v>9.58</x:v>
      </x:c>
      <x:c r="W206" t="n">
        <x:v>0.05961</x:v>
      </x:c>
      <x:c r="X206" t="str">
        <x:v>Medium</x:v>
      </x:c>
      <x:c r="Y206" t="str">
        <x:v>Average of official PDF swatch samples across distinct source palettes; not a physical colour standard.</x:v>
      </x:c>
    </x:row>
    <x:row r="207">
      <x:c r="A207" t="str">
        <x:v>0ab9ac3f-af1d-5b0a-bed4-5f17b5fb1e39</x:v>
      </x:c>
      <x:c r="B207" t="str">
        <x:v>CDA-CODE-755</x:v>
      </x:c>
      <x:c r="C207" t="str">
        <x:v>755</x:v>
      </x:c>
      <x:c r="D207" t="str">
        <x:v>Grey blue</x:v>
      </x:c>
      <x:c r="E207" t="str">
        <x:v>灰藍色</x:v>
      </x:c>
      <x:c r="F207" t="str">
        <x:v>グレーブルー</x:v>
      </x:c>
      <x:c r="G207" t="str">
        <x:v>Grey blue</x:v>
      </x:c>
      <x:c r="H207" t="str">
        <x:v>灰藍色</x:v>
      </x:c>
      <x:c r="I207" t="str">
        <x:v>グレーブルー</x:v>
      </x:c>
      <x:c r="J207" t="n">
        <x:v>1</x:v>
      </x:c>
      <x:c r="K207" t="str">
        <x:v>LUMINANCE 6901</x:v>
      </x:c>
      <x:c r="L207" t="str">
        <x:v>PB15/PB27/PBk6</x:v>
      </x:c>
      <x:c r="M207" t="str">
        <x:v>#72B8CC</x:v>
      </x:c>
      <x:c r="N207" t="n">
        <x:v>114</x:v>
      </x:c>
      <x:c r="O207" t="n">
        <x:v>184</x:v>
      </x:c>
      <x:c r="P207" t="n">
        <x:v>204</x:v>
      </x:c>
      <x:c r="Q207" t="n">
        <x:v>71.02</x:v>
      </x:c>
      <x:c r="R207" t="n">
        <x:v>-16.79</x:v>
      </x:c>
      <x:c r="S207" t="n">
        <x:v>-16.99</x:v>
      </x:c>
      <x:c r="T207" t="n">
        <x:v>0</x:v>
      </x:c>
      <x:c r="U207" t="str">
        <x:v>#000000</x:v>
      </x:c>
      <x:c r="V207" t="n">
        <x:v>9.44</x:v>
      </x:c>
      <x:c r="W207" t="n">
        <x:v>0.42218</x:v>
      </x:c>
      <x:c r="X207" t="str">
        <x:v>High</x:v>
      </x:c>
      <x:c r="Y207" t="str">
        <x:v>Average of official PDF swatch samples across distinct source palettes; not a physical colour standard.</x:v>
      </x:c>
    </x:row>
    <x:row r="208">
      <x:c r="A208" t="str">
        <x:v>c33b0290-6779-5c57-ba73-fbba650d886c</x:v>
      </x:c>
      <x:c r="B208" t="str">
        <x:v>CDA-CODE-801</x:v>
      </x:c>
      <x:c r="C208" t="str">
        <x:v>801</x:v>
      </x:c>
      <x:c r="D208" t="str">
        <x:v>Buff titanium</x:v>
      </x:c>
      <x:c r="E208" t="str">
        <x:v>鈦米色</x:v>
      </x:c>
      <x:c r="F208" t="str">
        <x:v>バフチタニウム</x:v>
      </x:c>
      <x:c r="G208" t="str">
        <x:v>Buff titanium</x:v>
      </x:c>
      <x:c r="H208" t="str">
        <x:v>鈦米色</x:v>
      </x:c>
      <x:c r="I208" t="str">
        <x:v>バフチタニウム</x:v>
      </x:c>
      <x:c r="J208" t="n">
        <x:v>1</x:v>
      </x:c>
      <x:c r="K208" t="str">
        <x:v>LUMINANCE 6901</x:v>
      </x:c>
      <x:c r="L208" t="str">
        <x:v>PY151/PR101</x:v>
      </x:c>
      <x:c r="M208" t="str">
        <x:v>#FEEEC7</x:v>
      </x:c>
      <x:c r="N208" t="n">
        <x:v>254</x:v>
      </x:c>
      <x:c r="O208" t="n">
        <x:v>238</x:v>
      </x:c>
      <x:c r="P208" t="n">
        <x:v>199</x:v>
      </x:c>
      <x:c r="Q208" t="n">
        <x:v>94.46</x:v>
      </x:c>
      <x:c r="R208" t="n">
        <x:v>-0.6</x:v>
      </x:c>
      <x:c r="S208" t="n">
        <x:v>20.86</x:v>
      </x:c>
      <x:c r="T208" t="n">
        <x:v>0</x:v>
      </x:c>
      <x:c r="U208" t="str">
        <x:v>#000000</x:v>
      </x:c>
      <x:c r="V208" t="n">
        <x:v>18.27</x:v>
      </x:c>
      <x:c r="W208" t="n">
        <x:v>0.863434</x:v>
      </x:c>
      <x:c r="X208" t="str">
        <x:v>High</x:v>
      </x:c>
      <x:c r="Y208" t="str">
        <x:v>Average of official PDF swatch samples across distinct source palettes; not a physical colour standard.</x:v>
      </x:c>
    </x:row>
    <x:row r="209">
      <x:c r="A209" t="str">
        <x:v>023df18c-2712-55f0-b5ac-834e355cf2bf</x:v>
      </x:c>
      <x:c r="B209" t="str">
        <x:v>CDA-CODE-802</x:v>
      </x:c>
      <x:c r="C209" t="str">
        <x:v>802</x:v>
      </x:c>
      <x:c r="D209" t="str">
        <x:v>French grey 10%</x:v>
      </x:c>
      <x:c r="E209" t="str">
        <x:v>法國灰 10%</x:v>
      </x:c>
      <x:c r="F209" t="str">
        <x:v>フレンチグレー 10%</x:v>
      </x:c>
      <x:c r="G209" t="str">
        <x:v>French grey 10%</x:v>
      </x:c>
      <x:c r="H209" t="str">
        <x:v>法國灰 10%</x:v>
      </x:c>
      <x:c r="I209" t="str">
        <x:v>フレンチグレー 10%</x:v>
      </x:c>
      <x:c r="J209" t="n">
        <x:v>3</x:v>
      </x:c>
      <x:c r="K209" t="str">
        <x:v>LUMINANCE 6901 | PASTEL PENCILS | PASTEL CUBES</x:v>
      </x:c>
      <x:c r="L209" t="str">
        <x:v>PY42/PR101/PBk6</x:v>
      </x:c>
      <x:c r="M209" t="str">
        <x:v>#B2A8A3</x:v>
      </x:c>
      <x:c r="N209" t="n">
        <x:v>178</x:v>
      </x:c>
      <x:c r="O209" t="n">
        <x:v>168</x:v>
      </x:c>
      <x:c r="P209" t="n">
        <x:v>163</x:v>
      </x:c>
      <x:c r="Q209" t="n">
        <x:v>69.55</x:v>
      </x:c>
      <x:c r="R209" t="n">
        <x:v>2.7</x:v>
      </x:c>
      <x:c r="S209" t="n">
        <x:v>3.87</x:v>
      </x:c>
      <x:c r="T209" t="n">
        <x:v>10.4</x:v>
      </x:c>
      <x:c r="U209" t="str">
        <x:v>#000000</x:v>
      </x:c>
      <x:c r="V209" t="n">
        <x:v>9.02</x:v>
      </x:c>
      <x:c r="W209" t="n">
        <x:v>0.401146</x:v>
      </x:c>
      <x:c r="X209" t="str">
        <x:v>Medium</x:v>
      </x:c>
      <x:c r="Y209" t="str">
        <x:v>Average of official PDF swatch samples across distinct source palettes; not a physical colour standard.</x:v>
      </x:c>
    </x:row>
    <x:row r="210">
      <x:c r="A210" t="str">
        <x:v>130e431d-ae02-520e-a331-e7e979bca45a</x:v>
      </x:c>
      <x:c r="B210" t="str">
        <x:v>CDA-CODE-803</x:v>
      </x:c>
      <x:c r="C210" t="str">
        <x:v>803</x:v>
      </x:c>
      <x:c r="D210" t="str">
        <x:v>French grey 30%</x:v>
      </x:c>
      <x:c r="E210" t="str">
        <x:v>法國灰 30%</x:v>
      </x:c>
      <x:c r="F210" t="str">
        <x:v>フレンチグレー 30%</x:v>
      </x:c>
      <x:c r="G210" t="str">
        <x:v>French grey 30%</x:v>
      </x:c>
      <x:c r="H210" t="str">
        <x:v>法國灰 30%</x:v>
      </x:c>
      <x:c r="I210" t="str">
        <x:v>フレンチグレー 30%</x:v>
      </x:c>
      <x:c r="J210" t="n">
        <x:v>1</x:v>
      </x:c>
      <x:c r="K210" t="str">
        <x:v>LUMINANCE 6901</x:v>
      </x:c>
      <x:c r="L210" t="str">
        <x:v>PY42/PR101/PBk6</x:v>
      </x:c>
      <x:c r="M210" t="str">
        <x:v>#A99D97</x:v>
      </x:c>
      <x:c r="N210" t="n">
        <x:v>169</x:v>
      </x:c>
      <x:c r="O210" t="n">
        <x:v>157</x:v>
      </x:c>
      <x:c r="P210" t="n">
        <x:v>151</x:v>
      </x:c>
      <x:c r="Q210" t="n">
        <x:v>65.58</x:v>
      </x:c>
      <x:c r="R210" t="n">
        <x:v>3.31</x:v>
      </x:c>
      <x:c r="S210" t="n">
        <x:v>4.71</x:v>
      </x:c>
      <x:c r="T210" t="n">
        <x:v>0</x:v>
      </x:c>
      <x:c r="U210" t="str">
        <x:v>#000000</x:v>
      </x:c>
      <x:c r="V210" t="n">
        <x:v>7.96</x:v>
      </x:c>
      <x:c r="W210" t="n">
        <x:v>0.347833</x:v>
      </x:c>
      <x:c r="X210" t="str">
        <x:v>High</x:v>
      </x:c>
      <x:c r="Y210" t="str">
        <x:v>Average of official PDF swatch samples across distinct source palettes; not a physical colour standard.</x:v>
      </x:c>
    </x:row>
    <x:row r="211">
      <x:c r="A211" t="str">
        <x:v>6cbb1dd3-e8e7-5b5f-a6af-10bc7843d2f6</x:v>
      </x:c>
      <x:c r="B211" t="str">
        <x:v>CDA-CODE-808</x:v>
      </x:c>
      <x:c r="C211" t="str">
        <x:v>808</x:v>
      </x:c>
      <x:c r="D211" t="str">
        <x:v>French grey</x:v>
      </x:c>
      <x:c r="E211" t="str">
        <x:v>法國灰</x:v>
      </x:c>
      <x:c r="F211" t="str">
        <x:v>フレンチグレイ</x:v>
      </x:c>
      <x:c r="G211" t="str">
        <x:v>French grey | French grey 70%</x:v>
      </x:c>
      <x:c r="H211" t="str">
        <x:v>法國灰 | 法國灰 70%</x:v>
      </x:c>
      <x:c r="I211" t="str">
        <x:v>フレンチグレイ | フレンチグレー | フレンチグレー 70%</x:v>
      </x:c>
      <x:c r="J211" t="n">
        <x:v>4</x:v>
      </x:c>
      <x:c r="K211" t="str">
        <x:v>LUMINANCE 6901 | MUSEUM Aquarelle | PASTEL PENCILS | PASTEL CUBES</x:v>
      </x:c>
      <x:c r="L211" t="str">
        <x:v>PY42/PBk6/PR101 | PY42/PR101/PBk6</x:v>
      </x:c>
      <x:c r="M211" t="str">
        <x:v>#776C61</x:v>
      </x:c>
      <x:c r="N211" t="n">
        <x:v>119</x:v>
      </x:c>
      <x:c r="O211" t="n">
        <x:v>108</x:v>
      </x:c>
      <x:c r="P211" t="n">
        <x:v>97</x:v>
      </x:c>
      <x:c r="Q211" t="n">
        <x:v>46.33</x:v>
      </x:c>
      <x:c r="R211" t="n">
        <x:v>2.32</x:v>
      </x:c>
      <x:c r="S211" t="n">
        <x:v>7.72</x:v>
      </x:c>
      <x:c r="T211" t="n">
        <x:v>16.19</x:v>
      </x:c>
      <x:c r="U211" t="str">
        <x:v>#FFFFFF</x:v>
      </x:c>
      <x:c r="V211" t="n">
        <x:v>5.12</x:v>
      </x:c>
      <x:c r="W211" t="n">
        <x:v>0.155101</x:v>
      </x:c>
      <x:c r="X211" t="str">
        <x:v>Medium</x:v>
      </x:c>
      <x:c r="Y211" t="str">
        <x:v>Average of official PDF swatch samples across distinct source palettes; not a physical colour standard.</x:v>
      </x:c>
    </x:row>
    <x:row r="212">
      <x:c r="A212" t="str">
        <x:v>08441f6e-b0d8-52b7-ac5b-e0c17a1583de</x:v>
      </x:c>
      <x:c r="B212" t="str">
        <x:v>CDA-CODE-810</x:v>
      </x:c>
      <x:c r="C212" t="str">
        <x:v>810</x:v>
      </x:c>
      <x:c r="D212" t="str">
        <x:v>Bismuth yellow</x:v>
      </x:c>
      <x:c r="E212" t="str">
        <x:v>鉍黃</x:v>
      </x:c>
      <x:c r="F212" t="str">
        <x:v>ビスマスイエロー</x:v>
      </x:c>
      <x:c r="G212" t="str">
        <x:v>Bismuth yellow</x:v>
      </x:c>
      <x:c r="H212" t="str">
        <x:v>鉍黃</x:v>
      </x:c>
      <x:c r="I212" t="str">
        <x:v>ビスマスイエロー</x:v>
      </x:c>
      <x:c r="J212" t="n">
        <x:v>1</x:v>
      </x:c>
      <x:c r="K212" t="str">
        <x:v>LUMINANCE 6901</x:v>
      </x:c>
      <x:c r="L212" t="str">
        <x:v>PY184</x:v>
      </x:c>
      <x:c r="M212" t="str">
        <x:v>#FDDE65</x:v>
      </x:c>
      <x:c r="N212" t="n">
        <x:v>253</x:v>
      </x:c>
      <x:c r="O212" t="n">
        <x:v>222</x:v>
      </x:c>
      <x:c r="P212" t="n">
        <x:v>101</x:v>
      </x:c>
      <x:c r="Q212" t="n">
        <x:v>88.95</x:v>
      </x:c>
      <x:c r="R212" t="n">
        <x:v>-3.06</x:v>
      </x:c>
      <x:c r="S212" t="n">
        <x:v>61.89</x:v>
      </x:c>
      <x:c r="T212" t="n">
        <x:v>0</x:v>
      </x:c>
      <x:c r="U212" t="str">
        <x:v>#000000</x:v>
      </x:c>
      <x:c r="V212" t="n">
        <x:v>15.81</x:v>
      </x:c>
      <x:c r="W212" t="n">
        <x:v>0.740648</x:v>
      </x:c>
      <x:c r="X212" t="str">
        <x:v>High</x:v>
      </x:c>
      <x:c r="Y212" t="str">
        <x:v>Average of official PDF swatch samples across distinct source palettes; not a physical colour standard.</x:v>
      </x:c>
    </x:row>
    <x:row r="213">
      <x:c r="A213" t="str">
        <x:v>68b3f090-65b0-5df9-a1a2-1a0d6c86c9d3</x:v>
      </x:c>
      <x:c r="B213" t="str">
        <x:v>CDA-CODE-811</x:v>
      </x:c>
      <x:c r="C213" t="str">
        <x:v>811</x:v>
      </x:c>
      <x:c r="D213" t="str">
        <x:v>Bismuth white</x:v>
      </x:c>
      <x:c r="E213" t="str">
        <x:v>鉍白</x:v>
      </x:c>
      <x:c r="F213" t="str">
        <x:v>ビスマスホワイト</x:v>
      </x:c>
      <x:c r="G213" t="str">
        <x:v>Bismuth white</x:v>
      </x:c>
      <x:c r="H213" t="str">
        <x:v>鉍白</x:v>
      </x:c>
      <x:c r="I213" t="str">
        <x:v>ビスマスホワイト</x:v>
      </x:c>
      <x:c r="J213" t="n">
        <x:v>3</x:v>
      </x:c>
      <x:c r="K213" t="str">
        <x:v>PASTEL PENCILS | PASTEL CUBES | NEOART 6901</x:v>
      </x:c>
      <x:c r="L213" t="str">
        <x:v>PW6/PY184 | PY184</x:v>
      </x:c>
      <x:c r="M213" s="163" t="str">
        <x:v>#E9E8DA</x:v>
      </x:c>
      <x:c r="N213" t="n">
        <x:v>233</x:v>
      </x:c>
      <x:c r="O213" t="n">
        <x:v>232</x:v>
      </x:c>
      <x:c r="P213" t="n">
        <x:v>218</x:v>
      </x:c>
      <x:c r="Q213" t="n">
        <x:v>91.73</x:v>
      </x:c>
      <x:c r="R213" t="n">
        <x:v>-2.08</x:v>
      </x:c>
      <x:c r="S213" t="n">
        <x:v>6.92</x:v>
      </x:c>
      <x:c r="T213" t="n">
        <x:v>12.63</x:v>
      </x:c>
      <x:c r="U213" t="str">
        <x:v>#000000</x:v>
      </x:c>
      <x:c r="V213" t="n">
        <x:v>17.02</x:v>
      </x:c>
      <x:c r="W213" t="n">
        <x:v>0.800988</x:v>
      </x:c>
      <x:c r="X213" t="str">
        <x:v>Medium</x:v>
      </x:c>
      <x:c r="Y213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14">
      <x:c r="A214" t="str">
        <x:v>e522fab8-c1e9-5474-a9fa-56c1771de26c</x:v>
      </x:c>
      <x:c r="B214" t="str">
        <x:v>CDA-CODE-820</x:v>
      </x:c>
      <x:c r="C214" t="str">
        <x:v>820</x:v>
      </x:c>
      <x:c r="D214" t="str">
        <x:v>Golden bismuth yellow</x:v>
      </x:c>
      <x:c r="E214" t="str">
        <x:v>金鉍黃</x:v>
      </x:c>
      <x:c r="F214" t="str">
        <x:v>ゴールデンビスマスイエロー</x:v>
      </x:c>
      <x:c r="G214" t="str">
        <x:v>Golden Bismuth yellow | Golden bismuth yellow</x:v>
      </x:c>
      <x:c r="H214" t="str">
        <x:v>金鉍黃</x:v>
      </x:c>
      <x:c r="I214" t="str">
        <x:v>ゴールデンビスマスイエロー</x:v>
      </x:c>
      <x:c r="J214" t="n">
        <x:v>3</x:v>
      </x:c>
      <x:c r="K214" t="str">
        <x:v>LUMINANCE 6901 | PASTEL PENCILS | PASTEL CUBES</x:v>
      </x:c>
      <x:c r="L214" t="str">
        <x:v>PY184</x:v>
      </x:c>
      <x:c r="M214" t="str">
        <x:v>#ECC256</x:v>
      </x:c>
      <x:c r="N214" t="n">
        <x:v>236</x:v>
      </x:c>
      <x:c r="O214" t="n">
        <x:v>194</x:v>
      </x:c>
      <x:c r="P214" t="n">
        <x:v>86</x:v>
      </x:c>
      <x:c r="Q214" t="n">
        <x:v>80.23</x:v>
      </x:c>
      <x:c r="R214" t="n">
        <x:v>3.29</x:v>
      </x:c>
      <x:c r="S214" t="n">
        <x:v>58.44</x:v>
      </x:c>
      <x:c r="T214" t="n">
        <x:v>8.9</x:v>
      </x:c>
      <x:c r="U214" t="str">
        <x:v>#000000</x:v>
      </x:c>
      <x:c r="V214" t="n">
        <x:v>12.42</x:v>
      </x:c>
      <x:c r="W214" t="n">
        <x:v>0.570883</x:v>
      </x:c>
      <x:c r="X214" t="str">
        <x:v>High</x:v>
      </x:c>
      <x:c r="Y214" t="str">
        <x:v>Average of official PDF swatch samples across distinct source palettes; not a physical colour standard.</x:v>
      </x:c>
    </x:row>
    <x:row r="215">
      <x:c r="A215" t="str">
        <x:v>8f496119-5511-5a03-a0f0-fa98ae1f777b</x:v>
      </x:c>
      <x:c r="B215" t="str">
        <x:v>CDA-CODE-821</x:v>
      </x:c>
      <x:c r="C215" t="str">
        <x:v>821</x:v>
      </x:c>
      <x:c r="D215" t="str">
        <x:v>Naples ochre</x:v>
      </x:c>
      <x:c r="E215" t="str">
        <x:v>那不勒斯赭黃</x:v>
      </x:c>
      <x:c r="F215" t="str">
        <x:v>ネープルスオーカー</x:v>
      </x:c>
      <x:c r="G215" t="str">
        <x:v>Naples ochre</x:v>
      </x:c>
      <x:c r="H215" t="str">
        <x:v>那不勒斯赭黃</x:v>
      </x:c>
      <x:c r="I215" t="str">
        <x:v>ネイプルスオーカー | ネープルスオーカー</x:v>
      </x:c>
      <x:c r="J215" t="n">
        <x:v>4</x:v>
      </x:c>
      <x:c r="K215" t="str">
        <x:v>LUMINANCE 6901 | MUSEUM Aquarelle | PASTEL PENCILS | PASTEL CUBES</x:v>
      </x:c>
      <x:c r="L215" t="str">
        <x:v>PY184/PY42/PY3 | PY42/PY184/PBr7</x:v>
      </x:c>
      <x:c r="M215" t="str">
        <x:v>#F1D8A3</x:v>
      </x:c>
      <x:c r="N215" t="n">
        <x:v>241</x:v>
      </x:c>
      <x:c r="O215" t="n">
        <x:v>216</x:v>
      </x:c>
      <x:c r="P215" t="n">
        <x:v>163</x:v>
      </x:c>
      <x:c r="Q215" t="n">
        <x:v>87.22</x:v>
      </x:c>
      <x:c r="R215" t="n">
        <x:v>1.05</x:v>
      </x:c>
      <x:c r="S215" t="n">
        <x:v>29.34</x:v>
      </x:c>
      <x:c r="T215" t="n">
        <x:v>14.45</x:v>
      </x:c>
      <x:c r="U215" t="str">
        <x:v>#000000</x:v>
      </x:c>
      <x:c r="V215" t="n">
        <x:v>15.09</x:v>
      </x:c>
      <x:c r="W215" t="n">
        <x:v>0.704568</x:v>
      </x:c>
      <x:c r="X215" t="str">
        <x:v>Medium</x:v>
      </x:c>
      <x:c r="Y215" t="str">
        <x:v>Average of official PDF swatch samples across distinct source palettes; not a physical colour standard.</x:v>
      </x:c>
    </x:row>
    <x:row r="216">
      <x:c r="A216" t="str">
        <x:v>e9b99d7e-c47f-58b1-9226-ca91fe67a631</x:v>
      </x:c>
      <x:c r="B216" t="str">
        <x:v>CDA-CODE-832</x:v>
      </x:c>
      <x:c r="C216" t="str">
        <x:v>832</x:v>
      </x:c>
      <x:c r="D216" t="str">
        <x:v>Brown ochre 10%</x:v>
      </x:c>
      <x:c r="E216" t="str">
        <x:v>棕赭色 10%</x:v>
      </x:c>
      <x:c r="F216" t="str">
        <x:v>ブラウンオーカー 10%</x:v>
      </x:c>
      <x:c r="G216" t="str">
        <x:v>Brown ochre 10%</x:v>
      </x:c>
      <x:c r="H216" t="str">
        <x:v>棕赭色 10%</x:v>
      </x:c>
      <x:c r="I216" t="str">
        <x:v>ブラウンオーカー 10%</x:v>
      </x:c>
      <x:c r="J216" t="n">
        <x:v>1</x:v>
      </x:c>
      <x:c r="K216" t="str">
        <x:v>LUMINANCE 6901</x:v>
      </x:c>
      <x:c r="L216" t="str">
        <x:v>PR101/PY42/PBk9</x:v>
      </x:c>
      <x:c r="M216" t="str">
        <x:v>#F7D7BF</x:v>
      </x:c>
      <x:c r="N216" t="n">
        <x:v>247</x:v>
      </x:c>
      <x:c r="O216" t="n">
        <x:v>215</x:v>
      </x:c>
      <x:c r="P216" t="n">
        <x:v>191</x:v>
      </x:c>
      <x:c r="Q216" t="n">
        <x:v>88.04</x:v>
      </x:c>
      <x:c r="R216" t="n">
        <x:v>7.5</x:v>
      </x:c>
      <x:c r="S216" t="n">
        <x:v>15.94</x:v>
      </x:c>
      <x:c r="T216" t="n">
        <x:v>0</x:v>
      </x:c>
      <x:c r="U216" t="str">
        <x:v>#000000</x:v>
      </x:c>
      <x:c r="V216" t="n">
        <x:v>15.43</x:v>
      </x:c>
      <x:c r="W216" t="n">
        <x:v>0.721366</x:v>
      </x:c>
      <x:c r="X216" t="str">
        <x:v>High</x:v>
      </x:c>
      <x:c r="Y216" t="str">
        <x:v>Average of official PDF swatch samples across distinct source palettes; not a physical colour standard.</x:v>
      </x:c>
    </x:row>
    <x:row r="217">
      <x:c r="A217" t="str">
        <x:v>b9b61ef8-39f6-5687-8cb0-37bf483c86e5</x:v>
      </x:c>
      <x:c r="B217" t="str">
        <x:v>CDA-CODE-836</x:v>
      </x:c>
      <x:c r="C217" t="str">
        <x:v>836</x:v>
      </x:c>
      <x:c r="D217" t="str">
        <x:v>Brown ochre 50%</x:v>
      </x:c>
      <x:c r="E217" t="str">
        <x:v>棕赭色 50%</x:v>
      </x:c>
      <x:c r="F217" t="str">
        <x:v>ブラウンオーカー 50%</x:v>
      </x:c>
      <x:c r="G217" t="str">
        <x:v>Brown ochre 50%</x:v>
      </x:c>
      <x:c r="H217" t="str">
        <x:v>棕赭色 50%</x:v>
      </x:c>
      <x:c r="I217" t="str">
        <x:v>ブラウンオーカー 50%</x:v>
      </x:c>
      <x:c r="J217" t="n">
        <x:v>1</x:v>
      </x:c>
      <x:c r="K217" t="str">
        <x:v>LUMINANCE 6901</x:v>
      </x:c>
      <x:c r="L217" t="str">
        <x:v>PR101/PY42/PBk9</x:v>
      </x:c>
      <x:c r="M217" t="str">
        <x:v>#D5A375</x:v>
      </x:c>
      <x:c r="N217" t="n">
        <x:v>213</x:v>
      </x:c>
      <x:c r="O217" t="n">
        <x:v>163</x:v>
      </x:c>
      <x:c r="P217" t="n">
        <x:v>117</x:v>
      </x:c>
      <x:c r="Q217" t="n">
        <x:v>70.61</x:v>
      </x:c>
      <x:c r="R217" t="n">
        <x:v>12.72</x:v>
      </x:c>
      <x:c r="S217" t="n">
        <x:v>30.99</x:v>
      </x:c>
      <x:c r="T217" t="n">
        <x:v>0</x:v>
      </x:c>
      <x:c r="U217" t="str">
        <x:v>#000000</x:v>
      </x:c>
      <x:c r="V217" t="n">
        <x:v>9.32</x:v>
      </x:c>
      <x:c r="W217" t="n">
        <x:v>0.416249</x:v>
      </x:c>
      <x:c r="X217" t="str">
        <x:v>High</x:v>
      </x:c>
      <x:c r="Y217" t="str">
        <x:v>Average of official PDF swatch samples across distinct source palettes; not a physical colour standard.</x:v>
      </x:c>
    </x:row>
    <x:row r="218">
      <x:c r="A218" t="str">
        <x:v>9441003d-e3c3-5555-8369-35b723ece664</x:v>
      </x:c>
      <x:c r="B218" t="str">
        <x:v>CDA-CODE-842</x:v>
      </x:c>
      <x:c r="C218" t="str">
        <x:v>842</x:v>
      </x:c>
      <x:c r="D218" t="str">
        <x:v>Raw umber 10%</x:v>
      </x:c>
      <x:c r="E218" t="str">
        <x:v>生褐色 10%</x:v>
      </x:c>
      <x:c r="F218" t="str">
        <x:v>ローアンバー 10%</x:v>
      </x:c>
      <x:c r="G218" t="str">
        <x:v>Raw umber 10%</x:v>
      </x:c>
      <x:c r="H218" t="str">
        <x:v>生褐色 10%</x:v>
      </x:c>
      <x:c r="I218" t="str">
        <x:v>ローアンバー 10%</x:v>
      </x:c>
      <x:c r="J218" t="n">
        <x:v>1</x:v>
      </x:c>
      <x:c r="K218" t="str">
        <x:v>LUMINANCE 6901</x:v>
      </x:c>
      <x:c r="L218" t="str">
        <x:v>PR101/PY42/PBk11</x:v>
      </x:c>
      <x:c r="M218" t="str">
        <x:v>#D6C1A3</x:v>
      </x:c>
      <x:c r="N218" t="n">
        <x:v>214</x:v>
      </x:c>
      <x:c r="O218" t="n">
        <x:v>193</x:v>
      </x:c>
      <x:c r="P218" t="n">
        <x:v>163</x:v>
      </x:c>
      <x:c r="Q218" t="n">
        <x:v>79.09</x:v>
      </x:c>
      <x:c r="R218" t="n">
        <x:v>2.75</x:v>
      </x:c>
      <x:c r="S218" t="n">
        <x:v>17.83</x:v>
      </x:c>
      <x:c r="T218" t="n">
        <x:v>0</x:v>
      </x:c>
      <x:c r="U218" t="str">
        <x:v>#000000</x:v>
      </x:c>
      <x:c r="V218" t="n">
        <x:v>12.02</x:v>
      </x:c>
      <x:c r="W218" t="n">
        <x:v>0.550804</x:v>
      </x:c>
      <x:c r="X218" t="str">
        <x:v>High</x:v>
      </x:c>
      <x:c r="Y218" t="str">
        <x:v>Average of official PDF swatch samples across distinct source palettes; not a physical colour standard.</x:v>
      </x:c>
    </x:row>
    <x:row r="219">
      <x:c r="A219" t="str">
        <x:v>7a754e96-fd08-5fbe-a848-b8b9c4a6b6ae</x:v>
      </x:c>
      <x:c r="B219" t="str">
        <x:v>CDA-CODE-846</x:v>
      </x:c>
      <x:c r="C219" t="str">
        <x:v>846</x:v>
      </x:c>
      <x:c r="D219" t="str">
        <x:v>Raw umber 50%</x:v>
      </x:c>
      <x:c r="E219" t="str">
        <x:v>生褐色 50%</x:v>
      </x:c>
      <x:c r="F219" t="str">
        <x:v>ローアンバー 50%</x:v>
      </x:c>
      <x:c r="G219" t="str">
        <x:v>Raw umber 50%</x:v>
      </x:c>
      <x:c r="H219" t="str">
        <x:v>生褐色 50%</x:v>
      </x:c>
      <x:c r="I219" t="str">
        <x:v>ローアンバー 50%</x:v>
      </x:c>
      <x:c r="J219" t="n">
        <x:v>1</x:v>
      </x:c>
      <x:c r="K219" t="str">
        <x:v>LUMINANCE 6901</x:v>
      </x:c>
      <x:c r="L219" t="str">
        <x:v>PR101/PY42/PBk11</x:v>
      </x:c>
      <x:c r="M219" t="str">
        <x:v>#978469</x:v>
      </x:c>
      <x:c r="N219" t="n">
        <x:v>151</x:v>
      </x:c>
      <x:c r="O219" t="n">
        <x:v>132</x:v>
      </x:c>
      <x:c r="P219" t="n">
        <x:v>105</x:v>
      </x:c>
      <x:c r="Q219" t="n">
        <x:v>56.19</x:v>
      </x:c>
      <x:c r="R219" t="n">
        <x:v>2.94</x:v>
      </x:c>
      <x:c r="S219" t="n">
        <x:v>17.25</x:v>
      </x:c>
      <x:c r="T219" t="n">
        <x:v>0</x:v>
      </x:c>
      <x:c r="U219" t="str">
        <x:v>#000000</x:v>
      </x:c>
      <x:c r="V219" t="n">
        <x:v>5.82</x:v>
      </x:c>
      <x:c r="W219" t="n">
        <x:v>0.241018</x:v>
      </x:c>
      <x:c r="X219" t="str">
        <x:v>High</x:v>
      </x:c>
      <x:c r="Y219" t="str">
        <x:v>Average of official PDF swatch samples across distinct source palettes; not a physical colour standard.</x:v>
      </x:c>
    </x:row>
    <x:row r="220">
      <x:c r="A220" t="str">
        <x:v>a152ca18-ad8d-5774-9bb9-3f9df85d57a5</x:v>
      </x:c>
      <x:c r="B220" t="str">
        <x:v>CDA-CODE-850</x:v>
      </x:c>
      <x:c r="C220" t="str">
        <x:v>850</x:v>
      </x:c>
      <x:c r="D220" t="str">
        <x:v>Cornelian</x:v>
      </x:c>
      <x:c r="E220" t="str">
        <x:v>紅玉髓色</x:v>
      </x:c>
      <x:c r="F220" t="str">
        <x:v>カーネリアン</x:v>
      </x:c>
      <x:c r="G220" t="str">
        <x:v>Cornelian</x:v>
      </x:c>
      <x:c r="H220" t="str">
        <x:v>紅玉髓色</x:v>
      </x:c>
      <x:c r="I220" t="str">
        <x:v>カーネリアン | コーネリアン</x:v>
      </x:c>
      <x:c r="J220" t="n">
        <x:v>3</x:v>
      </x:c>
      <x:c r="K220" t="str">
        <x:v>LUMINANCE 6901 | MUSEUM Aquarelle | NEOART 6901</x:v>
      </x:c>
      <x:c r="L220" t="str">
        <x:v>PO61</x:v>
      </x:c>
      <x:c r="M220" s="165" t="str">
        <x:v>#EE8337</x:v>
      </x:c>
      <x:c r="N220" t="n">
        <x:v>238</x:v>
      </x:c>
      <x:c r="O220" t="n">
        <x:v>131</x:v>
      </x:c>
      <x:c r="P220" t="n">
        <x:v>55</x:v>
      </x:c>
      <x:c r="Q220" t="n">
        <x:v>65.51</x:v>
      </x:c>
      <x:c r="R220" t="n">
        <x:v>35.67</x:v>
      </x:c>
      <x:c r="S220" t="n">
        <x:v>56.8</x:v>
      </x:c>
      <x:c r="T220" t="n">
        <x:v>12.61</x:v>
      </x:c>
      <x:c r="U220" t="str">
        <x:v>#000000</x:v>
      </x:c>
      <x:c r="V220" t="n">
        <x:v>7.94</x:v>
      </x:c>
      <x:c r="W220" t="n">
        <x:v>0.346856</x:v>
      </x:c>
      <x:c r="X220" t="str">
        <x:v>Medium</x:v>
      </x:c>
      <x:c r="Y220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21">
      <x:c r="A221" t="str">
        <x:v>ae6fbd3d-3326-50d7-9e45-d8bdc8a29149</x:v>
      </x:c>
      <x:c r="B221" t="str">
        <x:v>CDA-CODE-862</x:v>
      </x:c>
      <x:c r="C221" t="str">
        <x:v>862</x:v>
      </x:c>
      <x:c r="D221" t="str">
        <x:v>Burnt sienna 10%</x:v>
      </x:c>
      <x:c r="E221" t="str">
        <x:v>熟赭紅 10%</x:v>
      </x:c>
      <x:c r="F221" t="str">
        <x:v>バーントシェンナ 10%</x:v>
      </x:c>
      <x:c r="G221" t="str">
        <x:v>Burnt sienna 10%</x:v>
      </x:c>
      <x:c r="H221" t="str">
        <x:v>熟赭紅 10%</x:v>
      </x:c>
      <x:c r="I221" t="str">
        <x:v>バーントシェンナ 10%</x:v>
      </x:c>
      <x:c r="J221" t="n">
        <x:v>1</x:v>
      </x:c>
      <x:c r="K221" t="str">
        <x:v>LUMINANCE 6901</x:v>
      </x:c>
      <x:c r="L221" t="str">
        <x:v>PR101/PBk6</x:v>
      </x:c>
      <x:c r="M221" t="str">
        <x:v>#DBBABA</x:v>
      </x:c>
      <x:c r="N221" t="n">
        <x:v>219</x:v>
      </x:c>
      <x:c r="O221" t="n">
        <x:v>186</x:v>
      </x:c>
      <x:c r="P221" t="n">
        <x:v>186</x:v>
      </x:c>
      <x:c r="Q221" t="n">
        <x:v>78.3</x:v>
      </x:c>
      <x:c r="R221" t="n">
        <x:v>11.78</x:v>
      </x:c>
      <x:c r="S221" t="n">
        <x:v>4.39</x:v>
      </x:c>
      <x:c r="T221" t="n">
        <x:v>0</x:v>
      </x:c>
      <x:c r="U221" t="str">
        <x:v>#000000</x:v>
      </x:c>
      <x:c r="V221" t="n">
        <x:v>11.74</x:v>
      </x:c>
      <x:c r="W221" t="n">
        <x:v>0.537231</x:v>
      </x:c>
      <x:c r="X221" t="str">
        <x:v>High</x:v>
      </x:c>
      <x:c r="Y221" t="str">
        <x:v>Average of official PDF swatch samples across distinct source palettes; not a physical colour standard.</x:v>
      </x:c>
    </x:row>
    <x:row r="222">
      <x:c r="A222" t="str">
        <x:v>cfc42192-70a7-5ede-8295-1b9b9640d45c</x:v>
      </x:c>
      <x:c r="B222" t="str">
        <x:v>CDA-CODE-866</x:v>
      </x:c>
      <x:c r="C222" t="str">
        <x:v>866</x:v>
      </x:c>
      <x:c r="D222" t="str">
        <x:v>Burnt sienna 50%</x:v>
      </x:c>
      <x:c r="E222" t="str">
        <x:v>熟赭紅 50%</x:v>
      </x:c>
      <x:c r="F222" t="str">
        <x:v>バーントシェンナ 50%</x:v>
      </x:c>
      <x:c r="G222" t="str">
        <x:v>Burnt sienna 50%</x:v>
      </x:c>
      <x:c r="H222" t="str">
        <x:v>熟赭紅 50%</x:v>
      </x:c>
      <x:c r="I222" t="str">
        <x:v>バーントシェンナ 50% | バーントシェンナ50%</x:v>
      </x:c>
      <x:c r="J222" t="n">
        <x:v>2</x:v>
      </x:c>
      <x:c r="K222" t="str">
        <x:v>LUMINANCE 6901 | MUSEUM Aquarelle</x:v>
      </x:c>
      <x:c r="L222" t="str">
        <x:v>PR101/PBk6</x:v>
      </x:c>
      <x:c r="M222" t="str">
        <x:v>#A96666</x:v>
      </x:c>
      <x:c r="N222" t="n">
        <x:v>169</x:v>
      </x:c>
      <x:c r="O222" t="n">
        <x:v>102</x:v>
      </x:c>
      <x:c r="P222" t="n">
        <x:v>102</x:v>
      </x:c>
      <x:c r="Q222" t="n">
        <x:v>50.57</x:v>
      </x:c>
      <x:c r="R222" t="n">
        <x:v>26.94</x:v>
      </x:c>
      <x:c r="S222" t="n">
        <x:v>11.53</x:v>
      </x:c>
      <x:c r="T222" t="n">
        <x:v>10.3</x:v>
      </x:c>
      <x:c r="U222" t="str">
        <x:v>#000000</x:v>
      </x:c>
      <x:c r="V222" t="n">
        <x:v>4.78</x:v>
      </x:c>
      <x:c r="W222" t="n">
        <x:v>0.188971</x:v>
      </x:c>
      <x:c r="X222" t="str">
        <x:v>Medium</x:v>
      </x:c>
      <x:c r="Y222" t="str">
        <x:v>Average of official PDF swatch samples across distinct source palettes; not a physical colour standard.</x:v>
      </x:c>
    </x:row>
    <x:row r="223">
      <x:c r="A223" t="str">
        <x:v>8df6a0e2-3033-52a3-9215-ae4a18478567</x:v>
      </x:c>
      <x:c r="B223" t="str">
        <x:v>CDA-CODE-871</x:v>
      </x:c>
      <x:c r="C223" t="str">
        <x:v>871</x:v>
      </x:c>
      <x:c r="D223" t="str">
        <x:v>Azurite white</x:v>
      </x:c>
      <x:c r="E223" t="str">
        <x:v>藍銅礦白</x:v>
      </x:c>
      <x:c r="F223" t="str">
        <x:v>アズライトホワイト</x:v>
      </x:c>
      <x:c r="G223" t="str">
        <x:v>Azurite white</x:v>
      </x:c>
      <x:c r="H223" t="str">
        <x:v>藍銅礦白</x:v>
      </x:c>
      <x:c r="I223" t="str">
        <x:v>アズライトホワイト</x:v>
      </x:c>
      <x:c r="J223" t="n">
        <x:v>2</x:v>
      </x:c>
      <x:c r="K223" t="str">
        <x:v>PASTEL PENCILS | PASTEL CUBES</x:v>
      </x:c>
      <x:c r="L223" t="str">
        <x:v>PW6/PB28</x:v>
      </x:c>
      <x:c r="M223" t="str">
        <x:v>#B8B3B1</x:v>
      </x:c>
      <x:c r="N223" t="n">
        <x:v>184</x:v>
      </x:c>
      <x:c r="O223" t="n">
        <x:v>179</x:v>
      </x:c>
      <x:c r="P223" t="n">
        <x:v>177</x:v>
      </x:c>
      <x:c r="Q223" t="n">
        <x:v>73.29</x:v>
      </x:c>
      <x:c r="R223" t="n">
        <x:v>1.4</x:v>
      </x:c>
      <x:c r="S223" t="n">
        <x:v>1.65</x:v>
      </x:c>
      <x:c r="T223" t="n">
        <x:v>0</x:v>
      </x:c>
      <x:c r="U223" t="str">
        <x:v>#000000</x:v>
      </x:c>
      <x:c r="V223" t="n">
        <x:v>10.12</x:v>
      </x:c>
      <x:c r="W223" t="n">
        <x:v>0.456049</x:v>
      </x:c>
      <x:c r="X223" t="str">
        <x:v>High</x:v>
      </x:c>
      <x:c r="Y223" t="str">
        <x:v>Average of official PDF swatch samples across distinct source palettes; not a physical colour standard.</x:v>
      </x:c>
    </x:row>
    <x:row r="224">
      <x:c r="A224" t="str">
        <x:v>155fc5c7-93e7-5547-b187-0f21844ff5c1</x:v>
      </x:c>
      <x:c r="B224" t="str">
        <x:v>CDA-CODE-872</x:v>
      </x:c>
      <x:c r="C224" t="str">
        <x:v>872</x:v>
      </x:c>
      <x:c r="D224" t="str">
        <x:v>Burnt ochre 10%</x:v>
      </x:c>
      <x:c r="E224" t="str">
        <x:v>熟赭色 10%</x:v>
      </x:c>
      <x:c r="F224" t="str">
        <x:v>バーントオーカー 10%</x:v>
      </x:c>
      <x:c r="G224" t="str">
        <x:v>Burnt ochre 10%</x:v>
      </x:c>
      <x:c r="H224" t="str">
        <x:v>熟赭色 10%</x:v>
      </x:c>
      <x:c r="I224" t="str">
        <x:v>バーントオーカー 10%</x:v>
      </x:c>
      <x:c r="J224" t="n">
        <x:v>2</x:v>
      </x:c>
      <x:c r="K224" t="str">
        <x:v>LUMINANCE 6901 | NEOART 6901</x:v>
      </x:c>
      <x:c r="L224" t="str">
        <x:v>PR101/PY42</x:v>
      </x:c>
      <x:c r="M224" s="167" t="str">
        <x:v>#F1C5AF</x:v>
      </x:c>
      <x:c r="N224" t="n">
        <x:v>241</x:v>
      </x:c>
      <x:c r="O224" t="n">
        <x:v>197</x:v>
      </x:c>
      <x:c r="P224" t="n">
        <x:v>175</x:v>
      </x:c>
      <x:c r="Q224" t="n">
        <x:v>82.77</x:v>
      </x:c>
      <x:c r="R224" t="n">
        <x:v>12.47</x:v>
      </x:c>
      <x:c r="S224" t="n">
        <x:v>16.93</x:v>
      </x:c>
      <x:c r="T224" t="n">
        <x:v>4.81</x:v>
      </x:c>
      <x:c r="U224" t="str">
        <x:v>#000000</x:v>
      </x:c>
      <x:c r="V224" t="n">
        <x:v>13.35</x:v>
      </x:c>
      <x:c r="W224" t="n">
        <x:v>0.617284</x:v>
      </x:c>
      <x:c r="X224" t="str">
        <x:v>High</x:v>
      </x:c>
      <x:c r="Y224" t="str">
        <x:v>Average of official source-palette digital samples; NEOART 6901 added from the 2025 official catalogue chart. Digital values are screen-reference approximations, not manufacturer device-independent standards.</x:v>
      </x:c>
    </x:row>
    <x:row r="225">
      <x:c r="A225" t="str">
        <x:v>15d93ddf-9fe6-52d4-91c3-a5518421472d</x:v>
      </x:c>
      <x:c r="B225" t="str">
        <x:v>CDA-CODE-876</x:v>
      </x:c>
      <x:c r="C225" t="str">
        <x:v>876</x:v>
      </x:c>
      <x:c r="D225" t="str">
        <x:v>Burnt ochre 50%</x:v>
      </x:c>
      <x:c r="E225" t="str">
        <x:v>熟赭色 50%</x:v>
      </x:c>
      <x:c r="F225" t="str">
        <x:v>バーントオーカー 50%</x:v>
      </x:c>
      <x:c r="G225" t="str">
        <x:v>Burnt ochre 50%</x:v>
      </x:c>
      <x:c r="H225" t="str">
        <x:v>熟赭色 50%</x:v>
      </x:c>
      <x:c r="I225" t="str">
        <x:v>バーントオーカー 50%</x:v>
      </x:c>
      <x:c r="J225" t="n">
        <x:v>1</x:v>
      </x:c>
      <x:c r="K225" t="str">
        <x:v>LUMINANCE 6901</x:v>
      </x:c>
      <x:c r="L225" t="str">
        <x:v>PR101/PY42</x:v>
      </x:c>
      <x:c r="M225" t="str">
        <x:v>#D19777</x:v>
      </x:c>
      <x:c r="N225" t="n">
        <x:v>209</x:v>
      </x:c>
      <x:c r="O225" t="n">
        <x:v>151</x:v>
      </x:c>
      <x:c r="P225" t="n">
        <x:v>119</x:v>
      </x:c>
      <x:c r="Q225" t="n">
        <x:v>67.29</x:v>
      </x:c>
      <x:c r="R225" t="n">
        <x:v>17.82</x:v>
      </x:c>
      <x:c r="S225" t="n">
        <x:v>25.45</x:v>
      </x:c>
      <x:c r="T225" t="n">
        <x:v>0</x:v>
      </x:c>
      <x:c r="U225" t="str">
        <x:v>#000000</x:v>
      </x:c>
      <x:c r="V225" t="n">
        <x:v>8.4</x:v>
      </x:c>
      <x:c r="W225" t="n">
        <x:v>0.370204</x:v>
      </x:c>
      <x:c r="X225" t="str">
        <x:v>High</x:v>
      </x:c>
      <x:c r="Y225" t="str">
        <x:v>Average of official PDF swatch samples across distinct source palettes; not a physical colour standard.</x:v>
      </x:c>
    </x:row>
    <x:row r="226">
      <x:c r="A226" t="str">
        <x:v>6b457299-3ab3-5f84-8ba0-62aedfe48c61</x:v>
      </x:c>
      <x:c r="B226" t="str">
        <x:v>CDA-CODE-901</x:v>
      </x:c>
      <x:c r="C226" t="str">
        <x:v>901</x:v>
      </x:c>
      <x:c r="D226" t="str">
        <x:v>Chinese White</x:v>
      </x:c>
      <x:c r="E226" t="str">
        <x:v>中國白</x:v>
      </x:c>
      <x:c r="F226" t="str">
        <x:v>チャイニーズホワイト</x:v>
      </x:c>
      <x:c r="G226" t="str">
        <x:v>Chinese White</x:v>
      </x:c>
      <x:c r="H226" t="str">
        <x:v>中國白</x:v>
      </x:c>
      <x:c r="I226" t="str">
        <x:v>チャイニーズホワイト</x:v>
      </x:c>
      <x:c r="J226" t="n">
        <x:v>2</x:v>
      </x:c>
      <x:c r="K226" t="str">
        <x:v>PASTEL PENCILS | PASTEL CUBES</x:v>
      </x:c>
      <x:c r="L226" t="str">
        <x:v>PW6</x:v>
      </x:c>
      <x:c r="M226" t="str">
        <x:v>#EEEDEE</x:v>
      </x:c>
      <x:c r="N226" t="n">
        <x:v>238</x:v>
      </x:c>
      <x:c r="O226" t="n">
        <x:v>237</x:v>
      </x:c>
      <x:c r="P226" t="n">
        <x:v>238</x:v>
      </x:c>
      <x:c r="Q226" t="n">
        <x:v>93.85</x:v>
      </x:c>
      <x:c r="R226" t="n">
        <x:v>0.51</x:v>
      </x:c>
      <x:c r="S226" t="n">
        <x:v>-0.36</x:v>
      </x:c>
      <x:c r="T226" t="n">
        <x:v>0</x:v>
      </x:c>
      <x:c r="U226" t="str">
        <x:v>#000000</x:v>
      </x:c>
      <x:c r="V226" t="n">
        <x:v>17.98</x:v>
      </x:c>
      <x:c r="W226" t="n">
        <x:v>0.849186</x:v>
      </x:c>
      <x:c r="X226" t="str">
        <x:v>High</x:v>
      </x:c>
      <x:c r="Y226" t="str">
        <x:v>Average of official PDF swatch samples across distinct source palettes; not a physical colour standard.</x:v>
      </x:c>
    </x:row>
    <x:row r="227">
      <x:c r="A227" t="str">
        <x:v>302500f6-a3f2-54f5-9719-36f2124eb98d</x:v>
      </x:c>
      <x:c r="B227" t="str">
        <x:v>CDA-CODE-902</x:v>
      </x:c>
      <x:c r="C227" t="str">
        <x:v>902</x:v>
      </x:c>
      <x:c r="D227" t="str">
        <x:v>Sepia 10%</x:v>
      </x:c>
      <x:c r="E227" t="str">
        <x:v>深褐色 10%</x:v>
      </x:c>
      <x:c r="F227" t="str">
        <x:v>セピア 10%</x:v>
      </x:c>
      <x:c r="G227" t="str">
        <x:v>Sepia 10%</x:v>
      </x:c>
      <x:c r="H227" t="str">
        <x:v>深褐色 10%</x:v>
      </x:c>
      <x:c r="I227" t="str">
        <x:v>セピア 10% | セピア10%</x:v>
      </x:c>
      <x:c r="J227" t="n">
        <x:v>2</x:v>
      </x:c>
      <x:c r="K227" t="str">
        <x:v>LUMINANCE 6901 | MUSEUM Aquarelle</x:v>
      </x:c>
      <x:c r="L227" t="str">
        <x:v>PR101/PBk7/PBk11/PY42 | PR101/PBr7/PBk6/PBk11</x:v>
      </x:c>
      <x:c r="M227" t="str">
        <x:v>#AE9794</x:v>
      </x:c>
      <x:c r="N227" t="n">
        <x:v>174</x:v>
      </x:c>
      <x:c r="O227" t="n">
        <x:v>151</x:v>
      </x:c>
      <x:c r="P227" t="n">
        <x:v>148</x:v>
      </x:c>
      <x:c r="Q227" t="n">
        <x:v>64.38</x:v>
      </x:c>
      <x:c r="R227" t="n">
        <x:v>8.01</x:v>
      </x:c>
      <x:c r="S227" t="n">
        <x:v>4.72</x:v>
      </x:c>
      <x:c r="T227" t="n">
        <x:v>6.92</x:v>
      </x:c>
      <x:c r="U227" t="str">
        <x:v>#000000</x:v>
      </x:c>
      <x:c r="V227" t="n">
        <x:v>7.65</x:v>
      </x:c>
      <x:c r="W227" t="n">
        <x:v>0.3327</x:v>
      </x:c>
      <x:c r="X227" t="str">
        <x:v>High</x:v>
      </x:c>
      <x:c r="Y227" t="str">
        <x:v>Average of official PDF swatch samples across distinct source palettes; not a physical colour standard.</x:v>
      </x:c>
    </x:row>
    <x:row r="228">
      <x:c r="A228" t="str">
        <x:v>37077cbe-078d-5546-9db4-c470ae253c0a</x:v>
      </x:c>
      <x:c r="B228" t="str">
        <x:v>CDA-CODE-906</x:v>
      </x:c>
      <x:c r="C228" t="str">
        <x:v>906</x:v>
      </x:c>
      <x:c r="D228" t="str">
        <x:v>Sepia 50%</x:v>
      </x:c>
      <x:c r="E228" t="str">
        <x:v>深褐色 50%</x:v>
      </x:c>
      <x:c r="F228" t="str">
        <x:v>セピア 50%</x:v>
      </x:c>
      <x:c r="G228" t="str">
        <x:v>Sepia 50%</x:v>
      </x:c>
      <x:c r="H228" t="str">
        <x:v>深褐色 50%</x:v>
      </x:c>
      <x:c r="I228" t="str">
        <x:v>セピア 50% | セピア50%</x:v>
      </x:c>
      <x:c r="J228" t="n">
        <x:v>2</x:v>
      </x:c>
      <x:c r="K228" t="str">
        <x:v>LUMINANCE 6901 | MUSEUM Aquarelle</x:v>
      </x:c>
      <x:c r="L228" t="str">
        <x:v>PR101/PBk7/PBk11/PY42 | PR101/PBr7/PBk6/PBk11</x:v>
      </x:c>
      <x:c r="M228" t="str">
        <x:v>#826C6F</x:v>
      </x:c>
      <x:c r="N228" t="n">
        <x:v>130</x:v>
      </x:c>
      <x:c r="O228" t="n">
        <x:v>108</x:v>
      </x:c>
      <x:c r="P228" t="n">
        <x:v>111</x:v>
      </x:c>
      <x:c r="Q228" t="n">
        <x:v>47.78</x:v>
      </x:c>
      <x:c r="R228" t="n">
        <x:v>9.21</x:v>
      </x:c>
      <x:c r="S228" t="n">
        <x:v>1.58</x:v>
      </x:c>
      <x:c r="T228" t="n">
        <x:v>12.83</x:v>
      </x:c>
      <x:c r="U228" t="str">
        <x:v>#FFFFFF</x:v>
      </x:c>
      <x:c r="V228" t="n">
        <x:v>4.86</x:v>
      </x:c>
      <x:c r="W228" t="n">
        <x:v>0.166186</x:v>
      </x:c>
      <x:c r="X228" t="str">
        <x:v>Medium</x:v>
      </x:c>
      <x:c r="Y228" t="str">
        <x:v>Average of official PDF swatch samples across distinct source palettes; not a physical colour standard.</x:v>
      </x:c>
    </x:row>
  </x:sheetData>
  <x:conditionalFormatting sqref="T2:T22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2:W228">
    <x:cfRule type="expression" dxfId="0" priority="2">
      <x:formula>W2="Low"</x:formula>
    </x:cfRule>
    <x:cfRule type="expression" dxfId="1" priority="3">
      <x:formula>W2="High"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f7a7a6545448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9" hidden="0" customWidth="1"/>
    <x:col min="4" max="4" width="38" hidden="0" customWidth="1"/>
    <x:col min="5" max="5" width="20" hidden="0" customWidth="1"/>
    <x:col min="6" max="6" width="16" hidden="0" customWidth="1"/>
    <x:col min="7" max="7" width="9" hidden="0" customWidth="1"/>
    <x:col min="8" max="8" width="31" hidden="0" customWidth="1"/>
    <x:col min="9" max="9" width="38" hidden="0" customWidth="1"/>
    <x:col min="10" max="10" width="14" hidden="0" customWidth="1"/>
    <x:col min="11" max="11" width="10" hidden="0" customWidth="1"/>
    <x:col min="12" max="12" width="9" hidden="0" customWidth="1"/>
    <x:col min="13" max="13" width="26" hidden="0" customWidth="1"/>
    <x:col min="14" max="14" width="23" hidden="0" customWidth="1"/>
    <x:col min="15" max="15" width="23" hidden="0" customWidth="1"/>
    <x:col min="16" max="16" width="23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30" hidden="0" customWidth="1"/>
    <x:col min="24" max="24" width="11" hidden="0" customWidth="1"/>
    <x:col min="25" max="25" width="13" hidden="0" customWidth="1"/>
    <x:col min="26" max="26" width="15" hidden="0" customWidth="1"/>
    <x:col min="27" max="27" width="12" hidden="0" customWidth="1"/>
    <x:col min="28" max="28" width="30" hidden="0" customWidth="1"/>
    <x:col min="29" max="29" width="14" hidden="0" customWidth="1"/>
    <x:col min="30" max="30" width="8" hidden="0" customWidth="1"/>
    <x:col min="31" max="31" width="8" hidden="0" customWidth="1"/>
    <x:col min="32" max="32" width="8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6" hidden="0" customWidth="1"/>
    <x:col min="40" max="40" width="17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2" hidden="0" customWidth="1"/>
    <x:col min="46" max="46" width="21" hidden="0" customWidth="1"/>
    <x:col min="47" max="47" width="25" hidden="0" customWidth="1"/>
    <x:col min="48" max="48" width="48" hidden="0" customWidth="1"/>
    <x:col min="49" max="49" width="85" hidden="0" customWidth="1"/>
    <x:col min="50" max="50" width="10" hidden="0" customWidth="1"/>
    <x:col min="51" max="51" width="12" hidden="0" customWidth="1"/>
    <x:col min="52" max="52" width="52" hidden="0" customWidth="1"/>
    <x:col min="53" max="53" width="46" hidden="0" customWidth="1"/>
    <x:col min="54" max="54" width="75" hidden="0" customWidth="1"/>
  </x:cols>
  <x:sheetData>
    <x:row r="1" ht="30" customHeight="1">
      <x:c r="A1" s="25" t="str">
        <x:v>lookup_key</x:v>
      </x:c>
      <x:c r="B1" s="25" t="str">
        <x:v>record_uuid</x:v>
      </x:c>
      <x:c r="C1" s="25" t="str">
        <x:v>series_color_id</x:v>
      </x:c>
      <x:c r="D1" s="25" t="str">
        <x:v>canonical_code_uuid</x:v>
      </x:c>
      <x:c r="E1" s="25" t="str">
        <x:v>canonical_code_id</x:v>
      </x:c>
      <x:c r="F1" s="25" t="str">
        <x:v>brand</x:v>
      </x:c>
      <x:c r="G1" s="25" t="str">
        <x:v>series_id</x:v>
      </x:c>
      <x:c r="H1" s="25" t="str">
        <x:v>series_name</x:v>
      </x:c>
      <x:c r="I1" s="25" t="str">
        <x:v>medium_type</x:v>
      </x:c>
      <x:c r="J1" s="25" t="str">
        <x:v>product_grade</x:v>
      </x:c>
      <x:c r="K1" s="25" t="str">
        <x:v>palette_order</x:v>
      </x:c>
      <x:c r="L1" s="25" t="str">
        <x:v>color_code</x:v>
      </x:c>
      <x:c r="M1" s="25" t="str">
        <x:v>color_name_en</x:v>
      </x:c>
      <x:c r="N1" s="25" t="str">
        <x:v>color_name_zh_tw</x:v>
      </x:c>
      <x:c r="O1" s="25" t="str">
        <x:v>color_name_ja</x:v>
      </x:c>
      <x:c r="P1" s="25" t="str">
        <x:v>color_name_ja_official</x:v>
      </x:c>
      <x:c r="Q1" s="25" t="str">
        <x:v>color_name_fr</x:v>
      </x:c>
      <x:c r="R1" s="25" t="str">
        <x:v>color_name_de</x:v>
      </x:c>
      <x:c r="S1" s="25" t="str">
        <x:v>color_name_it</x:v>
      </x:c>
      <x:c r="T1" s="25" t="str">
        <x:v>color_name_es</x:v>
      </x:c>
      <x:c r="U1" s="25" t="str">
        <x:v>color_name_pt</x:v>
      </x:c>
      <x:c r="V1" s="25" t="str">
        <x:v>color_name_ko</x:v>
      </x:c>
      <x:c r="W1" s="25" t="str">
        <x:v>pigment_index</x:v>
      </x:c>
      <x:c r="X1" s="25" t="str">
        <x:v>pigment_count</x:v>
      </x:c>
      <x:c r="Y1" s="25" t="str">
        <x:v>lightfastness_rating</x:v>
      </x:c>
      <x:c r="Z1" s="25" t="str">
        <x:v>lightfastness_normalized_5</x:v>
      </x:c>
      <x:c r="AA1" s="25" t="str">
        <x:v>lightfastness_scale_max</x:v>
      </x:c>
      <x:c r="AB1" s="25" t="str">
        <x:v>lightfastness_standard</x:v>
      </x:c>
      <x:c r="AC1" s="25" t="str">
        <x:v>css_hex_approx</x:v>
      </x:c>
      <x:c r="AD1" s="25" t="str">
        <x:v>rgb_r</x:v>
      </x:c>
      <x:c r="AE1" s="25" t="str">
        <x:v>rgb_g</x:v>
      </x:c>
      <x:c r="AF1" s="25" t="str">
        <x:v>rgb_b</x:v>
      </x:c>
      <x:c r="AG1" s="25" t="str">
        <x:v>hsl_h</x:v>
      </x:c>
      <x:c r="AH1" s="25" t="str">
        <x:v>hsl_s</x:v>
      </x:c>
      <x:c r="AI1" s="25" t="str">
        <x:v>hsl_l</x:v>
      </x:c>
      <x:c r="AJ1" s="25" t="str">
        <x:v>lab_l</x:v>
      </x:c>
      <x:c r="AK1" s="25" t="str">
        <x:v>lab_a</x:v>
      </x:c>
      <x:c r="AL1" s="25" t="str">
        <x:v>lab_b</x:v>
      </x:c>
      <x:c r="AM1" s="25" t="str">
        <x:v>recommended_foreground_hex</x:v>
      </x:c>
      <x:c r="AN1" s="25" t="str">
        <x:v>recommended_foreground_name</x:v>
      </x:c>
      <x:c r="AO1" s="25" t="str">
        <x:v>best_contrast_ratio</x:v>
      </x:c>
      <x:c r="AP1" s="25" t="str">
        <x:v>contrast_with_black</x:v>
      </x:c>
      <x:c r="AQ1" s="25" t="str">
        <x:v>contrast_with_white</x:v>
      </x:c>
      <x:c r="AR1" s="25" t="str">
        <x:v>relative_luminance</x:v>
      </x:c>
      <x:c r="AS1" s="25" t="str">
        <x:v>wcag_aa_normal_text</x:v>
      </x:c>
      <x:c r="AT1" s="25" t="str">
        <x:v>css_variable</x:v>
      </x:c>
      <x:c r="AU1" s="25" t="str">
        <x:v>css_usage</x:v>
      </x:c>
      <x:c r="AV1" s="25" t="str">
        <x:v>sample_method</x:v>
      </x:c>
      <x:c r="AW1" s="25" t="str">
        <x:v>source_url</x:v>
      </x:c>
      <x:c r="AX1" s="25" t="str">
        <x:v>source_page</x:v>
      </x:c>
      <x:c r="AY1" s="25" t="str">
        <x:v>source_status</x:v>
      </x:c>
      <x:c r="AZ1" s="25" t="str">
        <x:v>translation_status</x:v>
      </x:c>
      <x:c r="BA1" s="25" t="str">
        <x:v>data_quality_status</x:v>
      </x:c>
      <x:c r="BB1" s="25" t="str">
        <x:v>notes</x:v>
      </x:c>
    </x:row>
    <x:row r="2">
      <x:c r="A2" t="str">
        <x:f>G2&amp;"|"&amp;L2</x:f>
        <x:v>LUM|001</x:v>
      </x:c>
      <x:c r="B2" t="str">
        <x:v>357cda41-472a-5241-8036-01239b07fe68</x:v>
      </x:c>
      <x:c r="C2" t="str">
        <x:v>CDA-LUM-001</x:v>
      </x:c>
      <x:c r="D2" t="str">
        <x:v>1fdf2a25-f600-5523-bc97-56cadaedc26c</x:v>
      </x:c>
      <x:c r="E2" t="str">
        <x:v>CDA-CODE-001</x:v>
      </x:c>
      <x:c r="F2" t="str">
        <x:v>Caran d’Ache</x:v>
      </x:c>
      <x:c r="G2" t="str">
        <x:v>LUM</x:v>
      </x:c>
      <x:c r="H2" t="str">
        <x:v>LUMINANCE 6901</x:v>
      </x:c>
      <x:c r="I2" t="str">
        <x:v>Oil-based permanent coloured pencil</x:v>
      </x:c>
      <x:c r="J2" t="str">
        <x:v>Professional</x:v>
      </x:c>
      <x:c r="K2" s="30" t="n">
        <x:v>1</x:v>
      </x:c>
      <x:c r="L2" s="30" t="str">
        <x:v>001</x:v>
      </x:c>
      <x:c r="M2" t="str">
        <x:v>White</x:v>
      </x:c>
      <x:c r="N2" t="str">
        <x:v>白色</x:v>
      </x:c>
      <x:c r="O2" t="str">
        <x:v>ホワイト</x:v>
      </x:c>
      <x:c r="P2" t="str"/>
      <x:c r="Q2" t="str">
        <x:v>Blanc</x:v>
      </x:c>
      <x:c r="R2" t="str">
        <x:v>Weiss</x:v>
      </x:c>
      <x:c r="S2" t="str">
        <x:v>Bianco</x:v>
      </x:c>
      <x:c r="T2" t="str">
        <x:v>Blanco</x:v>
      </x:c>
      <x:c r="U2" t="str">
        <x:v>Branco</x:v>
      </x:c>
      <x:c r="V2" t="str"/>
      <x:c r="W2" t="str">
        <x:v>PW6</x:v>
      </x:c>
      <x:c r="X2" t="n">
        <x:f>IF(W2="",0,LEN(W2)-LEN(SUBSTITUTE(W2,"/",""))+1)</x:f>
        <x:v>1</x:v>
      </x:c>
      <x:c r="Y2" t="str">
        <x:v>I</x:v>
      </x:c>
      <x:c r="Z2" s="32" t="n">
        <x:v>1.67</x:v>
      </x:c>
      <x:c r="AA2" s="32" t="n">
        <x:v>3</x:v>
      </x:c>
      <x:c r="AB2" s="32" t="str">
        <x:v>ASTM D-6901</x:v>
      </x:c>
      <x:c r="AC2" t="str">
        <x:v>#F4F4F5</x:v>
      </x:c>
      <x:c r="AD2" s="34" t="n">
        <x:v>244</x:v>
      </x:c>
      <x:c r="AE2" s="34" t="n">
        <x:v>244</x:v>
      </x:c>
      <x:c r="AF2" s="34" t="n">
        <x:v>245</x:v>
      </x:c>
      <x:c r="AG2" s="32" t="n">
        <x:v>240</x:v>
      </x:c>
      <x:c r="AH2" s="32" t="n">
        <x:v>4.76</x:v>
      </x:c>
      <x:c r="AI2" s="32" t="n">
        <x:v>95.88</x:v>
      </x:c>
      <x:c r="AJ2" s="32" t="n">
        <x:v>96.21</x:v>
      </x:c>
      <x:c r="AK2" s="32" t="n">
        <x:v>0.18</x:v>
      </x:c>
      <x:c r="AL2" s="32" t="n">
        <x:v>-0.48</x:v>
      </x:c>
      <x:c r="AM2" s="32" t="str">
        <x:v>#000000</x:v>
      </x:c>
      <x:c r="AN2" s="32" t="str">
        <x:v>Black</x:v>
      </x:c>
      <x:c r="AO2" s="32" t="n">
        <x:v>19.11</x:v>
      </x:c>
      <x:c r="AP2" s="32" t="n">
        <x:v>19.11</x:v>
      </x:c>
      <x:c r="AQ2" s="32" t="n">
        <x:v>1.1</x:v>
      </x:c>
      <x:c r="AR2" s="32" t="n">
        <x:v>0.90527</x:v>
      </x:c>
      <x:c r="AS2" t="str">
        <x:v>PASS</x:v>
      </x:c>
      <x:c r="AT2" t="str">
        <x:v>--cda-lum-001</x:v>
      </x:c>
      <x:c r="AU2" t="str">
        <x:v>var(--cda-lum-001)</x:v>
      </x:c>
      <x:c r="AV2" t="str">
        <x:v>Median RGB from official PDF swatch (screen reference only)</x:v>
      </x:c>
      <x:c r="AW2" t="str">
        <x:v>https://www.carandache.com/content_files/uploaded_doc/product/10580/nuancier_luminance_fr.pdf</x:v>
      </x:c>
      <x:c r="AX2" t="n">
        <x:v>1</x:v>
      </x:c>
      <x:c r="AY2" t="str">
        <x:v>Official</x:v>
      </x:c>
      <x:c r="AZ2" t="str">
        <x:v>Official where available; curated Traditional Chinese/Japanese otherwise</x:v>
      </x:c>
      <x:c r="BA2" t="str">
        <x:v>Verified from official chart; digital HEX is approximate</x:v>
      </x:c>
      <x:c r="BB2" t="str">
        <x:v>Physical media appearance varies by paper, pressure, layering, water and scan/display profile.</x:v>
      </x:c>
    </x:row>
    <x:row r="3">
      <x:c r="A3" t="str">
        <x:f>G3&amp;"|"&amp;L3</x:f>
        <x:v>LUM|581</x:v>
      </x:c>
      <x:c r="B3" t="str">
        <x:v>31fe5f2f-7641-5b51-a59d-4268e44c8e08</x:v>
      </x:c>
      <x:c r="C3" t="str">
        <x:v>CDA-LUM-581</x:v>
      </x:c>
      <x:c r="D3" t="str">
        <x:v>d612d7ac-3f3b-585f-921d-ba2432829883</x:v>
      </x:c>
      <x:c r="E3" t="str">
        <x:v>CDA-CODE-581</x:v>
      </x:c>
      <x:c r="F3" t="str">
        <x:v>Caran d’Ache</x:v>
      </x:c>
      <x:c r="G3" t="str">
        <x:v>LUM</x:v>
      </x:c>
      <x:c r="H3" t="str">
        <x:v>LUMINANCE 6901</x:v>
      </x:c>
      <x:c r="I3" t="str">
        <x:v>Oil-based permanent coloured pencil</x:v>
      </x:c>
      <x:c r="J3" t="str">
        <x:v>Professional</x:v>
      </x:c>
      <x:c r="K3" s="30" t="n">
        <x:v>2</x:v>
      </x:c>
      <x:c r="L3" s="30" t="str">
        <x:v>581</x:v>
      </x:c>
      <x:c r="M3" t="str">
        <x:v>Pink white</x:v>
      </x:c>
      <x:c r="N3" t="str">
        <x:v>粉白色</x:v>
      </x:c>
      <x:c r="O3" t="str">
        <x:v>ピンクホワイト</x:v>
      </x:c>
      <x:c r="P3" t="str"/>
      <x:c r="Q3" t="str">
        <x:v>Blanc rosé</x:v>
      </x:c>
      <x:c r="R3" t="str">
        <x:v>Rosaweiss</x:v>
      </x:c>
      <x:c r="S3" t="str">
        <x:v>Bianco rosa</x:v>
      </x:c>
      <x:c r="T3" t="str">
        <x:v>Blanco rosado</x:v>
      </x:c>
      <x:c r="U3" t="str">
        <x:v>Branco rosa</x:v>
      </x:c>
      <x:c r="V3" t="str"/>
      <x:c r="W3" t="str">
        <x:v>PR101</x:v>
      </x:c>
      <x:c r="X3" t="n">
        <x:f>IF(W3="",0,LEN(W3)-LEN(SUBSTITUTE(W3,"/",""))+1)</x:f>
        <x:v>1</x:v>
      </x:c>
      <x:c r="Y3" t="str">
        <x:v>I</x:v>
      </x:c>
      <x:c r="Z3" s="32" t="n">
        <x:v>1.67</x:v>
      </x:c>
      <x:c r="AA3" s="32" t="n">
        <x:v>3</x:v>
      </x:c>
      <x:c r="AB3" s="32" t="str">
        <x:v>ASTM D-6901</x:v>
      </x:c>
      <x:c r="AC3" t="str">
        <x:v>#F4E5DB</x:v>
      </x:c>
      <x:c r="AD3" s="34" t="n">
        <x:v>244</x:v>
      </x:c>
      <x:c r="AE3" s="34" t="n">
        <x:v>229</x:v>
      </x:c>
      <x:c r="AF3" s="34" t="n">
        <x:v>219</x:v>
      </x:c>
      <x:c r="AG3" s="32" t="n">
        <x:v>24</x:v>
      </x:c>
      <x:c r="AH3" s="32" t="n">
        <x:v>53.19</x:v>
      </x:c>
      <x:c r="AI3" s="32" t="n">
        <x:v>90.78</x:v>
      </x:c>
      <x:c r="AJ3" s="32" t="n">
        <x:v>91.86</x:v>
      </x:c>
      <x:c r="AK3" s="32" t="n">
        <x:v>3.44</x:v>
      </x:c>
      <x:c r="AL3" s="32" t="n">
        <x:v>6.7</x:v>
      </x:c>
      <x:c r="AM3" s="32" t="str">
        <x:v>#000000</x:v>
      </x:c>
      <x:c r="AN3" s="32" t="str">
        <x:v>Black</x:v>
      </x:c>
      <x:c r="AO3" s="32" t="n">
        <x:v>17.08</x:v>
      </x:c>
      <x:c r="AP3" s="32" t="n">
        <x:v>17.08</x:v>
      </x:c>
      <x:c r="AQ3" s="32" t="n">
        <x:v>1.23</x:v>
      </x:c>
      <x:c r="AR3" s="32" t="n">
        <x:v>0.803862</x:v>
      </x:c>
      <x:c r="AS3" t="str">
        <x:v>PASS</x:v>
      </x:c>
      <x:c r="AT3" t="str">
        <x:v>--cda-lum-581</x:v>
      </x:c>
      <x:c r="AU3" t="str">
        <x:v>var(--cda-lum-581)</x:v>
      </x:c>
      <x:c r="AV3" t="str">
        <x:v>Median RGB from official PDF swatch (screen reference only)</x:v>
      </x:c>
      <x:c r="AW3" t="str">
        <x:v>https://www.carandache.com/content_files/uploaded_doc/product/10580/nuancier_luminance_fr.pdf</x:v>
      </x:c>
      <x:c r="AX3" t="n">
        <x:v>1</x:v>
      </x:c>
      <x:c r="AY3" t="str">
        <x:v>Official</x:v>
      </x:c>
      <x:c r="AZ3" t="str">
        <x:v>Official where available; curated Traditional Chinese/Japanese otherwise</x:v>
      </x:c>
      <x:c r="BA3" t="str">
        <x:v>Verified from official chart; digital HEX is approximate</x:v>
      </x:c>
      <x:c r="BB3" t="str">
        <x:v>Physical media appearance varies by paper, pressure, layering, water and scan/display profile.</x:v>
      </x:c>
    </x:row>
    <x:row r="4">
      <x:c r="A4" t="str">
        <x:f>G4&amp;"|"&amp;L4</x:f>
        <x:v>LUM|801</x:v>
      </x:c>
      <x:c r="B4" t="str">
        <x:v>815af046-63fe-5dee-b061-5f26670ac9a9</x:v>
      </x:c>
      <x:c r="C4" t="str">
        <x:v>CDA-LUM-801</x:v>
      </x:c>
      <x:c r="D4" t="str">
        <x:v>c33b0290-6779-5c57-ba73-fbba650d886c</x:v>
      </x:c>
      <x:c r="E4" t="str">
        <x:v>CDA-CODE-801</x:v>
      </x:c>
      <x:c r="F4" t="str">
        <x:v>Caran d’Ache</x:v>
      </x:c>
      <x:c r="G4" t="str">
        <x:v>LUM</x:v>
      </x:c>
      <x:c r="H4" t="str">
        <x:v>LUMINANCE 6901</x:v>
      </x:c>
      <x:c r="I4" t="str">
        <x:v>Oil-based permanent coloured pencil</x:v>
      </x:c>
      <x:c r="J4" t="str">
        <x:v>Professional</x:v>
      </x:c>
      <x:c r="K4" s="30" t="n">
        <x:v>3</x:v>
      </x:c>
      <x:c r="L4" s="30" t="str">
        <x:v>801</x:v>
      </x:c>
      <x:c r="M4" t="str">
        <x:v>Buff titanium</x:v>
      </x:c>
      <x:c r="N4" t="str">
        <x:v>鈦米色</x:v>
      </x:c>
      <x:c r="O4" t="str">
        <x:v>バフチタニウム</x:v>
      </x:c>
      <x:c r="P4" t="str"/>
      <x:c r="Q4" t="str">
        <x:v>Titane Buff</x:v>
      </x:c>
      <x:c r="R4" t="str">
        <x:v>Titan Buff</x:v>
      </x:c>
      <x:c r="S4" t="str">
        <x:v>Titanio</x:v>
      </x:c>
      <x:c r="T4" t="str">
        <x:v>Titanio crudo</x:v>
      </x:c>
      <x:c r="U4" t="str">
        <x:v>Titânio</x:v>
      </x:c>
      <x:c r="V4" t="str"/>
      <x:c r="W4" t="str">
        <x:v>PY151/PR101</x:v>
      </x:c>
      <x:c r="X4" t="n">
        <x:f>IF(W4="",0,LEN(W4)-LEN(SUBSTITUTE(W4,"/",""))+1)</x:f>
        <x:v>2</x:v>
      </x:c>
      <x:c r="Y4" t="str">
        <x:v>II</x:v>
      </x:c>
      <x:c r="Z4" s="32" t="n">
        <x:v>3.33</x:v>
      </x:c>
      <x:c r="AA4" s="32" t="n">
        <x:v>3</x:v>
      </x:c>
      <x:c r="AB4" s="32" t="str">
        <x:v>ASTM D-6901</x:v>
      </x:c>
      <x:c r="AC4" t="str">
        <x:v>#FEEEC7</x:v>
      </x:c>
      <x:c r="AD4" s="34" t="n">
        <x:v>254</x:v>
      </x:c>
      <x:c r="AE4" s="34" t="n">
        <x:v>238</x:v>
      </x:c>
      <x:c r="AF4" s="34" t="n">
        <x:v>199</x:v>
      </x:c>
      <x:c r="AG4" s="32" t="n">
        <x:v>42.55</x:v>
      </x:c>
      <x:c r="AH4" s="32" t="n">
        <x:v>96.49</x:v>
      </x:c>
      <x:c r="AI4" s="32" t="n">
        <x:v>88.82</x:v>
      </x:c>
      <x:c r="AJ4" s="32" t="n">
        <x:v>94.46</x:v>
      </x:c>
      <x:c r="AK4" s="32" t="n">
        <x:v>-0.6</x:v>
      </x:c>
      <x:c r="AL4" s="32" t="n">
        <x:v>20.86</x:v>
      </x:c>
      <x:c r="AM4" s="32" t="str">
        <x:v>#000000</x:v>
      </x:c>
      <x:c r="AN4" s="32" t="str">
        <x:v>Black</x:v>
      </x:c>
      <x:c r="AO4" s="32" t="n">
        <x:v>18.27</x:v>
      </x:c>
      <x:c r="AP4" s="32" t="n">
        <x:v>18.27</x:v>
      </x:c>
      <x:c r="AQ4" s="32" t="n">
        <x:v>1.15</x:v>
      </x:c>
      <x:c r="AR4" s="32" t="n">
        <x:v>0.863434</x:v>
      </x:c>
      <x:c r="AS4" t="str">
        <x:v>PASS</x:v>
      </x:c>
      <x:c r="AT4" t="str">
        <x:v>--cda-lum-801</x:v>
      </x:c>
      <x:c r="AU4" t="str">
        <x:v>var(--cda-lum-801)</x:v>
      </x:c>
      <x:c r="AV4" t="str">
        <x:v>Median RGB from official PDF swatch (screen reference only)</x:v>
      </x:c>
      <x:c r="AW4" t="str">
        <x:v>https://www.carandache.com/content_files/uploaded_doc/product/10580/nuancier_luminance_fr.pdf</x:v>
      </x:c>
      <x:c r="AX4" t="n">
        <x:v>1</x:v>
      </x:c>
      <x:c r="AY4" t="str">
        <x:v>Official</x:v>
      </x:c>
      <x:c r="AZ4" t="str">
        <x:v>Official where available; curated Traditional Chinese/Japanese otherwise</x:v>
      </x:c>
      <x:c r="BA4" t="str">
        <x:v>Verified from official chart; digital HEX is approximate</x:v>
      </x:c>
      <x:c r="BB4" t="str">
        <x:v>Physical media appearance varies by paper, pressure, layering, water and scan/display profile.</x:v>
      </x:c>
    </x:row>
    <x:row r="5">
      <x:c r="A5" t="str">
        <x:f>G5&amp;"|"&amp;L5</x:f>
        <x:v>LUM|242</x:v>
      </x:c>
      <x:c r="B5" t="str">
        <x:v>09b7f4bc-17d0-5720-95d8-a83cbcfb8520</x:v>
      </x:c>
      <x:c r="C5" t="str">
        <x:v>CDA-LUM-242</x:v>
      </x:c>
      <x:c r="D5" t="str">
        <x:v>002524a5-f889-5959-9b3e-11b1cd28562b</x:v>
      </x:c>
      <x:c r="E5" t="str">
        <x:v>CDA-CODE-242</x:v>
      </x:c>
      <x:c r="F5" t="str">
        <x:v>Caran d’Ache</x:v>
      </x:c>
      <x:c r="G5" t="str">
        <x:v>LUM</x:v>
      </x:c>
      <x:c r="H5" t="str">
        <x:v>LUMINANCE 6901</x:v>
      </x:c>
      <x:c r="I5" t="str">
        <x:v>Oil-based permanent coloured pencil</x:v>
      </x:c>
      <x:c r="J5" t="str">
        <x:v>Professional</x:v>
      </x:c>
      <x:c r="K5" s="30" t="n">
        <x:v>4</x:v>
      </x:c>
      <x:c r="L5" s="30" t="str">
        <x:v>242</x:v>
      </x:c>
      <x:c r="M5" t="str">
        <x:v>Primerose</x:v>
      </x:c>
      <x:c r="N5" t="str">
        <x:v>報春花黃</x:v>
      </x:c>
      <x:c r="O5" t="str">
        <x:v>プリムローズ</x:v>
      </x:c>
      <x:c r="P5" t="str"/>
      <x:c r="Q5" t="str">
        <x:v>Primevère</x:v>
      </x:c>
      <x:c r="R5" t="str">
        <x:v>Schlusseblüme</x:v>
      </x:c>
      <x:c r="S5" t="str">
        <x:v>Primavera</x:v>
      </x:c>
      <x:c r="T5" t="str">
        <x:v>Primavera</x:v>
      </x:c>
      <x:c r="U5" t="str">
        <x:v>Primavera</x:v>
      </x:c>
      <x:c r="V5" t="str"/>
      <x:c r="W5" t="str">
        <x:v>PY42/PY53</x:v>
      </x:c>
      <x:c r="X5" t="n">
        <x:f>IF(W5="",0,LEN(W5)-LEN(SUBSTITUTE(W5,"/",""))+1)</x:f>
        <x:v>2</x:v>
      </x:c>
      <x:c r="Y5" t="str">
        <x:v>I</x:v>
      </x:c>
      <x:c r="Z5" s="32" t="n">
        <x:v>1.67</x:v>
      </x:c>
      <x:c r="AA5" s="32" t="n">
        <x:v>3</x:v>
      </x:c>
      <x:c r="AB5" s="32" t="str">
        <x:v>ASTM D-6901</x:v>
      </x:c>
      <x:c r="AC5" t="str">
        <x:v>#FFEDAD</x:v>
      </x:c>
      <x:c r="AD5" s="34" t="n">
        <x:v>255</x:v>
      </x:c>
      <x:c r="AE5" s="34" t="n">
        <x:v>237</x:v>
      </x:c>
      <x:c r="AF5" s="34" t="n">
        <x:v>173</x:v>
      </x:c>
      <x:c r="AG5" s="32" t="n">
        <x:v>46.83</x:v>
      </x:c>
      <x:c r="AH5" s="32" t="n">
        <x:v>100</x:v>
      </x:c>
      <x:c r="AI5" s="32" t="n">
        <x:v>83.92</x:v>
      </x:c>
      <x:c r="AJ5" s="32" t="n">
        <x:v>93.82</x:v>
      </x:c>
      <x:c r="AK5" s="32" t="n">
        <x:v>-3.11</x:v>
      </x:c>
      <x:c r="AL5" s="32" t="n">
        <x:v>33.27</x:v>
      </x:c>
      <x:c r="AM5" s="32" t="str">
        <x:v>#000000</x:v>
      </x:c>
      <x:c r="AN5" s="32" t="str">
        <x:v>Black</x:v>
      </x:c>
      <x:c r="AO5" s="32" t="n">
        <x:v>17.97</x:v>
      </x:c>
      <x:c r="AP5" s="32" t="n">
        <x:v>17.97</x:v>
      </x:c>
      <x:c r="AQ5" s="32" t="n">
        <x:v>1.17</x:v>
      </x:c>
      <x:c r="AR5" s="32" t="n">
        <x:v>0.848455</x:v>
      </x:c>
      <x:c r="AS5" t="str">
        <x:v>PASS</x:v>
      </x:c>
      <x:c r="AT5" t="str">
        <x:v>--cda-lum-242</x:v>
      </x:c>
      <x:c r="AU5" t="str">
        <x:v>var(--cda-lum-242)</x:v>
      </x:c>
      <x:c r="AV5" t="str">
        <x:v>Median RGB from official PDF swatch (screen reference only)</x:v>
      </x:c>
      <x:c r="AW5" t="str">
        <x:v>https://www.carandache.com/content_files/uploaded_doc/product/10580/nuancier_luminance_fr.pdf</x:v>
      </x:c>
      <x:c r="AX5" t="n">
        <x:v>1</x:v>
      </x:c>
      <x:c r="AY5" t="str">
        <x:v>Official</x:v>
      </x:c>
      <x:c r="AZ5" t="str">
        <x:v>Official where available; curated Traditional Chinese/Japanese otherwise</x:v>
      </x:c>
      <x:c r="BA5" t="str">
        <x:v>Verified from official chart; digital HEX is approximate</x:v>
      </x:c>
      <x:c r="BB5" t="str">
        <x:v>Physical media appearance varies by paper, pressure, layering, water and scan/display profile.</x:v>
      </x:c>
    </x:row>
    <x:row r="6">
      <x:c r="A6" t="str">
        <x:f>G6&amp;"|"&amp;L6</x:f>
        <x:v>LUM|821</x:v>
      </x:c>
      <x:c r="B6" t="str">
        <x:v>691a3591-75f9-5a23-a6ff-963c730914d0</x:v>
      </x:c>
      <x:c r="C6" t="str">
        <x:v>CDA-LUM-821</x:v>
      </x:c>
      <x:c r="D6" t="str">
        <x:v>8f496119-5511-5a03-a0f0-fa98ae1f777b</x:v>
      </x:c>
      <x:c r="E6" t="str">
        <x:v>CDA-CODE-821</x:v>
      </x:c>
      <x:c r="F6" t="str">
        <x:v>Caran d’Ache</x:v>
      </x:c>
      <x:c r="G6" t="str">
        <x:v>LUM</x:v>
      </x:c>
      <x:c r="H6" t="str">
        <x:v>LUMINANCE 6901</x:v>
      </x:c>
      <x:c r="I6" t="str">
        <x:v>Oil-based permanent coloured pencil</x:v>
      </x:c>
      <x:c r="J6" t="str">
        <x:v>Professional</x:v>
      </x:c>
      <x:c r="K6" s="30" t="n">
        <x:v>5</x:v>
      </x:c>
      <x:c r="L6" s="30" t="str">
        <x:v>821</x:v>
      </x:c>
      <x:c r="M6" t="str">
        <x:v>Naples ochre</x:v>
      </x:c>
      <x:c r="N6" t="str">
        <x:v>那不勒斯赭黃</x:v>
      </x:c>
      <x:c r="O6" t="str">
        <x:v>ネープルスオーカー</x:v>
      </x:c>
      <x:c r="P6" t="str"/>
      <x:c r="Q6" t="str">
        <x:v>Ocre de Naples</x:v>
      </x:c>
      <x:c r="R6" t="str">
        <x:v>Neapelocker</x:v>
      </x:c>
      <x:c r="S6" t="str">
        <x:v>Ocra di Napoli</x:v>
      </x:c>
      <x:c r="T6" t="str">
        <x:v>Ocre de Nápoles</x:v>
      </x:c>
      <x:c r="U6" t="str">
        <x:v>Ocre Napoles</x:v>
      </x:c>
      <x:c r="V6" t="str"/>
      <x:c r="W6" t="str">
        <x:v>PY42/PY184/PBr7</x:v>
      </x:c>
      <x:c r="X6" t="n">
        <x:f>IF(W6="",0,LEN(W6)-LEN(SUBSTITUTE(W6,"/",""))+1)</x:f>
        <x:v>3</x:v>
      </x:c>
      <x:c r="Y6" t="str">
        <x:v>I</x:v>
      </x:c>
      <x:c r="Z6" s="32" t="n">
        <x:v>1.67</x:v>
      </x:c>
      <x:c r="AA6" s="32" t="n">
        <x:v>3</x:v>
      </x:c>
      <x:c r="AB6" s="32" t="str">
        <x:v>ASTM D-6901</x:v>
      </x:c>
      <x:c r="AC6" t="str">
        <x:v>#FDDFB4</x:v>
      </x:c>
      <x:c r="AD6" s="34" t="n">
        <x:v>253</x:v>
      </x:c>
      <x:c r="AE6" s="34" t="n">
        <x:v>223</x:v>
      </x:c>
      <x:c r="AF6" s="34" t="n">
        <x:v>180</x:v>
      </x:c>
      <x:c r="AG6" s="32" t="n">
        <x:v>35.34</x:v>
      </x:c>
      <x:c r="AH6" s="32" t="n">
        <x:v>94.81</x:v>
      </x:c>
      <x:c r="AI6" s="32" t="n">
        <x:v>84.9</x:v>
      </x:c>
      <x:c r="AJ6" s="32" t="n">
        <x:v>90.3</x:v>
      </x:c>
      <x:c r="AK6" s="32" t="n">
        <x:v>4.12</x:v>
      </x:c>
      <x:c r="AL6" s="32" t="n">
        <x:v>24.9</x:v>
      </x:c>
      <x:c r="AM6" s="32" t="str">
        <x:v>#000000</x:v>
      </x:c>
      <x:c r="AN6" s="32" t="str">
        <x:v>Black</x:v>
      </x:c>
      <x:c r="AO6" s="32" t="n">
        <x:v>16.39</x:v>
      </x:c>
      <x:c r="AP6" s="32" t="n">
        <x:v>16.39</x:v>
      </x:c>
      <x:c r="AQ6" s="32" t="n">
        <x:v>1.28</x:v>
      </x:c>
      <x:c r="AR6" s="32" t="n">
        <x:v>0.769533</x:v>
      </x:c>
      <x:c r="AS6" t="str">
        <x:v>PASS</x:v>
      </x:c>
      <x:c r="AT6" t="str">
        <x:v>--cda-lum-821</x:v>
      </x:c>
      <x:c r="AU6" t="str">
        <x:v>var(--cda-lum-821)</x:v>
      </x:c>
      <x:c r="AV6" t="str">
        <x:v>Median RGB from official PDF swatch (screen reference only)</x:v>
      </x:c>
      <x:c r="AW6" t="str">
        <x:v>https://www.carandache.com/content_files/uploaded_doc/product/10580/nuancier_luminance_fr.pdf</x:v>
      </x:c>
      <x:c r="AX6" t="n">
        <x:v>1</x:v>
      </x:c>
      <x:c r="AY6" t="str">
        <x:v>Official</x:v>
      </x:c>
      <x:c r="AZ6" t="str">
        <x:v>Official where available; curated Traditional Chinese/Japanese otherwise</x:v>
      </x:c>
      <x:c r="BA6" t="str">
        <x:v>Verified from official chart; digital HEX is approximate</x:v>
      </x:c>
      <x:c r="BB6" t="str">
        <x:v>Physical media appearance varies by paper, pressure, layering, water and scan/display profile.</x:v>
      </x:c>
    </x:row>
    <x:row r="7">
      <x:c r="A7" t="str">
        <x:f>G7&amp;"|"&amp;L7</x:f>
        <x:v>LUM|240</x:v>
      </x:c>
      <x:c r="B7" t="str">
        <x:v>47bc318d-6293-5f27-83f0-3a92a6b2a5fe</x:v>
      </x:c>
      <x:c r="C7" t="str">
        <x:v>CDA-LUM-240</x:v>
      </x:c>
      <x:c r="D7" t="str">
        <x:v>e71849e5-e37c-518f-99a0-9189b6af2b63</x:v>
      </x:c>
      <x:c r="E7" t="str">
        <x:v>CDA-CODE-240</x:v>
      </x:c>
      <x:c r="F7" t="str">
        <x:v>Caran d’Ache</x:v>
      </x:c>
      <x:c r="G7" t="str">
        <x:v>LUM</x:v>
      </x:c>
      <x:c r="H7" t="str">
        <x:v>LUMINANCE 6901</x:v>
      </x:c>
      <x:c r="I7" t="str">
        <x:v>Oil-based permanent coloured pencil</x:v>
      </x:c>
      <x:c r="J7" t="str">
        <x:v>Professional</x:v>
      </x:c>
      <x:c r="K7" s="30" t="n">
        <x:v>6</x:v>
      </x:c>
      <x:c r="L7" s="30" t="str">
        <x:v>240</x:v>
      </x:c>
      <x:c r="M7" t="str">
        <x:v>Lemon yellow</x:v>
      </x:c>
      <x:c r="N7" t="str">
        <x:v>檸檬黃</x:v>
      </x:c>
      <x:c r="O7" t="str">
        <x:v>レモンイエロー</x:v>
      </x:c>
      <x:c r="P7" t="str"/>
      <x:c r="Q7" t="str">
        <x:v>Jaune citron</x:v>
      </x:c>
      <x:c r="R7" t="str">
        <x:v>Zitronengelb</x:v>
      </x:c>
      <x:c r="S7" t="str">
        <x:v>Giallo limone</x:v>
      </x:c>
      <x:c r="T7" t="str">
        <x:v>Amarillo limón</x:v>
      </x:c>
      <x:c r="U7" t="str">
        <x:v>Amarelo limão</x:v>
      </x:c>
      <x:c r="V7" t="str"/>
      <x:c r="W7" t="str">
        <x:v>PY3</x:v>
      </x:c>
      <x:c r="X7" t="n">
        <x:f>IF(W7="",0,LEN(W7)-LEN(SUBSTITUTE(W7,"/",""))+1)</x:f>
        <x:v>1</x:v>
      </x:c>
      <x:c r="Y7" t="str">
        <x:v>I</x:v>
      </x:c>
      <x:c r="Z7" s="32" t="n">
        <x:v>1.67</x:v>
      </x:c>
      <x:c r="AA7" s="32" t="n">
        <x:v>3</x:v>
      </x:c>
      <x:c r="AB7" s="32" t="str">
        <x:v>ASTM D-6901</x:v>
      </x:c>
      <x:c r="AC7" t="str">
        <x:v>#FDEC4E</x:v>
      </x:c>
      <x:c r="AD7" s="34" t="n">
        <x:v>253</x:v>
      </x:c>
      <x:c r="AE7" s="34" t="n">
        <x:v>236</x:v>
      </x:c>
      <x:c r="AF7" s="34" t="n">
        <x:v>78</x:v>
      </x:c>
      <x:c r="AG7" s="32" t="n">
        <x:v>54.17</x:v>
      </x:c>
      <x:c r="AH7" s="32" t="n">
        <x:v>97.77</x:v>
      </x:c>
      <x:c r="AI7" s="32" t="n">
        <x:v>64.9</x:v>
      </x:c>
      <x:c r="AJ7" s="32" t="n">
        <x:v>92.32</x:v>
      </x:c>
      <x:c r="AK7" s="32" t="n">
        <x:v>-11.36</x:v>
      </x:c>
      <x:c r="AL7" s="32" t="n">
        <x:v>74.73</x:v>
      </x:c>
      <x:c r="AM7" s="32" t="str">
        <x:v>#000000</x:v>
      </x:c>
      <x:c r="AN7" s="32" t="str">
        <x:v>Black</x:v>
      </x:c>
      <x:c r="AO7" s="32" t="n">
        <x:v>17.28</x:v>
      </x:c>
      <x:c r="AP7" s="32" t="n">
        <x:v>17.28</x:v>
      </x:c>
      <x:c r="AQ7" s="32" t="n">
        <x:v>1.21</x:v>
      </x:c>
      <x:c r="AR7" s="32" t="n">
        <x:v>0.814236</x:v>
      </x:c>
      <x:c r="AS7" t="str">
        <x:v>PASS</x:v>
      </x:c>
      <x:c r="AT7" t="str">
        <x:v>--cda-lum-240</x:v>
      </x:c>
      <x:c r="AU7" t="str">
        <x:v>var(--cda-lum-240)</x:v>
      </x:c>
      <x:c r="AV7" t="str">
        <x:v>Median RGB from official PDF swatch (screen reference only)</x:v>
      </x:c>
      <x:c r="AW7" t="str">
        <x:v>https://www.carandache.com/content_files/uploaded_doc/product/10580/nuancier_luminance_fr.pdf</x:v>
      </x:c>
      <x:c r="AX7" t="n">
        <x:v>1</x:v>
      </x:c>
      <x:c r="AY7" t="str">
        <x:v>Official</x:v>
      </x:c>
      <x:c r="AZ7" t="str">
        <x:v>Official where available; curated Traditional Chinese/Japanese otherwise</x:v>
      </x:c>
      <x:c r="BA7" t="str">
        <x:v>Verified from official chart; digital HEX is approximate</x:v>
      </x:c>
      <x:c r="BB7" t="str">
        <x:v>Physical media appearance varies by paper, pressure, layering, water and scan/display profile.</x:v>
      </x:c>
    </x:row>
    <x:row r="8">
      <x:c r="A8" t="str">
        <x:f>G8&amp;"|"&amp;L8</x:f>
        <x:v>LUM|520</x:v>
      </x:c>
      <x:c r="B8" t="str">
        <x:v>b959c7de-d43c-5a67-b04b-751ad1aa2ec4</x:v>
      </x:c>
      <x:c r="C8" t="str">
        <x:v>CDA-LUM-520</x:v>
      </x:c>
      <x:c r="D8" t="str">
        <x:v>4b64779a-d814-5ee5-9dae-59d32ed71f86</x:v>
      </x:c>
      <x:c r="E8" t="str">
        <x:v>CDA-CODE-520</x:v>
      </x:c>
      <x:c r="F8" t="str">
        <x:v>Caran d’Ache</x:v>
      </x:c>
      <x:c r="G8" t="str">
        <x:v>LUM</x:v>
      </x:c>
      <x:c r="H8" t="str">
        <x:v>LUMINANCE 6901</x:v>
      </x:c>
      <x:c r="I8" t="str">
        <x:v>Oil-based permanent coloured pencil</x:v>
      </x:c>
      <x:c r="J8" t="str">
        <x:v>Professional</x:v>
      </x:c>
      <x:c r="K8" s="30" t="n">
        <x:v>7</x:v>
      </x:c>
      <x:c r="L8" s="30" t="str">
        <x:v>520</x:v>
      </x:c>
      <x:c r="M8" t="str">
        <x:v>Medium cadmium yellow (imit.)</x:v>
      </x:c>
      <x:c r="N8" t="str">
        <x:v>中鎘黃（仿色）</x:v>
      </x:c>
      <x:c r="O8" t="str">
        <x:v>ミディアムカドミウムイエロー（模倣色）</x:v>
      </x:c>
      <x:c r="P8" t="str"/>
      <x:c r="Q8" t="str">
        <x:v>Jaune de Cadmium</x:v>
      </x:c>
      <x:c r="R8" t="str">
        <x:v>moyen (Imit)</x:v>
      </x:c>
      <x:c r="S8" t="str">
        <x:v>Kadmiumgelb mittel (Imit.) - Giallo</x:v>
      </x:c>
      <x:c r="T8" t="str">
        <x:v>cadmio medio (imit.)</x:v>
      </x:c>
      <x:c r="U8" t="str">
        <x:v>Amarillo cadmio medio (imit.) -</x:v>
      </x:c>
      <x:c r="V8" t="str"/>
      <x:c r="W8" t="str">
        <x:v>PY154</x:v>
      </x:c>
      <x:c r="X8" t="n">
        <x:f>IF(W8="",0,LEN(W8)-LEN(SUBSTITUTE(W8,"/",""))+1)</x:f>
        <x:v>1</x:v>
      </x:c>
      <x:c r="Y8" t="str">
        <x:v>I</x:v>
      </x:c>
      <x:c r="Z8" s="32" t="n">
        <x:v>1.67</x:v>
      </x:c>
      <x:c r="AA8" s="32" t="n">
        <x:v>3</x:v>
      </x:c>
      <x:c r="AB8" s="32" t="str">
        <x:v>ASTM D-6901</x:v>
      </x:c>
      <x:c r="AC8" t="str">
        <x:v>#FFE851</x:v>
      </x:c>
      <x:c r="AD8" s="34" t="n">
        <x:v>255</x:v>
      </x:c>
      <x:c r="AE8" s="34" t="n">
        <x:v>232</x:v>
      </x:c>
      <x:c r="AF8" s="34" t="n">
        <x:v>81</x:v>
      </x:c>
      <x:c r="AG8" s="32" t="n">
        <x:v>52.07</x:v>
      </x:c>
      <x:c r="AH8" s="32" t="n">
        <x:v>100</x:v>
      </x:c>
      <x:c r="AI8" s="32" t="n">
        <x:v>65.88</x:v>
      </x:c>
      <x:c r="AJ8" s="32" t="n">
        <x:v>91.49</x:v>
      </x:c>
      <x:c r="AK8" s="32" t="n">
        <x:v>-8.41</x:v>
      </x:c>
      <x:c r="AL8" s="32" t="n">
        <x:v>72.85</x:v>
      </x:c>
      <x:c r="AM8" s="32" t="str">
        <x:v>#000000</x:v>
      </x:c>
      <x:c r="AN8" s="32" t="str">
        <x:v>Black</x:v>
      </x:c>
      <x:c r="AO8" s="32" t="n">
        <x:v>16.91</x:v>
      </x:c>
      <x:c r="AP8" s="32" t="n">
        <x:v>16.91</x:v>
      </x:c>
      <x:c r="AQ8" s="32" t="n">
        <x:v>1.24</x:v>
      </x:c>
      <x:c r="AR8" s="32" t="n">
        <x:v>0.795673</x:v>
      </x:c>
      <x:c r="AS8" t="str">
        <x:v>PASS</x:v>
      </x:c>
      <x:c r="AT8" t="str">
        <x:v>--cda-lum-520</x:v>
      </x:c>
      <x:c r="AU8" t="str">
        <x:v>var(--cda-lum-520)</x:v>
      </x:c>
      <x:c r="AV8" t="str">
        <x:v>Median RGB from official PDF swatch (screen reference only)</x:v>
      </x:c>
      <x:c r="AW8" t="str">
        <x:v>https://www.carandache.com/content_files/uploaded_doc/product/10580/nuancier_luminance_fr.pdf</x:v>
      </x:c>
      <x:c r="AX8" t="n">
        <x:v>1</x:v>
      </x:c>
      <x:c r="AY8" t="str">
        <x:v>Official</x:v>
      </x:c>
      <x:c r="AZ8" t="str">
        <x:v>Official where available; curated Traditional Chinese/Japanese otherwise</x:v>
      </x:c>
      <x:c r="BA8" t="str">
        <x:v>Verified from official chart; digital HEX is approximate</x:v>
      </x:c>
      <x:c r="BB8" t="str">
        <x:v>Physical media appearance varies by paper, pressure, layering, water and scan/display profile.</x:v>
      </x:c>
    </x:row>
    <x:row r="9">
      <x:c r="A9" t="str">
        <x:f>G9&amp;"|"&amp;L9</x:f>
        <x:v>LUM|810</x:v>
      </x:c>
      <x:c r="B9" t="str">
        <x:v>fe259b09-f631-578a-8b4d-8947fafd1fd5</x:v>
      </x:c>
      <x:c r="C9" t="str">
        <x:v>CDA-LUM-810</x:v>
      </x:c>
      <x:c r="D9" t="str">
        <x:v>08441f6e-b0d8-52b7-ac5b-e0c17a1583de</x:v>
      </x:c>
      <x:c r="E9" t="str">
        <x:v>CDA-CODE-810</x:v>
      </x:c>
      <x:c r="F9" t="str">
        <x:v>Caran d’Ache</x:v>
      </x:c>
      <x:c r="G9" t="str">
        <x:v>LUM</x:v>
      </x:c>
      <x:c r="H9" t="str">
        <x:v>LUMINANCE 6901</x:v>
      </x:c>
      <x:c r="I9" t="str">
        <x:v>Oil-based permanent coloured pencil</x:v>
      </x:c>
      <x:c r="J9" t="str">
        <x:v>Professional</x:v>
      </x:c>
      <x:c r="K9" s="30" t="n">
        <x:v>8</x:v>
      </x:c>
      <x:c r="L9" s="30" t="str">
        <x:v>810</x:v>
      </x:c>
      <x:c r="M9" t="str">
        <x:v>Bismuth yellow</x:v>
      </x:c>
      <x:c r="N9" t="str">
        <x:v>鉍黃</x:v>
      </x:c>
      <x:c r="O9" t="str">
        <x:v>ビスマスイエロー</x:v>
      </x:c>
      <x:c r="P9" t="str"/>
      <x:c r="Q9" t="str">
        <x:v>Jaune bismuth</x:v>
      </x:c>
      <x:c r="R9" t="str">
        <x:v>Bismuthgelb</x:v>
      </x:c>
      <x:c r="S9" t="str">
        <x:v>Giallo bismuth</x:v>
      </x:c>
      <x:c r="T9" t="str">
        <x:v>Amarillo bismuth</x:v>
      </x:c>
      <x:c r="U9" t="str">
        <x:v>Amarelo bismuto</x:v>
      </x:c>
      <x:c r="V9" t="str"/>
      <x:c r="W9" t="str">
        <x:v>PY184</x:v>
      </x:c>
      <x:c r="X9" t="n">
        <x:f>IF(W9="",0,LEN(W9)-LEN(SUBSTITUTE(W9,"/",""))+1)</x:f>
        <x:v>1</x:v>
      </x:c>
      <x:c r="Y9" t="str">
        <x:v>I</x:v>
      </x:c>
      <x:c r="Z9" s="32" t="n">
        <x:v>1.67</x:v>
      </x:c>
      <x:c r="AA9" s="32" t="n">
        <x:v>3</x:v>
      </x:c>
      <x:c r="AB9" s="32" t="str">
        <x:v>ASTM D-6901</x:v>
      </x:c>
      <x:c r="AC9" t="str">
        <x:v>#FDDE65</x:v>
      </x:c>
      <x:c r="AD9" s="34" t="n">
        <x:v>253</x:v>
      </x:c>
      <x:c r="AE9" s="34" t="n">
        <x:v>222</x:v>
      </x:c>
      <x:c r="AF9" s="34" t="n">
        <x:v>101</x:v>
      </x:c>
      <x:c r="AG9" s="32" t="n">
        <x:v>47.76</x:v>
      </x:c>
      <x:c r="AH9" s="32" t="n">
        <x:v>97.44</x:v>
      </x:c>
      <x:c r="AI9" s="32" t="n">
        <x:v>69.41</x:v>
      </x:c>
      <x:c r="AJ9" s="32" t="n">
        <x:v>88.95</x:v>
      </x:c>
      <x:c r="AK9" s="32" t="n">
        <x:v>-3.06</x:v>
      </x:c>
      <x:c r="AL9" s="32" t="n">
        <x:v>61.89</x:v>
      </x:c>
      <x:c r="AM9" s="32" t="str">
        <x:v>#000000</x:v>
      </x:c>
      <x:c r="AN9" s="32" t="str">
        <x:v>Black</x:v>
      </x:c>
      <x:c r="AO9" s="32" t="n">
        <x:v>15.81</x:v>
      </x:c>
      <x:c r="AP9" s="32" t="n">
        <x:v>15.81</x:v>
      </x:c>
      <x:c r="AQ9" s="32" t="n">
        <x:v>1.33</x:v>
      </x:c>
      <x:c r="AR9" s="32" t="n">
        <x:v>0.740648</x:v>
      </x:c>
      <x:c r="AS9" t="str">
        <x:v>PASS</x:v>
      </x:c>
      <x:c r="AT9" t="str">
        <x:v>--cda-lum-810</x:v>
      </x:c>
      <x:c r="AU9" t="str">
        <x:v>var(--cda-lum-810)</x:v>
      </x:c>
      <x:c r="AV9" t="str">
        <x:v>Median RGB from official PDF swatch (screen reference only)</x:v>
      </x:c>
      <x:c r="AW9" t="str">
        <x:v>https://www.carandache.com/content_files/uploaded_doc/product/10580/nuancier_luminance_fr.pdf</x:v>
      </x:c>
      <x:c r="AX9" t="n">
        <x:v>1</x:v>
      </x:c>
      <x:c r="AY9" t="str">
        <x:v>Official</x:v>
      </x:c>
      <x:c r="AZ9" t="str">
        <x:v>Official where available; curated Traditional Chinese/Japanese otherwise</x:v>
      </x:c>
      <x:c r="BA9" t="str">
        <x:v>Verified from official chart; digital HEX is approximate</x:v>
      </x:c>
      <x:c r="BB9" t="str">
        <x:v>Physical media appearance varies by paper, pressure, layering, water and scan/display profile.</x:v>
      </x:c>
    </x:row>
    <x:row r="10">
      <x:c r="A10" t="str">
        <x:f>G10&amp;"|"&amp;L10</x:f>
        <x:v>LUM|820</x:v>
      </x:c>
      <x:c r="B10" t="str">
        <x:v>ddc29a03-56d1-5bee-8244-caea700652db</x:v>
      </x:c>
      <x:c r="C10" t="str">
        <x:v>CDA-LUM-820</x:v>
      </x:c>
      <x:c r="D10" t="str">
        <x:v>e522fab8-c1e9-5474-a9fa-56c1771de26c</x:v>
      </x:c>
      <x:c r="E10" t="str">
        <x:v>CDA-CODE-820</x:v>
      </x:c>
      <x:c r="F10" t="str">
        <x:v>Caran d’Ache</x:v>
      </x:c>
      <x:c r="G10" t="str">
        <x:v>LUM</x:v>
      </x:c>
      <x:c r="H10" t="str">
        <x:v>LUMINANCE 6901</x:v>
      </x:c>
      <x:c r="I10" t="str">
        <x:v>Oil-based permanent coloured pencil</x:v>
      </x:c>
      <x:c r="J10" t="str">
        <x:v>Professional</x:v>
      </x:c>
      <x:c r="K10" s="30" t="n">
        <x:v>9</x:v>
      </x:c>
      <x:c r="L10" s="30" t="str">
        <x:v>820</x:v>
      </x:c>
      <x:c r="M10" t="str">
        <x:v>Golden bismuth yellow</x:v>
      </x:c>
      <x:c r="N10" t="str">
        <x:v>金鉍黃</x:v>
      </x:c>
      <x:c r="O10" t="str">
        <x:v>ゴールデンビスマスイエロー</x:v>
      </x:c>
      <x:c r="P10" t="str"/>
      <x:c r="Q10" t="str">
        <x:v>Jaune bismuth doré</x:v>
      </x:c>
      <x:c r="R10" t="str">
        <x:v>Gold Bismuthgelb</x:v>
      </x:c>
      <x:c r="S10" t="str">
        <x:v>Giallo bismuth dorato</x:v>
      </x:c>
      <x:c r="T10" t="str">
        <x:v>Amarillo bismuth dorado</x:v>
      </x:c>
      <x:c r="U10" t="str">
        <x:v>Amarelo bismuto dourado</x:v>
      </x:c>
      <x:c r="V10" t="str"/>
      <x:c r="W10" t="str">
        <x:v>PY184</x:v>
      </x:c>
      <x:c r="X10" t="n">
        <x:f>IF(W10="",0,LEN(W10)-LEN(SUBSTITUTE(W10,"/",""))+1)</x:f>
        <x:v>1</x:v>
      </x:c>
      <x:c r="Y10" t="str">
        <x:v>I</x:v>
      </x:c>
      <x:c r="Z10" s="32" t="n">
        <x:v>1.67</x:v>
      </x:c>
      <x:c r="AA10" s="32" t="n">
        <x:v>3</x:v>
      </x:c>
      <x:c r="AB10" s="32" t="str">
        <x:v>ASTM D-6901</x:v>
      </x:c>
      <x:c r="AC10" t="str">
        <x:v>#FAC75B</x:v>
      </x:c>
      <x:c r="AD10" s="34" t="n">
        <x:v>250</x:v>
      </x:c>
      <x:c r="AE10" s="34" t="n">
        <x:v>199</x:v>
      </x:c>
      <x:c r="AF10" s="34" t="n">
        <x:v>91</x:v>
      </x:c>
      <x:c r="AG10" s="32" t="n">
        <x:v>40.75</x:v>
      </x:c>
      <x:c r="AH10" s="32" t="n">
        <x:v>94.08</x:v>
      </x:c>
      <x:c r="AI10" s="32" t="n">
        <x:v>66.86</x:v>
      </x:c>
      <x:c r="AJ10" s="32" t="n">
        <x:v>82.88</x:v>
      </x:c>
      <x:c r="AK10" s="32" t="n">
        <x:v>6.83</x:v>
      </x:c>
      <x:c r="AL10" s="32" t="n">
        <x:v>59.51</x:v>
      </x:c>
      <x:c r="AM10" s="32" t="str">
        <x:v>#000000</x:v>
      </x:c>
      <x:c r="AN10" s="32" t="str">
        <x:v>Black</x:v>
      </x:c>
      <x:c r="AO10" s="32" t="n">
        <x:v>13.39</x:v>
      </x:c>
      <x:c r="AP10" s="32" t="n">
        <x:v>13.39</x:v>
      </x:c>
      <x:c r="AQ10" s="32" t="n">
        <x:v>1.57</x:v>
      </x:c>
      <x:c r="AR10" s="32" t="n">
        <x:v>0.619262</x:v>
      </x:c>
      <x:c r="AS10" t="str">
        <x:v>PASS</x:v>
      </x:c>
      <x:c r="AT10" t="str">
        <x:v>--cda-lum-820</x:v>
      </x:c>
      <x:c r="AU10" t="str">
        <x:v>var(--cda-lum-820)</x:v>
      </x:c>
      <x:c r="AV10" t="str">
        <x:v>Median RGB from official PDF swatch (screen reference only)</x:v>
      </x:c>
      <x:c r="AW10" t="str">
        <x:v>https://www.carandache.com/content_files/uploaded_doc/product/10580/nuancier_luminance_fr.pdf</x:v>
      </x:c>
      <x:c r="AX10" t="n">
        <x:v>1</x:v>
      </x:c>
      <x:c r="AY10" t="str">
        <x:v>Official</x:v>
      </x:c>
      <x:c r="AZ10" t="str">
        <x:v>Official where available; curated Traditional Chinese/Japanese otherwise</x:v>
      </x:c>
      <x:c r="BA10" t="str">
        <x:v>Verified from official chart; digital HEX is approximate</x:v>
      </x:c>
      <x:c r="BB10" t="str">
        <x:v>Physical media appearance varies by paper, pressure, layering, water and scan/display profile.</x:v>
      </x:c>
    </x:row>
    <x:row r="11">
      <x:c r="A11" t="str">
        <x:f>G11&amp;"|"&amp;L11</x:f>
        <x:v>LUM|523</x:v>
      </x:c>
      <x:c r="B11" t="str">
        <x:v>0e585535-40ef-5bee-98cf-ea655cd1653c</x:v>
      </x:c>
      <x:c r="C11" t="str">
        <x:v>CDA-LUM-523</x:v>
      </x:c>
      <x:c r="D11" t="str">
        <x:v>7d3d4738-6b95-5ec4-8322-7c2c315a041f</x:v>
      </x:c>
      <x:c r="E11" t="str">
        <x:v>CDA-CODE-523</x:v>
      </x:c>
      <x:c r="F11" t="str">
        <x:v>Caran d’Ache</x:v>
      </x:c>
      <x:c r="G11" t="str">
        <x:v>LUM</x:v>
      </x:c>
      <x:c r="H11" t="str">
        <x:v>LUMINANCE 6901</x:v>
      </x:c>
      <x:c r="I11" t="str">
        <x:v>Oil-based permanent coloured pencil</x:v>
      </x:c>
      <x:c r="J11" t="str">
        <x:v>Professional</x:v>
      </x:c>
      <x:c r="K11" s="30" t="n">
        <x:v>10</x:v>
      </x:c>
      <x:c r="L11" s="30" t="str">
        <x:v>523</x:v>
      </x:c>
      <x:c r="M11" t="str">
        <x:v>Indian yellow</x:v>
      </x:c>
      <x:c r="N11" t="str">
        <x:v>印度黃</x:v>
      </x:c>
      <x:c r="O11" t="str">
        <x:v>インディアンイエロー</x:v>
      </x:c>
      <x:c r="P11" t="str"/>
      <x:c r="Q11" t="str">
        <x:v>Jaune indien</x:v>
      </x:c>
      <x:c r="R11" t="str">
        <x:v>Indischgelb</x:v>
      </x:c>
      <x:c r="S11" t="str">
        <x:v>Giallo indiano</x:v>
      </x:c>
      <x:c r="T11" t="str">
        <x:v>Amarillo indio</x:v>
      </x:c>
      <x:c r="U11" t="str">
        <x:v>Amarelo indiano</x:v>
      </x:c>
      <x:c r="V11" t="str"/>
      <x:c r="W11" t="str">
        <x:v>PY150</x:v>
      </x:c>
      <x:c r="X11" t="n">
        <x:f>IF(W11="",0,LEN(W11)-LEN(SUBSTITUTE(W11,"/",""))+1)</x:f>
        <x:v>1</x:v>
      </x:c>
      <x:c r="Y11" t="str">
        <x:v>I</x:v>
      </x:c>
      <x:c r="Z11" s="32" t="n">
        <x:v>1.67</x:v>
      </x:c>
      <x:c r="AA11" s="32" t="n">
        <x:v>3</x:v>
      </x:c>
      <x:c r="AB11" s="32" t="str">
        <x:v>ASTM D-6901</x:v>
      </x:c>
      <x:c r="AC11" t="str">
        <x:v>#E1B748</x:v>
      </x:c>
      <x:c r="AD11" s="34" t="n">
        <x:v>225</x:v>
      </x:c>
      <x:c r="AE11" s="34" t="n">
        <x:v>183</x:v>
      </x:c>
      <x:c r="AF11" s="34" t="n">
        <x:v>72</x:v>
      </x:c>
      <x:c r="AG11" s="32" t="n">
        <x:v>43.53</x:v>
      </x:c>
      <x:c r="AH11" s="32" t="n">
        <x:v>71.83</x:v>
      </x:c>
      <x:c r="AI11" s="32" t="n">
        <x:v>58.24</x:v>
      </x:c>
      <x:c r="AJ11" s="32" t="n">
        <x:v>76.28</x:v>
      </x:c>
      <x:c r="AK11" s="32" t="n">
        <x:v>3.58</x:v>
      </x:c>
      <x:c r="AL11" s="32" t="n">
        <x:v>59.98</x:v>
      </x:c>
      <x:c r="AM11" s="32" t="str">
        <x:v>#000000</x:v>
      </x:c>
      <x:c r="AN11" s="32" t="str">
        <x:v>Black</x:v>
      </x:c>
      <x:c r="AO11" s="32" t="n">
        <x:v>11.07</x:v>
      </x:c>
      <x:c r="AP11" s="32" t="n">
        <x:v>11.07</x:v>
      </x:c>
      <x:c r="AQ11" s="32" t="n">
        <x:v>1.9</x:v>
      </x:c>
      <x:c r="AR11" s="32" t="n">
        <x:v>0.503424</x:v>
      </x:c>
      <x:c r="AS11" t="str">
        <x:v>PASS</x:v>
      </x:c>
      <x:c r="AT11" t="str">
        <x:v>--cda-lum-523</x:v>
      </x:c>
      <x:c r="AU11" t="str">
        <x:v>var(--cda-lum-523)</x:v>
      </x:c>
      <x:c r="AV11" t="str">
        <x:v>Median RGB from official PDF swatch (screen reference only)</x:v>
      </x:c>
      <x:c r="AW11" t="str">
        <x:v>https://www.carandache.com/content_files/uploaded_doc/product/10580/nuancier_luminance_fr.pdf</x:v>
      </x:c>
      <x:c r="AX11" t="n">
        <x:v>1</x:v>
      </x:c>
      <x:c r="AY11" t="str">
        <x:v>Official</x:v>
      </x:c>
      <x:c r="AZ11" t="str">
        <x:v>Official where available; curated Traditional Chinese/Japanese otherwise</x:v>
      </x:c>
      <x:c r="BA11" t="str">
        <x:v>Verified from official chart; digital HEX is approximate</x:v>
      </x:c>
      <x:c r="BB11" t="str">
        <x:v>Physical media appearance varies by paper, pressure, layering, water and scan/display profile.</x:v>
      </x:c>
    </x:row>
    <x:row r="12">
      <x:c r="A12" t="str">
        <x:f>G12&amp;"|"&amp;L12</x:f>
        <x:v>LUM|030</x:v>
      </x:c>
      <x:c r="B12" t="str">
        <x:v>14ff941f-6a39-5b21-a542-66f1f6c740e1</x:v>
      </x:c>
      <x:c r="C12" t="str">
        <x:v>CDA-LUM-030</x:v>
      </x:c>
      <x:c r="D12" t="str">
        <x:v>ebda54ca-102e-54e3-a9ae-065baab1ac50</x:v>
      </x:c>
      <x:c r="E12" t="str">
        <x:v>CDA-CODE-030</x:v>
      </x:c>
      <x:c r="F12" t="str">
        <x:v>Caran d’Ache</x:v>
      </x:c>
      <x:c r="G12" t="str">
        <x:v>LUM</x:v>
      </x:c>
      <x:c r="H12" t="str">
        <x:v>LUMINANCE 6901</x:v>
      </x:c>
      <x:c r="I12" t="str">
        <x:v>Oil-based permanent coloured pencil</x:v>
      </x:c>
      <x:c r="J12" t="str">
        <x:v>Professional</x:v>
      </x:c>
      <x:c r="K12" s="30" t="n">
        <x:v>11</x:v>
      </x:c>
      <x:c r="L12" s="30" t="str">
        <x:v>030</x:v>
      </x:c>
      <x:c r="M12" t="str">
        <x:v>Orange</x:v>
      </x:c>
      <x:c r="N12" t="str">
        <x:v>橙色</x:v>
      </x:c>
      <x:c r="O12" t="str">
        <x:v>オレンジ</x:v>
      </x:c>
      <x:c r="P12" t="str"/>
      <x:c r="Q12" t="str">
        <x:v>Orange</x:v>
      </x:c>
      <x:c r="R12" t="str">
        <x:v>Orange</x:v>
      </x:c>
      <x:c r="S12" t="str">
        <x:v>Arancio</x:v>
      </x:c>
      <x:c r="T12" t="str">
        <x:v>Naranja</x:v>
      </x:c>
      <x:c r="U12" t="str">
        <x:v>Laranja</x:v>
      </x:c>
      <x:c r="V12" t="str"/>
      <x:c r="W12" t="str">
        <x:v>PO62</x:v>
      </x:c>
      <x:c r="X12" t="n">
        <x:f>IF(W12="",0,LEN(W12)-LEN(SUBSTITUTE(W12,"/",""))+1)</x:f>
        <x:v>1</x:v>
      </x:c>
      <x:c r="Y12" t="str">
        <x:v>I</x:v>
      </x:c>
      <x:c r="Z12" s="32" t="n">
        <x:v>1.67</x:v>
      </x:c>
      <x:c r="AA12" s="32" t="n">
        <x:v>3</x:v>
      </x:c>
      <x:c r="AB12" s="32" t="str">
        <x:v>ASTM D-6901</x:v>
      </x:c>
      <x:c r="AC12" t="str">
        <x:v>#F5A50F</x:v>
      </x:c>
      <x:c r="AD12" s="34" t="n">
        <x:v>245</x:v>
      </x:c>
      <x:c r="AE12" s="34" t="n">
        <x:v>165</x:v>
      </x:c>
      <x:c r="AF12" s="34" t="n">
        <x:v>15</x:v>
      </x:c>
      <x:c r="AG12" s="32" t="n">
        <x:v>39.13</x:v>
      </x:c>
      <x:c r="AH12" s="32" t="n">
        <x:v>92</x:v>
      </x:c>
      <x:c r="AI12" s="32" t="n">
        <x:v>50.98</x:v>
      </x:c>
      <x:c r="AJ12" s="32" t="n">
        <x:v>73.78</x:v>
      </x:c>
      <x:c r="AK12" s="32" t="n">
        <x:v>19.85</x:v>
      </x:c>
      <x:c r="AL12" s="32" t="n">
        <x:v>75.82</x:v>
      </x:c>
      <x:c r="AM12" s="32" t="str">
        <x:v>#000000</x:v>
      </x:c>
      <x:c r="AN12" s="32" t="str">
        <x:v>Black</x:v>
      </x:c>
      <x:c r="AO12" s="32" t="n">
        <x:v>10.27</x:v>
      </x:c>
      <x:c r="AP12" s="32" t="n">
        <x:v>10.27</x:v>
      </x:c>
      <x:c r="AQ12" s="32" t="n">
        <x:v>2.04</x:v>
      </x:c>
      <x:c r="AR12" s="32" t="n">
        <x:v>0.463572</x:v>
      </x:c>
      <x:c r="AS12" t="str">
        <x:v>PASS</x:v>
      </x:c>
      <x:c r="AT12" t="str">
        <x:v>--cda-lum-030</x:v>
      </x:c>
      <x:c r="AU12" t="str">
        <x:v>var(--cda-lum-030)</x:v>
      </x:c>
      <x:c r="AV12" t="str">
        <x:v>Median RGB from official PDF swatch (screen reference only)</x:v>
      </x:c>
      <x:c r="AW12" t="str">
        <x:v>https://www.carandache.com/content_files/uploaded_doc/product/10580/nuancier_luminance_fr.pdf</x:v>
      </x:c>
      <x:c r="AX12" t="n">
        <x:v>1</x:v>
      </x:c>
      <x:c r="AY12" t="str">
        <x:v>Official</x:v>
      </x:c>
      <x:c r="AZ12" t="str">
        <x:v>Official where available; curated Traditional Chinese/Japanese otherwise</x:v>
      </x:c>
      <x:c r="BA12" t="str">
        <x:v>Verified from official chart; digital HEX is approximate</x:v>
      </x:c>
      <x:c r="BB12" t="str">
        <x:v>Physical media appearance varies by paper, pressure, layering, water and scan/display profile.</x:v>
      </x:c>
    </x:row>
    <x:row r="13">
      <x:c r="A13" t="str">
        <x:f>G13&amp;"|"&amp;L13</x:f>
        <x:v>LUM|533</x:v>
      </x:c>
      <x:c r="B13" t="str">
        <x:v>5f622644-a670-5e37-b8ed-87f1d7853221</x:v>
      </x:c>
      <x:c r="C13" t="str">
        <x:v>CDA-LUM-533</x:v>
      </x:c>
      <x:c r="D13" t="str">
        <x:v>cfe710d6-7aa4-56b0-aee1-f4e991104414</x:v>
      </x:c>
      <x:c r="E13" t="str">
        <x:v>CDA-CODE-533</x:v>
      </x:c>
      <x:c r="F13" t="str">
        <x:v>Caran d’Ache</x:v>
      </x:c>
      <x:c r="G13" t="str">
        <x:v>LUM</x:v>
      </x:c>
      <x:c r="H13" t="str">
        <x:v>LUMINANCE 6901</x:v>
      </x:c>
      <x:c r="I13" t="str">
        <x:v>Oil-based permanent coloured pencil</x:v>
      </x:c>
      <x:c r="J13" t="str">
        <x:v>Professional</x:v>
      </x:c>
      <x:c r="K13" s="30" t="n">
        <x:v>12</x:v>
      </x:c>
      <x:c r="L13" s="30" t="str">
        <x:v>533</x:v>
      </x:c>
      <x:c r="M13" t="str">
        <x:v>Dark cadmium orange (imit.)</x:v>
      </x:c>
      <x:c r="N13" t="str">
        <x:v>深鎘橙（仿色）</x:v>
      </x:c>
      <x:c r="O13" t="str">
        <x:v>ダークカドミウムオレンジ（模倣色）</x:v>
      </x:c>
      <x:c r="P13" t="str"/>
      <x:c r="Q13" t="str">
        <x:v>Orange de Cadmium</x:v>
      </x:c>
      <x:c r="R13" t="str">
        <x:v>foncé (Imit)</x:v>
      </x:c>
      <x:c r="S13" t="str">
        <x:v>Kadmiumorange dunkel (Imit.)</x:v>
      </x:c>
      <x:c r="T13" t="str">
        <x:v>Arancio cadmio scuro (imit.)</x:v>
      </x:c>
      <x:c r="U13" t="str">
        <x:v>Naranja cadmio oscuro</x:v>
      </x:c>
      <x:c r="V13" t="str"/>
      <x:c r="W13" t="str">
        <x:v>PO43</x:v>
      </x:c>
      <x:c r="X13" t="n">
        <x:f>IF(W13="",0,LEN(W13)-LEN(SUBSTITUTE(W13,"/",""))+1)</x:f>
        <x:v>1</x:v>
      </x:c>
      <x:c r="Y13" t="str">
        <x:v>II</x:v>
      </x:c>
      <x:c r="Z13" s="32" t="n">
        <x:v>3.33</x:v>
      </x:c>
      <x:c r="AA13" s="32" t="n">
        <x:v>3</x:v>
      </x:c>
      <x:c r="AB13" s="32" t="str">
        <x:v>ASTM D-6901</x:v>
      </x:c>
      <x:c r="AC13" t="str">
        <x:v>#EB5F3B</x:v>
      </x:c>
      <x:c r="AD13" s="34" t="n">
        <x:v>235</x:v>
      </x:c>
      <x:c r="AE13" s="34" t="n">
        <x:v>95</x:v>
      </x:c>
      <x:c r="AF13" s="34" t="n">
        <x:v>59</x:v>
      </x:c>
      <x:c r="AG13" s="32" t="n">
        <x:v>12.27</x:v>
      </x:c>
      <x:c r="AH13" s="32" t="n">
        <x:v>81.48</x:v>
      </x:c>
      <x:c r="AI13" s="32" t="n">
        <x:v>57.65</x:v>
      </x:c>
      <x:c r="AJ13" s="32" t="n">
        <x:v>58.2</x:v>
      </x:c>
      <x:c r="AK13" s="32" t="n">
        <x:v>52.2</x:v>
      </x:c>
      <x:c r="AL13" s="32" t="n">
        <x:v>47.32</x:v>
      </x:c>
      <x:c r="AM13" s="32" t="str">
        <x:v>#000000</x:v>
      </x:c>
      <x:c r="AN13" s="32" t="str">
        <x:v>Black</x:v>
      </x:c>
      <x:c r="AO13" s="32" t="n">
        <x:v>6.23</x:v>
      </x:c>
      <x:c r="AP13" s="32" t="n">
        <x:v>6.23</x:v>
      </x:c>
      <x:c r="AQ13" s="32" t="n">
        <x:v>3.37</x:v>
      </x:c>
      <x:c r="AR13" s="32" t="n">
        <x:v>0.261624</x:v>
      </x:c>
      <x:c r="AS13" t="str">
        <x:v>PASS</x:v>
      </x:c>
      <x:c r="AT13" t="str">
        <x:v>--cda-lum-533</x:v>
      </x:c>
      <x:c r="AU13" t="str">
        <x:v>var(--cda-lum-533)</x:v>
      </x:c>
      <x:c r="AV13" t="str">
        <x:v>Median RGB from official PDF swatch (screen reference only)</x:v>
      </x:c>
      <x:c r="AW13" t="str">
        <x:v>https://www.carandache.com/content_files/uploaded_doc/product/10580/nuancier_luminance_fr.pdf</x:v>
      </x:c>
      <x:c r="AX13" t="n">
        <x:v>1</x:v>
      </x:c>
      <x:c r="AY13" t="str">
        <x:v>Official</x:v>
      </x:c>
      <x:c r="AZ13" t="str">
        <x:v>Official where available; curated Traditional Chinese/Japanese otherwise</x:v>
      </x:c>
      <x:c r="BA13" t="str">
        <x:v>Verified from official chart; digital HEX is approximate</x:v>
      </x:c>
      <x:c r="BB13" t="str">
        <x:v>Physical media appearance varies by paper, pressure, layering, water and scan/display profile.</x:v>
      </x:c>
    </x:row>
    <x:row r="14">
      <x:c r="A14" t="str">
        <x:f>G14&amp;"|"&amp;L14</x:f>
        <x:v>LUM|850</x:v>
      </x:c>
      <x:c r="B14" t="str">
        <x:v>1380dab5-4dd8-5257-aaf4-2082cfcaf80e</x:v>
      </x:c>
      <x:c r="C14" t="str">
        <x:v>CDA-LUM-850</x:v>
      </x:c>
      <x:c r="D14" t="str">
        <x:v>a152ca18-ad8d-5774-9bb9-3f9df85d57a5</x:v>
      </x:c>
      <x:c r="E14" t="str">
        <x:v>CDA-CODE-850</x:v>
      </x:c>
      <x:c r="F14" t="str">
        <x:v>Caran d’Ache</x:v>
      </x:c>
      <x:c r="G14" t="str">
        <x:v>LUM</x:v>
      </x:c>
      <x:c r="H14" t="str">
        <x:v>LUMINANCE 6901</x:v>
      </x:c>
      <x:c r="I14" t="str">
        <x:v>Oil-based permanent coloured pencil</x:v>
      </x:c>
      <x:c r="J14" t="str">
        <x:v>Professional</x:v>
      </x:c>
      <x:c r="K14" s="30" t="n">
        <x:v>13</x:v>
      </x:c>
      <x:c r="L14" s="30" t="str">
        <x:v>850</x:v>
      </x:c>
      <x:c r="M14" t="str">
        <x:v>Cornelian</x:v>
      </x:c>
      <x:c r="N14" t="str">
        <x:v>紅玉髓色</x:v>
      </x:c>
      <x:c r="O14" t="str">
        <x:v>カーネリアン</x:v>
      </x:c>
      <x:c r="P14" t="str"/>
      <x:c r="Q14" t="str">
        <x:v>Cornaline</x:v>
      </x:c>
      <x:c r="R14" t="str">
        <x:v>Kornalin</x:v>
      </x:c>
      <x:c r="S14" t="str">
        <x:v>Cornalina</x:v>
      </x:c>
      <x:c r="T14" t="str">
        <x:v>Cornalina</x:v>
      </x:c>
      <x:c r="U14" t="str">
        <x:v>Cornalina</x:v>
      </x:c>
      <x:c r="V14" t="str"/>
      <x:c r="W14" t="str">
        <x:v>PO61</x:v>
      </x:c>
      <x:c r="X14" t="n">
        <x:f>IF(W14="",0,LEN(W14)-LEN(SUBSTITUTE(W14,"/",""))+1)</x:f>
        <x:v>1</x:v>
      </x:c>
      <x:c r="Y14" t="str">
        <x:v>I</x:v>
      </x:c>
      <x:c r="Z14" s="32" t="n">
        <x:v>1.67</x:v>
      </x:c>
      <x:c r="AA14" s="32" t="n">
        <x:v>3</x:v>
      </x:c>
      <x:c r="AB14" s="32" t="str">
        <x:v>ASTM D-6901</x:v>
      </x:c>
      <x:c r="AC14" t="str">
        <x:v>#EF8947</x:v>
      </x:c>
      <x:c r="AD14" s="34" t="n">
        <x:v>239</x:v>
      </x:c>
      <x:c r="AE14" s="34" t="n">
        <x:v>137</x:v>
      </x:c>
      <x:c r="AF14" s="34" t="n">
        <x:v>71</x:v>
      </x:c>
      <x:c r="AG14" s="32" t="n">
        <x:v>23.57</x:v>
      </x:c>
      <x:c r="AH14" s="32" t="n">
        <x:v>84</x:v>
      </x:c>
      <x:c r="AI14" s="32" t="n">
        <x:v>60.78</x:v>
      </x:c>
      <x:c r="AJ14" s="32" t="n">
        <x:v>67.05</x:v>
      </x:c>
      <x:c r="AK14" s="32" t="n">
        <x:v>33.67</x:v>
      </x:c>
      <x:c r="AL14" s="32" t="n">
        <x:v>51.08</x:v>
      </x:c>
      <x:c r="AM14" s="32" t="str">
        <x:v>#000000</x:v>
      </x:c>
      <x:c r="AN14" s="32" t="str">
        <x:v>Black</x:v>
      </x:c>
      <x:c r="AO14" s="32" t="n">
        <x:v>8.34</x:v>
      </x:c>
      <x:c r="AP14" s="32" t="n">
        <x:v>8.34</x:v>
      </x:c>
      <x:c r="AQ14" s="32" t="n">
        <x:v>2.52</x:v>
      </x:c>
      <x:c r="AR14" s="32" t="n">
        <x:v>0.36697</x:v>
      </x:c>
      <x:c r="AS14" t="str">
        <x:v>PASS</x:v>
      </x:c>
      <x:c r="AT14" t="str">
        <x:v>--cda-lum-850</x:v>
      </x:c>
      <x:c r="AU14" t="str">
        <x:v>var(--cda-lum-850)</x:v>
      </x:c>
      <x:c r="AV14" t="str">
        <x:v>Median RGB from official PDF swatch (screen reference only)</x:v>
      </x:c>
      <x:c r="AW14" t="str">
        <x:v>https://www.carandache.com/content_files/uploaded_doc/product/10580/nuancier_luminance_fr.pdf</x:v>
      </x:c>
      <x:c r="AX14" t="n">
        <x:v>1</x:v>
      </x:c>
      <x:c r="AY14" t="str">
        <x:v>Official</x:v>
      </x:c>
      <x:c r="AZ14" t="str">
        <x:v>Official where available; curated Traditional Chinese/Japanese otherwise</x:v>
      </x:c>
      <x:c r="BA14" t="str">
        <x:v>Verified from official chart; digital HEX is approximate</x:v>
      </x:c>
      <x:c r="BB14" t="str">
        <x:v>Physical media appearance varies by paper, pressure, layering, water and scan/display profile.</x:v>
      </x:c>
    </x:row>
    <x:row r="15">
      <x:c r="A15" t="str">
        <x:f>G15&amp;"|"&amp;L15</x:f>
        <x:v>LUM|061</x:v>
      </x:c>
      <x:c r="B15" t="str">
        <x:v>f3df4bf9-4ab5-5c77-bae9-e5adf5ce9514</x:v>
      </x:c>
      <x:c r="C15" t="str">
        <x:v>CDA-LUM-061</x:v>
      </x:c>
      <x:c r="D15" t="str">
        <x:v>0e87f956-3dfa-5192-b356-95d43e98ea46</x:v>
      </x:c>
      <x:c r="E15" t="str">
        <x:v>CDA-CODE-061</x:v>
      </x:c>
      <x:c r="F15" t="str">
        <x:v>Caran d’Ache</x:v>
      </x:c>
      <x:c r="G15" t="str">
        <x:v>LUM</x:v>
      </x:c>
      <x:c r="H15" t="str">
        <x:v>LUMINANCE 6901</x:v>
      </x:c>
      <x:c r="I15" t="str">
        <x:v>Oil-based permanent coloured pencil</x:v>
      </x:c>
      <x:c r="J15" t="str">
        <x:v>Professional</x:v>
      </x:c>
      <x:c r="K15" s="30" t="n">
        <x:v>14</x:v>
      </x:c>
      <x:c r="L15" s="30" t="str">
        <x:v>061</x:v>
      </x:c>
      <x:c r="M15" t="str">
        <x:v>Permanent red</x:v>
      </x:c>
      <x:c r="N15" t="str">
        <x:v>永固紅</x:v>
      </x:c>
      <x:c r="O15" t="str">
        <x:v>パーマネントレッド</x:v>
      </x:c>
      <x:c r="P15" t="str"/>
      <x:c r="Q15" t="str">
        <x:v>Rouge permanent</x:v>
      </x:c>
      <x:c r="R15" t="str">
        <x:v>Permanentrot</x:v>
      </x:c>
      <x:c r="S15" t="str">
        <x:v>Rosso permanente</x:v>
      </x:c>
      <x:c r="T15" t="str">
        <x:v>Rojo permanente</x:v>
      </x:c>
      <x:c r="U15" t="str">
        <x:v>Vermelho permanente</x:v>
      </x:c>
      <x:c r="V15" t="str"/>
      <x:c r="W15" t="str">
        <x:v>PR242</x:v>
      </x:c>
      <x:c r="X15" t="n">
        <x:f>IF(W15="",0,LEN(W15)-LEN(SUBSTITUTE(W15,"/",""))+1)</x:f>
        <x:v>1</x:v>
      </x:c>
      <x:c r="Y15" t="str">
        <x:v>I</x:v>
      </x:c>
      <x:c r="Z15" s="32" t="n">
        <x:v>1.67</x:v>
      </x:c>
      <x:c r="AA15" s="32" t="n">
        <x:v>3</x:v>
      </x:c>
      <x:c r="AB15" s="32" t="str">
        <x:v>ASTM D-6901</x:v>
      </x:c>
      <x:c r="AC15" t="str">
        <x:v>#EB6658</x:v>
      </x:c>
      <x:c r="AD15" s="34" t="n">
        <x:v>235</x:v>
      </x:c>
      <x:c r="AE15" s="34" t="n">
        <x:v>102</x:v>
      </x:c>
      <x:c r="AF15" s="34" t="n">
        <x:v>88</x:v>
      </x:c>
      <x:c r="AG15" s="32" t="n">
        <x:v>5.71</x:v>
      </x:c>
      <x:c r="AH15" s="32" t="n">
        <x:v>78.61</x:v>
      </x:c>
      <x:c r="AI15" s="32" t="n">
        <x:v>63.33</x:v>
      </x:c>
      <x:c r="AJ15" s="32" t="n">
        <x:v>59.78</x:v>
      </x:c>
      <x:c r="AK15" s="32" t="n">
        <x:v>50.49</x:v>
      </x:c>
      <x:c r="AL15" s="32" t="n">
        <x:v>33.54</x:v>
      </x:c>
      <x:c r="AM15" s="32" t="str">
        <x:v>#000000</x:v>
      </x:c>
      <x:c r="AN15" s="32" t="str">
        <x:v>Black</x:v>
      </x:c>
      <x:c r="AO15" s="32" t="n">
        <x:v>6.57</x:v>
      </x:c>
      <x:c r="AP15" s="32" t="n">
        <x:v>6.57</x:v>
      </x:c>
      <x:c r="AQ15" s="32" t="n">
        <x:v>3.19</x:v>
      </x:c>
      <x:c r="AR15" s="32" t="n">
        <x:v>0.278695</x:v>
      </x:c>
      <x:c r="AS15" t="str">
        <x:v>PASS</x:v>
      </x:c>
      <x:c r="AT15" t="str">
        <x:v>--cda-lum-061</x:v>
      </x:c>
      <x:c r="AU15" t="str">
        <x:v>var(--cda-lum-061)</x:v>
      </x:c>
      <x:c r="AV15" t="str">
        <x:v>Median RGB from official PDF swatch (screen reference only)</x:v>
      </x:c>
      <x:c r="AW15" t="str">
        <x:v>https://www.carandache.com/content_files/uploaded_doc/product/10580/nuancier_luminance_fr.pdf</x:v>
      </x:c>
      <x:c r="AX15" t="n">
        <x:v>1</x:v>
      </x:c>
      <x:c r="AY15" t="str">
        <x:v>Official</x:v>
      </x:c>
      <x:c r="AZ15" t="str">
        <x:v>Official where available; curated Traditional Chinese/Japanese otherwise</x:v>
      </x:c>
      <x:c r="BA15" t="str">
        <x:v>Verified from official chart; digital HEX is approximate</x:v>
      </x:c>
      <x:c r="BB15" t="str">
        <x:v>Physical media appearance varies by paper, pressure, layering, water and scan/display profile.</x:v>
      </x:c>
    </x:row>
    <x:row r="16">
      <x:c r="A16" t="str">
        <x:f>G16&amp;"|"&amp;L16</x:f>
        <x:v>LUM|580</x:v>
      </x:c>
      <x:c r="B16" t="str">
        <x:v>8d25dc30-eba0-599c-8c5f-7c6b692e5588</x:v>
      </x:c>
      <x:c r="C16" t="str">
        <x:v>CDA-LUM-580</x:v>
      </x:c>
      <x:c r="D16" t="str">
        <x:v>a6ba056d-6724-54ba-b405-10d9de67b4a4</x:v>
      </x:c>
      <x:c r="E16" t="str">
        <x:v>CDA-CODE-580</x:v>
      </x:c>
      <x:c r="F16" t="str">
        <x:v>Caran d’Ache</x:v>
      </x:c>
      <x:c r="G16" t="str">
        <x:v>LUM</x:v>
      </x:c>
      <x:c r="H16" t="str">
        <x:v>LUMINANCE 6901</x:v>
      </x:c>
      <x:c r="I16" t="str">
        <x:v>Oil-based permanent coloured pencil</x:v>
      </x:c>
      <x:c r="J16" t="str">
        <x:v>Professional</x:v>
      </x:c>
      <x:c r="K16" s="30" t="n">
        <x:v>15</x:v>
      </x:c>
      <x:c r="L16" s="30" t="str">
        <x:v>580</x:v>
      </x:c>
      <x:c r="M16" t="str">
        <x:v>Anthraquinone carmine</x:v>
      </x:c>
      <x:c r="N16" t="str">
        <x:v>蒽醌胭脂紅</x:v>
      </x:c>
      <x:c r="O16" t="str">
        <x:v>アントラキノンカーマイン</x:v>
      </x:c>
      <x:c r="P16" t="str"/>
      <x:c r="Q16" t="str">
        <x:v>Carmin anthraquinone</x:v>
      </x:c>
      <x:c r="R16" t="str">
        <x:v>Anthrachinon-Karmin</x:v>
      </x:c>
      <x:c r="S16" t="str">
        <x:v>Carminio antrachinone</x:v>
      </x:c>
      <x:c r="T16" t="str">
        <x:v>Carmín antraquinona</x:v>
      </x:c>
      <x:c r="U16" t="str">
        <x:v>Antraquinona carmim</x:v>
      </x:c>
      <x:c r="V16" t="str"/>
      <x:c r="W16" t="str">
        <x:v>PR177</x:v>
      </x:c>
      <x:c r="X16" t="n">
        <x:f>IF(W16="",0,LEN(W16)-LEN(SUBSTITUTE(W16,"/",""))+1)</x:f>
        <x:v>1</x:v>
      </x:c>
      <x:c r="Y16" t="str">
        <x:v>II</x:v>
      </x:c>
      <x:c r="Z16" s="32" t="n">
        <x:v>3.33</x:v>
      </x:c>
      <x:c r="AA16" s="32" t="n">
        <x:v>3</x:v>
      </x:c>
      <x:c r="AB16" s="32" t="str">
        <x:v>ASTM D-6901</x:v>
      </x:c>
      <x:c r="AC16" t="str">
        <x:v>#C11928</x:v>
      </x:c>
      <x:c r="AD16" s="34" t="n">
        <x:v>193</x:v>
      </x:c>
      <x:c r="AE16" s="34" t="n">
        <x:v>25</x:v>
      </x:c>
      <x:c r="AF16" s="34" t="n">
        <x:v>40</x:v>
      </x:c>
      <x:c r="AG16" s="32" t="n">
        <x:v>354.64</x:v>
      </x:c>
      <x:c r="AH16" s="32" t="n">
        <x:v>77.06</x:v>
      </x:c>
      <x:c r="AI16" s="32" t="n">
        <x:v>42.75</x:v>
      </x:c>
      <x:c r="AJ16" s="32" t="n">
        <x:v>41.52</x:v>
      </x:c>
      <x:c r="AK16" s="32" t="n">
        <x:v>62.42</x:v>
      </x:c>
      <x:c r="AL16" s="32" t="n">
        <x:v>37.68</x:v>
      </x:c>
      <x:c r="AM16" s="32" t="str">
        <x:v>#FFFFFF</x:v>
      </x:c>
      <x:c r="AN16" s="32" t="str">
        <x:v>White</x:v>
      </x:c>
      <x:c r="AO16" s="32" t="n">
        <x:v>6.11</x:v>
      </x:c>
      <x:c r="AP16" s="32" t="n">
        <x:v>3.44</x:v>
      </x:c>
      <x:c r="AQ16" s="32" t="n">
        <x:v>6.11</x:v>
      </x:c>
      <x:c r="AR16" s="32" t="n">
        <x:v>0.121859</x:v>
      </x:c>
      <x:c r="AS16" t="str">
        <x:v>PASS</x:v>
      </x:c>
      <x:c r="AT16" t="str">
        <x:v>--cda-lum-580</x:v>
      </x:c>
      <x:c r="AU16" t="str">
        <x:v>var(--cda-lum-580)</x:v>
      </x:c>
      <x:c r="AV16" t="str">
        <x:v>Median RGB from official PDF swatch (screen reference only)</x:v>
      </x:c>
      <x:c r="AW16" t="str">
        <x:v>https://www.carandache.com/content_files/uploaded_doc/product/10580/nuancier_luminance_fr.pdf</x:v>
      </x:c>
      <x:c r="AX16" t="n">
        <x:v>1</x:v>
      </x:c>
      <x:c r="AY16" t="str">
        <x:v>Official</x:v>
      </x:c>
      <x:c r="AZ16" t="str">
        <x:v>Official where available; curated Traditional Chinese/Japanese otherwise</x:v>
      </x:c>
      <x:c r="BA16" t="str">
        <x:v>Verified from official chart; digital HEX is approximate</x:v>
      </x:c>
      <x:c r="BB16" t="str">
        <x:v>Physical media appearance varies by paper, pressure, layering, water and scan/display profile.</x:v>
      </x:c>
    </x:row>
    <x:row r="17">
      <x:c r="A17" t="str">
        <x:f>G17&amp;"|"&amp;L17</x:f>
        <x:v>LUM|070</x:v>
      </x:c>
      <x:c r="B17" t="str">
        <x:v>1714cdbb-2b55-54a5-a90d-b969b94b0d54</x:v>
      </x:c>
      <x:c r="C17" t="str">
        <x:v>CDA-LUM-070</x:v>
      </x:c>
      <x:c r="D17" t="str">
        <x:v>2dcedd03-0d82-5dc4-a34e-7ed1c317e71e</x:v>
      </x:c>
      <x:c r="E17" t="str">
        <x:v>CDA-CODE-070</x:v>
      </x:c>
      <x:c r="F17" t="str">
        <x:v>Caran d’Ache</x:v>
      </x:c>
      <x:c r="G17" t="str">
        <x:v>LUM</x:v>
      </x:c>
      <x:c r="H17" t="str">
        <x:v>LUMINANCE 6901</x:v>
      </x:c>
      <x:c r="I17" t="str">
        <x:v>Oil-based permanent coloured pencil</x:v>
      </x:c>
      <x:c r="J17" t="str">
        <x:v>Professional</x:v>
      </x:c>
      <x:c r="K17" s="30" t="n">
        <x:v>16</x:v>
      </x:c>
      <x:c r="L17" s="30" t="str">
        <x:v>070</x:v>
      </x:c>
      <x:c r="M17" t="str">
        <x:v>Scarlet</x:v>
      </x:c>
      <x:c r="N17" t="str">
        <x:v>猩紅</x:v>
      </x:c>
      <x:c r="O17" t="str">
        <x:v>スカーレット</x:v>
      </x:c>
      <x:c r="P17" t="str"/>
      <x:c r="Q17" t="str">
        <x:v>Ecarlate</x:v>
      </x:c>
      <x:c r="R17" t="str">
        <x:v>Scharlachrot</x:v>
      </x:c>
      <x:c r="S17" t="str">
        <x:v>Scarlatto</x:v>
      </x:c>
      <x:c r="T17" t="str">
        <x:v>Escarlata</x:v>
      </x:c>
      <x:c r="U17" t="str">
        <x:v>Escarlate</x:v>
      </x:c>
      <x:c r="V17" t="str"/>
      <x:c r="W17" t="str">
        <x:v>PR254</x:v>
      </x:c>
      <x:c r="X17" t="n">
        <x:f>IF(W17="",0,LEN(W17)-LEN(SUBSTITUTE(W17,"/",""))+1)</x:f>
        <x:v>1</x:v>
      </x:c>
      <x:c r="Y17" t="str">
        <x:v>I</x:v>
      </x:c>
      <x:c r="Z17" s="32" t="n">
        <x:v>1.67</x:v>
      </x:c>
      <x:c r="AA17" s="32" t="n">
        <x:v>3</x:v>
      </x:c>
      <x:c r="AB17" s="32" t="str">
        <x:v>ASTM D-6901</x:v>
      </x:c>
      <x:c r="AC17" t="str">
        <x:v>#E0283C</x:v>
      </x:c>
      <x:c r="AD17" s="34" t="n">
        <x:v>224</x:v>
      </x:c>
      <x:c r="AE17" s="34" t="n">
        <x:v>40</x:v>
      </x:c>
      <x:c r="AF17" s="34" t="n">
        <x:v>60</x:v>
      </x:c>
      <x:c r="AG17" s="32" t="n">
        <x:v>353.48</x:v>
      </x:c>
      <x:c r="AH17" s="32" t="n">
        <x:v>74.8</x:v>
      </x:c>
      <x:c r="AI17" s="32" t="n">
        <x:v>51.76</x:v>
      </x:c>
      <x:c r="AJ17" s="32" t="n">
        <x:v>49.13</x:v>
      </x:c>
      <x:c r="AK17" s="32" t="n">
        <x:v>68.27</x:v>
      </x:c>
      <x:c r="AL17" s="32" t="n">
        <x:v>36.23</x:v>
      </x:c>
      <x:c r="AM17" s="32" t="str">
        <x:v>#FFFFFF</x:v>
      </x:c>
      <x:c r="AN17" s="32" t="str">
        <x:v>White</x:v>
      </x:c>
      <x:c r="AO17" s="32" t="n">
        <x:v>4.63</x:v>
      </x:c>
      <x:c r="AP17" s="32" t="n">
        <x:v>4.54</x:v>
      </x:c>
      <x:c r="AQ17" s="32" t="n">
        <x:v>4.63</x:v>
      </x:c>
      <x:c r="AR17" s="32" t="n">
        <x:v>0.176911</x:v>
      </x:c>
      <x:c r="AS17" t="str">
        <x:v>PASS</x:v>
      </x:c>
      <x:c r="AT17" t="str">
        <x:v>--cda-lum-070</x:v>
      </x:c>
      <x:c r="AU17" t="str">
        <x:v>var(--cda-lum-070)</x:v>
      </x:c>
      <x:c r="AV17" t="str">
        <x:v>Median RGB from official PDF swatch (screen reference only)</x:v>
      </x:c>
      <x:c r="AW17" t="str">
        <x:v>https://www.carandache.com/content_files/uploaded_doc/product/10580/nuancier_luminance_fr.pdf</x:v>
      </x:c>
      <x:c r="AX17" t="n">
        <x:v>1</x:v>
      </x:c>
      <x:c r="AY17" t="str">
        <x:v>Official</x:v>
      </x:c>
      <x:c r="AZ17" t="str">
        <x:v>Official where available; curated Traditional Chinese/Japanese otherwise</x:v>
      </x:c>
      <x:c r="BA17" t="str">
        <x:v>Verified from official chart; digital HEX is approximate</x:v>
      </x:c>
      <x:c r="BB17" t="str">
        <x:v>Physical media appearance varies by paper, pressure, layering, water and scan/display profile.</x:v>
      </x:c>
    </x:row>
    <x:row r="18">
      <x:c r="A18" t="str">
        <x:f>G18&amp;"|"&amp;L18</x:f>
        <x:v>LUM|350</x:v>
      </x:c>
      <x:c r="B18" t="str">
        <x:v>62a9c823-f259-57cf-8165-4be8e7f46bde</x:v>
      </x:c>
      <x:c r="C18" t="str">
        <x:v>CDA-LUM-350</x:v>
      </x:c>
      <x:c r="D18" t="str">
        <x:v>39bf01fa-a31a-593e-a617-859ebd045d80</x:v>
      </x:c>
      <x:c r="E18" t="str">
        <x:v>CDA-CODE-350</x:v>
      </x:c>
      <x:c r="F18" t="str">
        <x:v>Caran d’Ache</x:v>
      </x:c>
      <x:c r="G18" t="str">
        <x:v>LUM</x:v>
      </x:c>
      <x:c r="H18" t="str">
        <x:v>LUMINANCE 6901</x:v>
      </x:c>
      <x:c r="I18" t="str">
        <x:v>Oil-based permanent coloured pencil</x:v>
      </x:c>
      <x:c r="J18" t="str">
        <x:v>Professional</x:v>
      </x:c>
      <x:c r="K18" s="30" t="n">
        <x:v>17</x:v>
      </x:c>
      <x:c r="L18" s="30" t="str">
        <x:v>350</x:v>
      </x:c>
      <x:c r="M18" t="str">
        <x:v>Purplish red</x:v>
      </x:c>
      <x:c r="N18" t="str">
        <x:v>紫紅色</x:v>
      </x:c>
      <x:c r="O18" t="str">
        <x:v>パープリッシュレッド</x:v>
      </x:c>
      <x:c r="P18" t="str"/>
      <x:c r="Q18" t="str">
        <x:v>Rouge pourpre</x:v>
      </x:c>
      <x:c r="R18" t="str">
        <x:v>Purpurrot</x:v>
      </x:c>
      <x:c r="S18" t="str">
        <x:v>Rosso porpora</x:v>
      </x:c>
      <x:c r="T18" t="str">
        <x:v>Rojo púrpura</x:v>
      </x:c>
      <x:c r="U18" t="str">
        <x:v>Vermelho púrpura</x:v>
      </x:c>
      <x:c r="V18" t="str"/>
      <x:c r="W18" t="str">
        <x:v>PR122/PR179</x:v>
      </x:c>
      <x:c r="X18" t="n">
        <x:f>IF(W18="",0,LEN(W18)-LEN(SUBSTITUTE(W18,"/",""))+1)</x:f>
        <x:v>2</x:v>
      </x:c>
      <x:c r="Y18" t="str">
        <x:v>II</x:v>
      </x:c>
      <x:c r="Z18" s="32" t="n">
        <x:v>3.33</x:v>
      </x:c>
      <x:c r="AA18" s="32" t="n">
        <x:v>3</x:v>
      </x:c>
      <x:c r="AB18" s="32" t="str">
        <x:v>ASTM D-6901</x:v>
      </x:c>
      <x:c r="AC18" t="str">
        <x:v>#B93876</x:v>
      </x:c>
      <x:c r="AD18" s="34" t="n">
        <x:v>185</x:v>
      </x:c>
      <x:c r="AE18" s="34" t="n">
        <x:v>56</x:v>
      </x:c>
      <x:c r="AF18" s="34" t="n">
        <x:v>118</x:v>
      </x:c>
      <x:c r="AG18" s="32" t="n">
        <x:v>331.16</x:v>
      </x:c>
      <x:c r="AH18" s="32" t="n">
        <x:v>53.53</x:v>
      </x:c>
      <x:c r="AI18" s="32" t="n">
        <x:v>47.25</x:v>
      </x:c>
      <x:c r="AJ18" s="32" t="n">
        <x:v>44.88</x:v>
      </x:c>
      <x:c r="AK18" s="32" t="n">
        <x:v>56.65</x:v>
      </x:c>
      <x:c r="AL18" s="32" t="n">
        <x:v>-6.06</x:v>
      </x:c>
      <x:c r="AM18" s="32" t="str">
        <x:v>#FFFFFF</x:v>
      </x:c>
      <x:c r="AN18" s="32" t="str">
        <x:v>White</x:v>
      </x:c>
      <x:c r="AO18" s="32" t="n">
        <x:v>5.4</x:v>
      </x:c>
      <x:c r="AP18" s="32" t="n">
        <x:v>3.89</x:v>
      </x:c>
      <x:c r="AQ18" s="32" t="n">
        <x:v>5.4</x:v>
      </x:c>
      <x:c r="AR18" s="32" t="n">
        <x:v>0.144506</x:v>
      </x:c>
      <x:c r="AS18" t="str">
        <x:v>PASS</x:v>
      </x:c>
      <x:c r="AT18" t="str">
        <x:v>--cda-lum-350</x:v>
      </x:c>
      <x:c r="AU18" t="str">
        <x:v>var(--cda-lum-350)</x:v>
      </x:c>
      <x:c r="AV18" t="str">
        <x:v>Median RGB from official PDF swatch (screen reference only)</x:v>
      </x:c>
      <x:c r="AW18" t="str">
        <x:v>https://www.carandache.com/content_files/uploaded_doc/product/10580/nuancier_luminance_fr.pdf</x:v>
      </x:c>
      <x:c r="AX18" t="n">
        <x:v>1</x:v>
      </x:c>
      <x:c r="AY18" t="str">
        <x:v>Official</x:v>
      </x:c>
      <x:c r="AZ18" t="str">
        <x:v>Official where available; curated Traditional Chinese/Japanese otherwise</x:v>
      </x:c>
      <x:c r="BA18" t="str">
        <x:v>Verified from official chart; digital HEX is approximate</x:v>
      </x:c>
      <x:c r="BB18" t="str">
        <x:v>Physical media appearance varies by paper, pressure, layering, water and scan/display profile.</x:v>
      </x:c>
    </x:row>
    <x:row r="19">
      <x:c r="A19" t="str">
        <x:f>G19&amp;"|"&amp;L19</x:f>
        <x:v>LUM|589</x:v>
      </x:c>
      <x:c r="B19" t="str">
        <x:v>94929578-3f4f-5c5b-b987-8f6b46432a88</x:v>
      </x:c>
      <x:c r="C19" t="str">
        <x:v>CDA-LUM-589</x:v>
      </x:c>
      <x:c r="D19" t="str">
        <x:v>1c995da1-1f47-5d3b-a7bd-3dab168c278f</x:v>
      </x:c>
      <x:c r="E19" t="str">
        <x:v>CDA-CODE-589</x:v>
      </x:c>
      <x:c r="F19" t="str">
        <x:v>Caran d’Ache</x:v>
      </x:c>
      <x:c r="G19" t="str">
        <x:v>LUM</x:v>
      </x:c>
      <x:c r="H19" t="str">
        <x:v>LUMINANCE 6901</x:v>
      </x:c>
      <x:c r="I19" t="str">
        <x:v>Oil-based permanent coloured pencil</x:v>
      </x:c>
      <x:c r="J19" t="str">
        <x:v>Professional</x:v>
      </x:c>
      <x:c r="K19" s="30" t="n">
        <x:v>18</x:v>
      </x:c>
      <x:c r="L19" s="30" t="str">
        <x:v>589</x:v>
      </x:c>
      <x:c r="M19" t="str">
        <x:v>Crimson alizarin (hue)</x:v>
      </x:c>
      <x:c r="N19" t="str">
        <x:v>茜素深紅（色相）</x:v>
      </x:c>
      <x:c r="O19" t="str">
        <x:v>アリザリンクリムゾン（ヒュー）</x:v>
      </x:c>
      <x:c r="P19" t="str"/>
      <x:c r="Q19" t="str">
        <x:v>Alizarine cramoisie (imit.)</x:v>
      </x:c>
      <x:c r="R19" t="str">
        <x:v>Alizarin Karmesin (sub)</x:v>
      </x:c>
      <x:c r="S19" t="str">
        <x:v>Cremisi Alizarina</x:v>
      </x:c>
      <x:c r="T19" t="str">
        <x:v>Alizarin Crimson</x:v>
      </x:c>
      <x:c r="U19" t="str">
        <x:v>Carmesim de Alizarina</x:v>
      </x:c>
      <x:c r="V19" t="str"/>
      <x:c r="W19" t="str">
        <x:v>PR178/PV19</x:v>
      </x:c>
      <x:c r="X19" t="n">
        <x:f>IF(W19="",0,LEN(W19)-LEN(SUBSTITUTE(W19,"/",""))+1)</x:f>
        <x:v>2</x:v>
      </x:c>
      <x:c r="Y19" t="str">
        <x:v>II</x:v>
      </x:c>
      <x:c r="Z19" s="32" t="n">
        <x:v>3.33</x:v>
      </x:c>
      <x:c r="AA19" s="32" t="n">
        <x:v>3</x:v>
      </x:c>
      <x:c r="AB19" s="32" t="str">
        <x:v>ASTM D-6901</x:v>
      </x:c>
      <x:c r="AC19" t="str">
        <x:v>#99364D</x:v>
      </x:c>
      <x:c r="AD19" s="34" t="n">
        <x:v>153</x:v>
      </x:c>
      <x:c r="AE19" s="34" t="n">
        <x:v>54</x:v>
      </x:c>
      <x:c r="AF19" s="34" t="n">
        <x:v>77</x:v>
      </x:c>
      <x:c r="AG19" s="32" t="n">
        <x:v>346.06</x:v>
      </x:c>
      <x:c r="AH19" s="32" t="n">
        <x:v>47.83</x:v>
      </x:c>
      <x:c r="AI19" s="32" t="n">
        <x:v>40.59</x:v>
      </x:c>
      <x:c r="AJ19" s="32" t="n">
        <x:v>37.75</x:v>
      </x:c>
      <x:c r="AK19" s="32" t="n">
        <x:v>43.22</x:v>
      </x:c>
      <x:c r="AL19" s="32" t="n">
        <x:v>8.53</x:v>
      </x:c>
      <x:c r="AM19" s="32" t="str">
        <x:v>#FFFFFF</x:v>
      </x:c>
      <x:c r="AN19" s="32" t="str">
        <x:v>White</x:v>
      </x:c>
      <x:c r="AO19" s="32" t="n">
        <x:v>7.03</x:v>
      </x:c>
      <x:c r="AP19" s="32" t="n">
        <x:v>2.99</x:v>
      </x:c>
      <x:c r="AQ19" s="32" t="n">
        <x:v>7.03</x:v>
      </x:c>
      <x:c r="AR19" s="32" t="n">
        <x:v>0.099465</x:v>
      </x:c>
      <x:c r="AS19" t="str">
        <x:v>PASS</x:v>
      </x:c>
      <x:c r="AT19" t="str">
        <x:v>--cda-lum-589</x:v>
      </x:c>
      <x:c r="AU19" t="str">
        <x:v>var(--cda-lum-589)</x:v>
      </x:c>
      <x:c r="AV19" t="str">
        <x:v>Median RGB from official PDF swatch (screen reference only)</x:v>
      </x:c>
      <x:c r="AW19" t="str">
        <x:v>https://www.carandache.com/content_files/uploaded_doc/product/10580/nuancier_luminance_fr.pdf</x:v>
      </x:c>
      <x:c r="AX19" t="n">
        <x:v>1</x:v>
      </x:c>
      <x:c r="AY19" t="str">
        <x:v>Official</x:v>
      </x:c>
      <x:c r="AZ19" t="str">
        <x:v>Official where available; curated Traditional Chinese/Japanese otherwise</x:v>
      </x:c>
      <x:c r="BA19" t="str">
        <x:v>Verified from official chart; digital HEX is approximate</x:v>
      </x:c>
      <x:c r="BB19" t="str">
        <x:v>Physical media appearance varies by paper, pressure, layering, water and scan/display profile.</x:v>
      </x:c>
    </x:row>
    <x:row r="20">
      <x:c r="A20" t="str">
        <x:f>G20&amp;"|"&amp;L20</x:f>
        <x:v>LUM|585</x:v>
      </x:c>
      <x:c r="B20" t="str">
        <x:v>c85871d8-128c-57ac-a868-d542f5ae382c</x:v>
      </x:c>
      <x:c r="C20" t="str">
        <x:v>CDA-LUM-585</x:v>
      </x:c>
      <x:c r="D20" t="str">
        <x:v>191801bc-d7f5-59fc-95eb-bde93a74e9ef</x:v>
      </x:c>
      <x:c r="E20" t="str">
        <x:v>CDA-CODE-585</x:v>
      </x:c>
      <x:c r="F20" t="str">
        <x:v>Caran d’Ache</x:v>
      </x:c>
      <x:c r="G20" t="str">
        <x:v>LUM</x:v>
      </x:c>
      <x:c r="H20" t="str">
        <x:v>LUMINANCE 6901</x:v>
      </x:c>
      <x:c r="I20" t="str">
        <x:v>Oil-based permanent coloured pencil</x:v>
      </x:c>
      <x:c r="J20" t="str">
        <x:v>Professional</x:v>
      </x:c>
      <x:c r="K20" s="30" t="n">
        <x:v>19</x:v>
      </x:c>
      <x:c r="L20" s="30" t="str">
        <x:v>585</x:v>
      </x:c>
      <x:c r="M20" t="str">
        <x:v>Perylene brown</x:v>
      </x:c>
      <x:c r="N20" t="str">
        <x:v>苝棕</x:v>
      </x:c>
      <x:c r="O20" t="str">
        <x:v>ペリレンブラウン</x:v>
      </x:c>
      <x:c r="P20" t="str"/>
      <x:c r="Q20" t="str">
        <x:v>Marron de pérylène</x:v>
      </x:c>
      <x:c r="R20" t="str">
        <x:v>Perylen braun</x:v>
      </x:c>
      <x:c r="S20" t="str">
        <x:v>Bruno di pérylène</x:v>
      </x:c>
      <x:c r="T20" t="str">
        <x:v>Marrón de peryleno</x:v>
      </x:c>
      <x:c r="U20" t="str">
        <x:v>Castanho Perylene</x:v>
      </x:c>
      <x:c r="V20" t="str"/>
      <x:c r="W20" t="str">
        <x:v>PR179</x:v>
      </x:c>
      <x:c r="X20" t="n">
        <x:f>IF(W20="",0,LEN(W20)-LEN(SUBSTITUTE(W20,"/",""))+1)</x:f>
        <x:v>1</x:v>
      </x:c>
      <x:c r="Y20" t="str">
        <x:v>I</x:v>
      </x:c>
      <x:c r="Z20" s="32" t="n">
        <x:v>1.67</x:v>
      </x:c>
      <x:c r="AA20" s="32" t="n">
        <x:v>3</x:v>
      </x:c>
      <x:c r="AB20" s="32" t="str">
        <x:v>ASTM D-6901</x:v>
      </x:c>
      <x:c r="AC20" t="str">
        <x:v>#995254</x:v>
      </x:c>
      <x:c r="AD20" s="34" t="n">
        <x:v>153</x:v>
      </x:c>
      <x:c r="AE20" s="34" t="n">
        <x:v>82</x:v>
      </x:c>
      <x:c r="AF20" s="34" t="n">
        <x:v>84</x:v>
      </x:c>
      <x:c r="AG20" s="32" t="n">
        <x:v>358.31</x:v>
      </x:c>
      <x:c r="AH20" s="32" t="n">
        <x:v>30.21</x:v>
      </x:c>
      <x:c r="AI20" s="32" t="n">
        <x:v>46.08</x:v>
      </x:c>
      <x:c r="AJ20" s="32" t="n">
        <x:v>43.43</x:v>
      </x:c>
      <x:c r="AK20" s="32" t="n">
        <x:v>29.65</x:v>
      </x:c>
      <x:c r="AL20" s="32" t="n">
        <x:v>12.09</x:v>
      </x:c>
      <x:c r="AM20" s="32" t="str">
        <x:v>#FFFFFF</x:v>
      </x:c>
      <x:c r="AN20" s="32" t="str">
        <x:v>White</x:v>
      </x:c>
      <x:c r="AO20" s="32" t="n">
        <x:v>5.69</x:v>
      </x:c>
      <x:c r="AP20" s="32" t="n">
        <x:v>3.69</x:v>
      </x:c>
      <x:c r="AQ20" s="32" t="n">
        <x:v>5.69</x:v>
      </x:c>
      <x:c r="AR20" s="32" t="n">
        <x:v>0.13447</x:v>
      </x:c>
      <x:c r="AS20" t="str">
        <x:v>PASS</x:v>
      </x:c>
      <x:c r="AT20" t="str">
        <x:v>--cda-lum-585</x:v>
      </x:c>
      <x:c r="AU20" t="str">
        <x:v>var(--cda-lum-585)</x:v>
      </x:c>
      <x:c r="AV20" t="str">
        <x:v>Median RGB from official PDF swatch (screen reference only)</x:v>
      </x:c>
      <x:c r="AW20" t="str">
        <x:v>https://www.carandache.com/content_files/uploaded_doc/product/10580/nuancier_luminance_fr.pdf</x:v>
      </x:c>
      <x:c r="AX20" t="n">
        <x:v>1</x:v>
      </x:c>
      <x:c r="AY20" t="str">
        <x:v>Official</x:v>
      </x:c>
      <x:c r="AZ20" t="str">
        <x:v>Official where available; curated Traditional Chinese/Japanese otherwise</x:v>
      </x:c>
      <x:c r="BA20" t="str">
        <x:v>Verified from official chart; digital HEX is approximate</x:v>
      </x:c>
      <x:c r="BB20" t="str">
        <x:v>Physical media appearance varies by paper, pressure, layering, water and scan/display profile.</x:v>
      </x:c>
    </x:row>
    <x:row r="21">
      <x:c r="A21" t="str">
        <x:f>G21&amp;"|"&amp;L21</x:f>
        <x:v>LUM|599</x:v>
      </x:c>
      <x:c r="B21" t="str">
        <x:v>9120689f-ff9b-51c9-83b7-41c3775d5b8d</x:v>
      </x:c>
      <x:c r="C21" t="str">
        <x:v>CDA-LUM-599</x:v>
      </x:c>
      <x:c r="D21" t="str">
        <x:v>047298da-6d09-523e-9069-4047b99c7147</x:v>
      </x:c>
      <x:c r="E21" t="str">
        <x:v>CDA-CODE-599</x:v>
      </x:c>
      <x:c r="F21" t="str">
        <x:v>Caran d’Ache</x:v>
      </x:c>
      <x:c r="G21" t="str">
        <x:v>LUM</x:v>
      </x:c>
      <x:c r="H21" t="str">
        <x:v>LUMINANCE 6901</x:v>
      </x:c>
      <x:c r="I21" t="str">
        <x:v>Oil-based permanent coloured pencil</x:v>
      </x:c>
      <x:c r="J21" t="str">
        <x:v>Professional</x:v>
      </x:c>
      <x:c r="K21" s="30" t="n">
        <x:v>20</x:v>
      </x:c>
      <x:c r="L21" s="30" t="str">
        <x:v>599</x:v>
      </x:c>
      <x:c r="M21" t="str">
        <x:v>Crimson aubergine</x:v>
      </x:c>
      <x:c r="N21" t="str">
        <x:v>深紅茄紫</x:v>
      </x:c>
      <x:c r="O21" t="str">
        <x:v>クリムゾンオーベルジーヌ</x:v>
      </x:c>
      <x:c r="P21" t="str"/>
      <x:c r="Q21" t="str">
        <x:v>Aubergine cramoisie</x:v>
      </x:c>
      <x:c r="R21" t="str">
        <x:v>Karmesin aubergine</x:v>
      </x:c>
      <x:c r="S21" t="str">
        <x:v>Melanzana cremisi</x:v>
      </x:c>
      <x:c r="T21" t="str">
        <x:v>Berengena Crimson</x:v>
      </x:c>
      <x:c r="U21" t="str">
        <x:v>Beringela Carmesim</x:v>
      </x:c>
      <x:c r="V21" t="str"/>
      <x:c r="W21" t="str">
        <x:v>PR179/PV19/PB15</x:v>
      </x:c>
      <x:c r="X21" t="n">
        <x:f>IF(W21="",0,LEN(W21)-LEN(SUBSTITUTE(W21,"/",""))+1)</x:f>
        <x:v>3</x:v>
      </x:c>
      <x:c r="Y21" t="str">
        <x:v>I</x:v>
      </x:c>
      <x:c r="Z21" s="32" t="n">
        <x:v>1.67</x:v>
      </x:c>
      <x:c r="AA21" s="32" t="n">
        <x:v>3</x:v>
      </x:c>
      <x:c r="AB21" s="32" t="str">
        <x:v>ASTM D-6901</x:v>
      </x:c>
      <x:c r="AC21" t="str">
        <x:v>#8E4A50</x:v>
      </x:c>
      <x:c r="AD21" s="34" t="n">
        <x:v>142</x:v>
      </x:c>
      <x:c r="AE21" s="34" t="n">
        <x:v>74</x:v>
      </x:c>
      <x:c r="AF21" s="34" t="n">
        <x:v>80</x:v>
      </x:c>
      <x:c r="AG21" s="32" t="n">
        <x:v>354.71</x:v>
      </x:c>
      <x:c r="AH21" s="32" t="n">
        <x:v>31.48</x:v>
      </x:c>
      <x:c r="AI21" s="32" t="n">
        <x:v>42.35</x:v>
      </x:c>
      <x:c r="AJ21" s="32" t="n">
        <x:v>39.96</x:v>
      </x:c>
      <x:c r="AK21" s="32" t="n">
        <x:v>29.3</x:v>
      </x:c>
      <x:c r="AL21" s="32" t="n">
        <x:v>9.49</x:v>
      </x:c>
      <x:c r="AM21" s="32" t="str">
        <x:v>#FFFFFF</x:v>
      </x:c>
      <x:c r="AN21" s="32" t="str">
        <x:v>White</x:v>
      </x:c>
      <x:c r="AO21" s="32" t="n">
        <x:v>6.47</x:v>
      </x:c>
      <x:c r="AP21" s="32" t="n">
        <x:v>3.25</x:v>
      </x:c>
      <x:c r="AQ21" s="32" t="n">
        <x:v>6.47</x:v>
      </x:c>
      <x:c r="AR21" s="32" t="n">
        <x:v>0.112275</x:v>
      </x:c>
      <x:c r="AS21" t="str">
        <x:v>PASS</x:v>
      </x:c>
      <x:c r="AT21" t="str">
        <x:v>--cda-lum-599</x:v>
      </x:c>
      <x:c r="AU21" t="str">
        <x:v>var(--cda-lum-599)</x:v>
      </x:c>
      <x:c r="AV21" t="str">
        <x:v>Median RGB from official PDF swatch (screen reference only)</x:v>
      </x:c>
      <x:c r="AW21" t="str">
        <x:v>https://www.carandache.com/content_files/uploaded_doc/product/10580/nuancier_luminance_fr.pdf</x:v>
      </x:c>
      <x:c r="AX21" t="n">
        <x:v>1</x:v>
      </x:c>
      <x:c r="AY21" t="str">
        <x:v>Official</x:v>
      </x:c>
      <x:c r="AZ21" t="str">
        <x:v>Official where available; curated Traditional Chinese/Japanese otherwise</x:v>
      </x:c>
      <x:c r="BA21" t="str">
        <x:v>Verified from official chart; digital HEX is approximate</x:v>
      </x:c>
      <x:c r="BB21" t="str">
        <x:v>Physical media appearance varies by paper, pressure, layering, water and scan/display profile.</x:v>
      </x:c>
    </x:row>
    <x:row r="22">
      <x:c r="A22" t="str">
        <x:f>G22&amp;"|"&amp;L22</x:f>
        <x:v>LUM|120</x:v>
      </x:c>
      <x:c r="B22" t="str">
        <x:v>0334cecd-3299-5d6b-894e-217cd4564135</x:v>
      </x:c>
      <x:c r="C22" t="str">
        <x:v>CDA-LUM-120</x:v>
      </x:c>
      <x:c r="D22" t="str">
        <x:v>fee913f0-b01c-52a4-9be8-3e5be4c01b51</x:v>
      </x:c>
      <x:c r="E22" t="str">
        <x:v>CDA-CODE-120</x:v>
      </x:c>
      <x:c r="F22" t="str">
        <x:v>Caran d’Ache</x:v>
      </x:c>
      <x:c r="G22" t="str">
        <x:v>LUM</x:v>
      </x:c>
      <x:c r="H22" t="str">
        <x:v>LUMINANCE 6901</x:v>
      </x:c>
      <x:c r="I22" t="str">
        <x:v>Oil-based permanent coloured pencil</x:v>
      </x:c>
      <x:c r="J22" t="str">
        <x:v>Professional</x:v>
      </x:c>
      <x:c r="K22" s="30" t="n">
        <x:v>21</x:v>
      </x:c>
      <x:c r="L22" s="30" t="str">
        <x:v>120</x:v>
      </x:c>
      <x:c r="M22" t="str">
        <x:v>Violet</x:v>
      </x:c>
      <x:c r="N22" t="str">
        <x:v>紫羅蘭色</x:v>
      </x:c>
      <x:c r="O22" t="str">
        <x:v>バイオレット</x:v>
      </x:c>
      <x:c r="P22" t="str"/>
      <x:c r="Q22" t="str">
        <x:v>Violet</x:v>
      </x:c>
      <x:c r="R22" t="str">
        <x:v>Violett</x:v>
      </x:c>
      <x:c r="S22" t="str">
        <x:v>Violetto</x:v>
      </x:c>
      <x:c r="T22" t="str">
        <x:v>Violeta</x:v>
      </x:c>
      <x:c r="U22" t="str">
        <x:v>Violeta</x:v>
      </x:c>
      <x:c r="V22" t="str"/>
      <x:c r="W22" t="str">
        <x:v>PV23</x:v>
      </x:c>
      <x:c r="X22" t="n">
        <x:f>IF(W22="",0,LEN(W22)-LEN(SUBSTITUTE(W22,"/",""))+1)</x:f>
        <x:v>1</x:v>
      </x:c>
      <x:c r="Y22" t="str">
        <x:v>II</x:v>
      </x:c>
      <x:c r="Z22" s="32" t="n">
        <x:v>3.33</x:v>
      </x:c>
      <x:c r="AA22" s="32" t="n">
        <x:v>3</x:v>
      </x:c>
      <x:c r="AB22" s="32" t="str">
        <x:v>ASTM D-6901</x:v>
      </x:c>
      <x:c r="AC22" t="str">
        <x:v>#815EA0</x:v>
      </x:c>
      <x:c r="AD22" s="34" t="n">
        <x:v>129</x:v>
      </x:c>
      <x:c r="AE22" s="34" t="n">
        <x:v>94</x:v>
      </x:c>
      <x:c r="AF22" s="34" t="n">
        <x:v>160</x:v>
      </x:c>
      <x:c r="AG22" s="32" t="n">
        <x:v>271.82</x:v>
      </x:c>
      <x:c r="AH22" s="32" t="n">
        <x:v>25.98</x:v>
      </x:c>
      <x:c r="AI22" s="32" t="n">
        <x:v>49.8</x:v>
      </x:c>
      <x:c r="AJ22" s="32" t="n">
        <x:v>45.92</x:v>
      </x:c>
      <x:c r="AK22" s="32" t="n">
        <x:v>27.49</x:v>
      </x:c>
      <x:c r="AL22" s="32" t="n">
        <x:v>-30.46</x:v>
      </x:c>
      <x:c r="AM22" s="32" t="str">
        <x:v>#FFFFFF</x:v>
      </x:c>
      <x:c r="AN22" s="32" t="str">
        <x:v>White</x:v>
      </x:c>
      <x:c r="AO22" s="32" t="n">
        <x:v>5.2</x:v>
      </x:c>
      <x:c r="AP22" s="32" t="n">
        <x:v>4.04</x:v>
      </x:c>
      <x:c r="AQ22" s="32" t="n">
        <x:v>5.2</x:v>
      </x:c>
      <x:c r="AR22" s="32" t="n">
        <x:v>0.152106</x:v>
      </x:c>
      <x:c r="AS22" t="str">
        <x:v>PASS</x:v>
      </x:c>
      <x:c r="AT22" t="str">
        <x:v>--cda-lum-120</x:v>
      </x:c>
      <x:c r="AU22" t="str">
        <x:v>var(--cda-lum-120)</x:v>
      </x:c>
      <x:c r="AV22" t="str">
        <x:v>Median RGB from official PDF swatch (screen reference only)</x:v>
      </x:c>
      <x:c r="AW22" t="str">
        <x:v>https://www.carandache.com/content_files/uploaded_doc/product/10580/nuancier_luminance_fr.pdf</x:v>
      </x:c>
      <x:c r="AX22" t="n">
        <x:v>1</x:v>
      </x:c>
      <x:c r="AY22" t="str">
        <x:v>Official</x:v>
      </x:c>
      <x:c r="AZ22" t="str">
        <x:v>Official where available; curated Traditional Chinese/Japanese otherwise</x:v>
      </x:c>
      <x:c r="BA22" t="str">
        <x:v>Verified from official chart; digital HEX is approximate</x:v>
      </x:c>
      <x:c r="BB22" t="str">
        <x:v>Physical media appearance varies by paper, pressure, layering, water and scan/display profile.</x:v>
      </x:c>
    </x:row>
    <x:row r="23">
      <x:c r="A23" t="str">
        <x:f>G23&amp;"|"&amp;L23</x:f>
        <x:v>LUM|140</x:v>
      </x:c>
      <x:c r="B23" t="str">
        <x:v>268f7c4f-3e92-5175-b677-d8f7fa60449e</x:v>
      </x:c>
      <x:c r="C23" t="str">
        <x:v>CDA-LUM-140</x:v>
      </x:c>
      <x:c r="D23" t="str">
        <x:v>1cc51d9d-3506-5022-8478-a1ae9af587e8</x:v>
      </x:c>
      <x:c r="E23" t="str">
        <x:v>CDA-CODE-140</x:v>
      </x:c>
      <x:c r="F23" t="str">
        <x:v>Caran d’Ache</x:v>
      </x:c>
      <x:c r="G23" t="str">
        <x:v>LUM</x:v>
      </x:c>
      <x:c r="H23" t="str">
        <x:v>LUMINANCE 6901</x:v>
      </x:c>
      <x:c r="I23" t="str">
        <x:v>Oil-based permanent coloured pencil</x:v>
      </x:c>
      <x:c r="J23" t="str">
        <x:v>Professional</x:v>
      </x:c>
      <x:c r="K23" s="30" t="n">
        <x:v>22</x:v>
      </x:c>
      <x:c r="L23" s="30" t="str">
        <x:v>140</x:v>
      </x:c>
      <x:c r="M23" t="str">
        <x:v>Ultramarine</x:v>
      </x:c>
      <x:c r="N23" t="str">
        <x:v>群青</x:v>
      </x:c>
      <x:c r="O23" t="str">
        <x:v>ウルトラマリン</x:v>
      </x:c>
      <x:c r="P23" t="str"/>
      <x:c r="Q23" t="str">
        <x:v>Bleu outremer</x:v>
      </x:c>
      <x:c r="R23" t="str">
        <x:v>Ultramarinblau</x:v>
      </x:c>
      <x:c r="S23" t="str">
        <x:v>Blu oltr  emare</x:v>
      </x:c>
      <x:c r="T23" t="str">
        <x:v>Azul ultramar</x:v>
      </x:c>
      <x:c r="U23" t="str">
        <x:v>Azul ultramarino</x:v>
      </x:c>
      <x:c r="V23" t="str"/>
      <x:c r="W23" t="str">
        <x:v>PB29</x:v>
      </x:c>
      <x:c r="X23" t="n">
        <x:f>IF(W23="",0,LEN(W23)-LEN(SUBSTITUTE(W23,"/",""))+1)</x:f>
        <x:v>1</x:v>
      </x:c>
      <x:c r="Y23" t="str">
        <x:v>I</x:v>
      </x:c>
      <x:c r="Z23" s="32" t="n">
        <x:v>1.67</x:v>
      </x:c>
      <x:c r="AA23" s="32" t="n">
        <x:v>3</x:v>
      </x:c>
      <x:c r="AB23" s="32" t="str">
        <x:v>ASTM D-6901</x:v>
      </x:c>
      <x:c r="AC23" t="str">
        <x:v>#06549E</x:v>
      </x:c>
      <x:c r="AD23" s="34" t="n">
        <x:v>6</x:v>
      </x:c>
      <x:c r="AE23" s="34" t="n">
        <x:v>84</x:v>
      </x:c>
      <x:c r="AF23" s="34" t="n">
        <x:v>158</x:v>
      </x:c>
      <x:c r="AG23" s="32" t="n">
        <x:v>209.21</x:v>
      </x:c>
      <x:c r="AH23" s="32" t="n">
        <x:v>92.68</x:v>
      </x:c>
      <x:c r="AI23" s="32" t="n">
        <x:v>32.16</x:v>
      </x:c>
      <x:c r="AJ23" s="32" t="n">
        <x:v>35.69</x:v>
      </x:c>
      <x:c r="AK23" s="32" t="n">
        <x:v>8.55</x:v>
      </x:c>
      <x:c r="AL23" s="32" t="n">
        <x:v>-45.97</x:v>
      </x:c>
      <x:c r="AM23" s="32" t="str">
        <x:v>#FFFFFF</x:v>
      </x:c>
      <x:c r="AN23" s="32" t="str">
        <x:v>White</x:v>
      </x:c>
      <x:c r="AO23" s="32" t="n">
        <x:v>7.58</x:v>
      </x:c>
      <x:c r="AP23" s="32" t="n">
        <x:v>2.77</x:v>
      </x:c>
      <x:c r="AQ23" s="32" t="n">
        <x:v>7.58</x:v>
      </x:c>
      <x:c r="AR23" s="32" t="n">
        <x:v>0.08848</x:v>
      </x:c>
      <x:c r="AS23" t="str">
        <x:v>PASS</x:v>
      </x:c>
      <x:c r="AT23" t="str">
        <x:v>--cda-lum-140</x:v>
      </x:c>
      <x:c r="AU23" t="str">
        <x:v>var(--cda-lum-140)</x:v>
      </x:c>
      <x:c r="AV23" t="str">
        <x:v>Median RGB from official PDF swatch (screen reference only)</x:v>
      </x:c>
      <x:c r="AW23" t="str">
        <x:v>https://www.carandache.com/content_files/uploaded_doc/product/10580/nuancier_luminance_fr.pdf</x:v>
      </x:c>
      <x:c r="AX23" t="n">
        <x:v>1</x:v>
      </x:c>
      <x:c r="AY23" t="str">
        <x:v>Official</x:v>
      </x:c>
      <x:c r="AZ23" t="str">
        <x:v>Official where available; curated Traditional Chinese/Japanese otherwise</x:v>
      </x:c>
      <x:c r="BA23" t="str">
        <x:v>Verified from official chart; digital HEX is approximate</x:v>
      </x:c>
      <x:c r="BB23" t="str">
        <x:v>Physical media appearance varies by paper, pressure, layering, water and scan/display profile.</x:v>
      </x:c>
    </x:row>
    <x:row r="24">
      <x:c r="A24" t="str">
        <x:f>G24&amp;"|"&amp;L24</x:f>
        <x:v>LUM|660</x:v>
      </x:c>
      <x:c r="B24" t="str">
        <x:v>9c76bc32-6041-5711-9b26-213b96c182ba</x:v>
      </x:c>
      <x:c r="C24" t="str">
        <x:v>CDA-LUM-660</x:v>
      </x:c>
      <x:c r="D24" t="str">
        <x:v>60575496-4bf3-561c-b9db-74f11cbfa728</x:v>
      </x:c>
      <x:c r="E24" t="str">
        <x:v>CDA-CODE-660</x:v>
      </x:c>
      <x:c r="F24" t="str">
        <x:v>Caran d’Ache</x:v>
      </x:c>
      <x:c r="G24" t="str">
        <x:v>LUM</x:v>
      </x:c>
      <x:c r="H24" t="str">
        <x:v>LUMINANCE 6901</x:v>
      </x:c>
      <x:c r="I24" t="str">
        <x:v>Oil-based permanent coloured pencil</x:v>
      </x:c>
      <x:c r="J24" t="str">
        <x:v>Professional</x:v>
      </x:c>
      <x:c r="K24" s="30" t="n">
        <x:v>23</x:v>
      </x:c>
      <x:c r="L24" s="30" t="str">
        <x:v>660</x:v>
      </x:c>
      <x:c r="M24" t="str">
        <x:v>Cobalt blue</x:v>
      </x:c>
      <x:c r="N24" t="str">
        <x:v>鈷藍</x:v>
      </x:c>
      <x:c r="O24" t="str">
        <x:v>コバルトブルー</x:v>
      </x:c>
      <x:c r="P24" t="str"/>
      <x:c r="Q24" t="str">
        <x:v>Bleu cobalt</x:v>
      </x:c>
      <x:c r="R24" t="str">
        <x:v>Kobaltblau</x:v>
      </x:c>
      <x:c r="S24" t="str">
        <x:v>Blu cobalto</x:v>
      </x:c>
      <x:c r="T24" t="str">
        <x:v>Azul cobalto</x:v>
      </x:c>
      <x:c r="U24" t="str">
        <x:v>Azul cobalto</x:v>
      </x:c>
      <x:c r="V24" t="str"/>
      <x:c r="W24" t="str">
        <x:v>PB15/PB29</x:v>
      </x:c>
      <x:c r="X24" t="n">
        <x:f>IF(W24="",0,LEN(W24)-LEN(SUBSTITUTE(W24,"/",""))+1)</x:f>
        <x:v>2</x:v>
      </x:c>
      <x:c r="Y24" t="str">
        <x:v>II</x:v>
      </x:c>
      <x:c r="Z24" s="32" t="n">
        <x:v>3.33</x:v>
      </x:c>
      <x:c r="AA24" s="32" t="n">
        <x:v>3</x:v>
      </x:c>
      <x:c r="AB24" s="32" t="str">
        <x:v>ASTM D-6901</x:v>
      </x:c>
      <x:c r="AC24" t="str">
        <x:v>#1478B9</x:v>
      </x:c>
      <x:c r="AD24" s="34" t="n">
        <x:v>20</x:v>
      </x:c>
      <x:c r="AE24" s="34" t="n">
        <x:v>120</x:v>
      </x:c>
      <x:c r="AF24" s="34" t="n">
        <x:v>185</x:v>
      </x:c>
      <x:c r="AG24" s="32" t="n">
        <x:v>203.64</x:v>
      </x:c>
      <x:c r="AH24" s="32" t="n">
        <x:v>80.49</x:v>
      </x:c>
      <x:c r="AI24" s="32" t="n">
        <x:v>40.2</x:v>
      </x:c>
      <x:c r="AJ24" s="32" t="n">
        <x:v>48.36</x:v>
      </x:c>
      <x:c r="AK24" s="32" t="n">
        <x:v>-2.75</x:v>
      </x:c>
      <x:c r="AL24" s="32" t="n">
        <x:v>-41.62</x:v>
      </x:c>
      <x:c r="AM24" s="32" t="str">
        <x:v>#FFFFFF</x:v>
      </x:c>
      <x:c r="AN24" s="32" t="str">
        <x:v>White</x:v>
      </x:c>
      <x:c r="AO24" s="32" t="n">
        <x:v>4.75</x:v>
      </x:c>
      <x:c r="AP24" s="32" t="n">
        <x:v>4.42</x:v>
      </x:c>
      <x:c r="AQ24" s="32" t="n">
        <x:v>4.75</x:v>
      </x:c>
      <x:c r="AR24" s="32" t="n">
        <x:v>0.170844</x:v>
      </x:c>
      <x:c r="AS24" t="str">
        <x:v>PASS</x:v>
      </x:c>
      <x:c r="AT24" t="str">
        <x:v>--cda-lum-660</x:v>
      </x:c>
      <x:c r="AU24" t="str">
        <x:v>var(--cda-lum-660)</x:v>
      </x:c>
      <x:c r="AV24" t="str">
        <x:v>Median RGB from official PDF swatch (screen reference only)</x:v>
      </x:c>
      <x:c r="AW24" t="str">
        <x:v>https://www.carandache.com/content_files/uploaded_doc/product/10580/nuancier_luminance_fr.pdf</x:v>
      </x:c>
      <x:c r="AX24" t="n">
        <x:v>1</x:v>
      </x:c>
      <x:c r="AY24" t="str">
        <x:v>Official</x:v>
      </x:c>
      <x:c r="AZ24" t="str">
        <x:v>Official where available; curated Traditional Chinese/Japanese otherwise</x:v>
      </x:c>
      <x:c r="BA24" t="str">
        <x:v>Verified from official chart; digital HEX is approximate</x:v>
      </x:c>
      <x:c r="BB24" t="str">
        <x:v>Physical media appearance varies by paper, pressure, layering, water and scan/display profile.</x:v>
      </x:c>
    </x:row>
    <x:row r="25">
      <x:c r="A25" t="str">
        <x:f>G25&amp;"|"&amp;L25</x:f>
        <x:v>LUM|162</x:v>
      </x:c>
      <x:c r="B25" t="str">
        <x:v>f9336eca-d935-5182-bc8c-db27c56bbdf1</x:v>
      </x:c>
      <x:c r="C25" t="str">
        <x:v>CDA-LUM-162</x:v>
      </x:c>
      <x:c r="D25" t="str">
        <x:v>6d7dcd75-009a-599d-a72f-1b6cf18443b9</x:v>
      </x:c>
      <x:c r="E25" t="str">
        <x:v>CDA-CODE-162</x:v>
      </x:c>
      <x:c r="F25" t="str">
        <x:v>Caran d’Ache</x:v>
      </x:c>
      <x:c r="G25" t="str">
        <x:v>LUM</x:v>
      </x:c>
      <x:c r="H25" t="str">
        <x:v>LUMINANCE 6901</x:v>
      </x:c>
      <x:c r="I25" t="str">
        <x:v>Oil-based permanent coloured pencil</x:v>
      </x:c>
      <x:c r="J25" t="str">
        <x:v>Professional</x:v>
      </x:c>
      <x:c r="K25" s="30" t="n">
        <x:v>24</x:v>
      </x:c>
      <x:c r="L25" s="30" t="str">
        <x:v>162</x:v>
      </x:c>
      <x:c r="M25" t="str">
        <x:v>Phthalocyanine blue</x:v>
      </x:c>
      <x:c r="N25" t="str">
        <x:v>酞菁藍</x:v>
      </x:c>
      <x:c r="O25" t="str">
        <x:v>フタロシアニンブルー</x:v>
      </x:c>
      <x:c r="P25" t="str"/>
      <x:c r="Q25" t="str">
        <x:v>Bleu de phtalocyanine</x:v>
      </x:c>
      <x:c r="R25" t="str">
        <x:v>Phthalocyaninblau</x:v>
      </x:c>
      <x:c r="S25" t="str">
        <x:v>Blu ftalo</x:v>
      </x:c>
      <x:c r="T25" t="str">
        <x:v>Azul phtalo</x:v>
      </x:c>
      <x:c r="U25" t="str">
        <x:v>Azul ftálico</x:v>
      </x:c>
      <x:c r="V25" t="str"/>
      <x:c r="W25" t="str">
        <x:v>PB15:3</x:v>
      </x:c>
      <x:c r="X25" t="n">
        <x:f>IF(W25="",0,LEN(W25)-LEN(SUBSTITUTE(W25,"/",""))+1)</x:f>
        <x:v>1</x:v>
      </x:c>
      <x:c r="Y25" t="str">
        <x:v>I</x:v>
      </x:c>
      <x:c r="Z25" s="32" t="n">
        <x:v>1.67</x:v>
      </x:c>
      <x:c r="AA25" s="32" t="n">
        <x:v>3</x:v>
      </x:c>
      <x:c r="AB25" s="32" t="str">
        <x:v>ASTM D-6901</x:v>
      </x:c>
      <x:c r="AC25" t="str">
        <x:v>#088FCD</x:v>
      </x:c>
      <x:c r="AD25" s="34" t="n">
        <x:v>8</x:v>
      </x:c>
      <x:c r="AE25" s="34" t="n">
        <x:v>143</x:v>
      </x:c>
      <x:c r="AF25" s="34" t="n">
        <x:v>205</x:v>
      </x:c>
      <x:c r="AG25" s="32" t="n">
        <x:v>198.88</x:v>
      </x:c>
      <x:c r="AH25" s="32" t="n">
        <x:v>92.49</x:v>
      </x:c>
      <x:c r="AI25" s="32" t="n">
        <x:v>41.76</x:v>
      </x:c>
      <x:c r="AJ25" s="32" t="n">
        <x:v>56.19</x:v>
      </x:c>
      <x:c r="AK25" s="32" t="n">
        <x:v>-9.19</x:v>
      </x:c>
      <x:c r="AL25" s="32" t="n">
        <x:v>-40.67</x:v>
      </x:c>
      <x:c r="AM25" s="32" t="str">
        <x:v>#000000</x:v>
      </x:c>
      <x:c r="AN25" s="32" t="str">
        <x:v>Black</x:v>
      </x:c>
      <x:c r="AO25" s="32" t="n">
        <x:v>5.82</x:v>
      </x:c>
      <x:c r="AP25" s="32" t="n">
        <x:v>5.82</x:v>
      </x:c>
      <x:c r="AQ25" s="32" t="n">
        <x:v>3.61</x:v>
      </x:c>
      <x:c r="AR25" s="32" t="n">
        <x:v>0.241043</x:v>
      </x:c>
      <x:c r="AS25" t="str">
        <x:v>PASS</x:v>
      </x:c>
      <x:c r="AT25" t="str">
        <x:v>--cda-lum-162</x:v>
      </x:c>
      <x:c r="AU25" t="str">
        <x:v>var(--cda-lum-162)</x:v>
      </x:c>
      <x:c r="AV25" t="str">
        <x:v>Median RGB from official PDF swatch (screen reference only)</x:v>
      </x:c>
      <x:c r="AW25" t="str">
        <x:v>https://www.carandache.com/content_files/uploaded_doc/product/10580/nuancier_luminance_fr.pdf</x:v>
      </x:c>
      <x:c r="AX25" t="n">
        <x:v>1</x:v>
      </x:c>
      <x:c r="AY25" t="str">
        <x:v>Official</x:v>
      </x:c>
      <x:c r="AZ25" t="str">
        <x:v>Official where available; curated Traditional Chinese/Japanese otherwise</x:v>
      </x:c>
      <x:c r="BA25" t="str">
        <x:v>Verified from official chart; digital HEX is approximate</x:v>
      </x:c>
      <x:c r="BB25" t="str">
        <x:v>Physical media appearance varies by paper, pressure, layering, water and scan/display profile.</x:v>
      </x:c>
    </x:row>
    <x:row r="26">
      <x:c r="A26" t="str">
        <x:f>G26&amp;"|"&amp;L26</x:f>
        <x:v>LUM|755</x:v>
      </x:c>
      <x:c r="B26" t="str">
        <x:v>181e14d8-9c3b-5b1a-8692-bf819b932dbf</x:v>
      </x:c>
      <x:c r="C26" t="str">
        <x:v>CDA-LUM-755</x:v>
      </x:c>
      <x:c r="D26" t="str">
        <x:v>0ab9ac3f-af1d-5b0a-bed4-5f17b5fb1e39</x:v>
      </x:c>
      <x:c r="E26" t="str">
        <x:v>CDA-CODE-755</x:v>
      </x:c>
      <x:c r="F26" t="str">
        <x:v>Caran d’Ache</x:v>
      </x:c>
      <x:c r="G26" t="str">
        <x:v>LUM</x:v>
      </x:c>
      <x:c r="H26" t="str">
        <x:v>LUMINANCE 6901</x:v>
      </x:c>
      <x:c r="I26" t="str">
        <x:v>Oil-based permanent coloured pencil</x:v>
      </x:c>
      <x:c r="J26" t="str">
        <x:v>Professional</x:v>
      </x:c>
      <x:c r="K26" s="30" t="n">
        <x:v>25</x:v>
      </x:c>
      <x:c r="L26" s="30" t="str">
        <x:v>755</x:v>
      </x:c>
      <x:c r="M26" t="str">
        <x:v>Grey blue</x:v>
      </x:c>
      <x:c r="N26" t="str">
        <x:v>灰藍色</x:v>
      </x:c>
      <x:c r="O26" t="str">
        <x:v>グレーブルー</x:v>
      </x:c>
      <x:c r="P26" t="str"/>
      <x:c r="Q26" t="str">
        <x:v>Bleu gris</x:v>
      </x:c>
      <x:c r="R26" t="str">
        <x:v>Graublau</x:v>
      </x:c>
      <x:c r="S26" t="str">
        <x:v>Blu grigio</x:v>
      </x:c>
      <x:c r="T26" t="str">
        <x:v>Azul grisáceo</x:v>
      </x:c>
      <x:c r="U26" t="str">
        <x:v>Azul Cinza</x:v>
      </x:c>
      <x:c r="V26" t="str"/>
      <x:c r="W26" t="str">
        <x:v>PB15/PB27/PBk6</x:v>
      </x:c>
      <x:c r="X26" t="n">
        <x:f>IF(W26="",0,LEN(W26)-LEN(SUBSTITUTE(W26,"/",""))+1)</x:f>
        <x:v>3</x:v>
      </x:c>
      <x:c r="Y26" t="str">
        <x:v>I</x:v>
      </x:c>
      <x:c r="Z26" s="32" t="n">
        <x:v>1.67</x:v>
      </x:c>
      <x:c r="AA26" s="32" t="n">
        <x:v>3</x:v>
      </x:c>
      <x:c r="AB26" s="32" t="str">
        <x:v>ASTM D-6901</x:v>
      </x:c>
      <x:c r="AC26" t="str">
        <x:v>#72B8CC</x:v>
      </x:c>
      <x:c r="AD26" s="34" t="n">
        <x:v>114</x:v>
      </x:c>
      <x:c r="AE26" s="34" t="n">
        <x:v>184</x:v>
      </x:c>
      <x:c r="AF26" s="34" t="n">
        <x:v>204</x:v>
      </x:c>
      <x:c r="AG26" s="32" t="n">
        <x:v>193.33</x:v>
      </x:c>
      <x:c r="AH26" s="32" t="n">
        <x:v>46.88</x:v>
      </x:c>
      <x:c r="AI26" s="32" t="n">
        <x:v>62.35</x:v>
      </x:c>
      <x:c r="AJ26" s="32" t="n">
        <x:v>71.02</x:v>
      </x:c>
      <x:c r="AK26" s="32" t="n">
        <x:v>-16.79</x:v>
      </x:c>
      <x:c r="AL26" s="32" t="n">
        <x:v>-16.99</x:v>
      </x:c>
      <x:c r="AM26" s="32" t="str">
        <x:v>#000000</x:v>
      </x:c>
      <x:c r="AN26" s="32" t="str">
        <x:v>Black</x:v>
      </x:c>
      <x:c r="AO26" s="32" t="n">
        <x:v>9.44</x:v>
      </x:c>
      <x:c r="AP26" s="32" t="n">
        <x:v>9.44</x:v>
      </x:c>
      <x:c r="AQ26" s="32" t="n">
        <x:v>2.22</x:v>
      </x:c>
      <x:c r="AR26" s="32" t="n">
        <x:v>0.42218</x:v>
      </x:c>
      <x:c r="AS26" t="str">
        <x:v>PASS</x:v>
      </x:c>
      <x:c r="AT26" t="str">
        <x:v>--cda-lum-755</x:v>
      </x:c>
      <x:c r="AU26" t="str">
        <x:v>var(--cda-lum-755)</x:v>
      </x:c>
      <x:c r="AV26" t="str">
        <x:v>Median RGB from official PDF swatch (screen reference only)</x:v>
      </x:c>
      <x:c r="AW26" t="str">
        <x:v>https://www.carandache.com/content_files/uploaded_doc/product/10580/nuancier_luminance_fr.pdf</x:v>
      </x:c>
      <x:c r="AX26" t="n">
        <x:v>1</x:v>
      </x:c>
      <x:c r="AY26" t="str">
        <x:v>Official</x:v>
      </x:c>
      <x:c r="AZ26" t="str">
        <x:v>Official where available; curated Traditional Chinese/Japanese otherwise</x:v>
      </x:c>
      <x:c r="BA26" t="str">
        <x:v>Verified from official chart; digital HEX is approximate</x:v>
      </x:c>
      <x:c r="BB26" t="str">
        <x:v>Physical media appearance varies by paper, pressure, layering, water and scan/display profile.</x:v>
      </x:c>
    </x:row>
    <x:row r="27">
      <x:c r="A27" t="str">
        <x:f>G27&amp;"|"&amp;L27</x:f>
        <x:v>LUM|662</x:v>
      </x:c>
      <x:c r="B27" t="str">
        <x:v>f32b04d0-8b6d-5915-aad8-91ecedcce720</x:v>
      </x:c>
      <x:c r="C27" t="str">
        <x:v>CDA-LUM-662</x:v>
      </x:c>
      <x:c r="D27" t="str">
        <x:v>843d7a32-b595-5877-aa98-10ee6d7cff66</x:v>
      </x:c>
      <x:c r="E27" t="str">
        <x:v>CDA-CODE-662</x:v>
      </x:c>
      <x:c r="F27" t="str">
        <x:v>Caran d’Ache</x:v>
      </x:c>
      <x:c r="G27" t="str">
        <x:v>LUM</x:v>
      </x:c>
      <x:c r="H27" t="str">
        <x:v>LUMINANCE 6901</x:v>
      </x:c>
      <x:c r="I27" t="str">
        <x:v>Oil-based permanent coloured pencil</x:v>
      </x:c>
      <x:c r="J27" t="str">
        <x:v>Professional</x:v>
      </x:c>
      <x:c r="K27" s="30" t="n">
        <x:v>26</x:v>
      </x:c>
      <x:c r="L27" s="30" t="str">
        <x:v>662</x:v>
      </x:c>
      <x:c r="M27" t="str">
        <x:v>Cobalt blue 10%</x:v>
      </x:c>
      <x:c r="N27" t="str">
        <x:v>鈷藍 10%</x:v>
      </x:c>
      <x:c r="O27" t="str">
        <x:v>コバルトブルー 10%</x:v>
      </x:c>
      <x:c r="P27" t="str"/>
      <x:c r="Q27" t="str">
        <x:v>Bleu cobalt 10%</x:v>
      </x:c>
      <x:c r="R27" t="str">
        <x:v>Kobaltblau 10%</x:v>
      </x:c>
      <x:c r="S27" t="str">
        <x:v>Blu cobalto 10%</x:v>
      </x:c>
      <x:c r="T27" t="str">
        <x:v>Azul cobalto 10%</x:v>
      </x:c>
      <x:c r="U27" t="str">
        <x:v>Azul cobalto 10%</x:v>
      </x:c>
      <x:c r="V27" t="str"/>
      <x:c r="W27" t="str">
        <x:v>PB28</x:v>
      </x:c>
      <x:c r="X27" t="n">
        <x:f>IF(W27="",0,LEN(W27)-LEN(SUBSTITUTE(W27,"/",""))+1)</x:f>
        <x:v>1</x:v>
      </x:c>
      <x:c r="Y27" t="str">
        <x:v>I</x:v>
      </x:c>
      <x:c r="Z27" s="32" t="n">
        <x:v>1.67</x:v>
      </x:c>
      <x:c r="AA27" s="32" t="n">
        <x:v>3</x:v>
      </x:c>
      <x:c r="AB27" s="32" t="str">
        <x:v>ASTM D-6901</x:v>
      </x:c>
      <x:c r="AC27" t="str">
        <x:v>#7AA4D0</x:v>
      </x:c>
      <x:c r="AD27" s="34" t="n">
        <x:v>122</x:v>
      </x:c>
      <x:c r="AE27" s="34" t="n">
        <x:v>164</x:v>
      </x:c>
      <x:c r="AF27" s="34" t="n">
        <x:v>208</x:v>
      </x:c>
      <x:c r="AG27" s="32" t="n">
        <x:v>210.7</x:v>
      </x:c>
      <x:c r="AH27" s="32" t="n">
        <x:v>47.78</x:v>
      </x:c>
      <x:c r="AI27" s="32" t="n">
        <x:v>64.71</x:v>
      </x:c>
      <x:c r="AJ27" s="32" t="n">
        <x:v>65.94</x:v>
      </x:c>
      <x:c r="AK27" s="32" t="n">
        <x:v>-2.88</x:v>
      </x:c>
      <x:c r="AL27" s="32" t="n">
        <x:v>-26.91</x:v>
      </x:c>
      <x:c r="AM27" s="32" t="str">
        <x:v>#000000</x:v>
      </x:c>
      <x:c r="AN27" s="32" t="str">
        <x:v>Black</x:v>
      </x:c>
      <x:c r="AO27" s="32" t="n">
        <x:v>8.05</x:v>
      </x:c>
      <x:c r="AP27" s="32" t="n">
        <x:v>8.05</x:v>
      </x:c>
      <x:c r="AQ27" s="32" t="n">
        <x:v>2.61</x:v>
      </x:c>
      <x:c r="AR27" s="32" t="n">
        <x:v>0.352426</x:v>
      </x:c>
      <x:c r="AS27" t="str">
        <x:v>PASS</x:v>
      </x:c>
      <x:c r="AT27" t="str">
        <x:v>--cda-lum-662</x:v>
      </x:c>
      <x:c r="AU27" t="str">
        <x:v>var(--cda-lum-662)</x:v>
      </x:c>
      <x:c r="AV27" t="str">
        <x:v>Median RGB from official PDF swatch (screen reference only)</x:v>
      </x:c>
      <x:c r="AW27" t="str">
        <x:v>https://www.carandache.com/content_files/uploaded_doc/product/10580/nuancier_luminance_fr.pdf</x:v>
      </x:c>
      <x:c r="AX27" t="n">
        <x:v>1</x:v>
      </x:c>
      <x:c r="AY27" t="str">
        <x:v>Official</x:v>
      </x:c>
      <x:c r="AZ27" t="str">
        <x:v>Official where available; curated Traditional Chinese/Japanese otherwise</x:v>
      </x:c>
      <x:c r="BA27" t="str">
        <x:v>Verified from official chart; digital HEX is approximate</x:v>
      </x:c>
      <x:c r="BB27" t="str">
        <x:v>Physical media appearance varies by paper, pressure, layering, water and scan/display profile.</x:v>
      </x:c>
    </x:row>
    <x:row r="28">
      <x:c r="A28" t="str">
        <x:f>G28&amp;"|"&amp;L28</x:f>
        <x:v>LUM|161</x:v>
      </x:c>
      <x:c r="B28" t="str">
        <x:v>cbe53a0f-d415-59c8-aea3-b1ff488348b7</x:v>
      </x:c>
      <x:c r="C28" t="str">
        <x:v>CDA-LUM-161</x:v>
      </x:c>
      <x:c r="D28" t="str">
        <x:v>6ffc111a-0ad6-541a-8290-6ab5dc59fcce</x:v>
      </x:c>
      <x:c r="E28" t="str">
        <x:v>CDA-CODE-161</x:v>
      </x:c>
      <x:c r="F28" t="str">
        <x:v>Caran d’Ache</x:v>
      </x:c>
      <x:c r="G28" t="str">
        <x:v>LUM</x:v>
      </x:c>
      <x:c r="H28" t="str">
        <x:v>LUMINANCE 6901</x:v>
      </x:c>
      <x:c r="I28" t="str">
        <x:v>Oil-based permanent coloured pencil</x:v>
      </x:c>
      <x:c r="J28" t="str">
        <x:v>Professional</x:v>
      </x:c>
      <x:c r="K28" s="30" t="n">
        <x:v>27</x:v>
      </x:c>
      <x:c r="L28" s="30" t="str">
        <x:v>161</x:v>
      </x:c>
      <x:c r="M28" t="str">
        <x:v>Light blue</x:v>
      </x:c>
      <x:c r="N28" t="str">
        <x:v>淺藍色</x:v>
      </x:c>
      <x:c r="O28" t="str">
        <x:v>ライトブルー</x:v>
      </x:c>
      <x:c r="P28" t="str"/>
      <x:c r="Q28" t="str">
        <x:v>Bleu clair</x:v>
      </x:c>
      <x:c r="R28" t="str">
        <x:v>Hellblau</x:v>
      </x:c>
      <x:c r="S28" t="str">
        <x:v>Azzurro chiaro</x:v>
      </x:c>
      <x:c r="T28" t="str">
        <x:v>Azul claro</x:v>
      </x:c>
      <x:c r="U28" t="str">
        <x:v>Azul claro</x:v>
      </x:c>
      <x:c r="V28" t="str"/>
      <x:c r="W28" t="str">
        <x:v>PB15:3/PBk9</x:v>
      </x:c>
      <x:c r="X28" t="n">
        <x:f>IF(W28="",0,LEN(W28)-LEN(SUBSTITUTE(W28,"/",""))+1)</x:f>
        <x:v>2</x:v>
      </x:c>
      <x:c r="Y28" t="str">
        <x:v>II</x:v>
      </x:c>
      <x:c r="Z28" s="32" t="n">
        <x:v>3.33</x:v>
      </x:c>
      <x:c r="AA28" s="32" t="n">
        <x:v>3</x:v>
      </x:c>
      <x:c r="AB28" s="32" t="str">
        <x:v>ASTM D-6901</x:v>
      </x:c>
      <x:c r="AC28" t="str">
        <x:v>#17A3C4</x:v>
      </x:c>
      <x:c r="AD28" s="34" t="n">
        <x:v>23</x:v>
      </x:c>
      <x:c r="AE28" s="34" t="n">
        <x:v>163</x:v>
      </x:c>
      <x:c r="AF28" s="34" t="n">
        <x:v>196</x:v>
      </x:c>
      <x:c r="AG28" s="32" t="n">
        <x:v>191.45</x:v>
      </x:c>
      <x:c r="AH28" s="32" t="n">
        <x:v>79</x:v>
      </x:c>
      <x:c r="AI28" s="32" t="n">
        <x:v>42.94</x:v>
      </x:c>
      <x:c r="AJ28" s="32" t="n">
        <x:v>61.96</x:v>
      </x:c>
      <x:c r="AK28" s="32" t="n">
        <x:v>-22.63</x:v>
      </x:c>
      <x:c r="AL28" s="32" t="n">
        <x:v>-26.62</x:v>
      </x:c>
      <x:c r="AM28" s="32" t="str">
        <x:v>#000000</x:v>
      </x:c>
      <x:c r="AN28" s="32" t="str">
        <x:v>Black</x:v>
      </x:c>
      <x:c r="AO28" s="32" t="n">
        <x:v>7.07</x:v>
      </x:c>
      <x:c r="AP28" s="32" t="n">
        <x:v>7.07</x:v>
      </x:c>
      <x:c r="AQ28" s="32" t="n">
        <x:v>2.97</x:v>
      </x:c>
      <x:c r="AR28" s="32" t="n">
        <x:v>0.303621</x:v>
      </x:c>
      <x:c r="AS28" t="str">
        <x:v>PASS</x:v>
      </x:c>
      <x:c r="AT28" t="str">
        <x:v>--cda-lum-161</x:v>
      </x:c>
      <x:c r="AU28" t="str">
        <x:v>var(--cda-lum-161)</x:v>
      </x:c>
      <x:c r="AV28" t="str">
        <x:v>Median RGB from official PDF swatch (screen reference only)</x:v>
      </x:c>
      <x:c r="AW28" t="str">
        <x:v>https://www.carandache.com/content_files/uploaded_doc/product/10580/nuancier_luminance_fr.pdf</x:v>
      </x:c>
      <x:c r="AX28" t="n">
        <x:v>1</x:v>
      </x:c>
      <x:c r="AY28" t="str">
        <x:v>Official</x:v>
      </x:c>
      <x:c r="AZ28" t="str">
        <x:v>Official where available; curated Traditional Chinese/Japanese otherwise</x:v>
      </x:c>
      <x:c r="BA28" t="str">
        <x:v>Verified from official chart; digital HEX is approximate</x:v>
      </x:c>
      <x:c r="BB28" t="str">
        <x:v>Physical media appearance varies by paper, pressure, layering, water and scan/display profile.</x:v>
      </x:c>
    </x:row>
    <x:row r="29">
      <x:c r="A29" t="str">
        <x:f>G29&amp;"|"&amp;L29</x:f>
        <x:v>LUM|671</x:v>
      </x:c>
      <x:c r="B29" t="str">
        <x:v>d2b0f893-8c9d-5ac8-8696-f7ce6b3c7f8c</x:v>
      </x:c>
      <x:c r="C29" t="str">
        <x:v>CDA-LUM-671</x:v>
      </x:c>
      <x:c r="D29" t="str">
        <x:v>e2230f13-16ca-5a7a-a705-fef540d1b9f2</x:v>
      </x:c>
      <x:c r="E29" t="str">
        <x:v>CDA-CODE-671</x:v>
      </x:c>
      <x:c r="F29" t="str">
        <x:v>Caran d’Ache</x:v>
      </x:c>
      <x:c r="G29" t="str">
        <x:v>LUM</x:v>
      </x:c>
      <x:c r="H29" t="str">
        <x:v>LUMINANCE 6901</x:v>
      </x:c>
      <x:c r="I29" t="str">
        <x:v>Oil-based permanent coloured pencil</x:v>
      </x:c>
      <x:c r="J29" t="str">
        <x:v>Professional</x:v>
      </x:c>
      <x:c r="K29" s="30" t="n">
        <x:v>28</x:v>
      </x:c>
      <x:c r="L29" s="30" t="str">
        <x:v>671</x:v>
      </x:c>
      <x:c r="M29" t="str">
        <x:v>Chrysocolla blue</x:v>
      </x:c>
      <x:c r="N29" t="str">
        <x:v>矽孔雀石藍</x:v>
      </x:c>
      <x:c r="O29" t="str">
        <x:v>クリソコラブルー</x:v>
      </x:c>
      <x:c r="P29" t="str"/>
      <x:c r="Q29" t="str">
        <x:v>Bleu chrysocolle</x:v>
      </x:c>
      <x:c r="R29" t="str">
        <x:v>Chrysokoll-Blau</x:v>
      </x:c>
      <x:c r="S29" t="str">
        <x:v>Azzurro crisocolla</x:v>
      </x:c>
      <x:c r="T29" t="str">
        <x:v>Azul crisocola</x:v>
      </x:c>
      <x:c r="U29" t="str">
        <x:v>Azul-crisocola</x:v>
      </x:c>
      <x:c r="V29" t="str"/>
      <x:c r="W29" t="str">
        <x:v>PB28</x:v>
      </x:c>
      <x:c r="X29" t="n">
        <x:f>IF(W29="",0,LEN(W29)-LEN(SUBSTITUTE(W29,"/",""))+1)</x:f>
        <x:v>1</x:v>
      </x:c>
      <x:c r="Y29" t="str">
        <x:v>I</x:v>
      </x:c>
      <x:c r="Z29" s="32" t="n">
        <x:v>1.67</x:v>
      </x:c>
      <x:c r="AA29" s="32" t="n">
        <x:v>3</x:v>
      </x:c>
      <x:c r="AB29" s="32" t="str">
        <x:v>ASTM D-6901</x:v>
      </x:c>
      <x:c r="AC29" t="str">
        <x:v>#6CC1BE</x:v>
      </x:c>
      <x:c r="AD29" s="34" t="n">
        <x:v>108</x:v>
      </x:c>
      <x:c r="AE29" s="34" t="n">
        <x:v>193</x:v>
      </x:c>
      <x:c r="AF29" s="34" t="n">
        <x:v>190</x:v>
      </x:c>
      <x:c r="AG29" s="32" t="n">
        <x:v>177.88</x:v>
      </x:c>
      <x:c r="AH29" s="32" t="n">
        <x:v>40.67</x:v>
      </x:c>
      <x:c r="AI29" s="32" t="n">
        <x:v>59.02</x:v>
      </x:c>
      <x:c r="AJ29" s="32" t="n">
        <x:v>72.92</x:v>
      </x:c>
      <x:c r="AK29" s="32" t="n">
        <x:v>-26.45</x:v>
      </x:c>
      <x:c r="AL29" s="32" t="n">
        <x:v>-6.53</x:v>
      </x:c>
      <x:c r="AM29" s="32" t="str">
        <x:v>#000000</x:v>
      </x:c>
      <x:c r="AN29" s="32" t="str">
        <x:v>Black</x:v>
      </x:c>
      <x:c r="AO29" s="32" t="n">
        <x:v>10.01</x:v>
      </x:c>
      <x:c r="AP29" s="32" t="n">
        <x:v>10.01</x:v>
      </x:c>
      <x:c r="AQ29" s="32" t="n">
        <x:v>2.1</x:v>
      </x:c>
      <x:c r="AR29" s="32" t="n">
        <x:v>0.450458</x:v>
      </x:c>
      <x:c r="AS29" t="str">
        <x:v>PASS</x:v>
      </x:c>
      <x:c r="AT29" t="str">
        <x:v>--cda-lum-671</x:v>
      </x:c>
      <x:c r="AU29" t="str">
        <x:v>var(--cda-lum-671)</x:v>
      </x:c>
      <x:c r="AV29" t="str">
        <x:v>Median RGB from official PDF swatch (screen reference only)</x:v>
      </x:c>
      <x:c r="AW29" t="str">
        <x:v>https://www.carandache.com/content_files/uploaded_doc/product/10580/nuancier_luminance_fr.pdf</x:v>
      </x:c>
      <x:c r="AX29" t="n">
        <x:v>1</x:v>
      </x:c>
      <x:c r="AY29" t="str">
        <x:v>Official</x:v>
      </x:c>
      <x:c r="AZ29" t="str">
        <x:v>Official where available; curated Traditional Chinese/Japanese otherwise</x:v>
      </x:c>
      <x:c r="BA29" t="str">
        <x:v>Verified from official chart; digital HEX is approximate</x:v>
      </x:c>
      <x:c r="BB29" t="str">
        <x:v>Physical media appearance varies by paper, pressure, layering, water and scan/display profile.</x:v>
      </x:c>
    </x:row>
    <x:row r="30">
      <x:c r="A30" t="str">
        <x:f>G30&amp;"|"&amp;L30</x:f>
        <x:v>LUM|171</x:v>
      </x:c>
      <x:c r="B30" t="str">
        <x:v>797148ac-4d1d-5c70-9075-7482cc508c25</x:v>
      </x:c>
      <x:c r="C30" t="str">
        <x:v>CDA-LUM-171</x:v>
      </x:c>
      <x:c r="D30" t="str">
        <x:v>8af82ae3-1ed6-53f3-82c5-825de5d678dc</x:v>
      </x:c>
      <x:c r="E30" t="str">
        <x:v>CDA-CODE-171</x:v>
      </x:c>
      <x:c r="F30" t="str">
        <x:v>Caran d’Ache</x:v>
      </x:c>
      <x:c r="G30" t="str">
        <x:v>LUM</x:v>
      </x:c>
      <x:c r="H30" t="str">
        <x:v>LUMINANCE 6901</x:v>
      </x:c>
      <x:c r="I30" t="str">
        <x:v>Oil-based permanent coloured pencil</x:v>
      </x:c>
      <x:c r="J30" t="str">
        <x:v>Professional</x:v>
      </x:c>
      <x:c r="K30" s="30" t="n">
        <x:v>29</x:v>
      </x:c>
      <x:c r="L30" s="30" t="str">
        <x:v>171</x:v>
      </x:c>
      <x:c r="M30" t="str">
        <x:v>Turquoise blue</x:v>
      </x:c>
      <x:c r="N30" t="str">
        <x:v>土耳其藍</x:v>
      </x:c>
      <x:c r="O30" t="str">
        <x:v>ターコイズブルー</x:v>
      </x:c>
      <x:c r="P30" t="str"/>
      <x:c r="Q30" t="str">
        <x:v>Bleu turquoise</x:v>
      </x:c>
      <x:c r="R30" t="str">
        <x:v>Türkisblau</x:v>
      </x:c>
      <x:c r="S30" t="str">
        <x:v>Blu turchese</x:v>
      </x:c>
      <x:c r="T30" t="str">
        <x:v>Azul turquesa</x:v>
      </x:c>
      <x:c r="U30" t="str">
        <x:v>Azul turquesa</x:v>
      </x:c>
      <x:c r="V30" t="str"/>
      <x:c r="W30" t="str">
        <x:v>PB15:3/PG7/PBk9</x:v>
      </x:c>
      <x:c r="X30" t="n">
        <x:f>IF(W30="",0,LEN(W30)-LEN(SUBSTITUTE(W30,"/",""))+1)</x:f>
        <x:v>3</x:v>
      </x:c>
      <x:c r="Y30" t="str">
        <x:v>II</x:v>
      </x:c>
      <x:c r="Z30" s="32" t="n">
        <x:v>3.33</x:v>
      </x:c>
      <x:c r="AA30" s="32" t="n">
        <x:v>3</x:v>
      </x:c>
      <x:c r="AB30" s="32" t="str">
        <x:v>ASTM D-6901</x:v>
      </x:c>
      <x:c r="AC30" t="str">
        <x:v>#70BECA</x:v>
      </x:c>
      <x:c r="AD30" s="34" t="n">
        <x:v>112</x:v>
      </x:c>
      <x:c r="AE30" s="34" t="n">
        <x:v>190</x:v>
      </x:c>
      <x:c r="AF30" s="34" t="n">
        <x:v>202</x:v>
      </x:c>
      <x:c r="AG30" s="32" t="n">
        <x:v>188</x:v>
      </x:c>
      <x:c r="AH30" s="32" t="n">
        <x:v>45.92</x:v>
      </x:c>
      <x:c r="AI30" s="32" t="n">
        <x:v>61.57</x:v>
      </x:c>
      <x:c r="AJ30" s="32" t="n">
        <x:v>72.58</x:v>
      </x:c>
      <x:c r="AK30" s="32" t="n">
        <x:v>-20.89</x:v>
      </x:c>
      <x:c r="AL30" s="32" t="n">
        <x:v>-13.55</x:v>
      </x:c>
      <x:c r="AM30" s="32" t="str">
        <x:v>#000000</x:v>
      </x:c>
      <x:c r="AN30" s="32" t="str">
        <x:v>Black</x:v>
      </x:c>
      <x:c r="AO30" s="32" t="n">
        <x:v>9.91</x:v>
      </x:c>
      <x:c r="AP30" s="32" t="n">
        <x:v>9.91</x:v>
      </x:c>
      <x:c r="AQ30" s="32" t="n">
        <x:v>2.12</x:v>
      </x:c>
      <x:c r="AR30" s="32" t="n">
        <x:v>0.445359</x:v>
      </x:c>
      <x:c r="AS30" t="str">
        <x:v>PASS</x:v>
      </x:c>
      <x:c r="AT30" t="str">
        <x:v>--cda-lum-171</x:v>
      </x:c>
      <x:c r="AU30" t="str">
        <x:v>var(--cda-lum-171)</x:v>
      </x:c>
      <x:c r="AV30" t="str">
        <x:v>Median RGB from official PDF swatch (screen reference only)</x:v>
      </x:c>
      <x:c r="AW30" t="str">
        <x:v>https://www.carandache.com/content_files/uploaded_doc/product/10580/nuancier_luminance_fr.pdf</x:v>
      </x:c>
      <x:c r="AX30" t="n">
        <x:v>1</x:v>
      </x:c>
      <x:c r="AY30" t="str">
        <x:v>Official</x:v>
      </x:c>
      <x:c r="AZ30" t="str">
        <x:v>Official where available; curated Traditional Chinese/Japanese otherwise</x:v>
      </x:c>
      <x:c r="BA30" t="str">
        <x:v>Verified from official chart; digital HEX is approximate</x:v>
      </x:c>
      <x:c r="BB30" t="str">
        <x:v>Physical media appearance varies by paper, pressure, layering, water and scan/display profile.</x:v>
      </x:c>
    </x:row>
    <x:row r="31">
      <x:c r="A31" t="str">
        <x:f>G31&amp;"|"&amp;L31</x:f>
        <x:v>LUM|661</x:v>
      </x:c>
      <x:c r="B31" t="str">
        <x:v>45d99889-9fa6-588f-a07b-eebe74a1ffec</x:v>
      </x:c>
      <x:c r="C31" t="str">
        <x:v>CDA-LUM-661</x:v>
      </x:c>
      <x:c r="D31" t="str">
        <x:v>ae9ade29-b330-52ae-9360-9950a169fd51</x:v>
      </x:c>
      <x:c r="E31" t="str">
        <x:v>CDA-CODE-661</x:v>
      </x:c>
      <x:c r="F31" t="str">
        <x:v>Caran d’Ache</x:v>
      </x:c>
      <x:c r="G31" t="str">
        <x:v>LUM</x:v>
      </x:c>
      <x:c r="H31" t="str">
        <x:v>LUMINANCE 6901</x:v>
      </x:c>
      <x:c r="I31" t="str">
        <x:v>Oil-based permanent coloured pencil</x:v>
      </x:c>
      <x:c r="J31" t="str">
        <x:v>Professional</x:v>
      </x:c>
      <x:c r="K31" s="30" t="n">
        <x:v>30</x:v>
      </x:c>
      <x:c r="L31" s="30" t="str">
        <x:v>661</x:v>
      </x:c>
      <x:c r="M31" t="str">
        <x:v>Cobalt blue 5%</x:v>
      </x:c>
      <x:c r="N31" t="str">
        <x:v>鈷藍 5%</x:v>
      </x:c>
      <x:c r="O31" t="str">
        <x:v>コバルトブルー 5%</x:v>
      </x:c>
      <x:c r="P31" t="str"/>
      <x:c r="Q31" t="str">
        <x:v>Bleu cobalt 5%</x:v>
      </x:c>
      <x:c r="R31" t="str">
        <x:v>Kobaltblau 5%</x:v>
      </x:c>
      <x:c r="S31" t="str">
        <x:v>Blu cobalto 5%</x:v>
      </x:c>
      <x:c r="T31" t="str">
        <x:v>Azul cobalto 5%</x:v>
      </x:c>
      <x:c r="U31" t="str">
        <x:v>Azul cobalto 5%</x:v>
      </x:c>
      <x:c r="V31" t="str"/>
      <x:c r="W31" t="str">
        <x:v>PB28</x:v>
      </x:c>
      <x:c r="X31" t="n">
        <x:f>IF(W31="",0,LEN(W31)-LEN(SUBSTITUTE(W31,"/",""))+1)</x:f>
        <x:v>1</x:v>
      </x:c>
      <x:c r="Y31" t="str">
        <x:v>I</x:v>
      </x:c>
      <x:c r="Z31" s="32" t="n">
        <x:v>1.67</x:v>
      </x:c>
      <x:c r="AA31" s="32" t="n">
        <x:v>3</x:v>
      </x:c>
      <x:c r="AB31" s="32" t="str">
        <x:v>ASTM D-6901</x:v>
      </x:c>
      <x:c r="AC31" t="str">
        <x:v>#A9D6EF</x:v>
      </x:c>
      <x:c r="AD31" s="34" t="n">
        <x:v>169</x:v>
      </x:c>
      <x:c r="AE31" s="34" t="n">
        <x:v>214</x:v>
      </x:c>
      <x:c r="AF31" s="34" t="n">
        <x:v>239</x:v>
      </x:c>
      <x:c r="AG31" s="32" t="n">
        <x:v>201.43</x:v>
      </x:c>
      <x:c r="AH31" s="32" t="n">
        <x:v>68.63</x:v>
      </x:c>
      <x:c r="AI31" s="32" t="n">
        <x:v>80</x:v>
      </x:c>
      <x:c r="AJ31" s="32" t="n">
        <x:v>83.31</x:v>
      </x:c>
      <x:c r="AK31" s="32" t="n">
        <x:v>-8.95</x:v>
      </x:c>
      <x:c r="AL31" s="32" t="n">
        <x:v>-17.03</x:v>
      </x:c>
      <x:c r="AM31" s="32" t="str">
        <x:v>#000000</x:v>
      </x:c>
      <x:c r="AN31" s="32" t="str">
        <x:v>Black</x:v>
      </x:c>
      <x:c r="AO31" s="32" t="n">
        <x:v>13.55</x:v>
      </x:c>
      <x:c r="AP31" s="32" t="n">
        <x:v>13.55</x:v>
      </x:c>
      <x:c r="AQ31" s="32" t="n">
        <x:v>1.55</x:v>
      </x:c>
      <x:c r="AR31" s="32" t="n">
        <x:v>0.627601</x:v>
      </x:c>
      <x:c r="AS31" t="str">
        <x:v>PASS</x:v>
      </x:c>
      <x:c r="AT31" t="str">
        <x:v>--cda-lum-661</x:v>
      </x:c>
      <x:c r="AU31" t="str">
        <x:v>var(--cda-lum-661)</x:v>
      </x:c>
      <x:c r="AV31" t="str">
        <x:v>Median RGB from official PDF swatch (screen reference only)</x:v>
      </x:c>
      <x:c r="AW31" t="str">
        <x:v>https://www.carandache.com/content_files/uploaded_doc/product/10580/nuancier_luminance_fr.pdf</x:v>
      </x:c>
      <x:c r="AX31" t="n">
        <x:v>1</x:v>
      </x:c>
      <x:c r="AY31" t="str">
        <x:v>Official</x:v>
      </x:c>
      <x:c r="AZ31" t="str">
        <x:v>Official where available; curated Traditional Chinese/Japanese otherwise</x:v>
      </x:c>
      <x:c r="BA31" t="str">
        <x:v>Verified from official chart; digital HEX is approximate</x:v>
      </x:c>
      <x:c r="BB31" t="str">
        <x:v>Physical media appearance varies by paper, pressure, layering, water and scan/display profile.</x:v>
      </x:c>
    </x:row>
    <x:row r="32">
      <x:c r="A32" t="str">
        <x:f>G32&amp;"|"&amp;L32</x:f>
        <x:v>LUM|181</x:v>
      </x:c>
      <x:c r="B32" t="str">
        <x:v>adc30c82-6711-563e-87c4-ac3fe53b9543</x:v>
      </x:c>
      <x:c r="C32" t="str">
        <x:v>CDA-LUM-181</x:v>
      </x:c>
      <x:c r="D32" t="str">
        <x:v>af2a2944-e566-5dee-8ba8-64d621eb0cbf</x:v>
      </x:c>
      <x:c r="E32" t="str">
        <x:v>CDA-CODE-181</x:v>
      </x:c>
      <x:c r="F32" t="str">
        <x:v>Caran d’Ache</x:v>
      </x:c>
      <x:c r="G32" t="str">
        <x:v>LUM</x:v>
      </x:c>
      <x:c r="H32" t="str">
        <x:v>LUMINANCE 6901</x:v>
      </x:c>
      <x:c r="I32" t="str">
        <x:v>Oil-based permanent coloured pencil</x:v>
      </x:c>
      <x:c r="J32" t="str">
        <x:v>Professional</x:v>
      </x:c>
      <x:c r="K32" s="30" t="n">
        <x:v>31</x:v>
      </x:c>
      <x:c r="L32" s="30" t="str">
        <x:v>181</x:v>
      </x:c>
      <x:c r="M32" t="str">
        <x:v>Light malachite green</x:v>
      </x:c>
      <x:c r="N32" t="str">
        <x:v>淺孔雀石綠</x:v>
      </x:c>
      <x:c r="O32" t="str">
        <x:v>ライトマラカイトグリーン</x:v>
      </x:c>
      <x:c r="P32" t="str"/>
      <x:c r="Q32" t="str">
        <x:v>Vert malachite clair</x:v>
      </x:c>
      <x:c r="R32" t="str">
        <x:v>Hellmalachitgrün</x:v>
      </x:c>
      <x:c r="S32" t="str">
        <x:v>Verde malachite chiaro</x:v>
      </x:c>
      <x:c r="T32" t="str">
        <x:v>Verde malaquita claro</x:v>
      </x:c>
      <x:c r="U32" t="str">
        <x:v>Verde malaquite claro</x:v>
      </x:c>
      <x:c r="V32" t="str"/>
      <x:c r="W32" t="str">
        <x:v>PG7/PBk9</x:v>
      </x:c>
      <x:c r="X32" t="n">
        <x:f>IF(W32="",0,LEN(W32)-LEN(SUBSTITUTE(W32,"/",""))+1)</x:f>
        <x:v>2</x:v>
      </x:c>
      <x:c r="Y32" t="str">
        <x:v>I</x:v>
      </x:c>
      <x:c r="Z32" s="32" t="n">
        <x:v>1.67</x:v>
      </x:c>
      <x:c r="AA32" s="32" t="n">
        <x:v>3</x:v>
      </x:c>
      <x:c r="AB32" s="32" t="str">
        <x:v>ASTM D-6901</x:v>
      </x:c>
      <x:c r="AC32" t="str">
        <x:v>#74C0B0</x:v>
      </x:c>
      <x:c r="AD32" s="34" t="n">
        <x:v>116</x:v>
      </x:c>
      <x:c r="AE32" s="34" t="n">
        <x:v>192</x:v>
      </x:c>
      <x:c r="AF32" s="34" t="n">
        <x:v>176</x:v>
      </x:c>
      <x:c r="AG32" s="32" t="n">
        <x:v>167.37</x:v>
      </x:c>
      <x:c r="AH32" s="32" t="n">
        <x:v>37.62</x:v>
      </x:c>
      <x:c r="AI32" s="32" t="n">
        <x:v>60.39</x:v>
      </x:c>
      <x:c r="AJ32" s="32" t="n">
        <x:v>72.59</x:v>
      </x:c>
      <x:c r="AK32" s="32" t="n">
        <x:v>-27.32</x:v>
      </x:c>
      <x:c r="AL32" s="32" t="n">
        <x:v>0.66</x:v>
      </x:c>
      <x:c r="AM32" s="32" t="str">
        <x:v>#000000</x:v>
      </x:c>
      <x:c r="AN32" s="32" t="str">
        <x:v>Black</x:v>
      </x:c>
      <x:c r="AO32" s="32" t="n">
        <x:v>9.91</x:v>
      </x:c>
      <x:c r="AP32" s="32" t="n">
        <x:v>9.91</x:v>
      </x:c>
      <x:c r="AQ32" s="32" t="n">
        <x:v>2.12</x:v>
      </x:c>
      <x:c r="AR32" s="32" t="n">
        <x:v>0.445469</x:v>
      </x:c>
      <x:c r="AS32" t="str">
        <x:v>PASS</x:v>
      </x:c>
      <x:c r="AT32" t="str">
        <x:v>--cda-lum-181</x:v>
      </x:c>
      <x:c r="AU32" t="str">
        <x:v>var(--cda-lum-181)</x:v>
      </x:c>
      <x:c r="AV32" t="str">
        <x:v>Median RGB from official PDF swatch (screen reference only)</x:v>
      </x:c>
      <x:c r="AW32" t="str">
        <x:v>https://www.carandache.com/content_files/uploaded_doc/product/10580/nuancier_luminance_fr.pdf</x:v>
      </x:c>
      <x:c r="AX32" t="n">
        <x:v>1</x:v>
      </x:c>
      <x:c r="AY32" t="str">
        <x:v>Official</x:v>
      </x:c>
      <x:c r="AZ32" t="str">
        <x:v>Official where available; curated Traditional Chinese/Japanese otherwise</x:v>
      </x:c>
      <x:c r="BA32" t="str">
        <x:v>Verified from official chart; digital HEX is approximate</x:v>
      </x:c>
      <x:c r="BB32" t="str">
        <x:v>Physical media appearance varies by paper, pressure, layering, water and scan/display profile.</x:v>
      </x:c>
    </x:row>
    <x:row r="33">
      <x:c r="A33" t="str">
        <x:f>G33&amp;"|"&amp;L33</x:f>
        <x:v>LUM|713</x:v>
      </x:c>
      <x:c r="B33" t="str">
        <x:v>e98acc02-0db2-5580-9f4a-80a6318aaa3f</x:v>
      </x:c>
      <x:c r="C33" t="str">
        <x:v>CDA-LUM-713</x:v>
      </x:c>
      <x:c r="D33" t="str">
        <x:v>b90119e4-fdfd-5ad6-85a6-e273aa9f318e</x:v>
      </x:c>
      <x:c r="E33" t="str">
        <x:v>CDA-CODE-713</x:v>
      </x:c>
      <x:c r="F33" t="str">
        <x:v>Caran d’Ache</x:v>
      </x:c>
      <x:c r="G33" t="str">
        <x:v>LUM</x:v>
      </x:c>
      <x:c r="H33" t="str">
        <x:v>LUMINANCE 6901</x:v>
      </x:c>
      <x:c r="I33" t="str">
        <x:v>Oil-based permanent coloured pencil</x:v>
      </x:c>
      <x:c r="J33" t="str">
        <x:v>Professional</x:v>
      </x:c>
      <x:c r="K33" s="30" t="n">
        <x:v>32</x:v>
      </x:c>
      <x:c r="L33" s="30" t="str">
        <x:v>713</x:v>
      </x:c>
      <x:c r="M33" t="str">
        <x:v>Middle verdigris</x:v>
      </x:c>
      <x:c r="N33" t="str">
        <x:v>中銅綠</x:v>
      </x:c>
      <x:c r="O33" t="str">
        <x:v>ミドルバーディグリス</x:v>
      </x:c>
      <x:c r="P33" t="str"/>
      <x:c r="Q33" t="str">
        <x:v>Vert de gris moyen</x:v>
      </x:c>
      <x:c r="R33" t="str">
        <x:v>Grüngrau mittel</x:v>
      </x:c>
      <x:c r="S33" t="str">
        <x:v>Verde de gris medio</x:v>
      </x:c>
      <x:c r="T33" t="str">
        <x:v>Verde rame medio</x:v>
      </x:c>
      <x:c r="U33" t="str">
        <x:v>Verdete médio</x:v>
      </x:c>
      <x:c r="V33" t="str"/>
      <x:c r="W33" t="str">
        <x:v>PG17/PB28</x:v>
      </x:c>
      <x:c r="X33" t="n">
        <x:f>IF(W33="",0,LEN(W33)-LEN(SUBSTITUTE(W33,"/",""))+1)</x:f>
        <x:v>2</x:v>
      </x:c>
      <x:c r="Y33" t="str">
        <x:v>I</x:v>
      </x:c>
      <x:c r="Z33" s="32" t="n">
        <x:v>1.67</x:v>
      </x:c>
      <x:c r="AA33" s="32" t="n">
        <x:v>3</x:v>
      </x:c>
      <x:c r="AB33" s="32" t="str">
        <x:v>ASTM D-6901</x:v>
      </x:c>
      <x:c r="AC33" t="str">
        <x:v>#A0CA9E</x:v>
      </x:c>
      <x:c r="AD33" s="34" t="n">
        <x:v>160</x:v>
      </x:c>
      <x:c r="AE33" s="34" t="n">
        <x:v>202</x:v>
      </x:c>
      <x:c r="AF33" s="34" t="n">
        <x:v>158</x:v>
      </x:c>
      <x:c r="AG33" s="32" t="n">
        <x:v>117.27</x:v>
      </x:c>
      <x:c r="AH33" s="32" t="n">
        <x:v>29.33</x:v>
      </x:c>
      <x:c r="AI33" s="32" t="n">
        <x:v>70.59</x:v>
      </x:c>
      <x:c r="AJ33" s="32" t="n">
        <x:v>77.39</x:v>
      </x:c>
      <x:c r="AK33" s="32" t="n">
        <x:v>-22.35</x:v>
      </x:c>
      <x:c r="AL33" s="32" t="n">
        <x:v>17.52</x:v>
      </x:c>
      <x:c r="AM33" s="32" t="str">
        <x:v>#000000</x:v>
      </x:c>
      <x:c r="AN33" s="32" t="str">
        <x:v>Black</x:v>
      </x:c>
      <x:c r="AO33" s="32" t="n">
        <x:v>11.44</x:v>
      </x:c>
      <x:c r="AP33" s="32" t="n">
        <x:v>11.44</x:v>
      </x:c>
      <x:c r="AQ33" s="32" t="n">
        <x:v>1.84</x:v>
      </x:c>
      <x:c r="AR33" s="32" t="n">
        <x:v>0.521833</x:v>
      </x:c>
      <x:c r="AS33" t="str">
        <x:v>PASS</x:v>
      </x:c>
      <x:c r="AT33" t="str">
        <x:v>--cda-lum-713</x:v>
      </x:c>
      <x:c r="AU33" t="str">
        <x:v>var(--cda-lum-713)</x:v>
      </x:c>
      <x:c r="AV33" t="str">
        <x:v>Median RGB from official PDF swatch (screen reference only)</x:v>
      </x:c>
      <x:c r="AW33" t="str">
        <x:v>https://www.carandache.com/content_files/uploaded_doc/product/10580/nuancier_luminance_fr.pdf</x:v>
      </x:c>
      <x:c r="AX33" t="n">
        <x:v>1</x:v>
      </x:c>
      <x:c r="AY33" t="str">
        <x:v>Official</x:v>
      </x:c>
      <x:c r="AZ33" t="str">
        <x:v>Official where available; curated Traditional Chinese/Japanese otherwise</x:v>
      </x:c>
      <x:c r="BA33" t="str">
        <x:v>Verified from official chart; digital HEX is approximate</x:v>
      </x:c>
      <x:c r="BB33" t="str">
        <x:v>Physical media appearance varies by paper, pressure, layering, water and scan/display profile.</x:v>
      </x:c>
    </x:row>
    <x:row r="34">
      <x:c r="A34" t="str">
        <x:f>G34&amp;"|"&amp;L34</x:f>
        <x:v>LUM|182</x:v>
      </x:c>
      <x:c r="B34" t="str">
        <x:v>fefa28fe-cc9f-5cae-bbdc-5307cb442573</x:v>
      </x:c>
      <x:c r="C34" t="str">
        <x:v>CDA-LUM-182</x:v>
      </x:c>
      <x:c r="D34" t="str">
        <x:v>1e70d834-fddd-5135-a908-aff1980efa95</x:v>
      </x:c>
      <x:c r="E34" t="str">
        <x:v>CDA-CODE-182</x:v>
      </x:c>
      <x:c r="F34" t="str">
        <x:v>Caran d’Ache</x:v>
      </x:c>
      <x:c r="G34" t="str">
        <x:v>LUM</x:v>
      </x:c>
      <x:c r="H34" t="str">
        <x:v>LUMINANCE 6901</x:v>
      </x:c>
      <x:c r="I34" t="str">
        <x:v>Oil-based permanent coloured pencil</x:v>
      </x:c>
      <x:c r="J34" t="str">
        <x:v>Professional</x:v>
      </x:c>
      <x:c r="K34" s="30" t="n">
        <x:v>33</x:v>
      </x:c>
      <x:c r="L34" s="30" t="str">
        <x:v>182</x:v>
      </x:c>
      <x:c r="M34" t="str">
        <x:v>Cobalt green</x:v>
      </x:c>
      <x:c r="N34" t="str">
        <x:v>鈷綠</x:v>
      </x:c>
      <x:c r="O34" t="str">
        <x:v>コバルトグリーン</x:v>
      </x:c>
      <x:c r="P34" t="str"/>
      <x:c r="Q34" t="str">
        <x:v>Vert de cobalt</x:v>
      </x:c>
      <x:c r="R34" t="str">
        <x:v>Kobaltgrün</x:v>
      </x:c>
      <x:c r="S34" t="str">
        <x:v>Verde di cobalto</x:v>
      </x:c>
      <x:c r="T34" t="str">
        <x:v>Verde cobalto</x:v>
      </x:c>
      <x:c r="U34" t="str">
        <x:v>Verde cobalto</x:v>
      </x:c>
      <x:c r="V34" t="str"/>
      <x:c r="W34" t="str">
        <x:v>PG50</x:v>
      </x:c>
      <x:c r="X34" t="n">
        <x:f>IF(W34="",0,LEN(W34)-LEN(SUBSTITUTE(W34,"/",""))+1)</x:f>
        <x:v>1</x:v>
      </x:c>
      <x:c r="Y34" t="str">
        <x:v>I</x:v>
      </x:c>
      <x:c r="Z34" s="32" t="n">
        <x:v>1.67</x:v>
      </x:c>
      <x:c r="AA34" s="32" t="n">
        <x:v>3</x:v>
      </x:c>
      <x:c r="AB34" s="32" t="str">
        <x:v>ASTM D-6901</x:v>
      </x:c>
      <x:c r="AC34" t="str">
        <x:v>#8EC39B</x:v>
      </x:c>
      <x:c r="AD34" s="34" t="n">
        <x:v>142</x:v>
      </x:c>
      <x:c r="AE34" s="34" t="n">
        <x:v>195</x:v>
      </x:c>
      <x:c r="AF34" s="34" t="n">
        <x:v>155</x:v>
      </x:c>
      <x:c r="AG34" s="32" t="n">
        <x:v>134.72</x:v>
      </x:c>
      <x:c r="AH34" s="32" t="n">
        <x:v>30.64</x:v>
      </x:c>
      <x:c r="AI34" s="32" t="n">
        <x:v>66.08</x:v>
      </x:c>
      <x:c r="AJ34" s="32" t="n">
        <x:v>74.28</x:v>
      </x:c>
      <x:c r="AK34" s="32" t="n">
        <x:v>-25.44</x:v>
      </x:c>
      <x:c r="AL34" s="32" t="n">
        <x:v>14.63</x:v>
      </x:c>
      <x:c r="AM34" s="32" t="str">
        <x:v>#000000</x:v>
      </x:c>
      <x:c r="AN34" s="32" t="str">
        <x:v>Black</x:v>
      </x:c>
      <x:c r="AO34" s="32" t="n">
        <x:v>10.43</x:v>
      </x:c>
      <x:c r="AP34" s="32" t="n">
        <x:v>10.43</x:v>
      </x:c>
      <x:c r="AQ34" s="32" t="n">
        <x:v>2.01</x:v>
      </x:c>
      <x:c r="AR34" s="32" t="n">
        <x:v>0.471476</x:v>
      </x:c>
      <x:c r="AS34" t="str">
        <x:v>PASS</x:v>
      </x:c>
      <x:c r="AT34" t="str">
        <x:v>--cda-lum-182</x:v>
      </x:c>
      <x:c r="AU34" t="str">
        <x:v>var(--cda-lum-182)</x:v>
      </x:c>
      <x:c r="AV34" t="str">
        <x:v>Median RGB from official PDF swatch (screen reference only)</x:v>
      </x:c>
      <x:c r="AW34" t="str">
        <x:v>https://www.carandache.com/content_files/uploaded_doc/product/10580/nuancier_luminance_fr.pdf</x:v>
      </x:c>
      <x:c r="AX34" t="n">
        <x:v>1</x:v>
      </x:c>
      <x:c r="AY34" t="str">
        <x:v>Official</x:v>
      </x:c>
      <x:c r="AZ34" t="str">
        <x:v>Official where available; curated Traditional Chinese/Japanese otherwise</x:v>
      </x:c>
      <x:c r="BA34" t="str">
        <x:v>Verified from official chart; digital HEX is approximate</x:v>
      </x:c>
      <x:c r="BB34" t="str">
        <x:v>Physical media appearance varies by paper, pressure, layering, water and scan/display profile.</x:v>
      </x:c>
    </x:row>
    <x:row r="35">
      <x:c r="A35" t="str">
        <x:f>G35&amp;"|"&amp;L35</x:f>
        <x:v>LUM|214</x:v>
      </x:c>
      <x:c r="B35" t="str">
        <x:v>64432290-b3be-5721-871c-99a8c8c557f1</x:v>
      </x:c>
      <x:c r="C35" t="str">
        <x:v>CDA-LUM-214</x:v>
      </x:c>
      <x:c r="D35" t="str">
        <x:v>0176cdf8-a3fa-5528-ae60-e5daa068acaa</x:v>
      </x:c>
      <x:c r="E35" t="str">
        <x:v>CDA-CODE-214</x:v>
      </x:c>
      <x:c r="F35" t="str">
        <x:v>Caran d’Ache</x:v>
      </x:c>
      <x:c r="G35" t="str">
        <x:v>LUM</x:v>
      </x:c>
      <x:c r="H35" t="str">
        <x:v>LUMINANCE 6901</x:v>
      </x:c>
      <x:c r="I35" t="str">
        <x:v>Oil-based permanent coloured pencil</x:v>
      </x:c>
      <x:c r="J35" t="str">
        <x:v>Professional</x:v>
      </x:c>
      <x:c r="K35" s="30" t="n">
        <x:v>34</x:v>
      </x:c>
      <x:c r="L35" s="30" t="str">
        <x:v>214</x:v>
      </x:c>
      <x:c r="M35" t="str">
        <x:v>Beryl green</x:v>
      </x:c>
      <x:c r="N35" t="str">
        <x:v>綠柱石綠</x:v>
      </x:c>
      <x:c r="O35" t="str">
        <x:v>ベリルグリーン</x:v>
      </x:c>
      <x:c r="P35" t="str"/>
      <x:c r="Q35" t="str">
        <x:v>Vert Béryl</x:v>
      </x:c>
      <x:c r="R35" t="str">
        <x:v>Berylgrün</x:v>
      </x:c>
      <x:c r="S35" t="str">
        <x:v>Verde Beryl</x:v>
      </x:c>
      <x:c r="T35" t="str">
        <x:v>Verde Beryl</x:v>
      </x:c>
      <x:c r="U35" t="str">
        <x:v>Verde Beryl</x:v>
      </x:c>
      <x:c r="V35" t="str"/>
      <x:c r="W35" t="str">
        <x:v>PG7</x:v>
      </x:c>
      <x:c r="X35" t="n">
        <x:f>IF(W35="",0,LEN(W35)-LEN(SUBSTITUTE(W35,"/",""))+1)</x:f>
        <x:v>1</x:v>
      </x:c>
      <x:c r="Y35" t="str">
        <x:v>I</x:v>
      </x:c>
      <x:c r="Z35" s="32" t="n">
        <x:v>1.67</x:v>
      </x:c>
      <x:c r="AA35" s="32" t="n">
        <x:v>3</x:v>
      </x:c>
      <x:c r="AB35" s="32" t="str">
        <x:v>ASTM D-6901</x:v>
      </x:c>
      <x:c r="AC35" t="str">
        <x:v>#06A192</x:v>
      </x:c>
      <x:c r="AD35" s="34" t="n">
        <x:v>6</x:v>
      </x:c>
      <x:c r="AE35" s="34" t="n">
        <x:v>161</x:v>
      </x:c>
      <x:c r="AF35" s="34" t="n">
        <x:v>146</x:v>
      </x:c>
      <x:c r="AG35" s="32" t="n">
        <x:v>174.19</x:v>
      </x:c>
      <x:c r="AH35" s="32" t="n">
        <x:v>92.81</x:v>
      </x:c>
      <x:c r="AI35" s="32" t="n">
        <x:v>32.75</x:v>
      </x:c>
      <x:c r="AJ35" s="32" t="n">
        <x:v>59.53</x:v>
      </x:c>
      <x:c r="AK35" s="32" t="n">
        <x:v>-38.39</x:v>
      </x:c>
      <x:c r="AL35" s="32" t="n">
        <x:v>-2.15</x:v>
      </x:c>
      <x:c r="AM35" s="32" t="str">
        <x:v>#000000</x:v>
      </x:c>
      <x:c r="AN35" s="32" t="str">
        <x:v>Black</x:v>
      </x:c>
      <x:c r="AO35" s="32" t="n">
        <x:v>6.52</x:v>
      </x:c>
      <x:c r="AP35" s="32" t="n">
        <x:v>6.52</x:v>
      </x:c>
      <x:c r="AQ35" s="32" t="n">
        <x:v>3.22</x:v>
      </x:c>
      <x:c r="AR35" s="32" t="n">
        <x:v>0.276038</x:v>
      </x:c>
      <x:c r="AS35" t="str">
        <x:v>PASS</x:v>
      </x:c>
      <x:c r="AT35" t="str">
        <x:v>--cda-lum-214</x:v>
      </x:c>
      <x:c r="AU35" t="str">
        <x:v>var(--cda-lum-214)</x:v>
      </x:c>
      <x:c r="AV35" t="str">
        <x:v>Median RGB from official PDF swatch (screen reference only)</x:v>
      </x:c>
      <x:c r="AW35" t="str">
        <x:v>https://www.carandache.com/content_files/uploaded_doc/product/10580/nuancier_luminance_fr.pdf</x:v>
      </x:c>
      <x:c r="AX35" t="n">
        <x:v>1</x:v>
      </x:c>
      <x:c r="AY35" t="str">
        <x:v>Official</x:v>
      </x:c>
      <x:c r="AZ35" t="str">
        <x:v>Official where available; curated Traditional Chinese/Japanese otherwise</x:v>
      </x:c>
      <x:c r="BA35" t="str">
        <x:v>Verified from official chart; digital HEX is approximate</x:v>
      </x:c>
      <x:c r="BB35" t="str">
        <x:v>Physical media appearance varies by paper, pressure, layering, water and scan/display profile.</x:v>
      </x:c>
    </x:row>
    <x:row r="36">
      <x:c r="A36" t="str">
        <x:f>G36&amp;"|"&amp;L36</x:f>
        <x:v>LUM|180</x:v>
      </x:c>
      <x:c r="B36" t="str">
        <x:v>a93b60e9-7fc1-5f63-bce3-935de9c3cb3b</x:v>
      </x:c>
      <x:c r="C36" t="str">
        <x:v>CDA-LUM-180</x:v>
      </x:c>
      <x:c r="D36" t="str">
        <x:v>4231c496-9609-55e3-b7b2-f62a8cae5f25</x:v>
      </x:c>
      <x:c r="E36" t="str">
        <x:v>CDA-CODE-180</x:v>
      </x:c>
      <x:c r="F36" t="str">
        <x:v>Caran d’Ache</x:v>
      </x:c>
      <x:c r="G36" t="str">
        <x:v>LUM</x:v>
      </x:c>
      <x:c r="H36" t="str">
        <x:v>LUMINANCE 6901</x:v>
      </x:c>
      <x:c r="I36" t="str">
        <x:v>Oil-based permanent coloured pencil</x:v>
      </x:c>
      <x:c r="J36" t="str">
        <x:v>Professional</x:v>
      </x:c>
      <x:c r="K36" s="30" t="n">
        <x:v>35</x:v>
      </x:c>
      <x:c r="L36" s="30" t="str">
        <x:v>180</x:v>
      </x:c>
      <x:c r="M36" t="str">
        <x:v>Malachite green</x:v>
      </x:c>
      <x:c r="N36" t="str">
        <x:v>孔雀石綠</x:v>
      </x:c>
      <x:c r="O36" t="str">
        <x:v>マラカイトグリーン</x:v>
      </x:c>
      <x:c r="P36" t="str"/>
      <x:c r="Q36" t="str">
        <x:v>Vert malachite</x:v>
      </x:c>
      <x:c r="R36" t="str">
        <x:v>Malachitgrün</x:v>
      </x:c>
      <x:c r="S36" t="str">
        <x:v>Verde malachite</x:v>
      </x:c>
      <x:c r="T36" t="str">
        <x:v>Verde malaquita</x:v>
      </x:c>
      <x:c r="U36" t="str">
        <x:v>Verde malaquite</x:v>
      </x:c>
      <x:c r="V36" t="str"/>
      <x:c r="W36" t="str">
        <x:v>PG7/PBk9</x:v>
      </x:c>
      <x:c r="X36" t="n">
        <x:f>IF(W36="",0,LEN(W36)-LEN(SUBSTITUTE(W36,"/",""))+1)</x:f>
        <x:v>2</x:v>
      </x:c>
      <x:c r="Y36" t="str">
        <x:v>I</x:v>
      </x:c>
      <x:c r="Z36" s="32" t="n">
        <x:v>1.67</x:v>
      </x:c>
      <x:c r="AA36" s="32" t="n">
        <x:v>3</x:v>
      </x:c>
      <x:c r="AB36" s="32" t="str">
        <x:v>ASTM D-6901</x:v>
      </x:c>
      <x:c r="AC36" t="str">
        <x:v>#097E92</x:v>
      </x:c>
      <x:c r="AD36" s="34" t="n">
        <x:v>9</x:v>
      </x:c>
      <x:c r="AE36" s="34" t="n">
        <x:v>126</x:v>
      </x:c>
      <x:c r="AF36" s="34" t="n">
        <x:v>146</x:v>
      </x:c>
      <x:c r="AG36" s="32" t="n">
        <x:v>188.76</x:v>
      </x:c>
      <x:c r="AH36" s="32" t="n">
        <x:v>88.39</x:v>
      </x:c>
      <x:c r="AI36" s="32" t="n">
        <x:v>30.39</x:v>
      </x:c>
      <x:c r="AJ36" s="32" t="n">
        <x:v>48.33</x:v>
      </x:c>
      <x:c r="AK36" s="32" t="n">
        <x:v>-21.26</x:v>
      </x:c>
      <x:c r="AL36" s="32" t="n">
        <x:v>-18.95</x:v>
      </x:c>
      <x:c r="AM36" s="32" t="str">
        <x:v>#FFFFFF</x:v>
      </x:c>
      <x:c r="AN36" s="32" t="str">
        <x:v>White</x:v>
      </x:c>
      <x:c r="AO36" s="32" t="n">
        <x:v>4.76</x:v>
      </x:c>
      <x:c r="AP36" s="32" t="n">
        <x:v>4.41</x:v>
      </x:c>
      <x:c r="AQ36" s="32" t="n">
        <x:v>4.76</x:v>
      </x:c>
      <x:c r="AR36" s="32" t="n">
        <x:v>0.170551</x:v>
      </x:c>
      <x:c r="AS36" t="str">
        <x:v>PASS</x:v>
      </x:c>
      <x:c r="AT36" t="str">
        <x:v>--cda-lum-180</x:v>
      </x:c>
      <x:c r="AU36" t="str">
        <x:v>var(--cda-lum-180)</x:v>
      </x:c>
      <x:c r="AV36" t="str">
        <x:v>Median RGB from official PDF swatch (screen reference only)</x:v>
      </x:c>
      <x:c r="AW36" t="str">
        <x:v>https://www.carandache.com/content_files/uploaded_doc/product/10580/nuancier_luminance_fr.pdf</x:v>
      </x:c>
      <x:c r="AX36" t="n">
        <x:v>1</x:v>
      </x:c>
      <x:c r="AY36" t="str">
        <x:v>Official</x:v>
      </x:c>
      <x:c r="AZ36" t="str">
        <x:v>Official where available; curated Traditional Chinese/Japanese otherwise</x:v>
      </x:c>
      <x:c r="BA36" t="str">
        <x:v>Verified from official chart; digital HEX is approximate</x:v>
      </x:c>
      <x:c r="BB36" t="str">
        <x:v>Physical media appearance varies by paper, pressure, layering, water and scan/display profile.</x:v>
      </x:c>
    </x:row>
    <x:row r="37">
      <x:c r="A37" t="str">
        <x:f>G37&amp;"|"&amp;L37</x:f>
        <x:v>LUM|185</x:v>
      </x:c>
      <x:c r="B37" t="str">
        <x:v>abcb14e1-4873-5e5b-8966-e735036f43d3</x:v>
      </x:c>
      <x:c r="C37" t="str">
        <x:v>CDA-LUM-185</x:v>
      </x:c>
      <x:c r="D37" t="str">
        <x:v>12724f05-b502-59f7-a985-93fdace159dd</x:v>
      </x:c>
      <x:c r="E37" t="str">
        <x:v>CDA-CODE-185</x:v>
      </x:c>
      <x:c r="F37" t="str">
        <x:v>Caran d’Ache</x:v>
      </x:c>
      <x:c r="G37" t="str">
        <x:v>LUM</x:v>
      </x:c>
      <x:c r="H37" t="str">
        <x:v>LUMINANCE 6901</x:v>
      </x:c>
      <x:c r="I37" t="str">
        <x:v>Oil-based permanent coloured pencil</x:v>
      </x:c>
      <x:c r="J37" t="str">
        <x:v>Professional</x:v>
      </x:c>
      <x:c r="K37" s="30" t="n">
        <x:v>36</x:v>
      </x:c>
      <x:c r="L37" s="30" t="str">
        <x:v>185</x:v>
      </x:c>
      <x:c r="M37" t="str">
        <x:v>Ice blue</x:v>
      </x:c>
      <x:c r="N37" t="str">
        <x:v>冰藍</x:v>
      </x:c>
      <x:c r="O37" t="str">
        <x:v>アイスブルー</x:v>
      </x:c>
      <x:c r="P37" t="str"/>
      <x:c r="Q37" t="str">
        <x:v>Bleu glacier</x:v>
      </x:c>
      <x:c r="R37" t="str">
        <x:v>Eisblau</x:v>
      </x:c>
      <x:c r="S37" t="str">
        <x:v>Blu di ghiaccio</x:v>
      </x:c>
      <x:c r="T37" t="str">
        <x:v>Azul hielo</x:v>
      </x:c>
      <x:c r="U37" t="str">
        <x:v>Azul gelo</x:v>
      </x:c>
      <x:c r="V37" t="str"/>
      <x:c r="W37" t="str">
        <x:v>PB16</x:v>
      </x:c>
      <x:c r="X37" t="n">
        <x:f>IF(W37="",0,LEN(W37)-LEN(SUBSTITUTE(W37,"/",""))+1)</x:f>
        <x:v>1</x:v>
      </x:c>
      <x:c r="Y37" t="str">
        <x:v>I</x:v>
      </x:c>
      <x:c r="Z37" s="32" t="n">
        <x:v>1.67</x:v>
      </x:c>
      <x:c r="AA37" s="32" t="n">
        <x:v>3</x:v>
      </x:c>
      <x:c r="AB37" s="32" t="str">
        <x:v>ASTM D-6901</x:v>
      </x:c>
      <x:c r="AC37" t="str">
        <x:v>#067191</x:v>
      </x:c>
      <x:c r="AD37" s="34" t="n">
        <x:v>6</x:v>
      </x:c>
      <x:c r="AE37" s="34" t="n">
        <x:v>113</x:v>
      </x:c>
      <x:c r="AF37" s="34" t="n">
        <x:v>145</x:v>
      </x:c>
      <x:c r="AG37" s="32" t="n">
        <x:v>193.81</x:v>
      </x:c>
      <x:c r="AH37" s="32" t="n">
        <x:v>92.05</x:v>
      </x:c>
      <x:c r="AI37" s="32" t="n">
        <x:v>29.61</x:v>
      </x:c>
      <x:c r="AJ37" s="32" t="n">
        <x:v>44.08</x:v>
      </x:c>
      <x:c r="AK37" s="32" t="n">
        <x:v>-14.64</x:v>
      </x:c>
      <x:c r="AL37" s="32" t="n">
        <x:v>-24.92</x:v>
      </x:c>
      <x:c r="AM37" s="32" t="str">
        <x:v>#FFFFFF</x:v>
      </x:c>
      <x:c r="AN37" s="32" t="str">
        <x:v>White</x:v>
      </x:c>
      <x:c r="AO37" s="32" t="n">
        <x:v>5.56</x:v>
      </x:c>
      <x:c r="AP37" s="32" t="n">
        <x:v>3.78</x:v>
      </x:c>
      <x:c r="AQ37" s="32" t="n">
        <x:v>5.56</x:v>
      </x:c>
      <x:c r="AR37" s="32" t="n">
        <x:v>0.138933</x:v>
      </x:c>
      <x:c r="AS37" t="str">
        <x:v>PASS</x:v>
      </x:c>
      <x:c r="AT37" t="str">
        <x:v>--cda-lum-185</x:v>
      </x:c>
      <x:c r="AU37" t="str">
        <x:v>var(--cda-lum-185)</x:v>
      </x:c>
      <x:c r="AV37" t="str">
        <x:v>Median RGB from official PDF swatch (screen reference only)</x:v>
      </x:c>
      <x:c r="AW37" t="str">
        <x:v>https://www.carandache.com/content_files/uploaded_doc/product/10580/nuancier_luminance_fr.pdf</x:v>
      </x:c>
      <x:c r="AX37" t="n">
        <x:v>1</x:v>
      </x:c>
      <x:c r="AY37" t="str">
        <x:v>Official</x:v>
      </x:c>
      <x:c r="AZ37" t="str">
        <x:v>Official where available; curated Traditional Chinese/Japanese otherwise</x:v>
      </x:c>
      <x:c r="BA37" t="str">
        <x:v>Verified from official chart; digital HEX is approximate</x:v>
      </x:c>
      <x:c r="BB37" t="str">
        <x:v>Physical media appearance varies by paper, pressure, layering, water and scan/display profile.</x:v>
      </x:c>
    </x:row>
    <x:row r="38">
      <x:c r="A38" t="str">
        <x:f>G38&amp;"|"&amp;L38</x:f>
        <x:v>LUM|159</x:v>
      </x:c>
      <x:c r="B38" t="str">
        <x:v>0642937e-23ea-5c94-aa5e-87f94d09cd8e</x:v>
      </x:c>
      <x:c r="C38" t="str">
        <x:v>CDA-LUM-159</x:v>
      </x:c>
      <x:c r="D38" t="str">
        <x:v>08addc77-b004-586f-abb1-86a724f3b33e</x:v>
      </x:c>
      <x:c r="E38" t="str">
        <x:v>CDA-CODE-159</x:v>
      </x:c>
      <x:c r="F38" t="str">
        <x:v>Caran d’Ache</x:v>
      </x:c>
      <x:c r="G38" t="str">
        <x:v>LUM</x:v>
      </x:c>
      <x:c r="H38" t="str">
        <x:v>LUMINANCE 6901</x:v>
      </x:c>
      <x:c r="I38" t="str">
        <x:v>Oil-based permanent coloured pencil</x:v>
      </x:c>
      <x:c r="J38" t="str">
        <x:v>Professional</x:v>
      </x:c>
      <x:c r="K38" s="30" t="n">
        <x:v>37</x:v>
      </x:c>
      <x:c r="L38" s="30" t="str">
        <x:v>159</x:v>
      </x:c>
      <x:c r="M38" t="str">
        <x:v>Prussian blue</x:v>
      </x:c>
      <x:c r="N38" t="str">
        <x:v>普魯士藍</x:v>
      </x:c>
      <x:c r="O38" t="str">
        <x:v>プルシャンブルー</x:v>
      </x:c>
      <x:c r="P38" t="str"/>
      <x:c r="Q38" t="str">
        <x:v>Bleu de Prusse</x:v>
      </x:c>
      <x:c r="R38" t="str">
        <x:v>Preussischblau</x:v>
      </x:c>
      <x:c r="S38" t="str">
        <x:v>Blu di Prussia</x:v>
      </x:c>
      <x:c r="T38" t="str">
        <x:v>Azul de Prusia</x:v>
      </x:c>
      <x:c r="U38" t="str">
        <x:v>Azul da Prussia</x:v>
      </x:c>
      <x:c r="V38" t="str"/>
      <x:c r="W38" t="str">
        <x:v>PB27</x:v>
      </x:c>
      <x:c r="X38" t="n">
        <x:f>IF(W38="",0,LEN(W38)-LEN(SUBSTITUTE(W38,"/",""))+1)</x:f>
        <x:v>1</x:v>
      </x:c>
      <x:c r="Y38" t="str">
        <x:v>I</x:v>
      </x:c>
      <x:c r="Z38" s="32" t="n">
        <x:v>1.67</x:v>
      </x:c>
      <x:c r="AA38" s="32" t="n">
        <x:v>3</x:v>
      </x:c>
      <x:c r="AB38" s="32" t="str">
        <x:v>ASTM D-6901</x:v>
      </x:c>
      <x:c r="AC38" t="str">
        <x:v>#0A5586</x:v>
      </x:c>
      <x:c r="AD38" s="34" t="n">
        <x:v>10</x:v>
      </x:c>
      <x:c r="AE38" s="34" t="n">
        <x:v>85</x:v>
      </x:c>
      <x:c r="AF38" s="34" t="n">
        <x:v>134</x:v>
      </x:c>
      <x:c r="AG38" s="32" t="n">
        <x:v>203.71</x:v>
      </x:c>
      <x:c r="AH38" s="32" t="n">
        <x:v>86.11</x:v>
      </x:c>
      <x:c r="AI38" s="32" t="n">
        <x:v>28.24</x:v>
      </x:c>
      <x:c r="AJ38" s="32" t="n">
        <x:v>34.56</x:v>
      </x:c>
      <x:c r="AK38" s="32" t="n">
        <x:v>-1.83</x:v>
      </x:c>
      <x:c r="AL38" s="32" t="n">
        <x:v>-33.2</x:v>
      </x:c>
      <x:c r="AM38" s="32" t="str">
        <x:v>#FFFFFF</x:v>
      </x:c>
      <x:c r="AN38" s="32" t="str">
        <x:v>White</x:v>
      </x:c>
      <x:c r="AO38" s="32" t="n">
        <x:v>7.9</x:v>
      </x:c>
      <x:c r="AP38" s="32" t="n">
        <x:v>2.66</x:v>
      </x:c>
      <x:c r="AQ38" s="32" t="n">
        <x:v>7.9</x:v>
      </x:c>
      <x:c r="AR38" s="32" t="n">
        <x:v>0.082828</x:v>
      </x:c>
      <x:c r="AS38" t="str">
        <x:v>PASS</x:v>
      </x:c>
      <x:c r="AT38" t="str">
        <x:v>--cda-lum-159</x:v>
      </x:c>
      <x:c r="AU38" t="str">
        <x:v>var(--cda-lum-159)</x:v>
      </x:c>
      <x:c r="AV38" t="str">
        <x:v>Median RGB from official PDF swatch (screen reference only)</x:v>
      </x:c>
      <x:c r="AW38" t="str">
        <x:v>https://www.carandache.com/content_files/uploaded_doc/product/10580/nuancier_luminance_fr.pdf</x:v>
      </x:c>
      <x:c r="AX38" t="n">
        <x:v>1</x:v>
      </x:c>
      <x:c r="AY38" t="str">
        <x:v>Official</x:v>
      </x:c>
      <x:c r="AZ38" t="str">
        <x:v>Official where available; curated Traditional Chinese/Japanese otherwise</x:v>
      </x:c>
      <x:c r="BA38" t="str">
        <x:v>Verified from official chart; digital HEX is approximate</x:v>
      </x:c>
      <x:c r="BB38" t="str">
        <x:v>Physical media appearance varies by paper, pressure, layering, water and scan/display profile.</x:v>
      </x:c>
    </x:row>
    <x:row r="39">
      <x:c r="A39" t="str">
        <x:f>G39&amp;"|"&amp;L39</x:f>
        <x:v>LUM|135</x:v>
      </x:c>
      <x:c r="B39" t="str">
        <x:v>16f42005-f9c9-5cf5-bda2-5e9a2ebfa343</x:v>
      </x:c>
      <x:c r="C39" t="str">
        <x:v>CDA-LUM-135</x:v>
      </x:c>
      <x:c r="D39" t="str">
        <x:v>596aa4c9-9f95-5ebc-96c2-06535a4cdc02</x:v>
      </x:c>
      <x:c r="E39" t="str">
        <x:v>CDA-CODE-135</x:v>
      </x:c>
      <x:c r="F39" t="str">
        <x:v>Caran d’Ache</x:v>
      </x:c>
      <x:c r="G39" t="str">
        <x:v>LUM</x:v>
      </x:c>
      <x:c r="H39" t="str">
        <x:v>LUMINANCE 6901</x:v>
      </x:c>
      <x:c r="I39" t="str">
        <x:v>Oil-based permanent coloured pencil</x:v>
      </x:c>
      <x:c r="J39" t="str">
        <x:v>Professional</x:v>
      </x:c>
      <x:c r="K39" s="30" t="n">
        <x:v>38</x:v>
      </x:c>
      <x:c r="L39" s="30" t="str">
        <x:v>135</x:v>
      </x:c>
      <x:c r="M39" t="str">
        <x:v>Bleu de Nîmes</x:v>
      </x:c>
      <x:c r="N39" t="str">
        <x:v>尼姆藍</x:v>
      </x:c>
      <x:c r="O39" t="str">
        <x:v>ブルー・ド・ニーム</x:v>
      </x:c>
      <x:c r="P39" t="str"/>
      <x:c r="Q39" t="str">
        <x:v>Bleu de Nîmes</x:v>
      </x:c>
      <x:c r="R39" t="str">
        <x:v>Nîmes-Blau</x:v>
      </x:c>
      <x:c r="S39" t="str">
        <x:v>Bleu de Nîmes</x:v>
      </x:c>
      <x:c r="T39" t="str">
        <x:v>Azul de Nîmes</x:v>
      </x:c>
      <x:c r="U39" t="str">
        <x:v>Bleu de Nîmes</x:v>
      </x:c>
      <x:c r="V39" t="str"/>
      <x:c r="W39" t="str">
        <x:v>PB15:3/PV23</x:v>
      </x:c>
      <x:c r="X39" t="n">
        <x:f>IF(W39="",0,LEN(W39)-LEN(SUBSTITUTE(W39,"/",""))+1)</x:f>
        <x:v>2</x:v>
      </x:c>
      <x:c r="Y39" t="str">
        <x:v>II</x:v>
      </x:c>
      <x:c r="Z39" s="32" t="n">
        <x:v>3.33</x:v>
      </x:c>
      <x:c r="AA39" s="32" t="n">
        <x:v>3</x:v>
      </x:c>
      <x:c r="AB39" s="32" t="str">
        <x:v>ASTM D-6901</x:v>
      </x:c>
      <x:c r="AC39" t="str">
        <x:v>#183161</x:v>
      </x:c>
      <x:c r="AD39" s="34" t="n">
        <x:v>24</x:v>
      </x:c>
      <x:c r="AE39" s="34" t="n">
        <x:v>49</x:v>
      </x:c>
      <x:c r="AF39" s="34" t="n">
        <x:v>97</x:v>
      </x:c>
      <x:c r="AG39" s="32" t="n">
        <x:v>219.45</x:v>
      </x:c>
      <x:c r="AH39" s="32" t="n">
        <x:v>60.33</x:v>
      </x:c>
      <x:c r="AI39" s="32" t="n">
        <x:v>23.73</x:v>
      </x:c>
      <x:c r="AJ39" s="32" t="n">
        <x:v>21.03</x:v>
      </x:c>
      <x:c r="AK39" s="32" t="n">
        <x:v>8.79</x:v>
      </x:c>
      <x:c r="AL39" s="32" t="n">
        <x:v>-31.35</x:v>
      </x:c>
      <x:c r="AM39" s="32" t="str">
        <x:v>#FFFFFF</x:v>
      </x:c>
      <x:c r="AN39" s="32" t="str">
        <x:v>White</x:v>
      </x:c>
      <x:c r="AO39" s="32" t="n">
        <x:v>12.72</x:v>
      </x:c>
      <x:c r="AP39" s="32" t="n">
        <x:v>1.65</x:v>
      </x:c>
      <x:c r="AQ39" s="32" t="n">
        <x:v>12.72</x:v>
      </x:c>
      <x:c r="AR39" s="32" t="n">
        <x:v>0.032539</x:v>
      </x:c>
      <x:c r="AS39" t="str">
        <x:v>PASS</x:v>
      </x:c>
      <x:c r="AT39" t="str">
        <x:v>--cda-lum-135</x:v>
      </x:c>
      <x:c r="AU39" t="str">
        <x:v>var(--cda-lum-135)</x:v>
      </x:c>
      <x:c r="AV39" t="str">
        <x:v>Median RGB from official PDF swatch (screen reference only)</x:v>
      </x:c>
      <x:c r="AW39" t="str">
        <x:v>https://www.carandache.com/content_files/uploaded_doc/product/10580/nuancier_luminance_fr.pdf</x:v>
      </x:c>
      <x:c r="AX39" t="n">
        <x:v>1</x:v>
      </x:c>
      <x:c r="AY39" t="str">
        <x:v>Official</x:v>
      </x:c>
      <x:c r="AZ39" t="str">
        <x:v>Official where available; curated Traditional Chinese/Japanese otherwise</x:v>
      </x:c>
      <x:c r="BA39" t="str">
        <x:v>Verified from official chart; digital HEX is approximate</x:v>
      </x:c>
      <x:c r="BB39" t="str">
        <x:v>Physical media appearance varies by paper, pressure, layering, water and scan/display profile.</x:v>
      </x:c>
    </x:row>
    <x:row r="40">
      <x:c r="A40" t="str">
        <x:f>G40&amp;"|"&amp;L40</x:f>
        <x:v>LUM|649</x:v>
      </x:c>
      <x:c r="B40" t="str">
        <x:v>c25cc360-83e1-5d86-8469-170a6a1adccb</x:v>
      </x:c>
      <x:c r="C40" t="str">
        <x:v>CDA-LUM-649</x:v>
      </x:c>
      <x:c r="D40" t="str">
        <x:v>d4e32d9d-da85-5b30-afb8-7868d3b5cf73</x:v>
      </x:c>
      <x:c r="E40" t="str">
        <x:v>CDA-CODE-649</x:v>
      </x:c>
      <x:c r="F40" t="str">
        <x:v>Caran d’Ache</x:v>
      </x:c>
      <x:c r="G40" t="str">
        <x:v>LUM</x:v>
      </x:c>
      <x:c r="H40" t="str">
        <x:v>LUMINANCE 6901</x:v>
      </x:c>
      <x:c r="I40" t="str">
        <x:v>Oil-based permanent coloured pencil</x:v>
      </x:c>
      <x:c r="J40" t="str">
        <x:v>Professional</x:v>
      </x:c>
      <x:c r="K40" s="30" t="n">
        <x:v>39</x:v>
      </x:c>
      <x:c r="L40" s="30" t="str">
        <x:v>649</x:v>
      </x:c>
      <x:c r="M40" t="str">
        <x:v>Indanthrone blue</x:v>
      </x:c>
      <x:c r="N40" t="str">
        <x:v>陰丹酮藍</x:v>
      </x:c>
      <x:c r="O40" t="str">
        <x:v>インダンスロンブルー</x:v>
      </x:c>
      <x:c r="P40" t="str"/>
      <x:c r="Q40" t="str">
        <x:v>Bleu indanthrène</x:v>
      </x:c>
      <x:c r="R40" t="str">
        <x:v>Indanthren-Blau</x:v>
      </x:c>
      <x:c r="S40" t="str">
        <x:v>Azzurro di indantrene</x:v>
      </x:c>
      <x:c r="T40" t="str">
        <x:v>Azul indantreno</x:v>
      </x:c>
      <x:c r="U40" t="str">
        <x:v>Azul indantreno</x:v>
      </x:c>
      <x:c r="V40" t="str"/>
      <x:c r="W40" t="str">
        <x:v>PB60</x:v>
      </x:c>
      <x:c r="X40" t="n">
        <x:f>IF(W40="",0,LEN(W40)-LEN(SUBSTITUTE(W40,"/",""))+1)</x:f>
        <x:v>1</x:v>
      </x:c>
      <x:c r="Y40" t="str">
        <x:v>I</x:v>
      </x:c>
      <x:c r="Z40" s="32" t="n">
        <x:v>1.67</x:v>
      </x:c>
      <x:c r="AA40" s="32" t="n">
        <x:v>3</x:v>
      </x:c>
      <x:c r="AB40" s="32" t="str">
        <x:v>ASTM D-6901</x:v>
      </x:c>
      <x:c r="AC40" t="str">
        <x:v>#1B233B</x:v>
      </x:c>
      <x:c r="AD40" s="34" t="n">
        <x:v>27</x:v>
      </x:c>
      <x:c r="AE40" s="34" t="n">
        <x:v>35</x:v>
      </x:c>
      <x:c r="AF40" s="34" t="n">
        <x:v>59</x:v>
      </x:c>
      <x:c r="AG40" s="32" t="n">
        <x:v>225</x:v>
      </x:c>
      <x:c r="AH40" s="32" t="n">
        <x:v>37.21</x:v>
      </x:c>
      <x:c r="AI40" s="32" t="n">
        <x:v>16.86</x:v>
      </x:c>
      <x:c r="AJ40" s="32" t="n">
        <x:v>14.12</x:v>
      </x:c>
      <x:c r="AK40" s="32" t="n">
        <x:v>4.48</x:v>
      </x:c>
      <x:c r="AL40" s="32" t="n">
        <x:v>-16.58</x:v>
      </x:c>
      <x:c r="AM40" s="32" t="str">
        <x:v>#FFFFFF</x:v>
      </x:c>
      <x:c r="AN40" s="32" t="str">
        <x:v>White</x:v>
      </x:c>
      <x:c r="AO40" s="32" t="n">
        <x:v>15.55</x:v>
      </x:c>
      <x:c r="AP40" s="32" t="n">
        <x:v>1.35</x:v>
      </x:c>
      <x:c r="AQ40" s="32" t="n">
        <x:v>15.55</x:v>
      </x:c>
      <x:c r="AR40" s="32" t="n">
        <x:v>0.017508</x:v>
      </x:c>
      <x:c r="AS40" t="str">
        <x:v>PASS</x:v>
      </x:c>
      <x:c r="AT40" t="str">
        <x:v>--cda-lum-649</x:v>
      </x:c>
      <x:c r="AU40" t="str">
        <x:v>var(--cda-lum-649)</x:v>
      </x:c>
      <x:c r="AV40" t="str">
        <x:v>Median RGB from official PDF swatch (screen reference only)</x:v>
      </x:c>
      <x:c r="AW40" t="str">
        <x:v>https://www.carandache.com/content_files/uploaded_doc/product/10580/nuancier_luminance_fr.pdf</x:v>
      </x:c>
      <x:c r="AX40" t="n">
        <x:v>1</x:v>
      </x:c>
      <x:c r="AY40" t="str">
        <x:v>Official</x:v>
      </x:c>
      <x:c r="AZ40" t="str">
        <x:v>Official where available; curated Traditional Chinese/Japanese otherwise</x:v>
      </x:c>
      <x:c r="BA40" t="str">
        <x:v>Verified from official chart; digital HEX is approximate</x:v>
      </x:c>
      <x:c r="BB40" t="str">
        <x:v>Physical media appearance varies by paper, pressure, layering, water and scan/display profile.</x:v>
      </x:c>
    </x:row>
    <x:row r="41">
      <x:c r="A41" t="str">
        <x:f>G41&amp;"|"&amp;L41</x:f>
        <x:v>LUM|739</x:v>
      </x:c>
      <x:c r="B41" t="str">
        <x:v>001afcef-b4f1-5542-9310-928a590fc5e4</x:v>
      </x:c>
      <x:c r="C41" t="str">
        <x:v>CDA-LUM-739</x:v>
      </x:c>
      <x:c r="D41" t="str">
        <x:v>05533add-1662-5b3c-a80e-e27e3ea148cd</x:v>
      </x:c>
      <x:c r="E41" t="str">
        <x:v>CDA-CODE-739</x:v>
      </x:c>
      <x:c r="F41" t="str">
        <x:v>Caran d’Ache</x:v>
      </x:c>
      <x:c r="G41" t="str">
        <x:v>LUM</x:v>
      </x:c>
      <x:c r="H41" t="str">
        <x:v>LUMINANCE 6901</x:v>
      </x:c>
      <x:c r="I41" t="str">
        <x:v>Oil-based permanent coloured pencil</x:v>
      </x:c>
      <x:c r="J41" t="str">
        <x:v>Professional</x:v>
      </x:c>
      <x:c r="K41" s="30" t="n">
        <x:v>40</x:v>
      </x:c>
      <x:c r="L41" s="30" t="str">
        <x:v>739</x:v>
      </x:c>
      <x:c r="M41" t="str">
        <x:v>Dark sap green</x:v>
      </x:c>
      <x:c r="N41" t="str">
        <x:v>深樹液綠</x:v>
      </x:c>
      <x:c r="O41" t="str">
        <x:v>ダークサップグリーン</x:v>
      </x:c>
      <x:c r="P41" t="str"/>
      <x:c r="Q41" t="str">
        <x:v>Vert sapin foncé</x:v>
      </x:c>
      <x:c r="R41" t="str">
        <x:v>Dunkel tannengrün</x:v>
      </x:c>
      <x:c r="S41" t="str">
        <x:v>Verde abete scuro</x:v>
      </x:c>
      <x:c r="T41" t="str">
        <x:v>Verde Abeto oscuro</x:v>
      </x:c>
      <x:c r="U41" t="str">
        <x:v>Verde Abeto Escuro</x:v>
      </x:c>
      <x:c r="V41" t="str"/>
      <x:c r="W41" t="str">
        <x:v>PG7/PBk6</x:v>
      </x:c>
      <x:c r="X41" t="n">
        <x:f>IF(W41="",0,LEN(W41)-LEN(SUBSTITUTE(W41,"/",""))+1)</x:f>
        <x:v>2</x:v>
      </x:c>
      <x:c r="Y41" t="str">
        <x:v>I</x:v>
      </x:c>
      <x:c r="Z41" s="32" t="n">
        <x:v>1.67</x:v>
      </x:c>
      <x:c r="AA41" s="32" t="n">
        <x:v>3</x:v>
      </x:c>
      <x:c r="AB41" s="32" t="str">
        <x:v>ASTM D-6901</x:v>
      </x:c>
      <x:c r="AC41" t="str">
        <x:v>#2B514E</x:v>
      </x:c>
      <x:c r="AD41" s="34" t="n">
        <x:v>43</x:v>
      </x:c>
      <x:c r="AE41" s="34" t="n">
        <x:v>81</x:v>
      </x:c>
      <x:c r="AF41" s="34" t="n">
        <x:v>78</x:v>
      </x:c>
      <x:c r="AG41" s="32" t="n">
        <x:v>175.26</x:v>
      </x:c>
      <x:c r="AH41" s="32" t="n">
        <x:v>30.65</x:v>
      </x:c>
      <x:c r="AI41" s="32" t="n">
        <x:v>24.31</x:v>
      </x:c>
      <x:c r="AJ41" s="32" t="n">
        <x:v>31.69</x:v>
      </x:c>
      <x:c r="AK41" s="32" t="n">
        <x:v>-14.37</x:v>
      </x:c>
      <x:c r="AL41" s="32" t="n">
        <x:v>-2.47</x:v>
      </x:c>
      <x:c r="AM41" s="32" t="str">
        <x:v>#FFFFFF</x:v>
      </x:c>
      <x:c r="AN41" s="32" t="str">
        <x:v>White</x:v>
      </x:c>
      <x:c r="AO41" s="32" t="n">
        <x:v>8.79</x:v>
      </x:c>
      <x:c r="AP41" s="32" t="n">
        <x:v>2.39</x:v>
      </x:c>
      <x:c r="AQ41" s="32" t="n">
        <x:v>8.79</x:v>
      </x:c>
      <x:c r="AR41" s="32" t="n">
        <x:v>0.069485</x:v>
      </x:c>
      <x:c r="AS41" t="str">
        <x:v>PASS</x:v>
      </x:c>
      <x:c r="AT41" t="str">
        <x:v>--cda-lum-739</x:v>
      </x:c>
      <x:c r="AU41" t="str">
        <x:v>var(--cda-lum-739)</x:v>
      </x:c>
      <x:c r="AV41" t="str">
        <x:v>Median RGB from official PDF swatch (screen reference only)</x:v>
      </x:c>
      <x:c r="AW41" t="str">
        <x:v>https://www.carandache.com/content_files/uploaded_doc/product/10580/nuancier_luminance_fr.pdf</x:v>
      </x:c>
      <x:c r="AX41" t="n">
        <x:v>1</x:v>
      </x:c>
      <x:c r="AY41" t="str">
        <x:v>Official</x:v>
      </x:c>
      <x:c r="AZ41" t="str">
        <x:v>Official where available; curated Traditional Chinese/Japanese otherwise</x:v>
      </x:c>
      <x:c r="BA41" t="str">
        <x:v>Verified from official chart; digital HEX is approximate</x:v>
      </x:c>
      <x:c r="BB41" t="str">
        <x:v>Physical media appearance varies by paper, pressure, layering, water and scan/display profile.</x:v>
      </x:c>
    </x:row>
    <x:row r="42">
      <x:c r="A42" t="str">
        <x:f>G42&amp;"|"&amp;L42</x:f>
        <x:v>LUM|719</x:v>
      </x:c>
      <x:c r="B42" t="str">
        <x:v>20f2fe35-8ba6-50fd-8bd2-80e8fb60d2d3</x:v>
      </x:c>
      <x:c r="C42" t="str">
        <x:v>CDA-LUM-719</x:v>
      </x:c>
      <x:c r="D42" t="str">
        <x:v>01dd26ab-6e02-5056-9d96-5443617efb5f</x:v>
      </x:c>
      <x:c r="E42" t="str">
        <x:v>CDA-CODE-719</x:v>
      </x:c>
      <x:c r="F42" t="str">
        <x:v>Caran d’Ache</x:v>
      </x:c>
      <x:c r="G42" t="str">
        <x:v>LUM</x:v>
      </x:c>
      <x:c r="H42" t="str">
        <x:v>LUMINANCE 6901</x:v>
      </x:c>
      <x:c r="I42" t="str">
        <x:v>Oil-based permanent coloured pencil</x:v>
      </x:c>
      <x:c r="J42" t="str">
        <x:v>Professional</x:v>
      </x:c>
      <x:c r="K42" s="30" t="n">
        <x:v>41</x:v>
      </x:c>
      <x:c r="L42" s="30" t="str">
        <x:v>719</x:v>
      </x:c>
      <x:c r="M42" t="str">
        <x:v>Dark phthalocyanine green</x:v>
      </x:c>
      <x:c r="N42" t="str">
        <x:v>深酞菁綠</x:v>
      </x:c>
      <x:c r="O42" t="str">
        <x:v>ダークフタロシアニングリーン</x:v>
      </x:c>
      <x:c r="P42" t="str"/>
      <x:c r="Q42" t="str">
        <x:v>Vert phtalo foncé</x:v>
      </x:c>
      <x:c r="R42" t="str">
        <x:v>Dunkelphthalocyaningrün</x:v>
      </x:c>
      <x:c r="S42" t="str">
        <x:v>Verde ftalo scuro</x:v>
      </x:c>
      <x:c r="T42" t="str">
        <x:v>Verde phtalo oscuro</x:v>
      </x:c>
      <x:c r="U42" t="str">
        <x:v>Verde ftálico escuro</x:v>
      </x:c>
      <x:c r="V42" t="str"/>
      <x:c r="W42" t="str">
        <x:v>PY74/PY3/PBk7/PB15</x:v>
      </x:c>
      <x:c r="X42" t="n">
        <x:f>IF(W42="",0,LEN(W42)-LEN(SUBSTITUTE(W42,"/",""))+1)</x:f>
        <x:v>4</x:v>
      </x:c>
      <x:c r="Y42" t="str">
        <x:v>I</x:v>
      </x:c>
      <x:c r="Z42" s="32" t="n">
        <x:v>1.67</x:v>
      </x:c>
      <x:c r="AA42" s="32" t="n">
        <x:v>3</x:v>
      </x:c>
      <x:c r="AB42" s="32" t="str">
        <x:v>ASTM D-6901</x:v>
      </x:c>
      <x:c r="AC42" t="str">
        <x:v>#405649</x:v>
      </x:c>
      <x:c r="AD42" s="34" t="n">
        <x:v>64</x:v>
      </x:c>
      <x:c r="AE42" s="34" t="n">
        <x:v>86</x:v>
      </x:c>
      <x:c r="AF42" s="34" t="n">
        <x:v>73</x:v>
      </x:c>
      <x:c r="AG42" s="32" t="n">
        <x:v>144.55</x:v>
      </x:c>
      <x:c r="AH42" s="32" t="n">
        <x:v>14.67</x:v>
      </x:c>
      <x:c r="AI42" s="32" t="n">
        <x:v>29.41</x:v>
      </x:c>
      <x:c r="AJ42" s="32" t="n">
        <x:v>34.45</x:v>
      </x:c>
      <x:c r="AK42" s="32" t="n">
        <x:v>-11.48</x:v>
      </x:c>
      <x:c r="AL42" s="32" t="n">
        <x:v>4.85</x:v>
      </x:c>
      <x:c r="AM42" s="32" t="str">
        <x:v>#FFFFFF</x:v>
      </x:c>
      <x:c r="AN42" s="32" t="str">
        <x:v>White</x:v>
      </x:c>
      <x:c r="AO42" s="32" t="n">
        <x:v>7.94</x:v>
      </x:c>
      <x:c r="AP42" s="32" t="n">
        <x:v>2.65</x:v>
      </x:c>
      <x:c r="AQ42" s="32" t="n">
        <x:v>7.94</x:v>
      </x:c>
      <x:c r="AR42" s="32" t="n">
        <x:v>0.082266</x:v>
      </x:c>
      <x:c r="AS42" t="str">
        <x:v>PASS</x:v>
      </x:c>
      <x:c r="AT42" t="str">
        <x:v>--cda-lum-719</x:v>
      </x:c>
      <x:c r="AU42" t="str">
        <x:v>var(--cda-lum-719)</x:v>
      </x:c>
      <x:c r="AV42" t="str">
        <x:v>Median RGB from official PDF swatch (screen reference only)</x:v>
      </x:c>
      <x:c r="AW42" t="str">
        <x:v>https://www.carandache.com/content_files/uploaded_doc/product/10580/nuancier_luminance_fr.pdf</x:v>
      </x:c>
      <x:c r="AX42" t="n">
        <x:v>1</x:v>
      </x:c>
      <x:c r="AY42" t="str">
        <x:v>Official</x:v>
      </x:c>
      <x:c r="AZ42" t="str">
        <x:v>Official where available; curated Traditional Chinese/Japanese otherwise</x:v>
      </x:c>
      <x:c r="BA42" t="str">
        <x:v>Verified from official chart; digital HEX is approximate</x:v>
      </x:c>
      <x:c r="BB42" t="str">
        <x:v>Physical media appearance varies by paper, pressure, layering, water and scan/display profile.</x:v>
      </x:c>
    </x:row>
    <x:row r="43">
      <x:c r="A43" t="str">
        <x:f>G43&amp;"|"&amp;L43</x:f>
        <x:v>LUM|729</x:v>
      </x:c>
      <x:c r="B43" t="str">
        <x:v>1899e366-0bd8-5b08-9883-f64c28d03102</x:v>
      </x:c>
      <x:c r="C43" t="str">
        <x:v>CDA-LUM-729</x:v>
      </x:c>
      <x:c r="D43" t="str">
        <x:v>fe471dd8-33c9-54df-a9b0-faeeebc6123e</x:v>
      </x:c>
      <x:c r="E43" t="str">
        <x:v>CDA-CODE-729</x:v>
      </x:c>
      <x:c r="F43" t="str">
        <x:v>Caran d’Ache</x:v>
      </x:c>
      <x:c r="G43" t="str">
        <x:v>LUM</x:v>
      </x:c>
      <x:c r="H43" t="str">
        <x:v>LUMINANCE 6901</x:v>
      </x:c>
      <x:c r="I43" t="str">
        <x:v>Oil-based permanent coloured pencil</x:v>
      </x:c>
      <x:c r="J43" t="str">
        <x:v>Professional</x:v>
      </x:c>
      <x:c r="K43" s="30" t="n">
        <x:v>42</x:v>
      </x:c>
      <x:c r="L43" s="30" t="str">
        <x:v>729</x:v>
      </x:c>
      <x:c r="M43" t="str">
        <x:v>Dark english green</x:v>
      </x:c>
      <x:c r="N43" t="str">
        <x:v>深英國綠</x:v>
      </x:c>
      <x:c r="O43" t="str">
        <x:v>ダークイングリッシュグリーン</x:v>
      </x:c>
      <x:c r="P43" t="str"/>
      <x:c r="Q43" t="str">
        <x:v>Vert anglais foncé</x:v>
      </x:c>
      <x:c r="R43" t="str">
        <x:v>Dunkelenglischgrün</x:v>
      </x:c>
      <x:c r="S43" t="str">
        <x:v>Verde inglese scuro</x:v>
      </x:c>
      <x:c r="T43" t="str">
        <x:v>Verde Inglés oscuro</x:v>
      </x:c>
      <x:c r="U43" t="str">
        <x:v>Verde inglês escuro</x:v>
      </x:c>
      <x:c r="V43" t="str"/>
      <x:c r="W43" t="str">
        <x:v>PG7/PBk9</x:v>
      </x:c>
      <x:c r="X43" t="n">
        <x:f>IF(W43="",0,LEN(W43)-LEN(SUBSTITUTE(W43,"/",""))+1)</x:f>
        <x:v>2</x:v>
      </x:c>
      <x:c r="Y43" t="str">
        <x:v>I</x:v>
      </x:c>
      <x:c r="Z43" s="32" t="n">
        <x:v>1.67</x:v>
      </x:c>
      <x:c r="AA43" s="32" t="n">
        <x:v>3</x:v>
      </x:c>
      <x:c r="AB43" s="32" t="str">
        <x:v>ASTM D-6901</x:v>
      </x:c>
      <x:c r="AC43" t="str">
        <x:v>#096A61</x:v>
      </x:c>
      <x:c r="AD43" s="34" t="n">
        <x:v>9</x:v>
      </x:c>
      <x:c r="AE43" s="34" t="n">
        <x:v>106</x:v>
      </x:c>
      <x:c r="AF43" s="34" t="n">
        <x:v>97</x:v>
      </x:c>
      <x:c r="AG43" s="32" t="n">
        <x:v>174.43</x:v>
      </x:c>
      <x:c r="AH43" s="32" t="n">
        <x:v>84.35</x:v>
      </x:c>
      <x:c r="AI43" s="32" t="n">
        <x:v>22.55</x:v>
      </x:c>
      <x:c r="AJ43" s="32" t="n">
        <x:v>39.96</x:v>
      </x:c>
      <x:c r="AK43" s="32" t="n">
        <x:v>-27.49</x:v>
      </x:c>
      <x:c r="AL43" s="32" t="n">
        <x:v>-2.2</x:v>
      </x:c>
      <x:c r="AM43" s="32" t="str">
        <x:v>#FFFFFF</x:v>
      </x:c>
      <x:c r="AN43" s="32" t="str">
        <x:v>White</x:v>
      </x:c>
      <x:c r="AO43" s="32" t="n">
        <x:v>6.47</x:v>
      </x:c>
      <x:c r="AP43" s="32" t="n">
        <x:v>3.25</x:v>
      </x:c>
      <x:c r="AQ43" s="32" t="n">
        <x:v>6.47</x:v>
      </x:c>
      <x:c r="AR43" s="32" t="n">
        <x:v>0.112292</x:v>
      </x:c>
      <x:c r="AS43" t="str">
        <x:v>PASS</x:v>
      </x:c>
      <x:c r="AT43" t="str">
        <x:v>--cda-lum-729</x:v>
      </x:c>
      <x:c r="AU43" t="str">
        <x:v>var(--cda-lum-729)</x:v>
      </x:c>
      <x:c r="AV43" t="str">
        <x:v>Median RGB from official PDF swatch (screen reference only)</x:v>
      </x:c>
      <x:c r="AW43" t="str">
        <x:v>https://www.carandache.com/content_files/uploaded_doc/product/10580/nuancier_luminance_fr.pdf</x:v>
      </x:c>
      <x:c r="AX43" t="n">
        <x:v>1</x:v>
      </x:c>
      <x:c r="AY43" t="str">
        <x:v>Official</x:v>
      </x:c>
      <x:c r="AZ43" t="str">
        <x:v>Official where available; curated Traditional Chinese/Japanese otherwise</x:v>
      </x:c>
      <x:c r="BA43" t="str">
        <x:v>Verified from official chart; digital HEX is approximate</x:v>
      </x:c>
      <x:c r="BB43" t="str">
        <x:v>Physical media appearance varies by paper, pressure, layering, water and scan/display profile.</x:v>
      </x:c>
    </x:row>
    <x:row r="44">
      <x:c r="A44" t="str">
        <x:f>G44&amp;"|"&amp;L44</x:f>
        <x:v>LUM|220</x:v>
      </x:c>
      <x:c r="B44" t="str">
        <x:v>586a5d27-ff0b-5bd7-8490-97fedaa5f9e6</x:v>
      </x:c>
      <x:c r="C44" t="str">
        <x:v>CDA-LUM-220</x:v>
      </x:c>
      <x:c r="D44" t="str">
        <x:v>69a03597-fa02-5bd4-9968-b3f74f6fcd04</x:v>
      </x:c>
      <x:c r="E44" t="str">
        <x:v>CDA-CODE-220</x:v>
      </x:c>
      <x:c r="F44" t="str">
        <x:v>Caran d’Ache</x:v>
      </x:c>
      <x:c r="G44" t="str">
        <x:v>LUM</x:v>
      </x:c>
      <x:c r="H44" t="str">
        <x:v>LUMINANCE 6901</x:v>
      </x:c>
      <x:c r="I44" t="str">
        <x:v>Oil-based permanent coloured pencil</x:v>
      </x:c>
      <x:c r="J44" t="str">
        <x:v>Professional</x:v>
      </x:c>
      <x:c r="K44" s="30" t="n">
        <x:v>43</x:v>
      </x:c>
      <x:c r="L44" s="30" t="str">
        <x:v>220</x:v>
      </x:c>
      <x:c r="M44" t="str">
        <x:v>Grass green</x:v>
      </x:c>
      <x:c r="N44" t="str">
        <x:v>草綠色</x:v>
      </x:c>
      <x:c r="O44" t="str">
        <x:v>グラスグリーン</x:v>
      </x:c>
      <x:c r="P44" t="str"/>
      <x:c r="Q44" t="str">
        <x:v>Vert prairie</x:v>
      </x:c>
      <x:c r="R44" t="str">
        <x:v>Grasgrün</x:v>
      </x:c>
      <x:c r="S44" t="str">
        <x:v>Verde prato</x:v>
      </x:c>
      <x:c r="T44" t="str">
        <x:v>Verde prado</x:v>
      </x:c>
      <x:c r="U44" t="str">
        <x:v>Verde prato</x:v>
      </x:c>
      <x:c r="V44" t="str"/>
      <x:c r="W44" t="str">
        <x:v>PY1/PY3/PG7</x:v>
      </x:c>
      <x:c r="X44" t="n">
        <x:f>IF(W44="",0,LEN(W44)-LEN(SUBSTITUTE(W44,"/",""))+1)</x:f>
        <x:v>3</x:v>
      </x:c>
      <x:c r="Y44" t="str">
        <x:v>I</x:v>
      </x:c>
      <x:c r="Z44" s="32" t="n">
        <x:v>1.67</x:v>
      </x:c>
      <x:c r="AA44" s="32" t="n">
        <x:v>3</x:v>
      </x:c>
      <x:c r="AB44" s="32" t="str">
        <x:v>ASTM D-6901</x:v>
      </x:c>
      <x:c r="AC44" t="str">
        <x:v>#549D34</x:v>
      </x:c>
      <x:c r="AD44" s="34" t="n">
        <x:v>84</x:v>
      </x:c>
      <x:c r="AE44" s="34" t="n">
        <x:v>157</x:v>
      </x:c>
      <x:c r="AF44" s="34" t="n">
        <x:v>52</x:v>
      </x:c>
      <x:c r="AG44" s="32" t="n">
        <x:v>101.71</x:v>
      </x:c>
      <x:c r="AH44" s="32" t="n">
        <x:v>50.24</x:v>
      </x:c>
      <x:c r="AI44" s="32" t="n">
        <x:v>40.98</x:v>
      </x:c>
      <x:c r="AJ44" s="32" t="n">
        <x:v>58.27</x:v>
      </x:c>
      <x:c r="AK44" s="32" t="n">
        <x:v>-42.15</x:v>
      </x:c>
      <x:c r="AL44" s="32" t="n">
        <x:v>46.24</x:v>
      </x:c>
      <x:c r="AM44" s="32" t="str">
        <x:v>#000000</x:v>
      </x:c>
      <x:c r="AN44" s="32" t="str">
        <x:v>Black</x:v>
      </x:c>
      <x:c r="AO44" s="32" t="n">
        <x:v>6.25</x:v>
      </x:c>
      <x:c r="AP44" s="32" t="n">
        <x:v>6.25</x:v>
      </x:c>
      <x:c r="AQ44" s="32" t="n">
        <x:v>3.36</x:v>
      </x:c>
      <x:c r="AR44" s="32" t="n">
        <x:v>0.262467</x:v>
      </x:c>
      <x:c r="AS44" t="str">
        <x:v>PASS</x:v>
      </x:c>
      <x:c r="AT44" t="str">
        <x:v>--cda-lum-220</x:v>
      </x:c>
      <x:c r="AU44" t="str">
        <x:v>var(--cda-lum-220)</x:v>
      </x:c>
      <x:c r="AV44" t="str">
        <x:v>Median RGB from official PDF swatch (screen reference only)</x:v>
      </x:c>
      <x:c r="AW44" t="str">
        <x:v>https://www.carandache.com/content_files/uploaded_doc/product/10580/nuancier_luminance_fr.pdf</x:v>
      </x:c>
      <x:c r="AX44" t="n">
        <x:v>1</x:v>
      </x:c>
      <x:c r="AY44" t="str">
        <x:v>Official</x:v>
      </x:c>
      <x:c r="AZ44" t="str">
        <x:v>Official where available; curated Traditional Chinese/Japanese otherwise</x:v>
      </x:c>
      <x:c r="BA44" t="str">
        <x:v>Verified from official chart; digital HEX is approximate</x:v>
      </x:c>
      <x:c r="BB44" t="str">
        <x:v>Physical media appearance varies by paper, pressure, layering, water and scan/display profile.</x:v>
      </x:c>
    </x:row>
    <x:row r="45">
      <x:c r="A45" t="str">
        <x:f>G45&amp;"|"&amp;L45</x:f>
        <x:v>LUM|212</x:v>
      </x:c>
      <x:c r="B45" t="str">
        <x:v>9baa02ea-993f-5fe1-9001-37969a13f597</x:v>
      </x:c>
      <x:c r="C45" t="str">
        <x:v>CDA-LUM-212</x:v>
      </x:c>
      <x:c r="D45" t="str">
        <x:v>c4654ab2-e8d8-51fb-bafc-1edaae0fcf72</x:v>
      </x:c>
      <x:c r="E45" t="str">
        <x:v>CDA-CODE-212</x:v>
      </x:c>
      <x:c r="F45" t="str">
        <x:v>Caran d’Ache</x:v>
      </x:c>
      <x:c r="G45" t="str">
        <x:v>LUM</x:v>
      </x:c>
      <x:c r="H45" t="str">
        <x:v>LUMINANCE 6901</x:v>
      </x:c>
      <x:c r="I45" t="str">
        <x:v>Oil-based permanent coloured pencil</x:v>
      </x:c>
      <x:c r="J45" t="str">
        <x:v>Professional</x:v>
      </x:c>
      <x:c r="K45" s="30" t="n">
        <x:v>44</x:v>
      </x:c>
      <x:c r="L45" s="30" t="str">
        <x:v>212</x:v>
      </x:c>
      <x:c r="M45" t="str">
        <x:v>Chromium oxyde green</x:v>
      </x:c>
      <x:c r="N45" t="str">
        <x:v>氧化鉻綠</x:v>
      </x:c>
      <x:c r="O45" t="str">
        <x:v>クロムオキサイドグリーン</x:v>
      </x:c>
      <x:c r="P45" t="str"/>
      <x:c r="Q45" t="str">
        <x:v>Vert oxyde de chrome</x:v>
      </x:c>
      <x:c r="R45" t="str">
        <x:v>Chromoxydgrün</x:v>
      </x:c>
      <x:c r="S45" t="str">
        <x:v>Ossido di cromo verde</x:v>
      </x:c>
      <x:c r="T45" t="str">
        <x:v>Verde óxido de cromo</x:v>
      </x:c>
      <x:c r="U45" t="str">
        <x:v>Verde óxido de cromo</x:v>
      </x:c>
      <x:c r="V45" t="str"/>
      <x:c r="W45" t="str">
        <x:v>PG17</x:v>
      </x:c>
      <x:c r="X45" t="n">
        <x:f>IF(W45="",0,LEN(W45)-LEN(SUBSTITUTE(W45,"/",""))+1)</x:f>
        <x:v>1</x:v>
      </x:c>
      <x:c r="Y45" t="str">
        <x:v>I</x:v>
      </x:c>
      <x:c r="Z45" s="32" t="n">
        <x:v>1.67</x:v>
      </x:c>
      <x:c r="AA45" s="32" t="n">
        <x:v>3</x:v>
      </x:c>
      <x:c r="AB45" s="32" t="str">
        <x:v>ASTM D-6901</x:v>
      </x:c>
      <x:c r="AC45" t="str">
        <x:v>#588454</x:v>
      </x:c>
      <x:c r="AD45" s="34" t="n">
        <x:v>88</x:v>
      </x:c>
      <x:c r="AE45" s="34" t="n">
        <x:v>132</x:v>
      </x:c>
      <x:c r="AF45" s="34" t="n">
        <x:v>84</x:v>
      </x:c>
      <x:c r="AG45" s="32" t="n">
        <x:v>115</x:v>
      </x:c>
      <x:c r="AH45" s="32" t="n">
        <x:v>22.22</x:v>
      </x:c>
      <x:c r="AI45" s="32" t="n">
        <x:v>42.35</x:v>
      </x:c>
      <x:c r="AJ45" s="32" t="n">
        <x:v>50.94</x:v>
      </x:c>
      <x:c r="AK45" s="32" t="n">
        <x:v>-25.26</x:v>
      </x:c>
      <x:c r="AL45" s="32" t="n">
        <x:v>21.25</x:v>
      </x:c>
      <x:c r="AM45" s="32" t="str">
        <x:v>#000000</x:v>
      </x:c>
      <x:c r="AN45" s="32" t="str">
        <x:v>Black</x:v>
      </x:c>
      <x:c r="AO45" s="32" t="n">
        <x:v>4.84</x:v>
      </x:c>
      <x:c r="AP45" s="32" t="n">
        <x:v>4.84</x:v>
      </x:c>
      <x:c r="AQ45" s="32" t="n">
        <x:v>4.34</x:v>
      </x:c>
      <x:c r="AR45" s="32" t="n">
        <x:v>0.192173</x:v>
      </x:c>
      <x:c r="AS45" t="str">
        <x:v>PASS</x:v>
      </x:c>
      <x:c r="AT45" t="str">
        <x:v>--cda-lum-212</x:v>
      </x:c>
      <x:c r="AU45" t="str">
        <x:v>var(--cda-lum-212)</x:v>
      </x:c>
      <x:c r="AV45" t="str">
        <x:v>Median RGB from official PDF swatch (screen reference only)</x:v>
      </x:c>
      <x:c r="AW45" t="str">
        <x:v>https://www.carandache.com/content_files/uploaded_doc/product/10580/nuancier_luminance_fr.pdf</x:v>
      </x:c>
      <x:c r="AX45" t="n">
        <x:v>1</x:v>
      </x:c>
      <x:c r="AY45" t="str">
        <x:v>Official</x:v>
      </x:c>
      <x:c r="AZ45" t="str">
        <x:v>Official where available; curated Traditional Chinese/Japanese otherwise</x:v>
      </x:c>
      <x:c r="BA45" t="str">
        <x:v>Verified from official chart; digital HEX is approximate</x:v>
      </x:c>
      <x:c r="BB45" t="str">
        <x:v>Physical media appearance varies by paper, pressure, layering, water and scan/display profile.</x:v>
      </x:c>
    </x:row>
    <x:row r="46">
      <x:c r="A46" t="str">
        <x:f>G46&amp;"|"&amp;L46</x:f>
        <x:v>LUM|225</x:v>
      </x:c>
      <x:c r="B46" t="str">
        <x:v>c857a771-38f7-5b45-826e-25ea60696143</x:v>
      </x:c>
      <x:c r="C46" t="str">
        <x:v>CDA-LUM-225</x:v>
      </x:c>
      <x:c r="D46" t="str">
        <x:v>d67f22eb-8649-5739-bafd-f445d45c47b5</x:v>
      </x:c>
      <x:c r="E46" t="str">
        <x:v>CDA-CODE-225</x:v>
      </x:c>
      <x:c r="F46" t="str">
        <x:v>Caran d’Ache</x:v>
      </x:c>
      <x:c r="G46" t="str">
        <x:v>LUM</x:v>
      </x:c>
      <x:c r="H46" t="str">
        <x:v>LUMINANCE 6901</x:v>
      </x:c>
      <x:c r="I46" t="str">
        <x:v>Oil-based permanent coloured pencil</x:v>
      </x:c>
      <x:c r="J46" t="str">
        <x:v>Professional</x:v>
      </x:c>
      <x:c r="K46" s="30" t="n">
        <x:v>45</x:v>
      </x:c>
      <x:c r="L46" s="30" t="str">
        <x:v>225</x:v>
      </x:c>
      <x:c r="M46" t="str">
        <x:v>Moss green</x:v>
      </x:c>
      <x:c r="N46" t="str">
        <x:v>苔綠色</x:v>
      </x:c>
      <x:c r="O46" t="str">
        <x:v>モスグリーン</x:v>
      </x:c>
      <x:c r="P46" t="str"/>
      <x:c r="Q46" t="str">
        <x:v>Vert mousse</x:v>
      </x:c>
      <x:c r="R46" t="str">
        <x:v>Moosgrün</x:v>
      </x:c>
      <x:c r="S46" t="str">
        <x:v>Verde muschio</x:v>
      </x:c>
      <x:c r="T46" t="str">
        <x:v>Verde musgo</x:v>
      </x:c>
      <x:c r="U46" t="str">
        <x:v>Verde musgo</x:v>
      </x:c>
      <x:c r="V46" t="str"/>
      <x:c r="W46" t="str">
        <x:v>PY3/PB60/PBk6</x:v>
      </x:c>
      <x:c r="X46" t="n">
        <x:f>IF(W46="",0,LEN(W46)-LEN(SUBSTITUTE(W46,"/",""))+1)</x:f>
        <x:v>3</x:v>
      </x:c>
      <x:c r="Y46" t="str">
        <x:v>I</x:v>
      </x:c>
      <x:c r="Z46" s="32" t="n">
        <x:v>1.67</x:v>
      </x:c>
      <x:c r="AA46" s="32" t="n">
        <x:v>3</x:v>
      </x:c>
      <x:c r="AB46" s="32" t="str">
        <x:v>ASTM D-6901</x:v>
      </x:c>
      <x:c r="AC46" t="str">
        <x:v>#65794E</x:v>
      </x:c>
      <x:c r="AD46" s="34" t="n">
        <x:v>101</x:v>
      </x:c>
      <x:c r="AE46" s="34" t="n">
        <x:v>121</x:v>
      </x:c>
      <x:c r="AF46" s="34" t="n">
        <x:v>78</x:v>
      </x:c>
      <x:c r="AG46" s="32" t="n">
        <x:v>87.91</x:v>
      </x:c>
      <x:c r="AH46" s="32" t="n">
        <x:v>21.61</x:v>
      </x:c>
      <x:c r="AI46" s="32" t="n">
        <x:v>39.02</x:v>
      </x:c>
      <x:c r="AJ46" s="32" t="n">
        <x:v>48.25</x:v>
      </x:c>
      <x:c r="AK46" s="32" t="n">
        <x:v>-15.55</x:v>
      </x:c>
      <x:c r="AL46" s="32" t="n">
        <x:v>21.23</x:v>
      </x:c>
      <x:c r="AM46" s="32" t="str">
        <x:v>#FFFFFF</x:v>
      </x:c>
      <x:c r="AN46" s="32" t="str">
        <x:v>White</x:v>
      </x:c>
      <x:c r="AO46" s="32" t="n">
        <x:v>4.77</x:v>
      </x:c>
      <x:c r="AP46" s="32" t="n">
        <x:v>4.4</x:v>
      </x:c>
      <x:c r="AQ46" s="32" t="n">
        <x:v>4.77</x:v>
      </x:c>
      <x:c r="AR46" s="32" t="n">
        <x:v>0.169915</x:v>
      </x:c>
      <x:c r="AS46" t="str">
        <x:v>PASS</x:v>
      </x:c>
      <x:c r="AT46" t="str">
        <x:v>--cda-lum-225</x:v>
      </x:c>
      <x:c r="AU46" t="str">
        <x:v>var(--cda-lum-225)</x:v>
      </x:c>
      <x:c r="AV46" t="str">
        <x:v>Median RGB from official PDF swatch (screen reference only)</x:v>
      </x:c>
      <x:c r="AW46" t="str">
        <x:v>https://www.carandache.com/content_files/uploaded_doc/product/10580/nuancier_luminance_fr.pdf</x:v>
      </x:c>
      <x:c r="AX46" t="n">
        <x:v>1</x:v>
      </x:c>
      <x:c r="AY46" t="str">
        <x:v>Official</x:v>
      </x:c>
      <x:c r="AZ46" t="str">
        <x:v>Official where available; curated Traditional Chinese/Japanese otherwise</x:v>
      </x:c>
      <x:c r="BA46" t="str">
        <x:v>Verified from official chart; digital HEX is approximate</x:v>
      </x:c>
      <x:c r="BB46" t="str">
        <x:v>Physical media appearance varies by paper, pressure, layering, water and scan/display profile.</x:v>
      </x:c>
    </x:row>
    <x:row r="47">
      <x:c r="A47" t="str">
        <x:f>G47&amp;"|"&amp;L47</x:f>
        <x:v>LUM|470</x:v>
      </x:c>
      <x:c r="B47" t="str">
        <x:v>200e3c75-4678-57aa-8008-2c5ee23f59cb</x:v>
      </x:c>
      <x:c r="C47" t="str">
        <x:v>CDA-LUM-470</x:v>
      </x:c>
      <x:c r="D47" t="str">
        <x:v>e5fd455d-0e91-54ba-bac2-04493fa22e11</x:v>
      </x:c>
      <x:c r="E47" t="str">
        <x:v>CDA-CODE-470</x:v>
      </x:c>
      <x:c r="F47" t="str">
        <x:v>Caran d’Ache</x:v>
      </x:c>
      <x:c r="G47" t="str">
        <x:v>LUM</x:v>
      </x:c>
      <x:c r="H47" t="str">
        <x:v>LUMINANCE 6901</x:v>
      </x:c>
      <x:c r="I47" t="str">
        <x:v>Oil-based permanent coloured pencil</x:v>
      </x:c>
      <x:c r="J47" t="str">
        <x:v>Professional</x:v>
      </x:c>
      <x:c r="K47" s="30" t="n">
        <x:v>46</x:v>
      </x:c>
      <x:c r="L47" s="30" t="str">
        <x:v>470</x:v>
      </x:c>
      <x:c r="M47" t="str">
        <x:v>Spring green</x:v>
      </x:c>
      <x:c r="N47" t="str">
        <x:v>春綠色</x:v>
      </x:c>
      <x:c r="O47" t="str">
        <x:v>スプリンググリーン</x:v>
      </x:c>
      <x:c r="P47" t="str"/>
      <x:c r="Q47" t="str">
        <x:v>Vert de mai</x:v>
      </x:c>
      <x:c r="R47" t="str">
        <x:v>Maigrün</x:v>
      </x:c>
      <x:c r="S47" t="str">
        <x:v>Verde primavera</x:v>
      </x:c>
      <x:c r="T47" t="str">
        <x:v>Verde de mayo</x:v>
      </x:c>
      <x:c r="U47" t="str">
        <x:v>Verde maio</x:v>
      </x:c>
      <x:c r="V47" t="str"/>
      <x:c r="W47" t="str">
        <x:v>PY3/PG7</x:v>
      </x:c>
      <x:c r="X47" t="n">
        <x:f>IF(W47="",0,LEN(W47)-LEN(SUBSTITUTE(W47,"/",""))+1)</x:f>
        <x:v>2</x:v>
      </x:c>
      <x:c r="Y47" t="str">
        <x:v>I</x:v>
      </x:c>
      <x:c r="Z47" s="32" t="n">
        <x:v>1.67</x:v>
      </x:c>
      <x:c r="AA47" s="32" t="n">
        <x:v>3</x:v>
      </x:c>
      <x:c r="AB47" s="32" t="str">
        <x:v>ASTM D-6901</x:v>
      </x:c>
      <x:c r="AC47" t="str">
        <x:v>#A4C64E</x:v>
      </x:c>
      <x:c r="AD47" s="34" t="n">
        <x:v>164</x:v>
      </x:c>
      <x:c r="AE47" s="34" t="n">
        <x:v>198</x:v>
      </x:c>
      <x:c r="AF47" s="34" t="n">
        <x:v>78</x:v>
      </x:c>
      <x:c r="AG47" s="32" t="n">
        <x:v>77</x:v>
      </x:c>
      <x:c r="AH47" s="32" t="n">
        <x:v>51.28</x:v>
      </x:c>
      <x:c r="AI47" s="32" t="n">
        <x:v>54.12</x:v>
      </x:c>
      <x:c r="AJ47" s="32" t="n">
        <x:v>75.35</x:v>
      </x:c>
      <x:c r="AK47" s="32" t="n">
        <x:v>-29.05</x:v>
      </x:c>
      <x:c r="AL47" s="32" t="n">
        <x:v>54.92</x:v>
      </x:c>
      <x:c r="AM47" s="32" t="str">
        <x:v>#000000</x:v>
      </x:c>
      <x:c r="AN47" s="32" t="str">
        <x:v>Black</x:v>
      </x:c>
      <x:c r="AO47" s="32" t="n">
        <x:v>10.77</x:v>
      </x:c>
      <x:c r="AP47" s="32" t="n">
        <x:v>10.77</x:v>
      </x:c>
      <x:c r="AQ47" s="32" t="n">
        <x:v>1.95</x:v>
      </x:c>
      <x:c r="AR47" s="32" t="n">
        <x:v>0.488307</x:v>
      </x:c>
      <x:c r="AS47" t="str">
        <x:v>PASS</x:v>
      </x:c>
      <x:c r="AT47" t="str">
        <x:v>--cda-lum-470</x:v>
      </x:c>
      <x:c r="AU47" t="str">
        <x:v>var(--cda-lum-470)</x:v>
      </x:c>
      <x:c r="AV47" t="str">
        <x:v>Median RGB from official PDF swatch (screen reference only)</x:v>
      </x:c>
      <x:c r="AW47" t="str">
        <x:v>https://www.carandache.com/content_files/uploaded_doc/product/10580/nuancier_luminance_fr.pdf</x:v>
      </x:c>
      <x:c r="AX47" t="n">
        <x:v>1</x:v>
      </x:c>
      <x:c r="AY47" t="str">
        <x:v>Official</x:v>
      </x:c>
      <x:c r="AZ47" t="str">
        <x:v>Official where available; curated Traditional Chinese/Japanese otherwise</x:v>
      </x:c>
      <x:c r="BA47" t="str">
        <x:v>Verified from official chart; digital HEX is approximate</x:v>
      </x:c>
      <x:c r="BB47" t="str">
        <x:v>Physical media appearance varies by paper, pressure, layering, water and scan/display profile.</x:v>
      </x:c>
    </x:row>
    <x:row r="48">
      <x:c r="A48" t="str">
        <x:f>G48&amp;"|"&amp;L48</x:f>
        <x:v>LUM|015</x:v>
      </x:c>
      <x:c r="B48" t="str">
        <x:v>de2ff584-68bb-5600-bf37-33cab8784e0f</x:v>
      </x:c>
      <x:c r="C48" t="str">
        <x:v>CDA-LUM-015</x:v>
      </x:c>
      <x:c r="D48" t="str">
        <x:v>f8bcbda9-5354-53c7-b875-44dc8d27a8ac</x:v>
      </x:c>
      <x:c r="E48" t="str">
        <x:v>CDA-CODE-015</x:v>
      </x:c>
      <x:c r="F48" t="str">
        <x:v>Caran d’Ache</x:v>
      </x:c>
      <x:c r="G48" t="str">
        <x:v>LUM</x:v>
      </x:c>
      <x:c r="H48" t="str">
        <x:v>LUMINANCE 6901</x:v>
      </x:c>
      <x:c r="I48" t="str">
        <x:v>Oil-based permanent coloured pencil</x:v>
      </x:c>
      <x:c r="J48" t="str">
        <x:v>Professional</x:v>
      </x:c>
      <x:c r="K48" s="30" t="n">
        <x:v>47</x:v>
      </x:c>
      <x:c r="L48" s="30" t="str">
        <x:v>015</x:v>
      </x:c>
      <x:c r="M48" t="str">
        <x:v>Olive yellow</x:v>
      </x:c>
      <x:c r="N48" t="str">
        <x:v>橄欖黃</x:v>
      </x:c>
      <x:c r="O48" t="str">
        <x:v>オリーブイエロー</x:v>
      </x:c>
      <x:c r="P48" t="str"/>
      <x:c r="Q48" t="str">
        <x:v>Jaune olive</x:v>
      </x:c>
      <x:c r="R48" t="str">
        <x:v>Gelboliv</x:v>
      </x:c>
      <x:c r="S48" t="str">
        <x:v>Giallo oliva</x:v>
      </x:c>
      <x:c r="T48" t="str">
        <x:v>Amarillo oliva</x:v>
      </x:c>
      <x:c r="U48" t="str">
        <x:v>Azeitona amarelado</x:v>
      </x:c>
      <x:c r="V48" t="str"/>
      <x:c r="W48" t="str">
        <x:v>PBk6/PY3</x:v>
      </x:c>
      <x:c r="X48" t="n">
        <x:f>IF(W48="",0,LEN(W48)-LEN(SUBSTITUTE(W48,"/",""))+1)</x:f>
        <x:v>2</x:v>
      </x:c>
      <x:c r="Y48" t="str">
        <x:v>I</x:v>
      </x:c>
      <x:c r="Z48" s="32" t="n">
        <x:v>1.67</x:v>
      </x:c>
      <x:c r="AA48" s="32" t="n">
        <x:v>3</x:v>
      </x:c>
      <x:c r="AB48" s="32" t="str">
        <x:v>ASTM D-6901</x:v>
      </x:c>
      <x:c r="AC48" t="str">
        <x:v>#BBB654</x:v>
      </x:c>
      <x:c r="AD48" s="34" t="n">
        <x:v>187</x:v>
      </x:c>
      <x:c r="AE48" s="34" t="n">
        <x:v>182</x:v>
      </x:c>
      <x:c r="AF48" s="34" t="n">
        <x:v>84</x:v>
      </x:c>
      <x:c r="AG48" s="32" t="n">
        <x:v>57.09</x:v>
      </x:c>
      <x:c r="AH48" s="32" t="n">
        <x:v>43.1</x:v>
      </x:c>
      <x:c r="AI48" s="32" t="n">
        <x:v>53.14</x:v>
      </x:c>
      <x:c r="AJ48" s="32" t="n">
        <x:v>72.67</x:v>
      </x:c>
      <x:c r="AK48" s="32" t="n">
        <x:v>-11.21</x:v>
      </x:c>
      <x:c r="AL48" s="32" t="n">
        <x:v>49.67</x:v>
      </x:c>
      <x:c r="AM48" s="32" t="str">
        <x:v>#000000</x:v>
      </x:c>
      <x:c r="AN48" s="32" t="str">
        <x:v>Black</x:v>
      </x:c>
      <x:c r="AO48" s="32" t="n">
        <x:v>9.93</x:v>
      </x:c>
      <x:c r="AP48" s="32" t="n">
        <x:v>9.93</x:v>
      </x:c>
      <x:c r="AQ48" s="32" t="n">
        <x:v>2.11</x:v>
      </x:c>
      <x:c r="AR48" s="32" t="n">
        <x:v>0.446608</x:v>
      </x:c>
      <x:c r="AS48" t="str">
        <x:v>PASS</x:v>
      </x:c>
      <x:c r="AT48" t="str">
        <x:v>--cda-lum-015</x:v>
      </x:c>
      <x:c r="AU48" t="str">
        <x:v>var(--cda-lum-015)</x:v>
      </x:c>
      <x:c r="AV48" t="str">
        <x:v>Median RGB from official PDF swatch (screen reference only)</x:v>
      </x:c>
      <x:c r="AW48" t="str">
        <x:v>https://www.carandache.com/content_files/uploaded_doc/product/10580/nuancier_luminance_fr.pdf</x:v>
      </x:c>
      <x:c r="AX48" t="n">
        <x:v>1</x:v>
      </x:c>
      <x:c r="AY48" t="str">
        <x:v>Official</x:v>
      </x:c>
      <x:c r="AZ48" t="str">
        <x:v>Official where available; curated Traditional Chinese/Japanese otherwise</x:v>
      </x:c>
      <x:c r="BA48" t="str">
        <x:v>Verified from official chart; digital HEX is approximate</x:v>
      </x:c>
      <x:c r="BB48" t="str">
        <x:v>Physical media appearance varies by paper, pressure, layering, water and scan/display profile.</x:v>
      </x:c>
    </x:row>
    <x:row r="49">
      <x:c r="A49" t="str">
        <x:f>G49&amp;"|"&amp;L49</x:f>
        <x:v>LUM|025</x:v>
      </x:c>
      <x:c r="B49" t="str">
        <x:v>446db958-1673-57b2-9815-fa0d9f34f4f5</x:v>
      </x:c>
      <x:c r="C49" t="str">
        <x:v>CDA-LUM-025</x:v>
      </x:c>
      <x:c r="D49" t="str">
        <x:v>d214ba2e-de61-50e2-9d33-f10155cc817b</x:v>
      </x:c>
      <x:c r="E49" t="str">
        <x:v>CDA-CODE-025</x:v>
      </x:c>
      <x:c r="F49" t="str">
        <x:v>Caran d’Ache</x:v>
      </x:c>
      <x:c r="G49" t="str">
        <x:v>LUM</x:v>
      </x:c>
      <x:c r="H49" t="str">
        <x:v>LUMINANCE 6901</x:v>
      </x:c>
      <x:c r="I49" t="str">
        <x:v>Oil-based permanent coloured pencil</x:v>
      </x:c>
      <x:c r="J49" t="str">
        <x:v>Professional</x:v>
      </x:c>
      <x:c r="K49" s="30" t="n">
        <x:v>48</x:v>
      </x:c>
      <x:c r="L49" s="30" t="str">
        <x:v>025</x:v>
      </x:c>
      <x:c r="M49" t="str">
        <x:v>Green ochre</x:v>
      </x:c>
      <x:c r="N49" t="str">
        <x:v>綠赭色</x:v>
      </x:c>
      <x:c r="O49" t="str">
        <x:v>グリーンオーカー</x:v>
      </x:c>
      <x:c r="P49" t="str"/>
      <x:c r="Q49" t="str">
        <x:v>Ocre vert</x:v>
      </x:c>
      <x:c r="R49" t="str">
        <x:v>Grünocker</x:v>
      </x:c>
      <x:c r="S49" t="str">
        <x:v>Ocra verde</x:v>
      </x:c>
      <x:c r="T49" t="str">
        <x:v>Ocre verde</x:v>
      </x:c>
      <x:c r="U49" t="str">
        <x:v>Ocre verde</x:v>
      </x:c>
      <x:c r="V49" t="str"/>
      <x:c r="W49" t="str">
        <x:v>PY3/PY42/PY13/PO62/PBk6</x:v>
      </x:c>
      <x:c r="X49" t="n">
        <x:f>IF(W49="",0,LEN(W49)-LEN(SUBSTITUTE(W49,"/",""))+1)</x:f>
        <x:v>5</x:v>
      </x:c>
      <x:c r="Y49" t="str">
        <x:v>II</x:v>
      </x:c>
      <x:c r="Z49" s="32" t="n">
        <x:v>3.33</x:v>
      </x:c>
      <x:c r="AA49" s="32" t="n">
        <x:v>3</x:v>
      </x:c>
      <x:c r="AB49" s="32" t="str">
        <x:v>ASTM D-6901</x:v>
      </x:c>
      <x:c r="AC49" t="str">
        <x:v>#B9A35F</x:v>
      </x:c>
      <x:c r="AD49" s="34" t="n">
        <x:v>185</x:v>
      </x:c>
      <x:c r="AE49" s="34" t="n">
        <x:v>163</x:v>
      </x:c>
      <x:c r="AF49" s="34" t="n">
        <x:v>95</x:v>
      </x:c>
      <x:c r="AG49" s="32" t="n">
        <x:v>45.33</x:v>
      </x:c>
      <x:c r="AH49" s="32" t="n">
        <x:v>39.13</x:v>
      </x:c>
      <x:c r="AI49" s="32" t="n">
        <x:v>54.9</x:v>
      </x:c>
      <x:c r="AJ49" s="32" t="n">
        <x:v>67.53</x:v>
      </x:c>
      <x:c r="AK49" s="32" t="n">
        <x:v>-1.07</x:v>
      </x:c>
      <x:c r="AL49" s="32" t="n">
        <x:v>38.08</x:v>
      </x:c>
      <x:c r="AM49" s="32" t="str">
        <x:v>#000000</x:v>
      </x:c>
      <x:c r="AN49" s="32" t="str">
        <x:v>Black</x:v>
      </x:c>
      <x:c r="AO49" s="32" t="n">
        <x:v>8.47</x:v>
      </x:c>
      <x:c r="AP49" s="32" t="n">
        <x:v>8.47</x:v>
      </x:c>
      <x:c r="AQ49" s="32" t="n">
        <x:v>2.48</x:v>
      </x:c>
      <x:c r="AR49" s="32" t="n">
        <x:v>0.373349</x:v>
      </x:c>
      <x:c r="AS49" t="str">
        <x:v>PASS</x:v>
      </x:c>
      <x:c r="AT49" t="str">
        <x:v>--cda-lum-025</x:v>
      </x:c>
      <x:c r="AU49" t="str">
        <x:v>var(--cda-lum-025)</x:v>
      </x:c>
      <x:c r="AV49" t="str">
        <x:v>Median RGB from official PDF swatch (screen reference only)</x:v>
      </x:c>
      <x:c r="AW49" t="str">
        <x:v>https://www.carandache.com/content_files/uploaded_doc/product/10580/nuancier_luminance_fr.pdf</x:v>
      </x:c>
      <x:c r="AX49" t="n">
        <x:v>1</x:v>
      </x:c>
      <x:c r="AY49" t="str">
        <x:v>Official</x:v>
      </x:c>
      <x:c r="AZ49" t="str">
        <x:v>Official where available; curated Traditional Chinese/Japanese otherwise</x:v>
      </x:c>
      <x:c r="BA49" t="str">
        <x:v>Verified from official chart; digital HEX is approximate</x:v>
      </x:c>
      <x:c r="BB49" t="str">
        <x:v>Physical media appearance varies by paper, pressure, layering, water and scan/display profile.</x:v>
      </x:c>
    </x:row>
    <x:row r="50">
      <x:c r="A50" t="str">
        <x:f>G50&amp;"|"&amp;L50</x:f>
        <x:v>LUM|736</x:v>
      </x:c>
      <x:c r="B50" t="str">
        <x:v>f353e297-774d-5f37-a80c-098e7f90897d</x:v>
      </x:c>
      <x:c r="C50" t="str">
        <x:v>CDA-LUM-736</x:v>
      </x:c>
      <x:c r="D50" t="str">
        <x:v>d40b9436-8b9d-5cce-9be9-a1f17bad987d</x:v>
      </x:c>
      <x:c r="E50" t="str">
        <x:v>CDA-CODE-736</x:v>
      </x:c>
      <x:c r="F50" t="str">
        <x:v>Caran d’Ache</x:v>
      </x:c>
      <x:c r="G50" t="str">
        <x:v>LUM</x:v>
      </x:c>
      <x:c r="H50" t="str">
        <x:v>LUMINANCE 6901</x:v>
      </x:c>
      <x:c r="I50" t="str">
        <x:v>Oil-based permanent coloured pencil</x:v>
      </x:c>
      <x:c r="J50" t="str">
        <x:v>Professional</x:v>
      </x:c>
      <x:c r="K50" s="30" t="n">
        <x:v>49</x:v>
      </x:c>
      <x:c r="L50" s="30" t="str">
        <x:v>736</x:v>
      </x:c>
      <x:c r="M50" t="str">
        <x:v>Brown olive 50%</x:v>
      </x:c>
      <x:c r="N50" t="str">
        <x:v>棕橄欖色 50%</x:v>
      </x:c>
      <x:c r="O50" t="str">
        <x:v>ブラウンオリーブ 50%</x:v>
      </x:c>
      <x:c r="P50" t="str"/>
      <x:c r="Q50" t="str">
        <x:v>Olive brunâtre 50%</x:v>
      </x:c>
      <x:c r="R50" t="str">
        <x:v>Braunoliv 50%</x:v>
      </x:c>
      <x:c r="S50" t="str">
        <x:v>Oliva bruna 50%</x:v>
      </x:c>
      <x:c r="T50" t="str">
        <x:v>Oliva marrón 50%</x:v>
      </x:c>
      <x:c r="U50" t="str">
        <x:v>Castanho Azeitona 50%</x:v>
      </x:c>
      <x:c r="V50" t="str"/>
      <x:c r="W50" t="str">
        <x:v>PY42/PBk9</x:v>
      </x:c>
      <x:c r="X50" t="n">
        <x:f>IF(W50="",0,LEN(W50)-LEN(SUBSTITUTE(W50,"/",""))+1)</x:f>
        <x:v>2</x:v>
      </x:c>
      <x:c r="Y50" t="str">
        <x:v>I</x:v>
      </x:c>
      <x:c r="Z50" s="32" t="n">
        <x:v>1.67</x:v>
      </x:c>
      <x:c r="AA50" s="32" t="n">
        <x:v>3</x:v>
      </x:c>
      <x:c r="AB50" s="32" t="str">
        <x:v>ASTM D-6901</x:v>
      </x:c>
      <x:c r="AC50" t="str">
        <x:v>#B9A78A</x:v>
      </x:c>
      <x:c r="AD50" s="34" t="n">
        <x:v>185</x:v>
      </x:c>
      <x:c r="AE50" s="34" t="n">
        <x:v>167</x:v>
      </x:c>
      <x:c r="AF50" s="34" t="n">
        <x:v>138</x:v>
      </x:c>
      <x:c r="AG50" s="32" t="n">
        <x:v>37.02</x:v>
      </x:c>
      <x:c r="AH50" s="32" t="n">
        <x:v>25.13</x:v>
      </x:c>
      <x:c r="AI50" s="32" t="n">
        <x:v>63.33</x:v>
      </x:c>
      <x:c r="AJ50" s="32" t="n">
        <x:v>69.32</x:v>
      </x:c>
      <x:c r="AK50" s="32" t="n">
        <x:v>1.92</x:v>
      </x:c>
      <x:c r="AL50" s="32" t="n">
        <x:v>17.4</x:v>
      </x:c>
      <x:c r="AM50" s="32" t="str">
        <x:v>#000000</x:v>
      </x:c>
      <x:c r="AN50" s="32" t="str">
        <x:v>Black</x:v>
      </x:c>
      <x:c r="AO50" s="32" t="n">
        <x:v>8.96</x:v>
      </x:c>
      <x:c r="AP50" s="32" t="n">
        <x:v>8.96</x:v>
      </x:c>
      <x:c r="AQ50" s="32" t="n">
        <x:v>2.34</x:v>
      </x:c>
      <x:c r="AR50" s="32" t="n">
        <x:v>0.397867</x:v>
      </x:c>
      <x:c r="AS50" t="str">
        <x:v>PASS</x:v>
      </x:c>
      <x:c r="AT50" t="str">
        <x:v>--cda-lum-736</x:v>
      </x:c>
      <x:c r="AU50" t="str">
        <x:v>var(--cda-lum-736)</x:v>
      </x:c>
      <x:c r="AV50" t="str">
        <x:v>Median RGB from official PDF swatch (screen reference only)</x:v>
      </x:c>
      <x:c r="AW50" t="str">
        <x:v>https://www.carandache.com/content_files/uploaded_doc/product/10580/nuancier_luminance_fr.pdf</x:v>
      </x:c>
      <x:c r="AX50" t="n">
        <x:v>1</x:v>
      </x:c>
      <x:c r="AY50" t="str">
        <x:v>Official</x:v>
      </x:c>
      <x:c r="AZ50" t="str">
        <x:v>Official where available; curated Traditional Chinese/Japanese otherwise</x:v>
      </x:c>
      <x:c r="BA50" t="str">
        <x:v>Verified from official chart; digital HEX is approximate</x:v>
      </x:c>
      <x:c r="BB50" t="str">
        <x:v>Physical media appearance varies by paper, pressure, layering, water and scan/display profile.</x:v>
      </x:c>
    </x:row>
    <x:row r="51">
      <x:c r="A51" t="str">
        <x:f>G51&amp;"|"&amp;L51</x:f>
        <x:v>LUM|846</x:v>
      </x:c>
      <x:c r="B51" t="str">
        <x:v>75781290-0108-5733-a80c-48c4dd8af5e3</x:v>
      </x:c>
      <x:c r="C51" t="str">
        <x:v>CDA-LUM-846</x:v>
      </x:c>
      <x:c r="D51" t="str">
        <x:v>7a754e96-fd08-5fbe-a848-b8b9c4a6b6ae</x:v>
      </x:c>
      <x:c r="E51" t="str">
        <x:v>CDA-CODE-846</x:v>
      </x:c>
      <x:c r="F51" t="str">
        <x:v>Caran d’Ache</x:v>
      </x:c>
      <x:c r="G51" t="str">
        <x:v>LUM</x:v>
      </x:c>
      <x:c r="H51" t="str">
        <x:v>LUMINANCE 6901</x:v>
      </x:c>
      <x:c r="I51" t="str">
        <x:v>Oil-based permanent coloured pencil</x:v>
      </x:c>
      <x:c r="J51" t="str">
        <x:v>Professional</x:v>
      </x:c>
      <x:c r="K51" s="30" t="n">
        <x:v>50</x:v>
      </x:c>
      <x:c r="L51" s="30" t="str">
        <x:v>846</x:v>
      </x:c>
      <x:c r="M51" t="str">
        <x:v>Raw umber 50%</x:v>
      </x:c>
      <x:c r="N51" t="str">
        <x:v>生褐色 50%</x:v>
      </x:c>
      <x:c r="O51" t="str">
        <x:v>ローアンバー 50%</x:v>
      </x:c>
      <x:c r="P51" t="str"/>
      <x:c r="Q51" t="str">
        <x:v>Ombre naturelle 50%</x:v>
      </x:c>
      <x:c r="R51" t="str">
        <x:v>Echtumbra 50%</x:v>
      </x:c>
      <x:c r="S51" t="str">
        <x:v>Ombra naturale 50%</x:v>
      </x:c>
      <x:c r="T51" t="str">
        <x:v>Sombra natural 50%</x:v>
      </x:c>
      <x:c r="U51" t="str">
        <x:v>Sombra natural 50%</x:v>
      </x:c>
      <x:c r="V51" t="str"/>
      <x:c r="W51" t="str">
        <x:v>PR101/PY42/PBk11</x:v>
      </x:c>
      <x:c r="X51" t="n">
        <x:f>IF(W51="",0,LEN(W51)-LEN(SUBSTITUTE(W51,"/",""))+1)</x:f>
        <x:v>3</x:v>
      </x:c>
      <x:c r="Y51" t="str">
        <x:v>I</x:v>
      </x:c>
      <x:c r="Z51" s="32" t="n">
        <x:v>1.67</x:v>
      </x:c>
      <x:c r="AA51" s="32" t="n">
        <x:v>3</x:v>
      </x:c>
      <x:c r="AB51" s="32" t="str">
        <x:v>ASTM D-6901</x:v>
      </x:c>
      <x:c r="AC51" t="str">
        <x:v>#978469</x:v>
      </x:c>
      <x:c r="AD51" s="34" t="n">
        <x:v>151</x:v>
      </x:c>
      <x:c r="AE51" s="34" t="n">
        <x:v>132</x:v>
      </x:c>
      <x:c r="AF51" s="34" t="n">
        <x:v>105</x:v>
      </x:c>
      <x:c r="AG51" s="32" t="n">
        <x:v>35.22</x:v>
      </x:c>
      <x:c r="AH51" s="32" t="n">
        <x:v>18.11</x:v>
      </x:c>
      <x:c r="AI51" s="32" t="n">
        <x:v>50.2</x:v>
      </x:c>
      <x:c r="AJ51" s="32" t="n">
        <x:v>56.19</x:v>
      </x:c>
      <x:c r="AK51" s="32" t="n">
        <x:v>2.94</x:v>
      </x:c>
      <x:c r="AL51" s="32" t="n">
        <x:v>17.25</x:v>
      </x:c>
      <x:c r="AM51" s="32" t="str">
        <x:v>#000000</x:v>
      </x:c>
      <x:c r="AN51" s="32" t="str">
        <x:v>Black</x:v>
      </x:c>
      <x:c r="AO51" s="32" t="n">
        <x:v>5.82</x:v>
      </x:c>
      <x:c r="AP51" s="32" t="n">
        <x:v>5.82</x:v>
      </x:c>
      <x:c r="AQ51" s="32" t="n">
        <x:v>3.61</x:v>
      </x:c>
      <x:c r="AR51" s="32" t="n">
        <x:v>0.241018</x:v>
      </x:c>
      <x:c r="AS51" t="str">
        <x:v>PASS</x:v>
      </x:c>
      <x:c r="AT51" t="str">
        <x:v>--cda-lum-846</x:v>
      </x:c>
      <x:c r="AU51" t="str">
        <x:v>var(--cda-lum-846)</x:v>
      </x:c>
      <x:c r="AV51" t="str">
        <x:v>Median RGB from official PDF swatch (screen reference only)</x:v>
      </x:c>
      <x:c r="AW51" t="str">
        <x:v>https://www.carandache.com/content_files/uploaded_doc/product/10580/nuancier_luminance_fr.pdf</x:v>
      </x:c>
      <x:c r="AX51" t="n">
        <x:v>1</x:v>
      </x:c>
      <x:c r="AY51" t="str">
        <x:v>Official</x:v>
      </x:c>
      <x:c r="AZ51" t="str">
        <x:v>Official where available; curated Traditional Chinese/Japanese otherwise</x:v>
      </x:c>
      <x:c r="BA51" t="str">
        <x:v>Verified from official chart; digital HEX is approximate</x:v>
      </x:c>
      <x:c r="BB51" t="str">
        <x:v>Physical media appearance varies by paper, pressure, layering, water and scan/display profile.</x:v>
      </x:c>
    </x:row>
    <x:row r="52">
      <x:c r="A52" t="str">
        <x:f>G52&amp;"|"&amp;L52</x:f>
        <x:v>LUM|039</x:v>
      </x:c>
      <x:c r="B52" t="str">
        <x:v>b4285763-8eae-524e-a183-7a6cf87f48ab</x:v>
      </x:c>
      <x:c r="C52" t="str">
        <x:v>CDA-LUM-039</x:v>
      </x:c>
      <x:c r="D52" t="str">
        <x:v>f03df3aa-e67d-56c5-88be-9f28d0654f47</x:v>
      </x:c>
      <x:c r="E52" t="str">
        <x:v>CDA-CODE-039</x:v>
      </x:c>
      <x:c r="F52" t="str">
        <x:v>Caran d’Ache</x:v>
      </x:c>
      <x:c r="G52" t="str">
        <x:v>LUM</x:v>
      </x:c>
      <x:c r="H52" t="str">
        <x:v>LUMINANCE 6901</x:v>
      </x:c>
      <x:c r="I52" t="str">
        <x:v>Oil-based permanent coloured pencil</x:v>
      </x:c>
      <x:c r="J52" t="str">
        <x:v>Professional</x:v>
      </x:c>
      <x:c r="K52" s="30" t="n">
        <x:v>51</x:v>
      </x:c>
      <x:c r="L52" s="30" t="str">
        <x:v>039</x:v>
      </x:c>
      <x:c r="M52" t="str">
        <x:v>Olive brown</x:v>
      </x:c>
      <x:c r="N52" t="str">
        <x:v>橄欖棕</x:v>
      </x:c>
      <x:c r="O52" t="str">
        <x:v>オリーブブラウン</x:v>
      </x:c>
      <x:c r="P52" t="str"/>
      <x:c r="Q52" t="str">
        <x:v>Olive brunâtre</x:v>
      </x:c>
      <x:c r="R52" t="str">
        <x:v>Olivbraun</x:v>
      </x:c>
      <x:c r="S52" t="str">
        <x:v>Oliva bruna</x:v>
      </x:c>
      <x:c r="T52" t="str">
        <x:v>Pardo oliva</x:v>
      </x:c>
      <x:c r="U52" t="str">
        <x:v>Castanho esverdeado</x:v>
      </x:c>
      <x:c r="V52" t="str"/>
      <x:c r="W52" t="str">
        <x:v>PY42/PBk9</x:v>
      </x:c>
      <x:c r="X52" t="n">
        <x:f>IF(W52="",0,LEN(W52)-LEN(SUBSTITUTE(W52,"/",""))+1)</x:f>
        <x:v>2</x:v>
      </x:c>
      <x:c r="Y52" t="str">
        <x:v>I</x:v>
      </x:c>
      <x:c r="Z52" s="32" t="n">
        <x:v>1.67</x:v>
      </x:c>
      <x:c r="AA52" s="32" t="n">
        <x:v>3</x:v>
      </x:c>
      <x:c r="AB52" s="32" t="str">
        <x:v>ASTM D-6901</x:v>
      </x:c>
      <x:c r="AC52" t="str">
        <x:v>#9E9078</x:v>
      </x:c>
      <x:c r="AD52" s="34" t="n">
        <x:v>158</x:v>
      </x:c>
      <x:c r="AE52" s="34" t="n">
        <x:v>144</x:v>
      </x:c>
      <x:c r="AF52" s="34" t="n">
        <x:v>120</x:v>
      </x:c>
      <x:c r="AG52" s="32" t="n">
        <x:v>37.89</x:v>
      </x:c>
      <x:c r="AH52" s="32" t="n">
        <x:v>16.38</x:v>
      </x:c>
      <x:c r="AI52" s="32" t="n">
        <x:v>54.51</x:v>
      </x:c>
      <x:c r="AJ52" s="32" t="n">
        <x:v>60.4</x:v>
      </x:c>
      <x:c r="AK52" s="32" t="n">
        <x:v>1.24</x:v>
      </x:c>
      <x:c r="AL52" s="32" t="n">
        <x:v>14.66</x:v>
      </x:c>
      <x:c r="AM52" s="32" t="str">
        <x:v>#000000</x:v>
      </x:c>
      <x:c r="AN52" s="32" t="str">
        <x:v>Black</x:v>
      </x:c>
      <x:c r="AO52" s="32" t="n">
        <x:v>6.71</x:v>
      </x:c>
      <x:c r="AP52" s="32" t="n">
        <x:v>6.71</x:v>
      </x:c>
      <x:c r="AQ52" s="32" t="n">
        <x:v>3.13</x:v>
      </x:c>
      <x:c r="AR52" s="32" t="n">
        <x:v>0.285717</x:v>
      </x:c>
      <x:c r="AS52" t="str">
        <x:v>PASS</x:v>
      </x:c>
      <x:c r="AT52" t="str">
        <x:v>--cda-lum-039</x:v>
      </x:c>
      <x:c r="AU52" t="str">
        <x:v>var(--cda-lum-039)</x:v>
      </x:c>
      <x:c r="AV52" t="str">
        <x:v>Median RGB from official PDF swatch (screen reference only)</x:v>
      </x:c>
      <x:c r="AW52" t="str">
        <x:v>https://www.carandache.com/content_files/uploaded_doc/product/10580/nuancier_luminance_fr.pdf</x:v>
      </x:c>
      <x:c r="AX52" t="n">
        <x:v>1</x:v>
      </x:c>
      <x:c r="AY52" t="str">
        <x:v>Official</x:v>
      </x:c>
      <x:c r="AZ52" t="str">
        <x:v>Official where available; curated Traditional Chinese/Japanese otherwise</x:v>
      </x:c>
      <x:c r="BA52" t="str">
        <x:v>Verified from official chart; digital HEX is approximate</x:v>
      </x:c>
      <x:c r="BB52" t="str">
        <x:v>Physical media appearance varies by paper, pressure, layering, water and scan/display profile.</x:v>
      </x:c>
    </x:row>
    <x:row r="53">
      <x:c r="A53" t="str">
        <x:f>G53&amp;"|"&amp;L53</x:f>
        <x:v>LUM|548</x:v>
      </x:c>
      <x:c r="B53" t="str">
        <x:v>208f27c3-8a25-51c8-b976-437d6dba3587</x:v>
      </x:c>
      <x:c r="C53" t="str">
        <x:v>CDA-LUM-548</x:v>
      </x:c>
      <x:c r="D53" t="str">
        <x:v>797bbd12-75ce-5096-9f93-f1c2fd4218a3</x:v>
      </x:c>
      <x:c r="E53" t="str">
        <x:v>CDA-CODE-548</x:v>
      </x:c>
      <x:c r="F53" t="str">
        <x:v>Caran d’Ache</x:v>
      </x:c>
      <x:c r="G53" t="str">
        <x:v>LUM</x:v>
      </x:c>
      <x:c r="H53" t="str">
        <x:v>LUMINANCE 6901</x:v>
      </x:c>
      <x:c r="I53" t="str">
        <x:v>Oil-based permanent coloured pencil</x:v>
      </x:c>
      <x:c r="J53" t="str">
        <x:v>Professional</x:v>
      </x:c>
      <x:c r="K53" s="30" t="n">
        <x:v>52</x:v>
      </x:c>
      <x:c r="L53" s="30" t="str">
        <x:v>548</x:v>
      </x:c>
      <x:c r="M53" t="str">
        <x:v>Raw umber</x:v>
      </x:c>
      <x:c r="N53" t="str">
        <x:v>生褐色</x:v>
      </x:c>
      <x:c r="O53" t="str">
        <x:v>ローアンバー</x:v>
      </x:c>
      <x:c r="P53" t="str"/>
      <x:c r="Q53" t="str">
        <x:v>Ombre naturelle</x:v>
      </x:c>
      <x:c r="R53" t="str">
        <x:v>Echtumbra</x:v>
      </x:c>
      <x:c r="S53" t="str">
        <x:v>Ombra naturale</x:v>
      </x:c>
      <x:c r="T53" t="str">
        <x:v>Sombra natural</x:v>
      </x:c>
      <x:c r="U53" t="str">
        <x:v>Sombra natural</x:v>
      </x:c>
      <x:c r="V53" t="str"/>
      <x:c r="W53" t="str">
        <x:v>PR101/PY42/PBk11</x:v>
      </x:c>
      <x:c r="X53" t="n">
        <x:f>IF(W53="",0,LEN(W53)-LEN(SUBSTITUTE(W53,"/",""))+1)</x:f>
        <x:v>3</x:v>
      </x:c>
      <x:c r="Y53" t="str">
        <x:v>I</x:v>
      </x:c>
      <x:c r="Z53" s="32" t="n">
        <x:v>1.67</x:v>
      </x:c>
      <x:c r="AA53" s="32" t="n">
        <x:v>3</x:v>
      </x:c>
      <x:c r="AB53" s="32" t="str">
        <x:v>ASTM D-6901</x:v>
      </x:c>
      <x:c r="AC53" t="str">
        <x:v>#7E6B4F</x:v>
      </x:c>
      <x:c r="AD53" s="34" t="n">
        <x:v>126</x:v>
      </x:c>
      <x:c r="AE53" s="34" t="n">
        <x:v>107</x:v>
      </x:c>
      <x:c r="AF53" s="34" t="n">
        <x:v>79</x:v>
      </x:c>
      <x:c r="AG53" s="32" t="n">
        <x:v>35.74</x:v>
      </x:c>
      <x:c r="AH53" s="32" t="n">
        <x:v>22.93</x:v>
      </x:c>
      <x:c r="AI53" s="32" t="n">
        <x:v>40.2</x:v>
      </x:c>
      <x:c r="AJ53" s="32" t="n">
        <x:v>46.33</x:v>
      </x:c>
      <x:c r="AK53" s="32" t="n">
        <x:v>3.16</x:v>
      </x:c>
      <x:c r="AL53" s="32" t="n">
        <x:v>18.5</x:v>
      </x:c>
      <x:c r="AM53" s="32" t="str">
        <x:v>#FFFFFF</x:v>
      </x:c>
      <x:c r="AN53" s="32" t="str">
        <x:v>White</x:v>
      </x:c>
      <x:c r="AO53" s="32" t="n">
        <x:v>5.12</x:v>
      </x:c>
      <x:c r="AP53" s="32" t="n">
        <x:v>4.1</x:v>
      </x:c>
      <x:c r="AQ53" s="32" t="n">
        <x:v>5.12</x:v>
      </x:c>
      <x:c r="AR53" s="32" t="n">
        <x:v>0.155155</x:v>
      </x:c>
      <x:c r="AS53" t="str">
        <x:v>PASS</x:v>
      </x:c>
      <x:c r="AT53" t="str">
        <x:v>--cda-lum-548</x:v>
      </x:c>
      <x:c r="AU53" t="str">
        <x:v>var(--cda-lum-548)</x:v>
      </x:c>
      <x:c r="AV53" t="str">
        <x:v>Median RGB from official PDF swatch (screen reference only)</x:v>
      </x:c>
      <x:c r="AW53" t="str">
        <x:v>https://www.carandache.com/content_files/uploaded_doc/product/10580/nuancier_luminance_fr.pdf</x:v>
      </x:c>
      <x:c r="AX53" t="n">
        <x:v>1</x:v>
      </x:c>
      <x:c r="AY53" t="str">
        <x:v>Official</x:v>
      </x:c>
      <x:c r="AZ53" t="str">
        <x:v>Official where available; curated Traditional Chinese/Japanese otherwise</x:v>
      </x:c>
      <x:c r="BA53" t="str">
        <x:v>Verified from official chart; digital HEX is approximate</x:v>
      </x:c>
      <x:c r="BB53" t="str">
        <x:v>Physical media appearance varies by paper, pressure, layering, water and scan/display profile.</x:v>
      </x:c>
    </x:row>
    <x:row r="54">
      <x:c r="A54" t="str">
        <x:f>G54&amp;"|"&amp;L54</x:f>
        <x:v>LUM|037</x:v>
      </x:c>
      <x:c r="B54" t="str">
        <x:v>15f61b99-a08b-566f-8335-4d75757d721c</x:v>
      </x:c>
      <x:c r="C54" t="str">
        <x:v>CDA-LUM-037</x:v>
      </x:c>
      <x:c r="D54" t="str">
        <x:v>59b41d64-1bde-519b-97de-9680e20c652e</x:v>
      </x:c>
      <x:c r="E54" t="str">
        <x:v>CDA-CODE-037</x:v>
      </x:c>
      <x:c r="F54" t="str">
        <x:v>Caran d’Ache</x:v>
      </x:c>
      <x:c r="G54" t="str">
        <x:v>LUM</x:v>
      </x:c>
      <x:c r="H54" t="str">
        <x:v>LUMINANCE 6901</x:v>
      </x:c>
      <x:c r="I54" t="str">
        <x:v>Oil-based permanent coloured pencil</x:v>
      </x:c>
      <x:c r="J54" t="str">
        <x:v>Professional</x:v>
      </x:c>
      <x:c r="K54" s="30" t="n">
        <x:v>53</x:v>
      </x:c>
      <x:c r="L54" s="30" t="str">
        <x:v>037</x:v>
      </x:c>
      <x:c r="M54" t="str">
        <x:v>Brown ochre</x:v>
      </x:c>
      <x:c r="N54" t="str">
        <x:v>棕赭色</x:v>
      </x:c>
      <x:c r="O54" t="str">
        <x:v>ブラウンオーカー</x:v>
      </x:c>
      <x:c r="P54" t="str"/>
      <x:c r="Q54" t="str">
        <x:v>Ocre brun</x:v>
      </x:c>
      <x:c r="R54" t="str">
        <x:v>Braunocker</x:v>
      </x:c>
      <x:c r="S54" t="str">
        <x:v>Ocra bruna</x:v>
      </x:c>
      <x:c r="T54" t="str">
        <x:v>Ocre pardo</x:v>
      </x:c>
      <x:c r="U54" t="str">
        <x:v>Ocre acastanhado</x:v>
      </x:c>
      <x:c r="V54" t="str"/>
      <x:c r="W54" t="str">
        <x:v>PY42/PR101/PBk9</x:v>
      </x:c>
      <x:c r="X54" t="n">
        <x:f>IF(W54="",0,LEN(W54)-LEN(SUBSTITUTE(W54,"/",""))+1)</x:f>
        <x:v>3</x:v>
      </x:c>
      <x:c r="Y54" t="str">
        <x:v>I</x:v>
      </x:c>
      <x:c r="Z54" s="32" t="n">
        <x:v>1.67</x:v>
      </x:c>
      <x:c r="AA54" s="32" t="n">
        <x:v>3</x:v>
      </x:c>
      <x:c r="AB54" s="32" t="str">
        <x:v>ASTM D-6901</x:v>
      </x:c>
      <x:c r="AC54" t="str">
        <x:v>#B07444</x:v>
      </x:c>
      <x:c r="AD54" s="34" t="n">
        <x:v>176</x:v>
      </x:c>
      <x:c r="AE54" s="34" t="n">
        <x:v>116</x:v>
      </x:c>
      <x:c r="AF54" s="34" t="n">
        <x:v>68</x:v>
      </x:c>
      <x:c r="AG54" s="32" t="n">
        <x:v>26.67</x:v>
      </x:c>
      <x:c r="AH54" s="32" t="n">
        <x:v>44.26</x:v>
      </x:c>
      <x:c r="AI54" s="32" t="n">
        <x:v>47.84</x:v>
      </x:c>
      <x:c r="AJ54" s="32" t="n">
        <x:v>54.18</x:v>
      </x:c>
      <x:c r="AK54" s="32" t="n">
        <x:v>18.71</x:v>
      </x:c>
      <x:c r="AL54" s="32" t="n">
        <x:v>35.8</x:v>
      </x:c>
      <x:c r="AM54" s="32" t="str">
        <x:v>#000000</x:v>
      </x:c>
      <x:c r="AN54" s="32" t="str">
        <x:v>Black</x:v>
      </x:c>
      <x:c r="AO54" s="32" t="n">
        <x:v>5.43</x:v>
      </x:c>
      <x:c r="AP54" s="32" t="n">
        <x:v>5.43</x:v>
      </x:c>
      <x:c r="AQ54" s="32" t="n">
        <x:v>3.87</x:v>
      </x:c>
      <x:c r="AR54" s="32" t="n">
        <x:v>0.221382</x:v>
      </x:c>
      <x:c r="AS54" t="str">
        <x:v>PASS</x:v>
      </x:c>
      <x:c r="AT54" t="str">
        <x:v>--cda-lum-037</x:v>
      </x:c>
      <x:c r="AU54" t="str">
        <x:v>var(--cda-lum-037)</x:v>
      </x:c>
      <x:c r="AV54" t="str">
        <x:v>Median RGB from official PDF swatch (screen reference only)</x:v>
      </x:c>
      <x:c r="AW54" t="str">
        <x:v>https://www.carandache.com/content_files/uploaded_doc/product/10580/nuancier_luminance_fr.pdf</x:v>
      </x:c>
      <x:c r="AX54" t="n">
        <x:v>1</x:v>
      </x:c>
      <x:c r="AY54" t="str">
        <x:v>Official</x:v>
      </x:c>
      <x:c r="AZ54" t="str">
        <x:v>Official where available; curated Traditional Chinese/Japanese otherwise</x:v>
      </x:c>
      <x:c r="BA54" t="str">
        <x:v>Verified from official chart; digital HEX is approximate</x:v>
      </x:c>
      <x:c r="BB54" t="str">
        <x:v>Physical media appearance varies by paper, pressure, layering, water and scan/display profile.</x:v>
      </x:c>
    </x:row>
    <x:row r="55">
      <x:c r="A55" t="str">
        <x:f>G55&amp;"|"&amp;L55</x:f>
        <x:v>LUM|036</x:v>
      </x:c>
      <x:c r="B55" t="str">
        <x:v>4f5b8e0e-e130-5e66-a71f-701b99c25a9e</x:v>
      </x:c>
      <x:c r="C55" t="str">
        <x:v>CDA-LUM-036</x:v>
      </x:c>
      <x:c r="D55" t="str">
        <x:v>0f5afcdf-d0ec-594e-9317-d048151338ad</x:v>
      </x:c>
      <x:c r="E55" t="str">
        <x:v>CDA-CODE-036</x:v>
      </x:c>
      <x:c r="F55" t="str">
        <x:v>Caran d’Ache</x:v>
      </x:c>
      <x:c r="G55" t="str">
        <x:v>LUM</x:v>
      </x:c>
      <x:c r="H55" t="str">
        <x:v>LUMINANCE 6901</x:v>
      </x:c>
      <x:c r="I55" t="str">
        <x:v>Oil-based permanent coloured pencil</x:v>
      </x:c>
      <x:c r="J55" t="str">
        <x:v>Professional</x:v>
      </x:c>
      <x:c r="K55" s="30" t="n">
        <x:v>54</x:v>
      </x:c>
      <x:c r="L55" s="30" t="str">
        <x:v>036</x:v>
      </x:c>
      <x:c r="M55" t="str">
        <x:v>Raw sienna</x:v>
      </x:c>
      <x:c r="N55" t="str">
        <x:v>生赭色</x:v>
      </x:c>
      <x:c r="O55" t="str">
        <x:v>ローシェンナ</x:v>
      </x:c>
      <x:c r="P55" t="str"/>
      <x:c r="Q55" t="str">
        <x:v>Sienne naturelle</x:v>
      </x:c>
      <x:c r="R55" t="str">
        <x:v>Siena natur</x:v>
      </x:c>
      <x:c r="S55" t="str">
        <x:v>Terra di Siena naturale</x:v>
      </x:c>
      <x:c r="T55" t="str">
        <x:v>Siena natural</x:v>
      </x:c>
      <x:c r="U55" t="str">
        <x:v>Siena natural</x:v>
      </x:c>
      <x:c r="V55" t="str"/>
      <x:c r="W55" t="str">
        <x:v>PY42</x:v>
      </x:c>
      <x:c r="X55" t="n">
        <x:f>IF(W55="",0,LEN(W55)-LEN(SUBSTITUTE(W55,"/",""))+1)</x:f>
        <x:v>1</x:v>
      </x:c>
      <x:c r="Y55" t="str">
        <x:v>I</x:v>
      </x:c>
      <x:c r="Z55" s="32" t="n">
        <x:v>1.67</x:v>
      </x:c>
      <x:c r="AA55" s="32" t="n">
        <x:v>3</x:v>
      </x:c>
      <x:c r="AB55" s="32" t="str">
        <x:v>ASTM D-6901</x:v>
      </x:c>
      <x:c r="AC55" t="str">
        <x:v>#DBA057</x:v>
      </x:c>
      <x:c r="AD55" s="34" t="n">
        <x:v>219</x:v>
      </x:c>
      <x:c r="AE55" s="34" t="n">
        <x:v>160</x:v>
      </x:c>
      <x:c r="AF55" s="34" t="n">
        <x:v>87</x:v>
      </x:c>
      <x:c r="AG55" s="32" t="n">
        <x:v>33.18</x:v>
      </x:c>
      <x:c r="AH55" s="32" t="n">
        <x:v>64.71</x:v>
      </x:c>
      <x:c r="AI55" s="32" t="n">
        <x:v>60</x:v>
      </x:c>
      <x:c r="AJ55" s="32" t="n">
        <x:v>70.1</x:v>
      </x:c>
      <x:c r="AK55" s="32" t="n">
        <x:v>14.22</x:v>
      </x:c>
      <x:c r="AL55" s="32" t="n">
        <x:v>46.04</x:v>
      </x:c>
      <x:c r="AM55" s="32" t="str">
        <x:v>#000000</x:v>
      </x:c>
      <x:c r="AN55" s="32" t="str">
        <x:v>Black</x:v>
      </x:c>
      <x:c r="AO55" s="32" t="n">
        <x:v>9.18</x:v>
      </x:c>
      <x:c r="AP55" s="32" t="n">
        <x:v>9.18</x:v>
      </x:c>
      <x:c r="AQ55" s="32" t="n">
        <x:v>2.29</x:v>
      </x:c>
      <x:c r="AR55" s="32" t="n">
        <x:v>0.408898</x:v>
      </x:c>
      <x:c r="AS55" t="str">
        <x:v>PASS</x:v>
      </x:c>
      <x:c r="AT55" t="str">
        <x:v>--cda-lum-036</x:v>
      </x:c>
      <x:c r="AU55" t="str">
        <x:v>var(--cda-lum-036)</x:v>
      </x:c>
      <x:c r="AV55" t="str">
        <x:v>Median RGB from official PDF swatch (screen reference only)</x:v>
      </x:c>
      <x:c r="AW55" t="str">
        <x:v>https://www.carandache.com/content_files/uploaded_doc/product/10580/nuancier_luminance_fr.pdf</x:v>
      </x:c>
      <x:c r="AX55" t="n">
        <x:v>1</x:v>
      </x:c>
      <x:c r="AY55" t="str">
        <x:v>Official</x:v>
      </x:c>
      <x:c r="AZ55" t="str">
        <x:v>Official where available; curated Traditional Chinese/Japanese otherwise</x:v>
      </x:c>
      <x:c r="BA55" t="str">
        <x:v>Verified from official chart; digital HEX is approximate</x:v>
      </x:c>
      <x:c r="BB55" t="str">
        <x:v>Physical media appearance varies by paper, pressure, layering, water and scan/display profile.</x:v>
      </x:c>
    </x:row>
    <x:row r="56">
      <x:c r="A56" t="str">
        <x:f>G56&amp;"|"&amp;L56</x:f>
        <x:v>LUM|034</x:v>
      </x:c>
      <x:c r="B56" t="str">
        <x:v>77aef21e-4c85-52a4-b168-4aa995a445e3</x:v>
      </x:c>
      <x:c r="C56" t="str">
        <x:v>CDA-LUM-034</x:v>
      </x:c>
      <x:c r="D56" t="str">
        <x:v>0537fc38-1d75-5d53-a870-df514997a629</x:v>
      </x:c>
      <x:c r="E56" t="str">
        <x:v>CDA-CODE-034</x:v>
      </x:c>
      <x:c r="F56" t="str">
        <x:v>Caran d’Ache</x:v>
      </x:c>
      <x:c r="G56" t="str">
        <x:v>LUM</x:v>
      </x:c>
      <x:c r="H56" t="str">
        <x:v>LUMINANCE 6901</x:v>
      </x:c>
      <x:c r="I56" t="str">
        <x:v>Oil-based permanent coloured pencil</x:v>
      </x:c>
      <x:c r="J56" t="str">
        <x:v>Professional</x:v>
      </x:c>
      <x:c r="K56" s="30" t="n">
        <x:v>55</x:v>
      </x:c>
      <x:c r="L56" s="30" t="str">
        <x:v>034</x:v>
      </x:c>
      <x:c r="M56" t="str">
        <x:v>Yellow ochre</x:v>
      </x:c>
      <x:c r="N56" t="str">
        <x:v>黃赭色</x:v>
      </x:c>
      <x:c r="O56" t="str">
        <x:v>イエローオーカー</x:v>
      </x:c>
      <x:c r="P56" t="str"/>
      <x:c r="Q56" t="str">
        <x:v>Ocre jaune</x:v>
      </x:c>
      <x:c r="R56" t="str">
        <x:v>Gelbocker</x:v>
      </x:c>
      <x:c r="S56" t="str">
        <x:v>Ocra giallo</x:v>
      </x:c>
      <x:c r="T56" t="str">
        <x:v>Ocre amarillo</x:v>
      </x:c>
      <x:c r="U56" t="str">
        <x:v>Amarelo ocre</x:v>
      </x:c>
      <x:c r="V56" t="str"/>
      <x:c r="W56" t="str">
        <x:v>PY42/PY3</x:v>
      </x:c>
      <x:c r="X56" t="n">
        <x:f>IF(W56="",0,LEN(W56)-LEN(SUBSTITUTE(W56,"/",""))+1)</x:f>
        <x:v>2</x:v>
      </x:c>
      <x:c r="Y56" t="str">
        <x:v>I</x:v>
      </x:c>
      <x:c r="Z56" s="32" t="n">
        <x:v>1.67</x:v>
      </x:c>
      <x:c r="AA56" s="32" t="n">
        <x:v>3</x:v>
      </x:c>
      <x:c r="AB56" s="32" t="str">
        <x:v>ASTM D-6901</x:v>
      </x:c>
      <x:c r="AC56" t="str">
        <x:v>#EFB529</x:v>
      </x:c>
      <x:c r="AD56" s="34" t="n">
        <x:v>239</x:v>
      </x:c>
      <x:c r="AE56" s="34" t="n">
        <x:v>181</x:v>
      </x:c>
      <x:c r="AF56" s="34" t="n">
        <x:v>41</x:v>
      </x:c>
      <x:c r="AG56" s="32" t="n">
        <x:v>42.42</x:v>
      </x:c>
      <x:c r="AH56" s="32" t="n">
        <x:v>86.09</x:v>
      </x:c>
      <x:c r="AI56" s="32" t="n">
        <x:v>54.9</x:v>
      </x:c>
      <x:c r="AJ56" s="32" t="n">
        <x:v>77.02</x:v>
      </x:c>
      <x:c r="AK56" s="32" t="n">
        <x:v>9.37</x:v>
      </x:c>
      <x:c r="AL56" s="32" t="n">
        <x:v>72.35</x:v>
      </x:c>
      <x:c r="AM56" s="32" t="str">
        <x:v>#000000</x:v>
      </x:c>
      <x:c r="AN56" s="32" t="str">
        <x:v>Black</x:v>
      </x:c>
      <x:c r="AO56" s="32" t="n">
        <x:v>11.31</x:v>
      </x:c>
      <x:c r="AP56" s="32" t="n">
        <x:v>11.31</x:v>
      </x:c>
      <x:c r="AQ56" s="32" t="n">
        <x:v>1.86</x:v>
      </x:c>
      <x:c r="AR56" s="32" t="n">
        <x:v>0.515586</x:v>
      </x:c>
      <x:c r="AS56" t="str">
        <x:v>PASS</x:v>
      </x:c>
      <x:c r="AT56" t="str">
        <x:v>--cda-lum-034</x:v>
      </x:c>
      <x:c r="AU56" t="str">
        <x:v>var(--cda-lum-034)</x:v>
      </x:c>
      <x:c r="AV56" t="str">
        <x:v>Median RGB from official PDF swatch (screen reference only)</x:v>
      </x:c>
      <x:c r="AW56" t="str">
        <x:v>https://www.carandache.com/content_files/uploaded_doc/product/10580/nuancier_luminance_fr.pdf</x:v>
      </x:c>
      <x:c r="AX56" t="n">
        <x:v>1</x:v>
      </x:c>
      <x:c r="AY56" t="str">
        <x:v>Official</x:v>
      </x:c>
      <x:c r="AZ56" t="str">
        <x:v>Official where available; curated Traditional Chinese/Japanese otherwise</x:v>
      </x:c>
      <x:c r="BA56" t="str">
        <x:v>Verified from official chart; digital HEX is approximate</x:v>
      </x:c>
      <x:c r="BB56" t="str">
        <x:v>Physical media appearance varies by paper, pressure, layering, water and scan/display profile.</x:v>
      </x:c>
    </x:row>
    <x:row r="57">
      <x:c r="A57" t="str">
        <x:f>G57&amp;"|"&amp;L57</x:f>
        <x:v>LUM|836</x:v>
      </x:c>
      <x:c r="B57" t="str">
        <x:v>f02daa6c-c1c6-57aa-8784-3d746de6f692</x:v>
      </x:c>
      <x:c r="C57" t="str">
        <x:v>CDA-LUM-836</x:v>
      </x:c>
      <x:c r="D57" t="str">
        <x:v>b9b61ef8-39f6-5687-8cb0-37bf483c86e5</x:v>
      </x:c>
      <x:c r="E57" t="str">
        <x:v>CDA-CODE-836</x:v>
      </x:c>
      <x:c r="F57" t="str">
        <x:v>Caran d’Ache</x:v>
      </x:c>
      <x:c r="G57" t="str">
        <x:v>LUM</x:v>
      </x:c>
      <x:c r="H57" t="str">
        <x:v>LUMINANCE 6901</x:v>
      </x:c>
      <x:c r="I57" t="str">
        <x:v>Oil-based permanent coloured pencil</x:v>
      </x:c>
      <x:c r="J57" t="str">
        <x:v>Professional</x:v>
      </x:c>
      <x:c r="K57" s="30" t="n">
        <x:v>56</x:v>
      </x:c>
      <x:c r="L57" s="30" t="str">
        <x:v>836</x:v>
      </x:c>
      <x:c r="M57" t="str">
        <x:v>Brown ochre 50%</x:v>
      </x:c>
      <x:c r="N57" t="str">
        <x:v>棕赭色 50%</x:v>
      </x:c>
      <x:c r="O57" t="str">
        <x:v>ブラウンオーカー 50%</x:v>
      </x:c>
      <x:c r="P57" t="str"/>
      <x:c r="Q57" t="str">
        <x:v>Ocre brun 50%</x:v>
      </x:c>
      <x:c r="R57" t="str">
        <x:v>Braunocker 50%</x:v>
      </x:c>
      <x:c r="S57" t="str">
        <x:v>Ocra bruna 50 %</x:v>
      </x:c>
      <x:c r="T57" t="str">
        <x:v>Ocre marrón 50%</x:v>
      </x:c>
      <x:c r="U57" t="str">
        <x:v>Ocre castanho 50%</x:v>
      </x:c>
      <x:c r="V57" t="str"/>
      <x:c r="W57" t="str">
        <x:v>PR101/PY42/PBk9</x:v>
      </x:c>
      <x:c r="X57" t="n">
        <x:f>IF(W57="",0,LEN(W57)-LEN(SUBSTITUTE(W57,"/",""))+1)</x:f>
        <x:v>3</x:v>
      </x:c>
      <x:c r="Y57" t="str">
        <x:v>II</x:v>
      </x:c>
      <x:c r="Z57" s="32" t="n">
        <x:v>3.33</x:v>
      </x:c>
      <x:c r="AA57" s="32" t="n">
        <x:v>3</x:v>
      </x:c>
      <x:c r="AB57" s="32" t="str">
        <x:v>ASTM D-6901</x:v>
      </x:c>
      <x:c r="AC57" t="str">
        <x:v>#D5A375</x:v>
      </x:c>
      <x:c r="AD57" s="34" t="n">
        <x:v>213</x:v>
      </x:c>
      <x:c r="AE57" s="34" t="n">
        <x:v>163</x:v>
      </x:c>
      <x:c r="AF57" s="34" t="n">
        <x:v>117</x:v>
      </x:c>
      <x:c r="AG57" s="32" t="n">
        <x:v>28.75</x:v>
      </x:c>
      <x:c r="AH57" s="32" t="n">
        <x:v>53.33</x:v>
      </x:c>
      <x:c r="AI57" s="32" t="n">
        <x:v>64.71</x:v>
      </x:c>
      <x:c r="AJ57" s="32" t="n">
        <x:v>70.61</x:v>
      </x:c>
      <x:c r="AK57" s="32" t="n">
        <x:v>12.72</x:v>
      </x:c>
      <x:c r="AL57" s="32" t="n">
        <x:v>30.99</x:v>
      </x:c>
      <x:c r="AM57" s="32" t="str">
        <x:v>#000000</x:v>
      </x:c>
      <x:c r="AN57" s="32" t="str">
        <x:v>Black</x:v>
      </x:c>
      <x:c r="AO57" s="32" t="n">
        <x:v>9.32</x:v>
      </x:c>
      <x:c r="AP57" s="32" t="n">
        <x:v>9.32</x:v>
      </x:c>
      <x:c r="AQ57" s="32" t="n">
        <x:v>2.25</x:v>
      </x:c>
      <x:c r="AR57" s="32" t="n">
        <x:v>0.416249</x:v>
      </x:c>
      <x:c r="AS57" t="str">
        <x:v>PASS</x:v>
      </x:c>
      <x:c r="AT57" t="str">
        <x:v>--cda-lum-836</x:v>
      </x:c>
      <x:c r="AU57" t="str">
        <x:v>var(--cda-lum-836)</x:v>
      </x:c>
      <x:c r="AV57" t="str">
        <x:v>Median RGB from official PDF swatch (screen reference only)</x:v>
      </x:c>
      <x:c r="AW57" t="str">
        <x:v>https://www.carandache.com/content_files/uploaded_doc/product/10580/nuancier_luminance_fr.pdf</x:v>
      </x:c>
      <x:c r="AX57" t="n">
        <x:v>1</x:v>
      </x:c>
      <x:c r="AY57" t="str">
        <x:v>Official</x:v>
      </x:c>
      <x:c r="AZ57" t="str">
        <x:v>Official where available; curated Traditional Chinese/Japanese otherwise</x:v>
      </x:c>
      <x:c r="BA57" t="str">
        <x:v>Verified from official chart; digital HEX is approximate</x:v>
      </x:c>
      <x:c r="BB57" t="str">
        <x:v>Physical media appearance varies by paper, pressure, layering, water and scan/display profile.</x:v>
      </x:c>
    </x:row>
    <x:row r="58">
      <x:c r="A58" t="str">
        <x:f>G58&amp;"|"&amp;L58</x:f>
        <x:v>LUM|741</x:v>
      </x:c>
      <x:c r="B58" t="str">
        <x:v>6884c855-a372-534a-a19c-573db02b99ce</x:v>
      </x:c>
      <x:c r="C58" t="str">
        <x:v>CDA-LUM-741</x:v>
      </x:c>
      <x:c r="D58" t="str">
        <x:v>8874dcef-a9da-5c2f-af73-bf0af94ebb38</x:v>
      </x:c>
      <x:c r="E58" t="str">
        <x:v>CDA-CODE-741</x:v>
      </x:c>
      <x:c r="F58" t="str">
        <x:v>Caran d’Ache</x:v>
      </x:c>
      <x:c r="G58" t="str">
        <x:v>LUM</x:v>
      </x:c>
      <x:c r="H58" t="str">
        <x:v>LUMINANCE 6901</x:v>
      </x:c>
      <x:c r="I58" t="str">
        <x:v>Oil-based permanent coloured pencil</x:v>
      </x:c>
      <x:c r="J58" t="str">
        <x:v>Professional</x:v>
      </x:c>
      <x:c r="K58" s="30" t="n">
        <x:v>57</x:v>
      </x:c>
      <x:c r="L58" s="30" t="str">
        <x:v>741</x:v>
      </x:c>
      <x:c r="M58" t="str">
        <x:v>Warm earth 5%</x:v>
      </x:c>
      <x:c r="N58" t="str">
        <x:v>暖土色 5%</x:v>
      </x:c>
      <x:c r="O58" t="str">
        <x:v>ウォームアース 5%</x:v>
      </x:c>
      <x:c r="P58" t="str"/>
      <x:c r="Q58" t="str">
        <x:v>Terre Chaude 5%</x:v>
      </x:c>
      <x:c r="R58" t="str">
        <x:v>Heiße Erde 5%</x:v>
      </x:c>
      <x:c r="S58" t="str">
        <x:v>Terra calda 5%</x:v>
      </x:c>
      <x:c r="T58" t="str">
        <x:v>Tierra cálida 5%</x:v>
      </x:c>
      <x:c r="U58" t="str">
        <x:v>Terra Quente 5%</x:v>
      </x:c>
      <x:c r="V58" t="str"/>
      <x:c r="W58" t="str">
        <x:v>PY42/PR101/PBk6</x:v>
      </x:c>
      <x:c r="X58" t="n">
        <x:f>IF(W58="",0,LEN(W58)-LEN(SUBSTITUTE(W58,"/",""))+1)</x:f>
        <x:v>3</x:v>
      </x:c>
      <x:c r="Y58" t="str">
        <x:v>I</x:v>
      </x:c>
      <x:c r="Z58" s="32" t="n">
        <x:v>1.67</x:v>
      </x:c>
      <x:c r="AA58" s="32" t="n">
        <x:v>3</x:v>
      </x:c>
      <x:c r="AB58" s="32" t="str">
        <x:v>ASTM D-6901</x:v>
      </x:c>
      <x:c r="AC58" t="str">
        <x:v>#CF9478</x:v>
      </x:c>
      <x:c r="AD58" s="34" t="n">
        <x:v>207</x:v>
      </x:c>
      <x:c r="AE58" s="34" t="n">
        <x:v>148</x:v>
      </x:c>
      <x:c r="AF58" s="34" t="n">
        <x:v>120</x:v>
      </x:c>
      <x:c r="AG58" s="32" t="n">
        <x:v>19.31</x:v>
      </x:c>
      <x:c r="AH58" s="32" t="n">
        <x:v>47.54</x:v>
      </x:c>
      <x:c r="AI58" s="32" t="n">
        <x:v>64.12</x:v>
      </x:c>
      <x:c r="AJ58" s="32" t="n">
        <x:v>66.37</x:v>
      </x:c>
      <x:c r="AK58" s="32" t="n">
        <x:v>18.76</x:v>
      </x:c>
      <x:c r="AL58" s="32" t="n">
        <x:v>23.63</x:v>
      </x:c>
      <x:c r="AM58" s="32" t="str">
        <x:v>#000000</x:v>
      </x:c>
      <x:c r="AN58" s="32" t="str">
        <x:v>Black</x:v>
      </x:c>
      <x:c r="AO58" s="32" t="n">
        <x:v>8.16</x:v>
      </x:c>
      <x:c r="AP58" s="32" t="n">
        <x:v>8.16</x:v>
      </x:c>
      <x:c r="AQ58" s="32" t="n">
        <x:v>2.57</x:v>
      </x:c>
      <x:c r="AR58" s="32" t="n">
        <x:v>0.358013</x:v>
      </x:c>
      <x:c r="AS58" t="str">
        <x:v>PASS</x:v>
      </x:c>
      <x:c r="AT58" t="str">
        <x:v>--cda-lum-741</x:v>
      </x:c>
      <x:c r="AU58" t="str">
        <x:v>var(--cda-lum-741)</x:v>
      </x:c>
      <x:c r="AV58" t="str">
        <x:v>Median RGB from official PDF swatch (screen reference only)</x:v>
      </x:c>
      <x:c r="AW58" t="str">
        <x:v>https://www.carandache.com/content_files/uploaded_doc/product/10580/nuancier_luminance_fr.pdf</x:v>
      </x:c>
      <x:c r="AX58" t="n">
        <x:v>1</x:v>
      </x:c>
      <x:c r="AY58" t="str">
        <x:v>Official</x:v>
      </x:c>
      <x:c r="AZ58" t="str">
        <x:v>Official where available; curated Traditional Chinese/Japanese otherwise</x:v>
      </x:c>
      <x:c r="BA58" t="str">
        <x:v>Verified from official chart; digital HEX is approximate</x:v>
      </x:c>
      <x:c r="BB58" t="str">
        <x:v>Physical media appearance varies by paper, pressure, layering, water and scan/display profile.</x:v>
      </x:c>
    </x:row>
    <x:row r="59">
      <x:c r="A59" t="str">
        <x:f>G59&amp;"|"&amp;L59</x:f>
        <x:v>LUM|876</x:v>
      </x:c>
      <x:c r="B59" t="str">
        <x:v>ea936323-c73d-54c1-ba9d-60b2d5f37e57</x:v>
      </x:c>
      <x:c r="C59" t="str">
        <x:v>CDA-LUM-876</x:v>
      </x:c>
      <x:c r="D59" t="str">
        <x:v>15d93ddf-9fe6-52d4-91c3-a5518421472d</x:v>
      </x:c>
      <x:c r="E59" t="str">
        <x:v>CDA-CODE-876</x:v>
      </x:c>
      <x:c r="F59" t="str">
        <x:v>Caran d’Ache</x:v>
      </x:c>
      <x:c r="G59" t="str">
        <x:v>LUM</x:v>
      </x:c>
      <x:c r="H59" t="str">
        <x:v>LUMINANCE 6901</x:v>
      </x:c>
      <x:c r="I59" t="str">
        <x:v>Oil-based permanent coloured pencil</x:v>
      </x:c>
      <x:c r="J59" t="str">
        <x:v>Professional</x:v>
      </x:c>
      <x:c r="K59" s="30" t="n">
        <x:v>58</x:v>
      </x:c>
      <x:c r="L59" s="30" t="str">
        <x:v>876</x:v>
      </x:c>
      <x:c r="M59" t="str">
        <x:v>Burnt ochre 50%</x:v>
      </x:c>
      <x:c r="N59" t="str">
        <x:v>熟赭色 50%</x:v>
      </x:c>
      <x:c r="O59" t="str">
        <x:v>バーントオーカー 50%</x:v>
      </x:c>
      <x:c r="P59" t="str"/>
      <x:c r="Q59" t="str">
        <x:v>Ocre brûlée 50%</x:v>
      </x:c>
      <x:c r="R59" t="str">
        <x:v>Ocker gebrannt 50%</x:v>
      </x:c>
      <x:c r="S59" t="str">
        <x:v>Ocra bruciata 50%</x:v>
      </x:c>
      <x:c r="T59" t="str">
        <x:v>Ocre quemado 50%</x:v>
      </x:c>
      <x:c r="U59" t="str">
        <x:v>Ocre queimado 50%</x:v>
      </x:c>
      <x:c r="V59" t="str"/>
      <x:c r="W59" t="str">
        <x:v>PR101/PY42</x:v>
      </x:c>
      <x:c r="X59" t="n">
        <x:f>IF(W59="",0,LEN(W59)-LEN(SUBSTITUTE(W59,"/",""))+1)</x:f>
        <x:v>2</x:v>
      </x:c>
      <x:c r="Y59" t="str">
        <x:v>I</x:v>
      </x:c>
      <x:c r="Z59" s="32" t="n">
        <x:v>1.67</x:v>
      </x:c>
      <x:c r="AA59" s="32" t="n">
        <x:v>3</x:v>
      </x:c>
      <x:c r="AB59" s="32" t="str">
        <x:v>ASTM D-6901</x:v>
      </x:c>
      <x:c r="AC59" t="str">
        <x:v>#D19777</x:v>
      </x:c>
      <x:c r="AD59" s="34" t="n">
        <x:v>209</x:v>
      </x:c>
      <x:c r="AE59" s="34" t="n">
        <x:v>151</x:v>
      </x:c>
      <x:c r="AF59" s="34" t="n">
        <x:v>119</x:v>
      </x:c>
      <x:c r="AG59" s="32" t="n">
        <x:v>21.33</x:v>
      </x:c>
      <x:c r="AH59" s="32" t="n">
        <x:v>49.45</x:v>
      </x:c>
      <x:c r="AI59" s="32" t="n">
        <x:v>64.31</x:v>
      </x:c>
      <x:c r="AJ59" s="32" t="n">
        <x:v>67.29</x:v>
      </x:c>
      <x:c r="AK59" s="32" t="n">
        <x:v>17.82</x:v>
      </x:c>
      <x:c r="AL59" s="32" t="n">
        <x:v>25.45</x:v>
      </x:c>
      <x:c r="AM59" s="32" t="str">
        <x:v>#000000</x:v>
      </x:c>
      <x:c r="AN59" s="32" t="str">
        <x:v>Black</x:v>
      </x:c>
      <x:c r="AO59" s="32" t="n">
        <x:v>8.4</x:v>
      </x:c>
      <x:c r="AP59" s="32" t="n">
        <x:v>8.4</x:v>
      </x:c>
      <x:c r="AQ59" s="32" t="n">
        <x:v>2.5</x:v>
      </x:c>
      <x:c r="AR59" s="32" t="n">
        <x:v>0.370204</x:v>
      </x:c>
      <x:c r="AS59" t="str">
        <x:v>PASS</x:v>
      </x:c>
      <x:c r="AT59" t="str">
        <x:v>--cda-lum-876</x:v>
      </x:c>
      <x:c r="AU59" t="str">
        <x:v>var(--cda-lum-876)</x:v>
      </x:c>
      <x:c r="AV59" t="str">
        <x:v>Median RGB from official PDF swatch (screen reference only)</x:v>
      </x:c>
      <x:c r="AW59" t="str">
        <x:v>https://www.carandache.com/content_files/uploaded_doc/product/10580/nuancier_luminance_fr.pdf</x:v>
      </x:c>
      <x:c r="AX59" t="n">
        <x:v>1</x:v>
      </x:c>
      <x:c r="AY59" t="str">
        <x:v>Official</x:v>
      </x:c>
      <x:c r="AZ59" t="str">
        <x:v>Official where available; curated Traditional Chinese/Japanese otherwise</x:v>
      </x:c>
      <x:c r="BA59" t="str">
        <x:v>Verified from official chart; digital HEX is approximate</x:v>
      </x:c>
      <x:c r="BB59" t="str">
        <x:v>Physical media appearance varies by paper, pressure, layering, water and scan/display profile.</x:v>
      </x:c>
    </x:row>
    <x:row r="60">
      <x:c r="A60" t="str">
        <x:f>G60&amp;"|"&amp;L60</x:f>
        <x:v>LUM|077</x:v>
      </x:c>
      <x:c r="B60" t="str">
        <x:v>ac491a7e-492e-55c6-9fd5-e801e1ffe233</x:v>
      </x:c>
      <x:c r="C60" t="str">
        <x:v>CDA-LUM-077</x:v>
      </x:c>
      <x:c r="D60" t="str">
        <x:v>e3494ca6-14f6-5a22-a9b3-6f44868b6493</x:v>
      </x:c>
      <x:c r="E60" t="str">
        <x:v>CDA-CODE-077</x:v>
      </x:c>
      <x:c r="F60" t="str">
        <x:v>Caran d’Ache</x:v>
      </x:c>
      <x:c r="G60" t="str">
        <x:v>LUM</x:v>
      </x:c>
      <x:c r="H60" t="str">
        <x:v>LUMINANCE 6901</x:v>
      </x:c>
      <x:c r="I60" t="str">
        <x:v>Oil-based permanent coloured pencil</x:v>
      </x:c>
      <x:c r="J60" t="str">
        <x:v>Professional</x:v>
      </x:c>
      <x:c r="K60" s="30" t="n">
        <x:v>59</x:v>
      </x:c>
      <x:c r="L60" s="30" t="str">
        <x:v>077</x:v>
      </x:c>
      <x:c r="M60" t="str">
        <x:v>Burnt ochre</x:v>
      </x:c>
      <x:c r="N60" t="str">
        <x:v>熟赭色</x:v>
      </x:c>
      <x:c r="O60" t="str">
        <x:v>バーントオーカー</x:v>
      </x:c>
      <x:c r="P60" t="str"/>
      <x:c r="Q60" t="str">
        <x:v>Ocre brûlée</x:v>
      </x:c>
      <x:c r="R60" t="str">
        <x:v>Ocker gebrannt</x:v>
      </x:c>
      <x:c r="S60" t="str">
        <x:v>Ocra bruciata</x:v>
      </x:c>
      <x:c r="T60" t="str">
        <x:v>Ocre quemado</x:v>
      </x:c>
      <x:c r="U60" t="str">
        <x:v>Ocre queimado</x:v>
      </x:c>
      <x:c r="V60" t="str"/>
      <x:c r="W60" t="str">
        <x:v>PY42/PR101</x:v>
      </x:c>
      <x:c r="X60" t="n">
        <x:f>IF(W60="",0,LEN(W60)-LEN(SUBSTITUTE(W60,"/",""))+1)</x:f>
        <x:v>2</x:v>
      </x:c>
      <x:c r="Y60" t="str">
        <x:v>I</x:v>
      </x:c>
      <x:c r="Z60" s="32" t="n">
        <x:v>1.67</x:v>
      </x:c>
      <x:c r="AA60" s="32" t="n">
        <x:v>3</x:v>
      </x:c>
      <x:c r="AB60" s="32" t="str">
        <x:v>ASTM D-6901</x:v>
      </x:c>
      <x:c r="AC60" t="str">
        <x:v>#BF7A56</x:v>
      </x:c>
      <x:c r="AD60" s="34" t="n">
        <x:v>191</x:v>
      </x:c>
      <x:c r="AE60" s="34" t="n">
        <x:v>122</x:v>
      </x:c>
      <x:c r="AF60" s="34" t="n">
        <x:v>86</x:v>
      </x:c>
      <x:c r="AG60" s="32" t="n">
        <x:v>20.57</x:v>
      </x:c>
      <x:c r="AH60" s="32" t="n">
        <x:v>45.06</x:v>
      </x:c>
      <x:c r="AI60" s="32" t="n">
        <x:v>54.31</x:v>
      </x:c>
      <x:c r="AJ60" s="32" t="n">
        <x:v>57.72</x:v>
      </x:c>
      <x:c r="AK60" s="32" t="n">
        <x:v>23.14</x:v>
      </x:c>
      <x:c r="AL60" s="32" t="n">
        <x:v>30.77</x:v>
      </x:c>
      <x:c r="AM60" s="32" t="str">
        <x:v>#000000</x:v>
      </x:c>
      <x:c r="AN60" s="32" t="str">
        <x:v>Black</x:v>
      </x:c>
      <x:c r="AO60" s="32" t="n">
        <x:v>6.13</x:v>
      </x:c>
      <x:c r="AP60" s="32" t="n">
        <x:v>6.13</x:v>
      </x:c>
      <x:c r="AQ60" s="32" t="n">
        <x:v>3.42</x:v>
      </x:c>
      <x:c r="AR60" s="32" t="n">
        <x:v>0.256673</x:v>
      </x:c>
      <x:c r="AS60" t="str">
        <x:v>PASS</x:v>
      </x:c>
      <x:c r="AT60" t="str">
        <x:v>--cda-lum-077</x:v>
      </x:c>
      <x:c r="AU60" t="str">
        <x:v>var(--cda-lum-077)</x:v>
      </x:c>
      <x:c r="AV60" t="str">
        <x:v>Median RGB from official PDF swatch (screen reference only)</x:v>
      </x:c>
      <x:c r="AW60" t="str">
        <x:v>https://www.carandache.com/content_files/uploaded_doc/product/10580/nuancier_luminance_fr.pdf</x:v>
      </x:c>
      <x:c r="AX60" t="n">
        <x:v>1</x:v>
      </x:c>
      <x:c r="AY60" t="str">
        <x:v>Official</x:v>
      </x:c>
      <x:c r="AZ60" t="str">
        <x:v>Official where available; curated Traditional Chinese/Japanese otherwise</x:v>
      </x:c>
      <x:c r="BA60" t="str">
        <x:v>Verified from official chart; digital HEX is approximate</x:v>
      </x:c>
      <x:c r="BB60" t="str">
        <x:v>Physical media appearance varies by paper, pressure, layering, water and scan/display profile.</x:v>
      </x:c>
    </x:row>
    <x:row r="61">
      <x:c r="A61" t="str">
        <x:f>G61&amp;"|"&amp;L61</x:f>
        <x:v>LUM|745</x:v>
      </x:c>
      <x:c r="B61" t="str">
        <x:v>467a5387-c96f-53d4-ae42-84a001ccf140</x:v>
      </x:c>
      <x:c r="C61" t="str">
        <x:v>CDA-LUM-745</x:v>
      </x:c>
      <x:c r="D61" t="str">
        <x:v>e36ade24-7ba9-537a-8819-c1869a018fcd</x:v>
      </x:c>
      <x:c r="E61" t="str">
        <x:v>CDA-CODE-745</x:v>
      </x:c>
      <x:c r="F61" t="str">
        <x:v>Caran d’Ache</x:v>
      </x:c>
      <x:c r="G61" t="str">
        <x:v>LUM</x:v>
      </x:c>
      <x:c r="H61" t="str">
        <x:v>LUMINANCE 6901</x:v>
      </x:c>
      <x:c r="I61" t="str">
        <x:v>Oil-based permanent coloured pencil</x:v>
      </x:c>
      <x:c r="J61" t="str">
        <x:v>Professional</x:v>
      </x:c>
      <x:c r="K61" s="30" t="n">
        <x:v>60</x:v>
      </x:c>
      <x:c r="L61" s="30" t="str">
        <x:v>745</x:v>
      </x:c>
      <x:c r="M61" t="str">
        <x:v>Warm earth 40%</x:v>
      </x:c>
      <x:c r="N61" t="str">
        <x:v>暖土色 40%</x:v>
      </x:c>
      <x:c r="O61" t="str">
        <x:v>ウォームアース 40%</x:v>
      </x:c>
      <x:c r="P61" t="str"/>
      <x:c r="Q61" t="str">
        <x:v>Terre Chaude 40%</x:v>
      </x:c>
      <x:c r="R61" t="str">
        <x:v>Heiße Erde 40%</x:v>
      </x:c>
      <x:c r="S61" t="str">
        <x:v>Terra calda 40%</x:v>
      </x:c>
      <x:c r="T61" t="str">
        <x:v>Tierra cálida 40%</x:v>
      </x:c>
      <x:c r="U61" t="str">
        <x:v>Terra Quente 40%</x:v>
      </x:c>
      <x:c r="V61" t="str"/>
      <x:c r="W61" t="str">
        <x:v>PR101/PO82/PY42/PBk7/PBr7/PBk11</x:v>
      </x:c>
      <x:c r="X61" t="n">
        <x:f>IF(W61="",0,LEN(W61)-LEN(SUBSTITUTE(W61,"/",""))+1)</x:f>
        <x:v>6</x:v>
      </x:c>
      <x:c r="Y61" t="str">
        <x:v>I</x:v>
      </x:c>
      <x:c r="Z61" s="32" t="n">
        <x:v>1.67</x:v>
      </x:c>
      <x:c r="AA61" s="32" t="n">
        <x:v>3</x:v>
      </x:c>
      <x:c r="AB61" s="32" t="str">
        <x:v>ASTM D-6901</x:v>
      </x:c>
      <x:c r="AC61" t="str">
        <x:v>#9A6D5C</x:v>
      </x:c>
      <x:c r="AD61" s="34" t="n">
        <x:v>154</x:v>
      </x:c>
      <x:c r="AE61" s="34" t="n">
        <x:v>109</x:v>
      </x:c>
      <x:c r="AF61" s="34" t="n">
        <x:v>92</x:v>
      </x:c>
      <x:c r="AG61" s="32" t="n">
        <x:v>16.45</x:v>
      </x:c>
      <x:c r="AH61" s="32" t="n">
        <x:v>25.2</x:v>
      </x:c>
      <x:c r="AI61" s="32" t="n">
        <x:v>48.24</x:v>
      </x:c>
      <x:c r="AJ61" s="32" t="n">
        <x:v>50.19</x:v>
      </x:c>
      <x:c r="AK61" s="32" t="n">
        <x:v>15.64</x:v>
      </x:c>
      <x:c r="AL61" s="32" t="n">
        <x:v>16.62</x:v>
      </x:c>
      <x:c r="AM61" s="32" t="str">
        <x:v>#000000</x:v>
      </x:c>
      <x:c r="AN61" s="32" t="str">
        <x:v>Black</x:v>
      </x:c>
      <x:c r="AO61" s="32" t="n">
        <x:v>4.72</x:v>
      </x:c>
      <x:c r="AP61" s="32" t="n">
        <x:v>4.72</x:v>
      </x:c>
      <x:c r="AQ61" s="32" t="n">
        <x:v>4.45</x:v>
      </x:c>
      <x:c r="AR61" s="32" t="n">
        <x:v>0.1858</x:v>
      </x:c>
      <x:c r="AS61" t="str">
        <x:v>PASS</x:v>
      </x:c>
      <x:c r="AT61" t="str">
        <x:v>--cda-lum-745</x:v>
      </x:c>
      <x:c r="AU61" t="str">
        <x:v>var(--cda-lum-745)</x:v>
      </x:c>
      <x:c r="AV61" t="str">
        <x:v>Median RGB from official PDF swatch (screen reference only)</x:v>
      </x:c>
      <x:c r="AW61" t="str">
        <x:v>https://www.carandache.com/content_files/uploaded_doc/product/10580/nuancier_luminance_fr.pdf</x:v>
      </x:c>
      <x:c r="AX61" t="n">
        <x:v>1</x:v>
      </x:c>
      <x:c r="AY61" t="str">
        <x:v>Official</x:v>
      </x:c>
      <x:c r="AZ61" t="str">
        <x:v>Official where available; curated Traditional Chinese/Japanese otherwise</x:v>
      </x:c>
      <x:c r="BA61" t="str">
        <x:v>Verified from official chart; digital HEX is approximate</x:v>
      </x:c>
      <x:c r="BB61" t="str">
        <x:v>Physical media appearance varies by paper, pressure, layering, water and scan/display profile.</x:v>
      </x:c>
    </x:row>
    <x:row r="62">
      <x:c r="A62" t="str">
        <x:f>G62&amp;"|"&amp;L62</x:f>
        <x:v>LUM|044</x:v>
      </x:c>
      <x:c r="B62" t="str">
        <x:v>33d6a74f-2171-5c05-98ac-3db6bb037726</x:v>
      </x:c>
      <x:c r="C62" t="str">
        <x:v>CDA-LUM-044</x:v>
      </x:c>
      <x:c r="D62" t="str">
        <x:v>a055982d-ba3a-5326-a9f9-53708f4fbbec</x:v>
      </x:c>
      <x:c r="E62" t="str">
        <x:v>CDA-CODE-044</x:v>
      </x:c>
      <x:c r="F62" t="str">
        <x:v>Caran d’Ache</x:v>
      </x:c>
      <x:c r="G62" t="str">
        <x:v>LUM</x:v>
      </x:c>
      <x:c r="H62" t="str">
        <x:v>LUMINANCE 6901</x:v>
      </x:c>
      <x:c r="I62" t="str">
        <x:v>Oil-based permanent coloured pencil</x:v>
      </x:c>
      <x:c r="J62" t="str">
        <x:v>Professional</x:v>
      </x:c>
      <x:c r="K62" s="30" t="n">
        <x:v>61</x:v>
      </x:c>
      <x:c r="L62" s="30" t="str">
        <x:v>044</x:v>
      </x:c>
      <x:c r="M62" t="str">
        <x:v>Terracotta</x:v>
      </x:c>
      <x:c r="N62" t="str">
        <x:v>赤陶色</x:v>
      </x:c>
      <x:c r="O62" t="str">
        <x:v>テラコッタ</x:v>
      </x:c>
      <x:c r="P62" t="str"/>
      <x:c r="Q62" t="str">
        <x:v>Terracotta</x:v>
      </x:c>
      <x:c r="R62" t="str">
        <x:v>Terracotta</x:v>
      </x:c>
      <x:c r="S62" t="str">
        <x:v>Terracotta</x:v>
      </x:c>
      <x:c r="T62" t="str">
        <x:v>Terracota</x:v>
      </x:c>
      <x:c r="U62" t="str">
        <x:v>Terracotta</x:v>
      </x:c>
      <x:c r="V62" t="str"/>
      <x:c r="W62" t="str">
        <x:v>PR101/PO82</x:v>
      </x:c>
      <x:c r="X62" t="n">
        <x:f>IF(W62="",0,LEN(W62)-LEN(SUBSTITUTE(W62,"/",""))+1)</x:f>
        <x:v>2</x:v>
      </x:c>
      <x:c r="Y62" t="str">
        <x:v>I</x:v>
      </x:c>
      <x:c r="Z62" s="32" t="n">
        <x:v>1.67</x:v>
      </x:c>
      <x:c r="AA62" s="32" t="n">
        <x:v>3</x:v>
      </x:c>
      <x:c r="AB62" s="32" t="str">
        <x:v>ASTM D-6901</x:v>
      </x:c>
      <x:c r="AC62" t="str">
        <x:v>#BA5C3F</x:v>
      </x:c>
      <x:c r="AD62" s="34" t="n">
        <x:v>186</x:v>
      </x:c>
      <x:c r="AE62" s="34" t="n">
        <x:v>92</x:v>
      </x:c>
      <x:c r="AF62" s="34" t="n">
        <x:v>63</x:v>
      </x:c>
      <x:c r="AG62" s="32" t="n">
        <x:v>14.15</x:v>
      </x:c>
      <x:c r="AH62" s="32" t="n">
        <x:v>49.4</x:v>
      </x:c>
      <x:c r="AI62" s="32" t="n">
        <x:v>48.82</x:v>
      </x:c>
      <x:c r="AJ62" s="32" t="n">
        <x:v>50.04</x:v>
      </x:c>
      <x:c r="AK62" s="32" t="n">
        <x:v>35.59</x:v>
      </x:c>
      <x:c r="AL62" s="32" t="n">
        <x:v>33.94</x:v>
      </x:c>
      <x:c r="AM62" s="32" t="str">
        <x:v>#000000</x:v>
      </x:c>
      <x:c r="AN62" s="32" t="str">
        <x:v>Black</x:v>
      </x:c>
      <x:c r="AO62" s="32" t="n">
        <x:v>4.69</x:v>
      </x:c>
      <x:c r="AP62" s="32" t="n">
        <x:v>4.69</x:v>
      </x:c>
      <x:c r="AQ62" s="32" t="n">
        <x:v>4.48</x:v>
      </x:c>
      <x:c r="AR62" s="32" t="n">
        <x:v>0.184523</x:v>
      </x:c>
      <x:c r="AS62" t="str">
        <x:v>PASS</x:v>
      </x:c>
      <x:c r="AT62" t="str">
        <x:v>--cda-lum-044</x:v>
      </x:c>
      <x:c r="AU62" t="str">
        <x:v>var(--cda-lum-044)</x:v>
      </x:c>
      <x:c r="AV62" t="str">
        <x:v>Median RGB from official PDF swatch (screen reference only)</x:v>
      </x:c>
      <x:c r="AW62" t="str">
        <x:v>https://www.carandache.com/content_files/uploaded_doc/product/10580/nuancier_luminance_fr.pdf</x:v>
      </x:c>
      <x:c r="AX62" t="n">
        <x:v>1</x:v>
      </x:c>
      <x:c r="AY62" t="str">
        <x:v>Official</x:v>
      </x:c>
      <x:c r="AZ62" t="str">
        <x:v>Official where available; curated Traditional Chinese/Japanese otherwise</x:v>
      </x:c>
      <x:c r="BA62" t="str">
        <x:v>Verified from official chart; digital HEX is approximate</x:v>
      </x:c>
      <x:c r="BB62" t="str">
        <x:v>Physical media appearance varies by paper, pressure, layering, water and scan/display profile.</x:v>
      </x:c>
    </x:row>
    <x:row r="63">
      <x:c r="A63" t="str">
        <x:f>G63&amp;"|"&amp;L63</x:f>
        <x:v>LUM|065</x:v>
      </x:c>
      <x:c r="B63" t="str">
        <x:v>e09b44f2-188d-5729-ab60-d1ff8b998cb1</x:v>
      </x:c>
      <x:c r="C63" t="str">
        <x:v>CDA-LUM-065</x:v>
      </x:c>
      <x:c r="D63" t="str">
        <x:v>91a3d2cf-6d79-536f-9dd3-6acea80af176</x:v>
      </x:c>
      <x:c r="E63" t="str">
        <x:v>CDA-CODE-065</x:v>
      </x:c>
      <x:c r="F63" t="str">
        <x:v>Caran d’Ache</x:v>
      </x:c>
      <x:c r="G63" t="str">
        <x:v>LUM</x:v>
      </x:c>
      <x:c r="H63" t="str">
        <x:v>LUMINANCE 6901</x:v>
      </x:c>
      <x:c r="I63" t="str">
        <x:v>Oil-based permanent coloured pencil</x:v>
      </x:c>
      <x:c r="J63" t="str">
        <x:v>Professional</x:v>
      </x:c>
      <x:c r="K63" s="30" t="n">
        <x:v>62</x:v>
      </x:c>
      <x:c r="L63" s="30" t="str">
        <x:v>065</x:v>
      </x:c>
      <x:c r="M63" t="str">
        <x:v>Russet</x:v>
      </x:c>
      <x:c r="N63" t="str">
        <x:v>赤褐色</x:v>
      </x:c>
      <x:c r="O63" t="str">
        <x:v>ラセット</x:v>
      </x:c>
      <x:c r="P63" t="str"/>
      <x:c r="Q63" t="str">
        <x:v>Sanguine</x:v>
      </x:c>
      <x:c r="R63" t="str">
        <x:v>Rotbraun</x:v>
      </x:c>
      <x:c r="S63" t="str">
        <x:v>Sanguigna</x:v>
      </x:c>
      <x:c r="T63" t="str">
        <x:v>Sanguina</x:v>
      </x:c>
      <x:c r="U63" t="str">
        <x:v>Sanguínea</x:v>
      </x:c>
      <x:c r="V63" t="str"/>
      <x:c r="W63" t="str">
        <x:v>PR101/PR188/PY42</x:v>
      </x:c>
      <x:c r="X63" t="n">
        <x:f>IF(W63="",0,LEN(W63)-LEN(SUBSTITUTE(W63,"/",""))+1)</x:f>
        <x:v>3</x:v>
      </x:c>
      <x:c r="Y63" t="str">
        <x:v>I</x:v>
      </x:c>
      <x:c r="Z63" s="32" t="n">
        <x:v>1.67</x:v>
      </x:c>
      <x:c r="AA63" s="32" t="n">
        <x:v>3</x:v>
      </x:c>
      <x:c r="AB63" s="32" t="str">
        <x:v>ASTM D-6901</x:v>
      </x:c>
      <x:c r="AC63" t="str">
        <x:v>#BF4E45</x:v>
      </x:c>
      <x:c r="AD63" s="34" t="n">
        <x:v>191</x:v>
      </x:c>
      <x:c r="AE63" s="34" t="n">
        <x:v>78</x:v>
      </x:c>
      <x:c r="AF63" s="34" t="n">
        <x:v>69</x:v>
      </x:c>
      <x:c r="AG63" s="32" t="n">
        <x:v>4.43</x:v>
      </x:c>
      <x:c r="AH63" s="32" t="n">
        <x:v>48.8</x:v>
      </x:c>
      <x:c r="AI63" s="32" t="n">
        <x:v>50.98</x:v>
      </x:c>
      <x:c r="AJ63" s="32" t="n">
        <x:v>48.21</x:v>
      </x:c>
      <x:c r="AK63" s="32" t="n">
        <x:v>44.82</x:v>
      </x:c>
      <x:c r="AL63" s="32" t="n">
        <x:v>28.46</x:v>
      </x:c>
      <x:c r="AM63" s="32" t="str">
        <x:v>#FFFFFF</x:v>
      </x:c>
      <x:c r="AN63" s="32" t="str">
        <x:v>White</x:v>
      </x:c>
      <x:c r="AO63" s="32" t="n">
        <x:v>4.78</x:v>
      </x:c>
      <x:c r="AP63" s="32" t="n">
        <x:v>4.39</x:v>
      </x:c>
      <x:c r="AQ63" s="32" t="n">
        <x:v>4.78</x:v>
      </x:c>
      <x:c r="AR63" s="32" t="n">
        <x:v>0.169548</x:v>
      </x:c>
      <x:c r="AS63" t="str">
        <x:v>PASS</x:v>
      </x:c>
      <x:c r="AT63" t="str">
        <x:v>--cda-lum-065</x:v>
      </x:c>
      <x:c r="AU63" t="str">
        <x:v>var(--cda-lum-065)</x:v>
      </x:c>
      <x:c r="AV63" t="str">
        <x:v>Median RGB from official PDF swatch (screen reference only)</x:v>
      </x:c>
      <x:c r="AW63" t="str">
        <x:v>https://www.carandache.com/content_files/uploaded_doc/product/10580/nuancier_luminance_fr.pdf</x:v>
      </x:c>
      <x:c r="AX63" t="n">
        <x:v>1</x:v>
      </x:c>
      <x:c r="AY63" t="str">
        <x:v>Official</x:v>
      </x:c>
      <x:c r="AZ63" t="str">
        <x:v>Official where available; curated Traditional Chinese/Japanese otherwise</x:v>
      </x:c>
      <x:c r="BA63" t="str">
        <x:v>Verified from official chart; digital HEX is approximate</x:v>
      </x:c>
      <x:c r="BB63" t="str">
        <x:v>Physical media appearance varies by paper, pressure, layering, water and scan/display profile.</x:v>
      </x:c>
    </x:row>
    <x:row r="64">
      <x:c r="A64" t="str">
        <x:f>G64&amp;"|"&amp;L64</x:f>
        <x:v>LUM|066</x:v>
      </x:c>
      <x:c r="B64" t="str">
        <x:v>ea143c15-02e9-5b7a-a930-bfc94028ddd7</x:v>
      </x:c>
      <x:c r="C64" t="str">
        <x:v>CDA-LUM-066</x:v>
      </x:c>
      <x:c r="D64" t="str">
        <x:v>cfebfd0a-f69b-5df4-993d-c0405164ccbf</x:v>
      </x:c>
      <x:c r="E64" t="str">
        <x:v>CDA-CODE-066</x:v>
      </x:c>
      <x:c r="F64" t="str">
        <x:v>Caran d’Ache</x:v>
      </x:c>
      <x:c r="G64" t="str">
        <x:v>LUM</x:v>
      </x:c>
      <x:c r="H64" t="str">
        <x:v>LUMINANCE 6901</x:v>
      </x:c>
      <x:c r="I64" t="str">
        <x:v>Oil-based permanent coloured pencil</x:v>
      </x:c>
      <x:c r="J64" t="str">
        <x:v>Professional</x:v>
      </x:c>
      <x:c r="K64" s="30" t="n">
        <x:v>63</x:v>
      </x:c>
      <x:c r="L64" s="30" t="str">
        <x:v>066</x:v>
      </x:c>
      <x:c r="M64" t="str">
        <x:v>Natural russet</x:v>
      </x:c>
      <x:c r="N64" t="str">
        <x:v>天然赤褐</x:v>
      </x:c>
      <x:c r="O64" t="str">
        <x:v>ナチュラルラセット</x:v>
      </x:c>
      <x:c r="P64" t="str"/>
      <x:c r="Q64" t="str">
        <x:v>Sanguine naturelle</x:v>
      </x:c>
      <x:c r="R64" t="str">
        <x:v>Rötel Natur</x:v>
      </x:c>
      <x:c r="S64" t="str">
        <x:v>Sanguigno naturale</x:v>
      </x:c>
      <x:c r="T64" t="str">
        <x:v>Sanguina natural</x:v>
      </x:c>
      <x:c r="U64" t="str">
        <x:v>Sanguínea natural</x:v>
      </x:c>
      <x:c r="V64" t="str"/>
      <x:c r="W64" t="str">
        <x:v>PR101</x:v>
      </x:c>
      <x:c r="X64" t="n">
        <x:f>IF(W64="",0,LEN(W64)-LEN(SUBSTITUTE(W64,"/",""))+1)</x:f>
        <x:v>1</x:v>
      </x:c>
      <x:c r="Y64" t="str">
        <x:v>II</x:v>
      </x:c>
      <x:c r="Z64" s="32" t="n">
        <x:v>3.33</x:v>
      </x:c>
      <x:c r="AA64" s="32" t="n">
        <x:v>3</x:v>
      </x:c>
      <x:c r="AB64" s="32" t="str">
        <x:v>ASTM D-6901</x:v>
      </x:c>
      <x:c r="AC64" t="str">
        <x:v>#A85845</x:v>
      </x:c>
      <x:c r="AD64" s="34" t="n">
        <x:v>168</x:v>
      </x:c>
      <x:c r="AE64" s="34" t="n">
        <x:v>88</x:v>
      </x:c>
      <x:c r="AF64" s="34" t="n">
        <x:v>69</x:v>
      </x:c>
      <x:c r="AG64" s="32" t="n">
        <x:v>11.52</x:v>
      </x:c>
      <x:c r="AH64" s="32" t="n">
        <x:v>41.77</x:v>
      </x:c>
      <x:c r="AI64" s="32" t="n">
        <x:v>46.47</x:v>
      </x:c>
      <x:c r="AJ64" s="32" t="n">
        <x:v>46.63</x:v>
      </x:c>
      <x:c r="AK64" s="32" t="n">
        <x:v>30.95</x:v>
      </x:c>
      <x:c r="AL64" s="32" t="n">
        <x:v>25.72</x:v>
      </x:c>
      <x:c r="AM64" s="32" t="str">
        <x:v>#FFFFFF</x:v>
      </x:c>
      <x:c r="AN64" s="32" t="str">
        <x:v>White</x:v>
      </x:c>
      <x:c r="AO64" s="32" t="n">
        <x:v>5.06</x:v>
      </x:c>
      <x:c r="AP64" s="32" t="n">
        <x:v>4.15</x:v>
      </x:c>
      <x:c r="AQ64" s="32" t="n">
        <x:v>5.06</x:v>
      </x:c>
      <x:c r="AR64" s="32" t="n">
        <x:v>0.157339</x:v>
      </x:c>
      <x:c r="AS64" t="str">
        <x:v>PASS</x:v>
      </x:c>
      <x:c r="AT64" t="str">
        <x:v>--cda-lum-066</x:v>
      </x:c>
      <x:c r="AU64" t="str">
        <x:v>var(--cda-lum-066)</x:v>
      </x:c>
      <x:c r="AV64" t="str">
        <x:v>Median RGB from official PDF swatch (screen reference only)</x:v>
      </x:c>
      <x:c r="AW64" t="str">
        <x:v>https://www.carandache.com/content_files/uploaded_doc/product/10580/nuancier_luminance_fr.pdf</x:v>
      </x:c>
      <x:c r="AX64" t="n">
        <x:v>1</x:v>
      </x:c>
      <x:c r="AY64" t="str">
        <x:v>Official</x:v>
      </x:c>
      <x:c r="AZ64" t="str">
        <x:v>Official where available; curated Traditional Chinese/Japanese otherwise</x:v>
      </x:c>
      <x:c r="BA64" t="str">
        <x:v>Verified from official chart; digital HEX is approximate</x:v>
      </x:c>
      <x:c r="BB64" t="str">
        <x:v>Physical media appearance varies by paper, pressure, layering, water and scan/display profile.</x:v>
      </x:c>
    </x:row>
    <x:row r="65">
      <x:c r="A65" t="str">
        <x:f>G65&amp;"|"&amp;L65</x:f>
        <x:v>LUM|069</x:v>
      </x:c>
      <x:c r="B65" t="str">
        <x:v>1e1ea570-8fde-5c3e-9ee5-f362701437fd</x:v>
      </x:c>
      <x:c r="C65" t="str">
        <x:v>CDA-LUM-069</x:v>
      </x:c>
      <x:c r="D65" t="str">
        <x:v>cc93e1eb-34d0-5610-9562-5e234935f63d</x:v>
      </x:c>
      <x:c r="E65" t="str">
        <x:v>CDA-CODE-069</x:v>
      </x:c>
      <x:c r="F65" t="str">
        <x:v>Caran d’Ache</x:v>
      </x:c>
      <x:c r="G65" t="str">
        <x:v>LUM</x:v>
      </x:c>
      <x:c r="H65" t="str">
        <x:v>LUMINANCE 6901</x:v>
      </x:c>
      <x:c r="I65" t="str">
        <x:v>Oil-based permanent coloured pencil</x:v>
      </x:c>
      <x:c r="J65" t="str">
        <x:v>Professional</x:v>
      </x:c>
      <x:c r="K65" s="30" t="n">
        <x:v>64</x:v>
      </x:c>
      <x:c r="L65" s="30" t="str">
        <x:v>069</x:v>
      </x:c>
      <x:c r="M65" t="str">
        <x:v>Burnt sienna</x:v>
      </x:c>
      <x:c r="N65" t="str">
        <x:v>熟赭紅</x:v>
      </x:c>
      <x:c r="O65" t="str">
        <x:v>バーントシェンナ</x:v>
      </x:c>
      <x:c r="P65" t="str"/>
      <x:c r="Q65" t="str">
        <x:v>Sienne brûlée</x:v>
      </x:c>
      <x:c r="R65" t="str">
        <x:v>Siena gebrannt</x:v>
      </x:c>
      <x:c r="S65" t="str">
        <x:v>Siena bruciata</x:v>
      </x:c>
      <x:c r="T65" t="str">
        <x:v>Siena quemada</x:v>
      </x:c>
      <x:c r="U65" t="str">
        <x:v>Siena queimado</x:v>
      </x:c>
      <x:c r="V65" t="str"/>
      <x:c r="W65" t="str">
        <x:v>PR101/PBk6</x:v>
      </x:c>
      <x:c r="X65" t="n">
        <x:f>IF(W65="",0,LEN(W65)-LEN(SUBSTITUTE(W65,"/",""))+1)</x:f>
        <x:v>2</x:v>
      </x:c>
      <x:c r="Y65" t="str">
        <x:v>I</x:v>
      </x:c>
      <x:c r="Z65" s="32" t="n">
        <x:v>1.67</x:v>
      </x:c>
      <x:c r="AA65" s="32" t="n">
        <x:v>3</x:v>
      </x:c>
      <x:c r="AB65" s="32" t="str">
        <x:v>ASTM D-6901</x:v>
      </x:c>
      <x:c r="AC65" t="str">
        <x:v>#8A625F</x:v>
      </x:c>
      <x:c r="AD65" s="34" t="n">
        <x:v>138</x:v>
      </x:c>
      <x:c r="AE65" s="34" t="n">
        <x:v>98</x:v>
      </x:c>
      <x:c r="AF65" s="34" t="n">
        <x:v>95</x:v>
      </x:c>
      <x:c r="AG65" s="32" t="n">
        <x:v>4.19</x:v>
      </x:c>
      <x:c r="AH65" s="32" t="n">
        <x:v>18.45</x:v>
      </x:c>
      <x:c r="AI65" s="32" t="n">
        <x:v>45.69</x:v>
      </x:c>
      <x:c r="AJ65" s="32" t="n">
        <x:v>45.59</x:v>
      </x:c>
      <x:c r="AK65" s="32" t="n">
        <x:v>15.78</x:v>
      </x:c>
      <x:c r="AL65" s="32" t="n">
        <x:v>8.15</x:v>
      </x:c>
      <x:c r="AM65" s="32" t="str">
        <x:v>#FFFFFF</x:v>
      </x:c>
      <x:c r="AN65" s="32" t="str">
        <x:v>White</x:v>
      </x:c>
      <x:c r="AO65" s="32" t="n">
        <x:v>5.26</x:v>
      </x:c>
      <x:c r="AP65" s="32" t="n">
        <x:v>3.99</x:v>
      </x:c>
      <x:c r="AQ65" s="32" t="n">
        <x:v>5.26</x:v>
      </x:c>
      <x:c r="AR65" s="32" t="n">
        <x:v>0.149649</x:v>
      </x:c>
      <x:c r="AS65" t="str">
        <x:v>PASS</x:v>
      </x:c>
      <x:c r="AT65" t="str">
        <x:v>--cda-lum-069</x:v>
      </x:c>
      <x:c r="AU65" t="str">
        <x:v>var(--cda-lum-069)</x:v>
      </x:c>
      <x:c r="AV65" t="str">
        <x:v>Median RGB from official PDF swatch (screen reference only)</x:v>
      </x:c>
      <x:c r="AW65" t="str">
        <x:v>https://www.carandache.com/content_files/uploaded_doc/product/10580/nuancier_luminance_fr.pdf</x:v>
      </x:c>
      <x:c r="AX65" t="n">
        <x:v>1</x:v>
      </x:c>
      <x:c r="AY65" t="str">
        <x:v>Official</x:v>
      </x:c>
      <x:c r="AZ65" t="str">
        <x:v>Official where available; curated Traditional Chinese/Japanese otherwise</x:v>
      </x:c>
      <x:c r="BA65" t="str">
        <x:v>Verified from official chart; digital HEX is approximate</x:v>
      </x:c>
      <x:c r="BB65" t="str">
        <x:v>Physical media appearance varies by paper, pressure, layering, water and scan/display profile.</x:v>
      </x:c>
    </x:row>
    <x:row r="66">
      <x:c r="A66" t="str">
        <x:f>G66&amp;"|"&amp;L66</x:f>
        <x:v>LUM|748</x:v>
      </x:c>
      <x:c r="B66" t="str">
        <x:v>9596dfc9-72fc-5654-b7bf-68eb9e8e2faa</x:v>
      </x:c>
      <x:c r="C66" t="str">
        <x:v>CDA-LUM-748</x:v>
      </x:c>
      <x:c r="D66" t="str">
        <x:v>fb8b22bf-931a-5020-aba1-6e2f47b4542f</x:v>
      </x:c>
      <x:c r="E66" t="str">
        <x:v>CDA-CODE-748</x:v>
      </x:c>
      <x:c r="F66" t="str">
        <x:v>Caran d’Ache</x:v>
      </x:c>
      <x:c r="G66" t="str">
        <x:v>LUM</x:v>
      </x:c>
      <x:c r="H66" t="str">
        <x:v>LUMINANCE 6901</x:v>
      </x:c>
      <x:c r="I66" t="str">
        <x:v>Oil-based permanent coloured pencil</x:v>
      </x:c>
      <x:c r="J66" t="str">
        <x:v>Professional</x:v>
      </x:c>
      <x:c r="K66" s="30" t="n">
        <x:v>65</x:v>
      </x:c>
      <x:c r="L66" s="30" t="str">
        <x:v>748</x:v>
      </x:c>
      <x:c r="M66" t="str">
        <x:v>Dark flesh</x:v>
      </x:c>
      <x:c r="N66" t="str">
        <x:v>深膚色</x:v>
      </x:c>
      <x:c r="O66" t="str">
        <x:v>ダークフレッシュ</x:v>
      </x:c>
      <x:c r="P66" t="str"/>
      <x:c r="Q66" t="str">
        <x:v>Chair foncée</x:v>
      </x:c>
      <x:c r="R66" t="str">
        <x:v>Dunkel Fleischfarbig</x:v>
      </x:c>
      <x:c r="S66" t="str">
        <x:v>Incarnato scuro</x:v>
      </x:c>
      <x:c r="T66" t="str">
        <x:v>Carne oscuro</x:v>
      </x:c>
      <x:c r="U66" t="str">
        <x:v>Carne escuro</x:v>
      </x:c>
      <x:c r="V66" t="str"/>
      <x:c r="W66" t="str">
        <x:v>PR179/PY42/PR101/PBr7/PBk7/PBk11</x:v>
      </x:c>
      <x:c r="X66" t="n">
        <x:f>IF(W66="",0,LEN(W66)-LEN(SUBSTITUTE(W66,"/",""))+1)</x:f>
        <x:v>6</x:v>
      </x:c>
      <x:c r="Y66" t="str">
        <x:v>I</x:v>
      </x:c>
      <x:c r="Z66" s="32" t="n">
        <x:v>1.67</x:v>
      </x:c>
      <x:c r="AA66" s="32" t="n">
        <x:v>3</x:v>
      </x:c>
      <x:c r="AB66" s="32" t="str">
        <x:v>ASTM D-6901</x:v>
      </x:c>
      <x:c r="AC66" t="str">
        <x:v>#695049</x:v>
      </x:c>
      <x:c r="AD66" s="34" t="n">
        <x:v>105</x:v>
      </x:c>
      <x:c r="AE66" s="34" t="n">
        <x:v>80</x:v>
      </x:c>
      <x:c r="AF66" s="34" t="n">
        <x:v>73</x:v>
      </x:c>
      <x:c r="AG66" s="32" t="n">
        <x:v>13.13</x:v>
      </x:c>
      <x:c r="AH66" s="32" t="n">
        <x:v>17.98</x:v>
      </x:c>
      <x:c r="AI66" s="32" t="n">
        <x:v>34.9</x:v>
      </x:c>
      <x:c r="AJ66" s="32" t="n">
        <x:v>36.41</x:v>
      </x:c>
      <x:c r="AK66" s="32" t="n">
        <x:v>9.33</x:v>
      </x:c>
      <x:c r="AL66" s="32" t="n">
        <x:v>8.15</x:v>
      </x:c>
      <x:c r="AM66" s="32" t="str">
        <x:v>#FFFFFF</x:v>
      </x:c>
      <x:c r="AN66" s="32" t="str">
        <x:v>White</x:v>
      </x:c>
      <x:c r="AO66" s="32" t="n">
        <x:v>7.38</x:v>
      </x:c>
      <x:c r="AP66" s="32" t="n">
        <x:v>2.84</x:v>
      </x:c>
      <x:c r="AQ66" s="32" t="n">
        <x:v>7.38</x:v>
      </x:c>
      <x:c r="AR66" s="32" t="n">
        <x:v>0.092216</x:v>
      </x:c>
      <x:c r="AS66" t="str">
        <x:v>PASS</x:v>
      </x:c>
      <x:c r="AT66" t="str">
        <x:v>--cda-lum-748</x:v>
      </x:c>
      <x:c r="AU66" t="str">
        <x:v>var(--cda-lum-748)</x:v>
      </x:c>
      <x:c r="AV66" t="str">
        <x:v>Median RGB from official PDF swatch (screen reference only)</x:v>
      </x:c>
      <x:c r="AW66" t="str">
        <x:v>https://www.carandache.com/content_files/uploaded_doc/product/10580/nuancier_luminance_fr.pdf</x:v>
      </x:c>
      <x:c r="AX66" t="n">
        <x:v>1</x:v>
      </x:c>
      <x:c r="AY66" t="str">
        <x:v>Official</x:v>
      </x:c>
      <x:c r="AZ66" t="str">
        <x:v>Official where available; curated Traditional Chinese/Japanese otherwise</x:v>
      </x:c>
      <x:c r="BA66" t="str">
        <x:v>Verified from official chart; digital HEX is approximate</x:v>
      </x:c>
      <x:c r="BB66" t="str">
        <x:v>Physical media appearance varies by paper, pressure, layering, water and scan/display profile.</x:v>
      </x:c>
    </x:row>
    <x:row r="67">
      <x:c r="A67" t="str">
        <x:f>G67&amp;"|"&amp;L67</x:f>
        <x:v>LUM|046</x:v>
      </x:c>
      <x:c r="B67" t="str">
        <x:v>43a367f2-8899-5e3b-978b-a22f99e20329</x:v>
      </x:c>
      <x:c r="C67" t="str">
        <x:v>CDA-LUM-046</x:v>
      </x:c>
      <x:c r="D67" t="str">
        <x:v>d6092a56-5cb2-52a3-93d7-9c1109a5f21e</x:v>
      </x:c>
      <x:c r="E67" t="str">
        <x:v>CDA-CODE-046</x:v>
      </x:c>
      <x:c r="F67" t="str">
        <x:v>Caran d’Ache</x:v>
      </x:c>
      <x:c r="G67" t="str">
        <x:v>LUM</x:v>
      </x:c>
      <x:c r="H67" t="str">
        <x:v>LUMINANCE 6901</x:v>
      </x:c>
      <x:c r="I67" t="str">
        <x:v>Oil-based permanent coloured pencil</x:v>
      </x:c>
      <x:c r="J67" t="str">
        <x:v>Professional</x:v>
      </x:c>
      <x:c r="K67" s="30" t="n">
        <x:v>66</x:v>
      </x:c>
      <x:c r="L67" s="30" t="str">
        <x:v>046</x:v>
      </x:c>
      <x:c r="M67" t="str">
        <x:v>Cassel earth</x:v>
      </x:c>
      <x:c r="N67" t="str">
        <x:v>卡塞爾土色</x:v>
      </x:c>
      <x:c r="O67" t="str">
        <x:v>カッセルアース</x:v>
      </x:c>
      <x:c r="P67" t="str"/>
      <x:c r="Q67" t="str">
        <x:v>Terre de Cassel</x:v>
      </x:c>
      <x:c r="R67" t="str">
        <x:v>Kasseler Erde</x:v>
      </x:c>
      <x:c r="S67" t="str">
        <x:v>Terra di Kassel</x:v>
      </x:c>
      <x:c r="T67" t="str">
        <x:v>Tierra de Cassel</x:v>
      </x:c>
      <x:c r="U67" t="str">
        <x:v>Terra de Cassel</x:v>
      </x:c>
      <x:c r="V67" t="str"/>
      <x:c r="W67" t="str">
        <x:v>PR101/PBr7/PBk6/PBk11</x:v>
      </x:c>
      <x:c r="X67" t="n">
        <x:f>IF(W67="",0,LEN(W67)-LEN(SUBSTITUTE(W67,"/",""))+1)</x:f>
        <x:v>4</x:v>
      </x:c>
      <x:c r="Y67" t="str">
        <x:v>I</x:v>
      </x:c>
      <x:c r="Z67" s="32" t="n">
        <x:v>1.67</x:v>
      </x:c>
      <x:c r="AA67" s="32" t="n">
        <x:v>3</x:v>
      </x:c>
      <x:c r="AB67" s="32" t="str">
        <x:v>ASTM D-6901</x:v>
      </x:c>
      <x:c r="AC67" t="str">
        <x:v>#646150</x:v>
      </x:c>
      <x:c r="AD67" s="34" t="n">
        <x:v>100</x:v>
      </x:c>
      <x:c r="AE67" s="34" t="n">
        <x:v>97</x:v>
      </x:c>
      <x:c r="AF67" s="34" t="n">
        <x:v>80</x:v>
      </x:c>
      <x:c r="AG67" s="32" t="n">
        <x:v>51</x:v>
      </x:c>
      <x:c r="AH67" s="32" t="n">
        <x:v>11.11</x:v>
      </x:c>
      <x:c r="AI67" s="32" t="n">
        <x:v>35.29</x:v>
      </x:c>
      <x:c r="AJ67" s="32" t="n">
        <x:v>40.96</x:v>
      </x:c>
      <x:c r="AK67" s="32" t="n">
        <x:v>-2.01</x:v>
      </x:c>
      <x:c r="AL67" s="32" t="n">
        <x:v>10.14</x:v>
      </x:c>
      <x:c r="AM67" s="32" t="str">
        <x:v>#FFFFFF</x:v>
      </x:c>
      <x:c r="AN67" s="32" t="str">
        <x:v>White</x:v>
      </x:c>
      <x:c r="AO67" s="32" t="n">
        <x:v>6.24</x:v>
      </x:c>
      <x:c r="AP67" s="32" t="n">
        <x:v>3.37</x:v>
      </x:c>
      <x:c r="AQ67" s="32" t="n">
        <x:v>6.24</x:v>
      </x:c>
      <x:c r="AR67" s="32" t="n">
        <x:v>0.118379</x:v>
      </x:c>
      <x:c r="AS67" t="str">
        <x:v>PASS</x:v>
      </x:c>
      <x:c r="AT67" t="str">
        <x:v>--cda-lum-046</x:v>
      </x:c>
      <x:c r="AU67" t="str">
        <x:v>var(--cda-lum-046)</x:v>
      </x:c>
      <x:c r="AV67" t="str">
        <x:v>Median RGB from official PDF swatch (screen reference only)</x:v>
      </x:c>
      <x:c r="AW67" t="str">
        <x:v>https://www.carandache.com/content_files/uploaded_doc/product/10580/nuancier_luminance_fr.pdf</x:v>
      </x:c>
      <x:c r="AX67" t="n">
        <x:v>1</x:v>
      </x:c>
      <x:c r="AY67" t="str">
        <x:v>Official</x:v>
      </x:c>
      <x:c r="AZ67" t="str">
        <x:v>Official where available; curated Traditional Chinese/Japanese otherwise</x:v>
      </x:c>
      <x:c r="BA67" t="str">
        <x:v>Verified from official chart; digital HEX is approximate</x:v>
      </x:c>
      <x:c r="BB67" t="str">
        <x:v>Physical media appearance varies by paper, pressure, layering, water and scan/display profile.</x:v>
      </x:c>
    </x:row>
    <x:row r="68">
      <x:c r="A68" t="str">
        <x:f>G68&amp;"|"&amp;L68</x:f>
        <x:v>LUM|575</x:v>
      </x:c>
      <x:c r="B68" t="str">
        <x:v>92e2a202-d9ee-5dfe-bc07-188547b6bbbe</x:v>
      </x:c>
      <x:c r="C68" t="str">
        <x:v>CDA-LUM-575</x:v>
      </x:c>
      <x:c r="D68" t="str">
        <x:v>0af77181-5001-50c2-bbb8-a392d6367b1a</x:v>
      </x:c>
      <x:c r="E68" t="str">
        <x:v>CDA-CODE-575</x:v>
      </x:c>
      <x:c r="F68" t="str">
        <x:v>Caran d’Ache</x:v>
      </x:c>
      <x:c r="G68" t="str">
        <x:v>LUM</x:v>
      </x:c>
      <x:c r="H68" t="str">
        <x:v>LUMINANCE 6901</x:v>
      </x:c>
      <x:c r="I68" t="str">
        <x:v>Oil-based permanent coloured pencil</x:v>
      </x:c>
      <x:c r="J68" t="str">
        <x:v>Professional</x:v>
      </x:c>
      <x:c r="K68" s="30" t="n">
        <x:v>67</x:v>
      </x:c>
      <x:c r="L68" s="30" t="str">
        <x:v>575</x:v>
      </x:c>
      <x:c r="M68" t="str">
        <x:v>Carmine lake</x:v>
      </x:c>
      <x:c r="N68" t="str">
        <x:v>胭脂紅色淀</x:v>
      </x:c>
      <x:c r="O68" t="str">
        <x:v>カーマインレーキ</x:v>
      </x:c>
      <x:c r="P68" t="str"/>
      <x:c r="Q68" t="str">
        <x:v>Laque carminée</x:v>
      </x:c>
      <x:c r="R68" t="str">
        <x:v>Karminlack</x:v>
      </x:c>
      <x:c r="S68" t="str">
        <x:v>Lacca carminata</x:v>
      </x:c>
      <x:c r="T68" t="str">
        <x:v>Laca carmín</x:v>
      </x:c>
      <x:c r="U68" t="str">
        <x:v>Laca carmin</x:v>
      </x:c>
      <x:c r="V68" t="str"/>
      <x:c r="W68" t="str">
        <x:v>PR179/PBk7</x:v>
      </x:c>
      <x:c r="X68" t="n">
        <x:f>IF(W68="",0,LEN(W68)-LEN(SUBSTITUTE(W68,"/",""))+1)</x:f>
        <x:v>2</x:v>
      </x:c>
      <x:c r="Y68" t="str">
        <x:v>II</x:v>
      </x:c>
      <x:c r="Z68" s="32" t="n">
        <x:v>3.33</x:v>
      </x:c>
      <x:c r="AA68" s="32" t="n">
        <x:v>3</x:v>
      </x:c>
      <x:c r="AB68" s="32" t="str">
        <x:v>ASTM D-6901</x:v>
      </x:c>
      <x:c r="AC68" t="str">
        <x:v>#4C2D2D</x:v>
      </x:c>
      <x:c r="AD68" s="34" t="n">
        <x:v>76</x:v>
      </x:c>
      <x:c r="AE68" s="34" t="n">
        <x:v>45</x:v>
      </x:c>
      <x:c r="AF68" s="34" t="n">
        <x:v>45</x:v>
      </x:c>
      <x:c r="AG68" s="32" t="n">
        <x:v>0</x:v>
      </x:c>
      <x:c r="AH68" s="32" t="n">
        <x:v>25.62</x:v>
      </x:c>
      <x:c r="AI68" s="32" t="n">
        <x:v>23.73</x:v>
      </x:c>
      <x:c r="AJ68" s="32" t="n">
        <x:v>22.31</x:v>
      </x:c>
      <x:c r="AK68" s="32" t="n">
        <x:v>14.29</x:v>
      </x:c>
      <x:c r="AL68" s="32" t="n">
        <x:v>6.01</x:v>
      </x:c>
      <x:c r="AM68" s="32" t="str">
        <x:v>#FFFFFF</x:v>
      </x:c>
      <x:c r="AN68" s="32" t="str">
        <x:v>White</x:v>
      </x:c>
      <x:c r="AO68" s="32" t="n">
        <x:v>12.21</x:v>
      </x:c>
      <x:c r="AP68" s="32" t="n">
        <x:v>1.72</x:v>
      </x:c>
      <x:c r="AQ68" s="32" t="n">
        <x:v>12.21</x:v>
      </x:c>
      <x:c r="AR68" s="32" t="n">
        <x:v>0.036027</x:v>
      </x:c>
      <x:c r="AS68" t="str">
        <x:v>PASS</x:v>
      </x:c>
      <x:c r="AT68" t="str">
        <x:v>--cda-lum-575</x:v>
      </x:c>
      <x:c r="AU68" t="str">
        <x:v>var(--cda-lum-575)</x:v>
      </x:c>
      <x:c r="AV68" t="str">
        <x:v>Median RGB from official PDF swatch (screen reference only)</x:v>
      </x:c>
      <x:c r="AW68" t="str">
        <x:v>https://www.carandache.com/content_files/uploaded_doc/product/10580/nuancier_luminance_fr.pdf</x:v>
      </x:c>
      <x:c r="AX68" t="n">
        <x:v>1</x:v>
      </x:c>
      <x:c r="AY68" t="str">
        <x:v>Official</x:v>
      </x:c>
      <x:c r="AZ68" t="str">
        <x:v>Official where available; curated Traditional Chinese/Japanese otherwise</x:v>
      </x:c>
      <x:c r="BA68" t="str">
        <x:v>Verified from official chart; digital HEX is approximate</x:v>
      </x:c>
      <x:c r="BB68" t="str">
        <x:v>Physical media appearance varies by paper, pressure, layering, water and scan/display profile.</x:v>
      </x:c>
    </x:row>
    <x:row r="69">
      <x:c r="A69" t="str">
        <x:f>G69&amp;"|"&amp;L69</x:f>
        <x:v>LUM|407</x:v>
      </x:c>
      <x:c r="B69" t="str">
        <x:v>8ceb374c-b194-5b2e-8656-d0d4d7bf1c3d</x:v>
      </x:c>
      <x:c r="C69" t="str">
        <x:v>CDA-LUM-407</x:v>
      </x:c>
      <x:c r="D69" t="str">
        <x:v>031b6d1b-99f0-5097-97b4-5f2daeaf1a50</x:v>
      </x:c>
      <x:c r="E69" t="str">
        <x:v>CDA-CODE-407</x:v>
      </x:c>
      <x:c r="F69" t="str">
        <x:v>Caran d’Ache</x:v>
      </x:c>
      <x:c r="G69" t="str">
        <x:v>LUM</x:v>
      </x:c>
      <x:c r="H69" t="str">
        <x:v>LUMINANCE 6901</x:v>
      </x:c>
      <x:c r="I69" t="str">
        <x:v>Oil-based permanent coloured pencil</x:v>
      </x:c>
      <x:c r="J69" t="str">
        <x:v>Professional</x:v>
      </x:c>
      <x:c r="K69" s="30" t="n">
        <x:v>68</x:v>
      </x:c>
      <x:c r="L69" s="30" t="str">
        <x:v>407</x:v>
      </x:c>
      <x:c r="M69" t="str">
        <x:v>Sepia</x:v>
      </x:c>
      <x:c r="N69" t="str">
        <x:v>深褐色</x:v>
      </x:c>
      <x:c r="O69" t="str">
        <x:v>セピア</x:v>
      </x:c>
      <x:c r="P69" t="str"/>
      <x:c r="Q69" t="str">
        <x:v>Sépia</x:v>
      </x:c>
      <x:c r="R69" t="str">
        <x:v>Sepia</x:v>
      </x:c>
      <x:c r="S69" t="str">
        <x:v>Seppia</x:v>
      </x:c>
      <x:c r="T69" t="str">
        <x:v>Sepia</x:v>
      </x:c>
      <x:c r="U69" t="str">
        <x:v>Sépia</x:v>
      </x:c>
      <x:c r="V69" t="str"/>
      <x:c r="W69" t="str">
        <x:v>PR101/PBr7/PBk6/PBk11</x:v>
      </x:c>
      <x:c r="X69" t="n">
        <x:f>IF(W69="",0,LEN(W69)-LEN(SUBSTITUTE(W69,"/",""))+1)</x:f>
        <x:v>4</x:v>
      </x:c>
      <x:c r="Y69" t="str">
        <x:v>I</x:v>
      </x:c>
      <x:c r="Z69" s="32" t="n">
        <x:v>1.67</x:v>
      </x:c>
      <x:c r="AA69" s="32" t="n">
        <x:v>3</x:v>
      </x:c>
      <x:c r="AB69" s="32" t="str">
        <x:v>ASTM D-6901</x:v>
      </x:c>
      <x:c r="AC69" t="str">
        <x:v>#4C433F</x:v>
      </x:c>
      <x:c r="AD69" s="34" t="n">
        <x:v>76</x:v>
      </x:c>
      <x:c r="AE69" s="34" t="n">
        <x:v>67</x:v>
      </x:c>
      <x:c r="AF69" s="34" t="n">
        <x:v>63</x:v>
      </x:c>
      <x:c r="AG69" s="32" t="n">
        <x:v>18.46</x:v>
      </x:c>
      <x:c r="AH69" s="32" t="n">
        <x:v>9.35</x:v>
      </x:c>
      <x:c r="AI69" s="32" t="n">
        <x:v>27.25</x:v>
      </x:c>
      <x:c r="AJ69" s="32" t="n">
        <x:v>29.18</x:v>
      </x:c>
      <x:c r="AK69" s="32" t="n">
        <x:v>3.05</x:v>
      </x:c>
      <x:c r="AL69" s="32" t="n">
        <x:v>3.83</x:v>
      </x:c>
      <x:c r="AM69" s="32" t="str">
        <x:v>#FFFFFF</x:v>
      </x:c>
      <x:c r="AN69" s="32" t="str">
        <x:v>White</x:v>
      </x:c>
      <x:c r="AO69" s="32" t="n">
        <x:v>9.62</x:v>
      </x:c>
      <x:c r="AP69" s="32" t="n">
        <x:v>2.18</x:v>
      </x:c>
      <x:c r="AQ69" s="32" t="n">
        <x:v>9.62</x:v>
      </x:c>
      <x:c r="AR69" s="32" t="n">
        <x:v>0.059097</x:v>
      </x:c>
      <x:c r="AS69" t="str">
        <x:v>PASS</x:v>
      </x:c>
      <x:c r="AT69" t="str">
        <x:v>--cda-lum-407</x:v>
      </x:c>
      <x:c r="AU69" t="str">
        <x:v>var(--cda-lum-407)</x:v>
      </x:c>
      <x:c r="AV69" t="str">
        <x:v>Median RGB from official PDF swatch (screen reference only)</x:v>
      </x:c>
      <x:c r="AW69" t="str">
        <x:v>https://www.carandache.com/content_files/uploaded_doc/product/10580/nuancier_luminance_fr.pdf</x:v>
      </x:c>
      <x:c r="AX69" t="n">
        <x:v>1</x:v>
      </x:c>
      <x:c r="AY69" t="str">
        <x:v>Official</x:v>
      </x:c>
      <x:c r="AZ69" t="str">
        <x:v>Official where available; curated Traditional Chinese/Japanese otherwise</x:v>
      </x:c>
      <x:c r="BA69" t="str">
        <x:v>Verified from official chart; digital HEX is approximate</x:v>
      </x:c>
      <x:c r="BB69" t="str">
        <x:v>Physical media appearance varies by paper, pressure, layering, water and scan/display profile.</x:v>
      </x:c>
    </x:row>
    <x:row r="70">
      <x:c r="A70" t="str">
        <x:f>G70&amp;"|"&amp;L70</x:f>
        <x:v>LUM|906</x:v>
      </x:c>
      <x:c r="B70" t="str">
        <x:v>af3903cb-12b7-5184-9675-f437672b3f2b</x:v>
      </x:c>
      <x:c r="C70" t="str">
        <x:v>CDA-LUM-906</x:v>
      </x:c>
      <x:c r="D70" t="str">
        <x:v>37077cbe-078d-5546-9db4-c470ae253c0a</x:v>
      </x:c>
      <x:c r="E70" t="str">
        <x:v>CDA-CODE-906</x:v>
      </x:c>
      <x:c r="F70" t="str">
        <x:v>Caran d’Ache</x:v>
      </x:c>
      <x:c r="G70" t="str">
        <x:v>LUM</x:v>
      </x:c>
      <x:c r="H70" t="str">
        <x:v>LUMINANCE 6901</x:v>
      </x:c>
      <x:c r="I70" t="str">
        <x:v>Oil-based permanent coloured pencil</x:v>
      </x:c>
      <x:c r="J70" t="str">
        <x:v>Professional</x:v>
      </x:c>
      <x:c r="K70" s="30" t="n">
        <x:v>69</x:v>
      </x:c>
      <x:c r="L70" s="30" t="str">
        <x:v>906</x:v>
      </x:c>
      <x:c r="M70" t="str">
        <x:v>Sepia 50%</x:v>
      </x:c>
      <x:c r="N70" t="str">
        <x:v>深褐色 50%</x:v>
      </x:c>
      <x:c r="O70" t="str">
        <x:v>セピア 50%</x:v>
      </x:c>
      <x:c r="P70" t="str"/>
      <x:c r="Q70" t="str">
        <x:v>Sépia 50%</x:v>
      </x:c>
      <x:c r="R70" t="str">
        <x:v>Sepia 50%</x:v>
      </x:c>
      <x:c r="S70" t="str">
        <x:v>Seppia 50%</x:v>
      </x:c>
      <x:c r="T70" t="str">
        <x:v>Sepia 50%</x:v>
      </x:c>
      <x:c r="U70" t="str">
        <x:v>Sépia 50%</x:v>
      </x:c>
      <x:c r="V70" t="str"/>
      <x:c r="W70" t="str">
        <x:v>PR101/PBr7/PBk6/PBk11</x:v>
      </x:c>
      <x:c r="X70" t="n">
        <x:f>IF(W70="",0,LEN(W70)-LEN(SUBSTITUTE(W70,"/",""))+1)</x:f>
        <x:v>4</x:v>
      </x:c>
      <x:c r="Y70" t="str">
        <x:v>I</x:v>
      </x:c>
      <x:c r="Z70" s="32" t="n">
        <x:v>1.67</x:v>
      </x:c>
      <x:c r="AA70" s="32" t="n">
        <x:v>3</x:v>
      </x:c>
      <x:c r="AB70" s="32" t="str">
        <x:v>ASTM D-6901</x:v>
      </x:c>
      <x:c r="AC70" t="str">
        <x:v>#82787B</x:v>
      </x:c>
      <x:c r="AD70" s="34" t="n">
        <x:v>130</x:v>
      </x:c>
      <x:c r="AE70" s="34" t="n">
        <x:v>120</x:v>
      </x:c>
      <x:c r="AF70" s="34" t="n">
        <x:v>123</x:v>
      </x:c>
      <x:c r="AG70" s="32" t="n">
        <x:v>342</x:v>
      </x:c>
      <x:c r="AH70" s="32" t="n">
        <x:v>4</x:v>
      </x:c>
      <x:c r="AI70" s="32" t="n">
        <x:v>49.02</x:v>
      </x:c>
      <x:c r="AJ70" s="32" t="n">
        <x:v>51.39</x:v>
      </x:c>
      <x:c r="AK70" s="32" t="n">
        <x:v>4.4</x:v>
      </x:c>
      <x:c r="AL70" s="32" t="n">
        <x:v>-0.26</x:v>
      </x:c>
      <x:c r="AM70" s="32" t="str">
        <x:v>#000000</x:v>
      </x:c>
      <x:c r="AN70" s="32" t="str">
        <x:v>Black</x:v>
      </x:c>
      <x:c r="AO70" s="32" t="n">
        <x:v>4.92</x:v>
      </x:c>
      <x:c r="AP70" s="32" t="n">
        <x:v>4.92</x:v>
      </x:c>
      <x:c r="AQ70" s="32" t="n">
        <x:v>4.27</x:v>
      </x:c>
      <x:c r="AR70" s="32" t="n">
        <x:v>0.196088</x:v>
      </x:c>
      <x:c r="AS70" t="str">
        <x:v>PASS</x:v>
      </x:c>
      <x:c r="AT70" t="str">
        <x:v>--cda-lum-906</x:v>
      </x:c>
      <x:c r="AU70" t="str">
        <x:v>var(--cda-lum-906)</x:v>
      </x:c>
      <x:c r="AV70" t="str">
        <x:v>Median RGB from official PDF swatch (screen reference only)</x:v>
      </x:c>
      <x:c r="AW70" t="str">
        <x:v>https://www.carandache.com/content_files/uploaded_doc/product/10580/nuancier_luminance_fr.pdf</x:v>
      </x:c>
      <x:c r="AX70" t="n">
        <x:v>1</x:v>
      </x:c>
      <x:c r="AY70" t="str">
        <x:v>Official</x:v>
      </x:c>
      <x:c r="AZ70" t="str">
        <x:v>Official where available; curated Traditional Chinese/Japanese otherwise</x:v>
      </x:c>
      <x:c r="BA70" t="str">
        <x:v>Verified from official chart; digital HEX is approximate</x:v>
      </x:c>
      <x:c r="BB70" t="str">
        <x:v>Physical media appearance varies by paper, pressure, layering, water and scan/display profile.</x:v>
      </x:c>
    </x:row>
    <x:row r="71">
      <x:c r="A71" t="str">
        <x:f>G71&amp;"|"&amp;L71</x:f>
        <x:v>LUM|866</x:v>
      </x:c>
      <x:c r="B71" t="str">
        <x:v>9e456f40-48b5-5816-9e07-c4d9cfbe2b9b</x:v>
      </x:c>
      <x:c r="C71" t="str">
        <x:v>CDA-LUM-866</x:v>
      </x:c>
      <x:c r="D71" t="str">
        <x:v>cfc42192-70a7-5ede-8295-1b9b9640d45c</x:v>
      </x:c>
      <x:c r="E71" t="str">
        <x:v>CDA-CODE-866</x:v>
      </x:c>
      <x:c r="F71" t="str">
        <x:v>Caran d’Ache</x:v>
      </x:c>
      <x:c r="G71" t="str">
        <x:v>LUM</x:v>
      </x:c>
      <x:c r="H71" t="str">
        <x:v>LUMINANCE 6901</x:v>
      </x:c>
      <x:c r="I71" t="str">
        <x:v>Oil-based permanent coloured pencil</x:v>
      </x:c>
      <x:c r="J71" t="str">
        <x:v>Professional</x:v>
      </x:c>
      <x:c r="K71" s="30" t="n">
        <x:v>70</x:v>
      </x:c>
      <x:c r="L71" s="30" t="str">
        <x:v>866</x:v>
      </x:c>
      <x:c r="M71" t="str">
        <x:v>Burnt sienna 50%</x:v>
      </x:c>
      <x:c r="N71" t="str">
        <x:v>熟赭紅 50%</x:v>
      </x:c>
      <x:c r="O71" t="str">
        <x:v>バーントシェンナ 50%</x:v>
      </x:c>
      <x:c r="P71" t="str"/>
      <x:c r="Q71" t="str">
        <x:v>Sienne brûlée 50%</x:v>
      </x:c>
      <x:c r="R71" t="str">
        <x:v>Siena gebrannt 50%</x:v>
      </x:c>
      <x:c r="S71" t="str">
        <x:v>Siena bruciata 50%</x:v>
      </x:c>
      <x:c r="T71" t="str">
        <x:v>Sienna quemada 50%</x:v>
      </x:c>
      <x:c r="U71" t="str">
        <x:v>Siena queimado 50%</x:v>
      </x:c>
      <x:c r="V71" t="str"/>
      <x:c r="W71" t="str">
        <x:v>PR101/PBk6</x:v>
      </x:c>
      <x:c r="X71" t="n">
        <x:f>IF(W71="",0,LEN(W71)-LEN(SUBSTITUTE(W71,"/",""))+1)</x:f>
        <x:v>2</x:v>
      </x:c>
      <x:c r="Y71" t="str">
        <x:v>I</x:v>
      </x:c>
      <x:c r="Z71" s="32" t="n">
        <x:v>1.67</x:v>
      </x:c>
      <x:c r="AA71" s="32" t="n">
        <x:v>3</x:v>
      </x:c>
      <x:c r="AB71" s="32" t="str">
        <x:v>ASTM D-6901</x:v>
      </x:c>
      <x:c r="AC71" t="str">
        <x:v>#995C5D</x:v>
      </x:c>
      <x:c r="AD71" s="34" t="n">
        <x:v>153</x:v>
      </x:c>
      <x:c r="AE71" s="34" t="n">
        <x:v>92</x:v>
      </x:c>
      <x:c r="AF71" s="34" t="n">
        <x:v>93</x:v>
      </x:c>
      <x:c r="AG71" s="32" t="n">
        <x:v>359.02</x:v>
      </x:c>
      <x:c r="AH71" s="32" t="n">
        <x:v>24.9</x:v>
      </x:c>
      <x:c r="AI71" s="32" t="n">
        <x:v>48.04</x:v>
      </x:c>
      <x:c r="AJ71" s="32" t="n">
        <x:v>45.93</x:v>
      </x:c>
      <x:c r="AK71" s="32" t="n">
        <x:v>25.1</x:v>
      </x:c>
      <x:c r="AL71" s="32" t="n">
        <x:v>10.11</x:v>
      </x:c>
      <x:c r="AM71" s="32" t="str">
        <x:v>#FFFFFF</x:v>
      </x:c>
      <x:c r="AN71" s="32" t="str">
        <x:v>White</x:v>
      </x:c>
      <x:c r="AO71" s="32" t="n">
        <x:v>5.19</x:v>
      </x:c>
      <x:c r="AP71" s="32" t="n">
        <x:v>4.04</x:v>
      </x:c>
      <x:c r="AQ71" s="32" t="n">
        <x:v>5.19</x:v>
      </x:c>
      <x:c r="AR71" s="32" t="n">
        <x:v>0.152169</x:v>
      </x:c>
      <x:c r="AS71" t="str">
        <x:v>PASS</x:v>
      </x:c>
      <x:c r="AT71" t="str">
        <x:v>--cda-lum-866</x:v>
      </x:c>
      <x:c r="AU71" t="str">
        <x:v>var(--cda-lum-866)</x:v>
      </x:c>
      <x:c r="AV71" t="str">
        <x:v>Median RGB from official PDF swatch (screen reference only)</x:v>
      </x:c>
      <x:c r="AW71" t="str">
        <x:v>https://www.carandache.com/content_files/uploaded_doc/product/10580/nuancier_luminance_fr.pdf</x:v>
      </x:c>
      <x:c r="AX71" t="n">
        <x:v>1</x:v>
      </x:c>
      <x:c r="AY71" t="str">
        <x:v>Official</x:v>
      </x:c>
      <x:c r="AZ71" t="str">
        <x:v>Official where available; curated Traditional Chinese/Japanese otherwise</x:v>
      </x:c>
      <x:c r="BA71" t="str">
        <x:v>Verified from official chart; digital HEX is approximate</x:v>
      </x:c>
      <x:c r="BB71" t="str">
        <x:v>Physical media appearance varies by paper, pressure, layering, water and scan/display profile.</x:v>
      </x:c>
    </x:row>
    <x:row r="72">
      <x:c r="A72" t="str">
        <x:f>G72&amp;"|"&amp;L72</x:f>
        <x:v>LUM|583</x:v>
      </x:c>
      <x:c r="B72" t="str">
        <x:v>cee12e93-7e8b-5a04-a993-22de6185abac</x:v>
      </x:c>
      <x:c r="C72" t="str">
        <x:v>CDA-LUM-583</x:v>
      </x:c>
      <x:c r="D72" t="str">
        <x:v>5780f78b-af0e-59ae-80af-4c20afd80775</x:v>
      </x:c>
      <x:c r="E72" t="str">
        <x:v>CDA-CODE-583</x:v>
      </x:c>
      <x:c r="F72" t="str">
        <x:v>Caran d’Ache</x:v>
      </x:c>
      <x:c r="G72" t="str">
        <x:v>LUM</x:v>
      </x:c>
      <x:c r="H72" t="str">
        <x:v>LUMINANCE 6901</x:v>
      </x:c>
      <x:c r="I72" t="str">
        <x:v>Oil-based permanent coloured pencil</x:v>
      </x:c>
      <x:c r="J72" t="str">
        <x:v>Professional</x:v>
      </x:c>
      <x:c r="K72" s="30" t="n">
        <x:v>71</x:v>
      </x:c>
      <x:c r="L72" s="30" t="str">
        <x:v>583</x:v>
      </x:c>
      <x:c r="M72" t="str">
        <x:v>Violet pink</x:v>
      </x:c>
      <x:c r="N72" t="str">
        <x:v>紫粉紅</x:v>
      </x:c>
      <x:c r="O72" t="str">
        <x:v>バイオレットピンク</x:v>
      </x:c>
      <x:c r="P72" t="str"/>
      <x:c r="Q72" t="str">
        <x:v>Rose violine</x:v>
      </x:c>
      <x:c r="R72" t="str">
        <x:v>Violettrosa</x:v>
      </x:c>
      <x:c r="S72" t="str">
        <x:v>Rosa violetto</x:v>
      </x:c>
      <x:c r="T72" t="str">
        <x:v>Rosa violáceo púrpuramorado</x:v>
      </x:c>
      <x:c r="U72" t="str">
        <x:v>Rosa violino</x:v>
      </x:c>
      <x:c r="V72" t="str"/>
      <x:c r="W72" t="str">
        <x:v>PR101/PR168/PO82/PR122/PY42/PBr7/PBk7/PBk11</x:v>
      </x:c>
      <x:c r="X72" t="n">
        <x:f>IF(W72="",0,LEN(W72)-LEN(SUBSTITUTE(W72,"/",""))+1)</x:f>
        <x:v>8</x:v>
      </x:c>
      <x:c r="Y72" t="str">
        <x:v>I</x:v>
      </x:c>
      <x:c r="Z72" s="32" t="n">
        <x:v>1.67</x:v>
      </x:c>
      <x:c r="AA72" s="32" t="n">
        <x:v>3</x:v>
      </x:c>
      <x:c r="AB72" s="32" t="str">
        <x:v>ASTM D-6901</x:v>
      </x:c>
      <x:c r="AC72" t="str">
        <x:v>#C28F94</x:v>
      </x:c>
      <x:c r="AD72" s="34" t="n">
        <x:v>194</x:v>
      </x:c>
      <x:c r="AE72" s="34" t="n">
        <x:v>143</x:v>
      </x:c>
      <x:c r="AF72" s="34" t="n">
        <x:v>148</x:v>
      </x:c>
      <x:c r="AG72" s="32" t="n">
        <x:v>354.12</x:v>
      </x:c>
      <x:c r="AH72" s="32" t="n">
        <x:v>29.48</x:v>
      </x:c>
      <x:c r="AI72" s="32" t="n">
        <x:v>66.08</x:v>
      </x:c>
      <x:c r="AJ72" s="32" t="n">
        <x:v>64.37</x:v>
      </x:c>
      <x:c r="AK72" s="32" t="n">
        <x:v>20.04</x:v>
      </x:c>
      <x:c r="AL72" s="32" t="n">
        <x:v>4.96</x:v>
      </x:c>
      <x:c r="AM72" s="32" t="str">
        <x:v>#000000</x:v>
      </x:c>
      <x:c r="AN72" s="32" t="str">
        <x:v>Black</x:v>
      </x:c>
      <x:c r="AO72" s="32" t="n">
        <x:v>7.65</x:v>
      </x:c>
      <x:c r="AP72" s="32" t="n">
        <x:v>7.65</x:v>
      </x:c>
      <x:c r="AQ72" s="32" t="n">
        <x:v>2.74</x:v>
      </x:c>
      <x:c r="AR72" s="32" t="n">
        <x:v>0.332524</x:v>
      </x:c>
      <x:c r="AS72" t="str">
        <x:v>PASS</x:v>
      </x:c>
      <x:c r="AT72" t="str">
        <x:v>--cda-lum-583</x:v>
      </x:c>
      <x:c r="AU72" t="str">
        <x:v>var(--cda-lum-583)</x:v>
      </x:c>
      <x:c r="AV72" t="str">
        <x:v>Median RGB from official PDF swatch (screen reference only)</x:v>
      </x:c>
      <x:c r="AW72" t="str">
        <x:v>https://www.carandache.com/content_files/uploaded_doc/product/10580/nuancier_luminance_fr.pdf</x:v>
      </x:c>
      <x:c r="AX72" t="n">
        <x:v>1</x:v>
      </x:c>
      <x:c r="AY72" t="str">
        <x:v>Official</x:v>
      </x:c>
      <x:c r="AZ72" t="str">
        <x:v>Official where available; curated Traditional Chinese/Japanese otherwise</x:v>
      </x:c>
      <x:c r="BA72" t="str">
        <x:v>Verified from official chart; digital HEX is approximate</x:v>
      </x:c>
      <x:c r="BB72" t="str">
        <x:v>Physical media appearance varies by paper, pressure, layering, water and scan/display profile.</x:v>
      </x:c>
    </x:row>
    <x:row r="73">
      <x:c r="A73" t="str">
        <x:f>G73&amp;"|"&amp;L73</x:f>
        <x:v>LUM|094</x:v>
      </x:c>
      <x:c r="B73" t="str">
        <x:v>008ad80b-daf5-5927-9a66-d95705ca66ce</x:v>
      </x:c>
      <x:c r="C73" t="str">
        <x:v>CDA-LUM-094</x:v>
      </x:c>
      <x:c r="D73" t="str">
        <x:v>2beb133a-cf7e-5c35-9153-61b92d07030d</x:v>
      </x:c>
      <x:c r="E73" t="str">
        <x:v>CDA-CODE-094</x:v>
      </x:c>
      <x:c r="F73" t="str">
        <x:v>Caran d’Ache</x:v>
      </x:c>
      <x:c r="G73" t="str">
        <x:v>LUM</x:v>
      </x:c>
      <x:c r="H73" t="str">
        <x:v>LUMINANCE 6901</x:v>
      </x:c>
      <x:c r="I73" t="str">
        <x:v>Oil-based permanent coloured pencil</x:v>
      </x:c>
      <x:c r="J73" t="str">
        <x:v>Professional</x:v>
      </x:c>
      <x:c r="K73" s="30" t="n">
        <x:v>72</x:v>
      </x:c>
      <x:c r="L73" s="30" t="str">
        <x:v>094</x:v>
      </x:c>
      <x:c r="M73" t="str">
        <x:v>Hibiscus pink</x:v>
      </x:c>
      <x:c r="N73" t="str">
        <x:v>木槿粉紅</x:v>
      </x:c>
      <x:c r="O73" t="str">
        <x:v>ハイビスカスピンク</x:v>
      </x:c>
      <x:c r="P73" t="str"/>
      <x:c r="Q73" t="str">
        <x:v>Rose hibiscus</x:v>
      </x:c>
      <x:c r="R73" t="str">
        <x:v>Hibiskus-Rosa</x:v>
      </x:c>
      <x:c r="S73" t="str">
        <x:v>Rosa ibisco</x:v>
      </x:c>
      <x:c r="T73" t="str">
        <x:v>Rosa hibisco</x:v>
      </x:c>
      <x:c r="U73" t="str">
        <x:v>Hibisco rosa</x:v>
      </x:c>
      <x:c r="V73" t="str"/>
      <x:c r="W73" t="str">
        <x:v>PR179/PV19/PB15</x:v>
      </x:c>
      <x:c r="X73" t="n">
        <x:f>IF(W73="",0,LEN(W73)-LEN(SUBSTITUTE(W73,"/",""))+1)</x:f>
        <x:v>3</x:v>
      </x:c>
      <x:c r="Y73" t="str">
        <x:v>II</x:v>
      </x:c>
      <x:c r="Z73" s="32" t="n">
        <x:v>3.33</x:v>
      </x:c>
      <x:c r="AA73" s="32" t="n">
        <x:v>3</x:v>
      </x:c>
      <x:c r="AB73" s="32" t="str">
        <x:v>ASTM D-6901</x:v>
      </x:c>
      <x:c r="AC73" t="str">
        <x:v>#C88281</x:v>
      </x:c>
      <x:c r="AD73" s="34" t="n">
        <x:v>200</x:v>
      </x:c>
      <x:c r="AE73" s="34" t="n">
        <x:v>130</x:v>
      </x:c>
      <x:c r="AF73" s="34" t="n">
        <x:v>129</x:v>
      </x:c>
      <x:c r="AG73" s="32" t="n">
        <x:v>0.85</x:v>
      </x:c>
      <x:c r="AH73" s="32" t="n">
        <x:v>39.23</x:v>
      </x:c>
      <x:c r="AI73" s="32" t="n">
        <x:v>64.51</x:v>
      </x:c>
      <x:c r="AJ73" s="32" t="n">
        <x:v>61.51</x:v>
      </x:c>
      <x:c r="AK73" s="32" t="n">
        <x:v>26.89</x:v>
      </x:c>
      <x:c r="AL73" s="32" t="n">
        <x:v>11.76</x:v>
      </x:c>
      <x:c r="AM73" s="32" t="str">
        <x:v>#000000</x:v>
      </x:c>
      <x:c r="AN73" s="32" t="str">
        <x:v>Black</x:v>
      </x:c>
      <x:c r="AO73" s="32" t="n">
        <x:v>6.97</x:v>
      </x:c>
      <x:c r="AP73" s="32" t="n">
        <x:v>6.97</x:v>
      </x:c>
      <x:c r="AQ73" s="32" t="n">
        <x:v>3.01</x:v>
      </x:c>
      <x:c r="AR73" s="32" t="n">
        <x:v>0.298296</x:v>
      </x:c>
      <x:c r="AS73" t="str">
        <x:v>PASS</x:v>
      </x:c>
      <x:c r="AT73" t="str">
        <x:v>--cda-lum-094</x:v>
      </x:c>
      <x:c r="AU73" t="str">
        <x:v>var(--cda-lum-094)</x:v>
      </x:c>
      <x:c r="AV73" t="str">
        <x:v>Median RGB from official PDF swatch (screen reference only)</x:v>
      </x:c>
      <x:c r="AW73" t="str">
        <x:v>https://www.carandache.com/content_files/uploaded_doc/product/10580/nuancier_luminance_fr.pdf</x:v>
      </x:c>
      <x:c r="AX73" t="n">
        <x:v>1</x:v>
      </x:c>
      <x:c r="AY73" t="str">
        <x:v>Official</x:v>
      </x:c>
      <x:c r="AZ73" t="str">
        <x:v>Official where available; curated Traditional Chinese/Japanese otherwise</x:v>
      </x:c>
      <x:c r="BA73" t="str">
        <x:v>Verified from official chart; digital HEX is approximate</x:v>
      </x:c>
      <x:c r="BB73" t="str">
        <x:v>Physical media appearance varies by paper, pressure, layering, water and scan/display profile.</x:v>
      </x:c>
    </x:row>
    <x:row r="74">
      <x:c r="A74" t="str">
        <x:f>G74&amp;"|"&amp;L74</x:f>
        <x:v>LUM|095</x:v>
      </x:c>
      <x:c r="B74" t="str">
        <x:v>0a5beb8b-0114-5be0-ad09-d4f0fa463f79</x:v>
      </x:c>
      <x:c r="C74" t="str">
        <x:v>CDA-LUM-095</x:v>
      </x:c>
      <x:c r="D74" t="str">
        <x:v>b28f8a9f-38b4-53d1-a8d6-2e1f5ef8d4bd</x:v>
      </x:c>
      <x:c r="E74" t="str">
        <x:v>CDA-CODE-095</x:v>
      </x:c>
      <x:c r="F74" t="str">
        <x:v>Caran d’Ache</x:v>
      </x:c>
      <x:c r="G74" t="str">
        <x:v>LUM</x:v>
      </x:c>
      <x:c r="H74" t="str">
        <x:v>LUMINANCE 6901</x:v>
      </x:c>
      <x:c r="I74" t="str">
        <x:v>Oil-based permanent coloured pencil</x:v>
      </x:c>
      <x:c r="J74" t="str">
        <x:v>Professional</x:v>
      </x:c>
      <x:c r="K74" s="30" t="n">
        <x:v>73</x:v>
      </x:c>
      <x:c r="L74" s="30" t="str">
        <x:v>095</x:v>
      </x:c>
      <x:c r="M74" t="str">
        <x:v>Light aubergine</x:v>
      </x:c>
      <x:c r="N74" t="str">
        <x:v>淺茄紫</x:v>
      </x:c>
      <x:c r="O74" t="str">
        <x:v>ライトオーベルジーヌ</x:v>
      </x:c>
      <x:c r="P74" t="str"/>
      <x:c r="Q74" t="str">
        <x:v>Aubergine clair</x:v>
      </x:c>
      <x:c r="R74" t="str">
        <x:v>Hellaubergine</x:v>
      </x:c>
      <x:c r="S74" t="str">
        <x:v>Melanzana chiaro</x:v>
      </x:c>
      <x:c r="T74" t="str">
        <x:v>Berenjena claro</x:v>
      </x:c>
      <x:c r="U74" t="str">
        <x:v>Beringela claro</x:v>
      </x:c>
      <x:c r="V74" t="str"/>
      <x:c r="W74" t="str">
        <x:v>PR101/PV23/PBk6</x:v>
      </x:c>
      <x:c r="X74" t="n">
        <x:f>IF(W74="",0,LEN(W74)-LEN(SUBSTITUTE(W74,"/",""))+1)</x:f>
        <x:v>3</x:v>
      </x:c>
      <x:c r="Y74" t="str">
        <x:v>I</x:v>
      </x:c>
      <x:c r="Z74" s="32" t="n">
        <x:v>1.67</x:v>
      </x:c>
      <x:c r="AA74" s="32" t="n">
        <x:v>3</x:v>
      </x:c>
      <x:c r="AB74" s="32" t="str">
        <x:v>ASTM D-6901</x:v>
      </x:c>
      <x:c r="AC74" t="str">
        <x:v>#704F65</x:v>
      </x:c>
      <x:c r="AD74" s="34" t="n">
        <x:v>112</x:v>
      </x:c>
      <x:c r="AE74" s="34" t="n">
        <x:v>79</x:v>
      </x:c>
      <x:c r="AF74" s="34" t="n">
        <x:v>101</x:v>
      </x:c>
      <x:c r="AG74" s="32" t="n">
        <x:v>320</x:v>
      </x:c>
      <x:c r="AH74" s="32" t="n">
        <x:v>17.28</x:v>
      </x:c>
      <x:c r="AI74" s="32" t="n">
        <x:v>37.45</x:v>
      </x:c>
      <x:c r="AJ74" s="32" t="n">
        <x:v>37.8</x:v>
      </x:c>
      <x:c r="AK74" s="32" t="n">
        <x:v>17.72</x:v>
      </x:c>
      <x:c r="AL74" s="32" t="n">
        <x:v>-7.24</x:v>
      </x:c>
      <x:c r="AM74" s="32" t="str">
        <x:v>#FFFFFF</x:v>
      </x:c>
      <x:c r="AN74" s="32" t="str">
        <x:v>White</x:v>
      </x:c>
      <x:c r="AO74" s="32" t="n">
        <x:v>7.01</x:v>
      </x:c>
      <x:c r="AP74" s="32" t="n">
        <x:v>3</x:v>
      </x:c>
      <x:c r="AQ74" s="32" t="n">
        <x:v>7.01</x:v>
      </x:c>
      <x:c r="AR74" s="32" t="n">
        <x:v>0.099763</x:v>
      </x:c>
      <x:c r="AS74" t="str">
        <x:v>PASS</x:v>
      </x:c>
      <x:c r="AT74" t="str">
        <x:v>--cda-lum-095</x:v>
      </x:c>
      <x:c r="AU74" t="str">
        <x:v>var(--cda-lum-095)</x:v>
      </x:c>
      <x:c r="AV74" t="str">
        <x:v>Median RGB from official PDF swatch (screen reference only)</x:v>
      </x:c>
      <x:c r="AW74" t="str">
        <x:v>https://www.carandache.com/content_files/uploaded_doc/product/10580/nuancier_luminance_fr.pdf</x:v>
      </x:c>
      <x:c r="AX74" t="n">
        <x:v>1</x:v>
      </x:c>
      <x:c r="AY74" t="str">
        <x:v>Official</x:v>
      </x:c>
      <x:c r="AZ74" t="str">
        <x:v>Official where available; curated Traditional Chinese/Japanese otherwise</x:v>
      </x:c>
      <x:c r="BA74" t="str">
        <x:v>Verified from official chart; digital HEX is approximate</x:v>
      </x:c>
      <x:c r="BB74" t="str">
        <x:v>Physical media appearance varies by paper, pressure, layering, water and scan/display profile.</x:v>
      </x:c>
    </x:row>
    <x:row r="75">
      <x:c r="A75" t="str">
        <x:f>G75&amp;"|"&amp;L75</x:f>
        <x:v>LUM|115</x:v>
      </x:c>
      <x:c r="B75" t="str">
        <x:v>6161a5c5-b2cd-5021-9ffc-199111781e39</x:v>
      </x:c>
      <x:c r="C75" t="str">
        <x:v>CDA-LUM-115</x:v>
      </x:c>
      <x:c r="D75" t="str">
        <x:v>ab51b8e8-e7ed-58fe-bd90-bac7b58d40cc</x:v>
      </x:c>
      <x:c r="E75" t="str">
        <x:v>CDA-CODE-115</x:v>
      </x:c>
      <x:c r="F75" t="str">
        <x:v>Caran d’Ache</x:v>
      </x:c>
      <x:c r="G75" t="str">
        <x:v>LUM</x:v>
      </x:c>
      <x:c r="H75" t="str">
        <x:v>LUMINANCE 6901</x:v>
      </x:c>
      <x:c r="I75" t="str">
        <x:v>Oil-based permanent coloured pencil</x:v>
      </x:c>
      <x:c r="J75" t="str">
        <x:v>Professional</x:v>
      </x:c>
      <x:c r="K75" s="30" t="n">
        <x:v>74</x:v>
      </x:c>
      <x:c r="L75" s="30" t="str">
        <x:v>115</x:v>
      </x:c>
      <x:c r="M75" t="str">
        <x:v>Quinacridone purple</x:v>
      </x:c>
      <x:c r="N75" t="str">
        <x:v>喹吖啶酮紫</x:v>
      </x:c>
      <x:c r="O75" t="str">
        <x:v>キナクリドンパープル</x:v>
      </x:c>
      <x:c r="P75" t="str"/>
      <x:c r="Q75" t="str">
        <x:v>Pourpre quinacridone</x:v>
      </x:c>
      <x:c r="R75" t="str">
        <x:v>Chinacridon-Purpur</x:v>
      </x:c>
      <x:c r="S75" t="str">
        <x:v>Viola chinacridone</x:v>
      </x:c>
      <x:c r="T75" t="str">
        <x:v>Púrpura quinacridona</x:v>
      </x:c>
      <x:c r="U75" t="str">
        <x:v>Púrpura quinacridona</x:v>
      </x:c>
      <x:c r="V75" t="str"/>
      <x:c r="W75" t="str">
        <x:v>PV55</x:v>
      </x:c>
      <x:c r="X75" t="n">
        <x:f>IF(W75="",0,LEN(W75)-LEN(SUBSTITUTE(W75,"/",""))+1)</x:f>
        <x:v>1</x:v>
      </x:c>
      <x:c r="Y75" t="str">
        <x:v>II</x:v>
      </x:c>
      <x:c r="Z75" s="32" t="n">
        <x:v>3.33</x:v>
      </x:c>
      <x:c r="AA75" s="32" t="n">
        <x:v>3</x:v>
      </x:c>
      <x:c r="AB75" s="32" t="str">
        <x:v>ASTM D-6901</x:v>
      </x:c>
      <x:c r="AC75" t="str">
        <x:v>#642664</x:v>
      </x:c>
      <x:c r="AD75" s="34" t="n">
        <x:v>100</x:v>
      </x:c>
      <x:c r="AE75" s="34" t="n">
        <x:v>38</x:v>
      </x:c>
      <x:c r="AF75" s="34" t="n">
        <x:v>100</x:v>
      </x:c>
      <x:c r="AG75" s="32" t="n">
        <x:v>300</x:v>
      </x:c>
      <x:c r="AH75" s="32" t="n">
        <x:v>44.93</x:v>
      </x:c>
      <x:c r="AI75" s="32" t="n">
        <x:v>27.06</x:v>
      </x:c>
      <x:c r="AJ75" s="32" t="n">
        <x:v>26.78</x:v>
      </x:c>
      <x:c r="AK75" s="32" t="n">
        <x:v>36.97</x:v>
      </x:c>
      <x:c r="AL75" s="32" t="n">
        <x:v>-23.67</x:v>
      </x:c>
      <x:c r="AM75" s="32" t="str">
        <x:v>#FFFFFF</x:v>
      </x:c>
      <x:c r="AN75" s="32" t="str">
        <x:v>White</x:v>
      </x:c>
      <x:c r="AO75" s="32" t="n">
        <x:v>10.48</x:v>
      </x:c>
      <x:c r="AP75" s="32" t="n">
        <x:v>2</x:v>
      </x:c>
      <x:c r="AQ75" s="32" t="n">
        <x:v>10.48</x:v>
      </x:c>
      <x:c r="AR75" s="32" t="n">
        <x:v>0.050157</x:v>
      </x:c>
      <x:c r="AS75" t="str">
        <x:v>PASS</x:v>
      </x:c>
      <x:c r="AT75" t="str">
        <x:v>--cda-lum-115</x:v>
      </x:c>
      <x:c r="AU75" t="str">
        <x:v>var(--cda-lum-115)</x:v>
      </x:c>
      <x:c r="AV75" t="str">
        <x:v>Median RGB from official PDF swatch (screen reference only)</x:v>
      </x:c>
      <x:c r="AW75" t="str">
        <x:v>https://www.carandache.com/content_files/uploaded_doc/product/10580/nuancier_luminance_fr.pdf</x:v>
      </x:c>
      <x:c r="AX75" t="n">
        <x:v>1</x:v>
      </x:c>
      <x:c r="AY75" t="str">
        <x:v>Official</x:v>
      </x:c>
      <x:c r="AZ75" t="str">
        <x:v>Official where available; curated Traditional Chinese/Japanese otherwise</x:v>
      </x:c>
      <x:c r="BA75" t="str">
        <x:v>Verified from official chart; digital HEX is approximate</x:v>
      </x:c>
      <x:c r="BB75" t="str">
        <x:v>Physical media appearance varies by paper, pressure, layering, water and scan/display profile.</x:v>
      </x:c>
    </x:row>
    <x:row r="76">
      <x:c r="A76" t="str">
        <x:f>G76&amp;"|"&amp;L76</x:f>
        <x:v>LUM|129</x:v>
      </x:c>
      <x:c r="B76" t="str">
        <x:v>9190ba86-70fe-50e4-9408-e6d0be1764b5</x:v>
      </x:c>
      <x:c r="C76" t="str">
        <x:v>CDA-LUM-129</x:v>
      </x:c>
      <x:c r="D76" t="str">
        <x:v>5cc912c3-0fa7-51b4-9560-4931c224ce86</x:v>
      </x:c>
      <x:c r="E76" t="str">
        <x:v>CDA-CODE-129</x:v>
      </x:c>
      <x:c r="F76" t="str">
        <x:v>Caran d’Ache</x:v>
      </x:c>
      <x:c r="G76" t="str">
        <x:v>LUM</x:v>
      </x:c>
      <x:c r="H76" t="str">
        <x:v>LUMINANCE 6901</x:v>
      </x:c>
      <x:c r="I76" t="str">
        <x:v>Oil-based permanent coloured pencil</x:v>
      </x:c>
      <x:c r="J76" t="str">
        <x:v>Professional</x:v>
      </x:c>
      <x:c r="K76" s="30" t="n">
        <x:v>75</x:v>
      </x:c>
      <x:c r="L76" s="30" t="str">
        <x:v>129</x:v>
      </x:c>
      <x:c r="M76" t="str">
        <x:v>Violet brown</x:v>
      </x:c>
      <x:c r="N76" t="str">
        <x:v>紫棕</x:v>
      </x:c>
      <x:c r="O76" t="str">
        <x:v>バイオレットブラウン</x:v>
      </x:c>
      <x:c r="P76" t="str"/>
      <x:c r="Q76" t="str">
        <x:v>Brun violet</x:v>
      </x:c>
      <x:c r="R76" t="str">
        <x:v>Violettbraun</x:v>
      </x:c>
      <x:c r="S76" t="str">
        <x:v>Bruno violetto</x:v>
      </x:c>
      <x:c r="T76" t="str">
        <x:v>Violeta marrón</x:v>
      </x:c>
      <x:c r="U76" t="str">
        <x:v>Violeta castanho</x:v>
      </x:c>
      <x:c r="V76" t="str"/>
      <x:c r="W76" t="str">
        <x:v>PR101/PV23/PY42/PBk9</x:v>
      </x:c>
      <x:c r="X76" t="n">
        <x:f>IF(W76="",0,LEN(W76)-LEN(SUBSTITUTE(W76,"/",""))+1)</x:f>
        <x:v>4</x:v>
      </x:c>
      <x:c r="Y76" t="str">
        <x:v>II</x:v>
      </x:c>
      <x:c r="Z76" s="32" t="n">
        <x:v>3.33</x:v>
      </x:c>
      <x:c r="AA76" s="32" t="n">
        <x:v>3</x:v>
      </x:c>
      <x:c r="AB76" s="32" t="str">
        <x:v>ASTM D-6901</x:v>
      </x:c>
      <x:c r="AC76" t="str">
        <x:v>#6D527B</x:v>
      </x:c>
      <x:c r="AD76" s="34" t="n">
        <x:v>109</x:v>
      </x:c>
      <x:c r="AE76" s="34" t="n">
        <x:v>82</x:v>
      </x:c>
      <x:c r="AF76" s="34" t="n">
        <x:v>123</x:v>
      </x:c>
      <x:c r="AG76" s="32" t="n">
        <x:v>279.51</x:v>
      </x:c>
      <x:c r="AH76" s="32" t="n">
        <x:v>20</x:v>
      </x:c>
      <x:c r="AI76" s="32" t="n">
        <x:v>40.2</x:v>
      </x:c>
      <x:c r="AJ76" s="32" t="n">
        <x:v>39.1</x:v>
      </x:c>
      <x:c r="AK76" s="32" t="n">
        <x:v>19.45</x:v>
      </x:c>
      <x:c r="AL76" s="32" t="n">
        <x:v>-18.93</x:v>
      </x:c>
      <x:c r="AM76" s="32" t="str">
        <x:v>#FFFFFF</x:v>
      </x:c>
      <x:c r="AN76" s="32" t="str">
        <x:v>White</x:v>
      </x:c>
      <x:c r="AO76" s="32" t="n">
        <x:v>6.68</x:v>
      </x:c>
      <x:c r="AP76" s="32" t="n">
        <x:v>3.14</x:v>
      </x:c>
      <x:c r="AQ76" s="32" t="n">
        <x:v>6.68</x:v>
      </x:c>
      <x:c r="AR76" s="32" t="n">
        <x:v>0.107159</x:v>
      </x:c>
      <x:c r="AS76" t="str">
        <x:v>PASS</x:v>
      </x:c>
      <x:c r="AT76" t="str">
        <x:v>--cda-lum-129</x:v>
      </x:c>
      <x:c r="AU76" t="str">
        <x:v>var(--cda-lum-129)</x:v>
      </x:c>
      <x:c r="AV76" t="str">
        <x:v>Median RGB from official PDF swatch (screen reference only)</x:v>
      </x:c>
      <x:c r="AW76" t="str">
        <x:v>https://www.carandache.com/content_files/uploaded_doc/product/10580/nuancier_luminance_fr.pdf</x:v>
      </x:c>
      <x:c r="AX76" t="n">
        <x:v>1</x:v>
      </x:c>
      <x:c r="AY76" t="str">
        <x:v>Official</x:v>
      </x:c>
      <x:c r="AZ76" t="str">
        <x:v>Official where available; curated Traditional Chinese/Japanese otherwise</x:v>
      </x:c>
      <x:c r="BA76" t="str">
        <x:v>Verified from official chart; digital HEX is approximate</x:v>
      </x:c>
      <x:c r="BB76" t="str">
        <x:v>Physical media appearance varies by paper, pressure, layering, water and scan/display profile.</x:v>
      </x:c>
    </x:row>
    <x:row r="77">
      <x:c r="A77" t="str">
        <x:f>G77&amp;"|"&amp;L77</x:f>
        <x:v>LUM|630</x:v>
      </x:c>
      <x:c r="B77" t="str">
        <x:v>75958b76-f9f8-502a-ab65-adee18c08831</x:v>
      </x:c>
      <x:c r="C77" t="str">
        <x:v>CDA-LUM-630</x:v>
      </x:c>
      <x:c r="D77" t="str">
        <x:v>57ee2f2c-cdf8-5267-a3a7-36efff5f2339</x:v>
      </x:c>
      <x:c r="E77" t="str">
        <x:v>CDA-CODE-630</x:v>
      </x:c>
      <x:c r="F77" t="str">
        <x:v>Caran d’Ache</x:v>
      </x:c>
      <x:c r="G77" t="str">
        <x:v>LUM</x:v>
      </x:c>
      <x:c r="H77" t="str">
        <x:v>LUMINANCE 6901</x:v>
      </x:c>
      <x:c r="I77" t="str">
        <x:v>Oil-based permanent coloured pencil</x:v>
      </x:c>
      <x:c r="J77" t="str">
        <x:v>Professional</x:v>
      </x:c>
      <x:c r="K77" s="30" t="n">
        <x:v>76</x:v>
      </x:c>
      <x:c r="L77" s="30" t="str">
        <x:v>630</x:v>
      </x:c>
      <x:c r="M77" t="str">
        <x:v>Ultramarine violet</x:v>
      </x:c>
      <x:c r="N77" t="str">
        <x:v>群青紫</x:v>
      </x:c>
      <x:c r="O77" t="str">
        <x:v>ウルトラマリンバイオレット</x:v>
      </x:c>
      <x:c r="P77" t="str"/>
      <x:c r="Q77" t="str">
        <x:v>Violet outremer</x:v>
      </x:c>
      <x:c r="R77" t="str">
        <x:v>Utramarinviolett</x:v>
      </x:c>
      <x:c r="S77" t="str">
        <x:v>Viola oltremare</x:v>
      </x:c>
      <x:c r="T77" t="str">
        <x:v>Violeta ultramar</x:v>
      </x:c>
      <x:c r="U77" t="str">
        <x:v>Violet ultramarino</x:v>
      </x:c>
      <x:c r="V77" t="str"/>
      <x:c r="W77" t="str">
        <x:v>PV15</x:v>
      </x:c>
      <x:c r="X77" t="n">
        <x:f>IF(W77="",0,LEN(W77)-LEN(SUBSTITUTE(W77,"/",""))+1)</x:f>
        <x:v>1</x:v>
      </x:c>
      <x:c r="Y77" t="str">
        <x:v>I</x:v>
      </x:c>
      <x:c r="Z77" s="32" t="n">
        <x:v>1.67</x:v>
      </x:c>
      <x:c r="AA77" s="32" t="n">
        <x:v>3</x:v>
      </x:c>
      <x:c r="AB77" s="32" t="str">
        <x:v>ASTM D-6901</x:v>
      </x:c>
      <x:c r="AC77" t="str">
        <x:v>#9998C5</x:v>
      </x:c>
      <x:c r="AD77" s="34" t="n">
        <x:v>153</x:v>
      </x:c>
      <x:c r="AE77" s="34" t="n">
        <x:v>152</x:v>
      </x:c>
      <x:c r="AF77" s="34" t="n">
        <x:v>197</x:v>
      </x:c>
      <x:c r="AG77" s="32" t="n">
        <x:v>241.33</x:v>
      </x:c>
      <x:c r="AH77" s="32" t="n">
        <x:v>27.95</x:v>
      </x:c>
      <x:c r="AI77" s="32" t="n">
        <x:v>68.43</x:v>
      </x:c>
      <x:c r="AJ77" s="32" t="n">
        <x:v>64.37</x:v>
      </x:c>
      <x:c r="AK77" s="32" t="n">
        <x:v>10.04</x:v>
      </x:c>
      <x:c r="AL77" s="32" t="n">
        <x:v>-23.01</x:v>
      </x:c>
      <x:c r="AM77" s="32" t="str">
        <x:v>#000000</x:v>
      </x:c>
      <x:c r="AN77" s="32" t="str">
        <x:v>Black</x:v>
      </x:c>
      <x:c r="AO77" s="32" t="n">
        <x:v>7.65</x:v>
      </x:c>
      <x:c r="AP77" s="32" t="n">
        <x:v>7.65</x:v>
      </x:c>
      <x:c r="AQ77" s="32" t="n">
        <x:v>2.74</x:v>
      </x:c>
      <x:c r="AR77" s="32" t="n">
        <x:v>0.3326</x:v>
      </x:c>
      <x:c r="AS77" t="str">
        <x:v>PASS</x:v>
      </x:c>
      <x:c r="AT77" t="str">
        <x:v>--cda-lum-630</x:v>
      </x:c>
      <x:c r="AU77" t="str">
        <x:v>var(--cda-lum-630)</x:v>
      </x:c>
      <x:c r="AV77" t="str">
        <x:v>Median RGB from official PDF swatch (screen reference only)</x:v>
      </x:c>
      <x:c r="AW77" t="str">
        <x:v>https://www.carandache.com/content_files/uploaded_doc/product/10580/nuancier_luminance_fr.pdf</x:v>
      </x:c>
      <x:c r="AX77" t="n">
        <x:v>1</x:v>
      </x:c>
      <x:c r="AY77" t="str">
        <x:v>Official</x:v>
      </x:c>
      <x:c r="AZ77" t="str">
        <x:v>Official where available; curated Traditional Chinese/Japanese otherwise</x:v>
      </x:c>
      <x:c r="BA77" t="str">
        <x:v>Verified from official chart; digital HEX is approximate</x:v>
      </x:c>
      <x:c r="BB77" t="str">
        <x:v>Physical media appearance varies by paper, pressure, layering, water and scan/display profile.</x:v>
      </x:c>
    </x:row>
    <x:row r="78">
      <x:c r="A78" t="str">
        <x:f>G78&amp;"|"&amp;L78</x:f>
        <x:v>LUM|112</x:v>
      </x:c>
      <x:c r="B78" t="str">
        <x:v>03145a20-127d-55ef-9dfc-e790cfcef8ba</x:v>
      </x:c>
      <x:c r="C78" t="str">
        <x:v>CDA-LUM-112</x:v>
      </x:c>
      <x:c r="D78" t="str">
        <x:v>97472986-a576-545d-91ed-c62a5d5bf82d</x:v>
      </x:c>
      <x:c r="E78" t="str">
        <x:v>CDA-CODE-112</x:v>
      </x:c>
      <x:c r="F78" t="str">
        <x:v>Caran d’Ache</x:v>
      </x:c>
      <x:c r="G78" t="str">
        <x:v>LUM</x:v>
      </x:c>
      <x:c r="H78" t="str">
        <x:v>LUMINANCE 6901</x:v>
      </x:c>
      <x:c r="I78" t="str">
        <x:v>Oil-based permanent coloured pencil</x:v>
      </x:c>
      <x:c r="J78" t="str">
        <x:v>Professional</x:v>
      </x:c>
      <x:c r="K78" s="30" t="n">
        <x:v>77</x:v>
      </x:c>
      <x:c r="L78" s="30" t="str">
        <x:v>112</x:v>
      </x:c>
      <x:c r="M78" t="str">
        <x:v>Manganese violet</x:v>
      </x:c>
      <x:c r="N78" t="str">
        <x:v>錳紫</x:v>
      </x:c>
      <x:c r="O78" t="str">
        <x:v>マンガニーズバイオレット</x:v>
      </x:c>
      <x:c r="P78" t="str"/>
      <x:c r="Q78" t="str">
        <x:v>Violet de manganèse</x:v>
      </x:c>
      <x:c r="R78" t="str">
        <x:v>Manganviolett</x:v>
      </x:c>
      <x:c r="S78" t="str">
        <x:v>Viola manganese</x:v>
      </x:c>
      <x:c r="T78" t="str">
        <x:v>Violeta de manganeso</x:v>
      </x:c>
      <x:c r="U78" t="str">
        <x:v>Violeta manganês</x:v>
      </x:c>
      <x:c r="V78" t="str"/>
      <x:c r="W78" t="str">
        <x:v>PV16</x:v>
      </x:c>
      <x:c r="X78" t="n">
        <x:f>IF(W78="",0,LEN(W78)-LEN(SUBSTITUTE(W78,"/",""))+1)</x:f>
        <x:v>1</x:v>
      </x:c>
      <x:c r="Y78" t="str">
        <x:v>I</x:v>
      </x:c>
      <x:c r="Z78" s="32" t="n">
        <x:v>1.67</x:v>
      </x:c>
      <x:c r="AA78" s="32" t="n">
        <x:v>3</x:v>
      </x:c>
      <x:c r="AB78" s="32" t="str">
        <x:v>ASTM D-6901</x:v>
      </x:c>
      <x:c r="AC78" t="str">
        <x:v>#C08FBC</x:v>
      </x:c>
      <x:c r="AD78" s="34" t="n">
        <x:v>192</x:v>
      </x:c>
      <x:c r="AE78" s="34" t="n">
        <x:v>143</x:v>
      </x:c>
      <x:c r="AF78" s="34" t="n">
        <x:v>188</x:v>
      </x:c>
      <x:c r="AG78" s="32" t="n">
        <x:v>304.9</x:v>
      </x:c>
      <x:c r="AH78" s="32" t="n">
        <x:v>28</x:v>
      </x:c>
      <x:c r="AI78" s="32" t="n">
        <x:v>65.69</x:v>
      </x:c>
      <x:c r="AJ78" s="32" t="n">
        <x:v>65.34</x:v>
      </x:c>
      <x:c r="AK78" s="32" t="n">
        <x:v>26.05</x:v>
      </x:c>
      <x:c r="AL78" s="32" t="n">
        <x:v>-16.16</x:v>
      </x:c>
      <x:c r="AM78" s="32" t="str">
        <x:v>#000000</x:v>
      </x:c>
      <x:c r="AN78" s="32" t="str">
        <x:v>Black</x:v>
      </x:c>
      <x:c r="AO78" s="32" t="n">
        <x:v>7.9</x:v>
      </x:c>
      <x:c r="AP78" s="32" t="n">
        <x:v>7.9</x:v>
      </x:c>
      <x:c r="AQ78" s="32" t="n">
        <x:v>2.66</x:v>
      </x:c>
      <x:c r="AR78" s="32" t="n">
        <x:v>0.344822</x:v>
      </x:c>
      <x:c r="AS78" t="str">
        <x:v>PASS</x:v>
      </x:c>
      <x:c r="AT78" t="str">
        <x:v>--cda-lum-112</x:v>
      </x:c>
      <x:c r="AU78" t="str">
        <x:v>var(--cda-lum-112)</x:v>
      </x:c>
      <x:c r="AV78" t="str">
        <x:v>Median RGB from official PDF swatch (screen reference only)</x:v>
      </x:c>
      <x:c r="AW78" t="str">
        <x:v>https://www.carandache.com/content_files/uploaded_doc/product/10580/nuancier_luminance_fr.pdf</x:v>
      </x:c>
      <x:c r="AX78" t="n">
        <x:v>1</x:v>
      </x:c>
      <x:c r="AY78" t="str">
        <x:v>Official</x:v>
      </x:c>
      <x:c r="AZ78" t="str">
        <x:v>Official where available; curated Traditional Chinese/Japanese otherwise</x:v>
      </x:c>
      <x:c r="BA78" t="str">
        <x:v>Verified from official chart; digital HEX is approximate</x:v>
      </x:c>
      <x:c r="BB78" t="str">
        <x:v>Physical media appearance varies by paper, pressure, layering, water and scan/display profile.</x:v>
      </x:c>
    </x:row>
    <x:row r="79">
      <x:c r="A79" t="str">
        <x:f>G79&amp;"|"&amp;L79</x:f>
        <x:v>LUM|083</x:v>
      </x:c>
      <x:c r="B79" t="str">
        <x:v>e0189435-8c20-5cc6-ae15-fbd1bd296526</x:v>
      </x:c>
      <x:c r="C79" t="str">
        <x:v>CDA-LUM-083</x:v>
      </x:c>
      <x:c r="D79" t="str">
        <x:v>ebaf999e-6067-5304-959c-61ee0ffe944e</x:v>
      </x:c>
      <x:c r="E79" t="str">
        <x:v>CDA-CODE-083</x:v>
      </x:c>
      <x:c r="F79" t="str">
        <x:v>Caran d’Ache</x:v>
      </x:c>
      <x:c r="G79" t="str">
        <x:v>LUM</x:v>
      </x:c>
      <x:c r="H79" t="str">
        <x:v>LUMINANCE 6901</x:v>
      </x:c>
      <x:c r="I79" t="str">
        <x:v>Oil-based permanent coloured pencil</x:v>
      </x:c>
      <x:c r="J79" t="str">
        <x:v>Professional</x:v>
      </x:c>
      <x:c r="K79" s="30" t="n">
        <x:v>78</x:v>
      </x:c>
      <x:c r="L79" s="30" t="str">
        <x:v>083</x:v>
      </x:c>
      <x:c r="M79" t="str">
        <x:v>Ultramarin pink</x:v>
      </x:c>
      <x:c r="N79" t="str">
        <x:v>群青粉紅</x:v>
      </x:c>
      <x:c r="O79" t="str">
        <x:v>ウルトラマリンピンク</x:v>
      </x:c>
      <x:c r="P79" t="str"/>
      <x:c r="Q79" t="str">
        <x:v>Rose outremer</x:v>
      </x:c>
      <x:c r="R79" t="str">
        <x:v>Ultramarinrosa</x:v>
      </x:c>
      <x:c r="S79" t="str">
        <x:v>Rosa oltremare</x:v>
      </x:c>
      <x:c r="T79" t="str">
        <x:v>Rosa ultramar</x:v>
      </x:c>
      <x:c r="U79" t="str">
        <x:v>Rosa ultramarino</x:v>
      </x:c>
      <x:c r="V79" t="str"/>
      <x:c r="W79" t="str">
        <x:v>PR259</x:v>
      </x:c>
      <x:c r="X79" t="n">
        <x:f>IF(W79="",0,LEN(W79)-LEN(SUBSTITUTE(W79,"/",""))+1)</x:f>
        <x:v>1</x:v>
      </x:c>
      <x:c r="Y79" t="str">
        <x:v>I</x:v>
      </x:c>
      <x:c r="Z79" s="32" t="n">
        <x:v>1.67</x:v>
      </x:c>
      <x:c r="AA79" s="32" t="n">
        <x:v>3</x:v>
      </x:c>
      <x:c r="AB79" s="32" t="str">
        <x:v>ASTM D-6901</x:v>
      </x:c>
      <x:c r="AC79" t="str">
        <x:v>#C796C0</x:v>
      </x:c>
      <x:c r="AD79" s="34" t="n">
        <x:v>199</x:v>
      </x:c>
      <x:c r="AE79" s="34" t="n">
        <x:v>150</x:v>
      </x:c>
      <x:c r="AF79" s="34" t="n">
        <x:v>192</x:v>
      </x:c>
      <x:c r="AG79" s="32" t="n">
        <x:v>308.57</x:v>
      </x:c>
      <x:c r="AH79" s="32" t="n">
        <x:v>30.43</x:v>
      </x:c>
      <x:c r="AI79" s="32" t="n">
        <x:v>68.43</x:v>
      </x:c>
      <x:c r="AJ79" s="32" t="n">
        <x:v>67.84</x:v>
      </x:c>
      <x:c r="AK79" s="32" t="n">
        <x:v>25.31</x:v>
      </x:c>
      <x:c r="AL79" s="32" t="n">
        <x:v>-14.56</x:v>
      </x:c>
      <x:c r="AM79" s="32" t="str">
        <x:v>#000000</x:v>
      </x:c>
      <x:c r="AN79" s="32" t="str">
        <x:v>Black</x:v>
      </x:c>
      <x:c r="AO79" s="32" t="n">
        <x:v>8.55</x:v>
      </x:c>
      <x:c r="AP79" s="32" t="n">
        <x:v>8.55</x:v>
      </x:c>
      <x:c r="AQ79" s="32" t="n">
        <x:v>2.46</x:v>
      </x:c>
      <x:c r="AR79" s="32" t="n">
        <x:v>0.377606</x:v>
      </x:c>
      <x:c r="AS79" t="str">
        <x:v>PASS</x:v>
      </x:c>
      <x:c r="AT79" t="str">
        <x:v>--cda-lum-083</x:v>
      </x:c>
      <x:c r="AU79" t="str">
        <x:v>var(--cda-lum-083)</x:v>
      </x:c>
      <x:c r="AV79" t="str">
        <x:v>Median RGB from official PDF swatch (screen reference only)</x:v>
      </x:c>
      <x:c r="AW79" t="str">
        <x:v>https://www.carandache.com/content_files/uploaded_doc/product/10580/nuancier_luminance_fr.pdf</x:v>
      </x:c>
      <x:c r="AX79" t="n">
        <x:v>1</x:v>
      </x:c>
      <x:c r="AY79" t="str">
        <x:v>Official</x:v>
      </x:c>
      <x:c r="AZ79" t="str">
        <x:v>Official where available; curated Traditional Chinese/Japanese otherwise</x:v>
      </x:c>
      <x:c r="BA79" t="str">
        <x:v>Verified from official chart; digital HEX is approximate</x:v>
      </x:c>
      <x:c r="BB79" t="str">
        <x:v>Physical media appearance varies by paper, pressure, layering, water and scan/display profile.</x:v>
      </x:c>
    </x:row>
    <x:row r="80">
      <x:c r="A80" t="str">
        <x:f>G80&amp;"|"&amp;L80</x:f>
        <x:v>LUM|571</x:v>
      </x:c>
      <x:c r="B80" t="str">
        <x:v>b30ef788-0332-5d2e-aafd-453b8c637ec0</x:v>
      </x:c>
      <x:c r="C80" t="str">
        <x:v>CDA-LUM-571</x:v>
      </x:c>
      <x:c r="D80" t="str">
        <x:v>fcb6aaca-0994-5002-ac62-765b4a7bc21b</x:v>
      </x:c>
      <x:c r="E80" t="str">
        <x:v>CDA-CODE-571</x:v>
      </x:c>
      <x:c r="F80" t="str">
        <x:v>Caran d’Ache</x:v>
      </x:c>
      <x:c r="G80" t="str">
        <x:v>LUM</x:v>
      </x:c>
      <x:c r="H80" t="str">
        <x:v>LUMINANCE 6901</x:v>
      </x:c>
      <x:c r="I80" t="str">
        <x:v>Oil-based permanent coloured pencil</x:v>
      </x:c>
      <x:c r="J80" t="str">
        <x:v>Professional</x:v>
      </x:c>
      <x:c r="K80" s="30" t="n">
        <x:v>79</x:v>
      </x:c>
      <x:c r="L80" s="30" t="str">
        <x:v>571</x:v>
      </x:c>
      <x:c r="M80" t="str">
        <x:v>Anthraquinoid pink</x:v>
      </x:c>
      <x:c r="N80" t="str">
        <x:v>蒽醌粉紅</x:v>
      </x:c>
      <x:c r="O80" t="str">
        <x:v>アントラキノイドピンク</x:v>
      </x:c>
      <x:c r="P80" t="str"/>
      <x:c r="Q80" t="str">
        <x:v>Rose anthraquinone</x:v>
      </x:c>
      <x:c r="R80" t="str">
        <x:v>Anthrachinon rosa</x:v>
      </x:c>
      <x:c r="S80" t="str">
        <x:v>Rosa antrachinone</x:v>
      </x:c>
      <x:c r="T80" t="str">
        <x:v>Rosa anthraquinona</x:v>
      </x:c>
      <x:c r="U80" t="str">
        <x:v>Rosa Antraquinona</x:v>
      </x:c>
      <x:c r="V80" t="str"/>
      <x:c r="W80" t="str">
        <x:v>PR168</x:v>
      </x:c>
      <x:c r="X80" t="n">
        <x:f>IF(W80="",0,LEN(W80)-LEN(SUBSTITUTE(W80,"/",""))+1)</x:f>
        <x:v>1</x:v>
      </x:c>
      <x:c r="Y80" t="str">
        <x:v>I</x:v>
      </x:c>
      <x:c r="Z80" s="32" t="n">
        <x:v>1.67</x:v>
      </x:c>
      <x:c r="AA80" s="32" t="n">
        <x:v>3</x:v>
      </x:c>
      <x:c r="AB80" s="32" t="str">
        <x:v>ASTM D-6901</x:v>
      </x:c>
      <x:c r="AC80" t="str">
        <x:v>#EE7C7C</x:v>
      </x:c>
      <x:c r="AD80" s="34" t="n">
        <x:v>238</x:v>
      </x:c>
      <x:c r="AE80" s="34" t="n">
        <x:v>124</x:v>
      </x:c>
      <x:c r="AF80" s="34" t="n">
        <x:v>124</x:v>
      </x:c>
      <x:c r="AG80" s="32" t="n">
        <x:v>0</x:v>
      </x:c>
      <x:c r="AH80" s="32" t="n">
        <x:v>77.03</x:v>
      </x:c>
      <x:c r="AI80" s="32" t="n">
        <x:v>70.98</x:v>
      </x:c>
      <x:c r="AJ80" s="32" t="n">
        <x:v>65</x:v>
      </x:c>
      <x:c r="AK80" s="32" t="n">
        <x:v>43.72</x:v>
      </x:c>
      <x:c r="AL80" s="32" t="n">
        <x:v>20.19</x:v>
      </x:c>
      <x:c r="AM80" s="32" t="str">
        <x:v>#000000</x:v>
      </x:c>
      <x:c r="AN80" s="32" t="str">
        <x:v>Black</x:v>
      </x:c>
      <x:c r="AO80" s="32" t="n">
        <x:v>7.81</x:v>
      </x:c>
      <x:c r="AP80" s="32" t="n">
        <x:v>7.81</x:v>
      </x:c>
      <x:c r="AQ80" s="32" t="n">
        <x:v>2.69</x:v>
      </x:c>
      <x:c r="AR80" s="32" t="n">
        <x:v>0.340477</x:v>
      </x:c>
      <x:c r="AS80" t="str">
        <x:v>PASS</x:v>
      </x:c>
      <x:c r="AT80" t="str">
        <x:v>--cda-lum-571</x:v>
      </x:c>
      <x:c r="AU80" t="str">
        <x:v>var(--cda-lum-571)</x:v>
      </x:c>
      <x:c r="AV80" t="str">
        <x:v>Median RGB from official PDF swatch (screen reference only)</x:v>
      </x:c>
      <x:c r="AW80" t="str">
        <x:v>https://www.carandache.com/content_files/uploaded_doc/product/10580/nuancier_luminance_fr.pdf</x:v>
      </x:c>
      <x:c r="AX80" t="n">
        <x:v>1</x:v>
      </x:c>
      <x:c r="AY80" t="str">
        <x:v>Official</x:v>
      </x:c>
      <x:c r="AZ80" t="str">
        <x:v>Official where available; curated Traditional Chinese/Japanese otherwise</x:v>
      </x:c>
      <x:c r="BA80" t="str">
        <x:v>Verified from official chart; digital HEX is approximate</x:v>
      </x:c>
      <x:c r="BB80" t="str">
        <x:v>Physical media appearance varies by paper, pressure, layering, water and scan/display profile.</x:v>
      </x:c>
    </x:row>
    <x:row r="81">
      <x:c r="A81" t="str">
        <x:f>G81&amp;"|"&amp;L81</x:f>
        <x:v>LUM|041</x:v>
      </x:c>
      <x:c r="B81" t="str">
        <x:v>02ffaf1a-95ee-5962-b793-7bb0d2706b4d</x:v>
      </x:c>
      <x:c r="C81" t="str">
        <x:v>CDA-LUM-041</x:v>
      </x:c>
      <x:c r="D81" t="str">
        <x:v>ceca6685-d7aa-5cc6-ae9f-101c1861f467</x:v>
      </x:c>
      <x:c r="E81" t="str">
        <x:v>CDA-CODE-041</x:v>
      </x:c>
      <x:c r="F81" t="str">
        <x:v>Caran d’Ache</x:v>
      </x:c>
      <x:c r="G81" t="str">
        <x:v>LUM</x:v>
      </x:c>
      <x:c r="H81" t="str">
        <x:v>LUMINANCE 6901</x:v>
      </x:c>
      <x:c r="I81" t="str">
        <x:v>Oil-based permanent coloured pencil</x:v>
      </x:c>
      <x:c r="J81" t="str">
        <x:v>Professional</x:v>
      </x:c>
      <x:c r="K81" s="30" t="n">
        <x:v>80</x:v>
      </x:c>
      <x:c r="L81" s="30" t="str">
        <x:v>041</x:v>
      </x:c>
      <x:c r="M81" t="str">
        <x:v>Apricot</x:v>
      </x:c>
      <x:c r="N81" t="str">
        <x:v>杏色</x:v>
      </x:c>
      <x:c r="O81" t="str">
        <x:v>アプリコット</x:v>
      </x:c>
      <x:c r="P81" t="str"/>
      <x:c r="Q81" t="str">
        <x:v>Abricot</x:v>
      </x:c>
      <x:c r="R81" t="str">
        <x:v>Aprikose</x:v>
      </x:c>
      <x:c r="S81" t="str">
        <x:v>Albicocca</x:v>
      </x:c>
      <x:c r="T81" t="str">
        <x:v>Albaricoque</x:v>
      </x:c>
      <x:c r="U81" t="str">
        <x:v>Alperce</x:v>
      </x:c>
      <x:c r="V81" t="str"/>
      <x:c r="W81" t="str">
        <x:v>PO61</x:v>
      </x:c>
      <x:c r="X81" t="n">
        <x:f>IF(W81="",0,LEN(W81)-LEN(SUBSTITUTE(W81,"/",""))+1)</x:f>
        <x:v>1</x:v>
      </x:c>
      <x:c r="Y81" t="str">
        <x:v>II</x:v>
      </x:c>
      <x:c r="Z81" s="32" t="n">
        <x:v>3.33</x:v>
      </x:c>
      <x:c r="AA81" s="32" t="n">
        <x:v>3</x:v>
      </x:c>
      <x:c r="AB81" s="32" t="str">
        <x:v>ASTM D-6901</x:v>
      </x:c>
      <x:c r="AC81" t="str">
        <x:v>#F1A05D</x:v>
      </x:c>
      <x:c r="AD81" s="34" t="n">
        <x:v>241</x:v>
      </x:c>
      <x:c r="AE81" s="34" t="n">
        <x:v>160</x:v>
      </x:c>
      <x:c r="AF81" s="34" t="n">
        <x:v>93</x:v>
      </x:c>
      <x:c r="AG81" s="32" t="n">
        <x:v>27.16</x:v>
      </x:c>
      <x:c r="AH81" s="32" t="n">
        <x:v>84.09</x:v>
      </x:c>
      <x:c r="AI81" s="32" t="n">
        <x:v>65.49</x:v>
      </x:c>
      <x:c r="AJ81" s="32" t="n">
        <x:v>72.65</x:v>
      </x:c>
      <x:c r="AK81" s="32" t="n">
        <x:v>23.71</x:v>
      </x:c>
      <x:c r="AL81" s="32" t="n">
        <x:v>46.67</x:v>
      </x:c>
      <x:c r="AM81" s="32" t="str">
        <x:v>#000000</x:v>
      </x:c>
      <x:c r="AN81" s="32" t="str">
        <x:v>Black</x:v>
      </x:c>
      <x:c r="AO81" s="32" t="n">
        <x:v>9.93</x:v>
      </x:c>
      <x:c r="AP81" s="32" t="n">
        <x:v>9.93</x:v>
      </x:c>
      <x:c r="AQ81" s="32" t="n">
        <x:v>2.12</x:v>
      </x:c>
      <x:c r="AR81" s="32" t="n">
        <x:v>0.446327</x:v>
      </x:c>
      <x:c r="AS81" t="str">
        <x:v>PASS</x:v>
      </x:c>
      <x:c r="AT81" t="str">
        <x:v>--cda-lum-041</x:v>
      </x:c>
      <x:c r="AU81" t="str">
        <x:v>var(--cda-lum-041)</x:v>
      </x:c>
      <x:c r="AV81" t="str">
        <x:v>Median RGB from official PDF swatch (screen reference only)</x:v>
      </x:c>
      <x:c r="AW81" t="str">
        <x:v>https://www.carandache.com/content_files/uploaded_doc/product/10580/nuancier_luminance_fr.pdf</x:v>
      </x:c>
      <x:c r="AX81" t="n">
        <x:v>1</x:v>
      </x:c>
      <x:c r="AY81" t="str">
        <x:v>Official</x:v>
      </x:c>
      <x:c r="AZ81" t="str">
        <x:v>Official where available; curated Traditional Chinese/Japanese otherwise</x:v>
      </x:c>
      <x:c r="BA81" t="str">
        <x:v>Verified from official chart; digital HEX is approximate</x:v>
      </x:c>
      <x:c r="BB81" t="str">
        <x:v>Physical media appearance varies by paper, pressure, layering, water and scan/display profile.</x:v>
      </x:c>
    </x:row>
    <x:row r="82">
      <x:c r="A82" t="str">
        <x:f>G82&amp;"|"&amp;L82</x:f>
        <x:v>LUM|732</x:v>
      </x:c>
      <x:c r="B82" t="str">
        <x:v>891c5bff-34ca-5085-8106-9acfc91d7fa5</x:v>
      </x:c>
      <x:c r="C82" t="str">
        <x:v>CDA-LUM-732</x:v>
      </x:c>
      <x:c r="D82" t="str">
        <x:v>6d12cdba-3e12-5fc3-9fbd-401d578575d8</x:v>
      </x:c>
      <x:c r="E82" t="str">
        <x:v>CDA-CODE-732</x:v>
      </x:c>
      <x:c r="F82" t="str">
        <x:v>Caran d’Ache</x:v>
      </x:c>
      <x:c r="G82" t="str">
        <x:v>LUM</x:v>
      </x:c>
      <x:c r="H82" t="str">
        <x:v>LUMINANCE 6901</x:v>
      </x:c>
      <x:c r="I82" t="str">
        <x:v>Oil-based permanent coloured pencil</x:v>
      </x:c>
      <x:c r="J82" t="str">
        <x:v>Professional</x:v>
      </x:c>
      <x:c r="K82" s="30" t="n">
        <x:v>81</x:v>
      </x:c>
      <x:c r="L82" s="30" t="str">
        <x:v>732</x:v>
      </x:c>
      <x:c r="M82" t="str">
        <x:v>Brown olive 10%</x:v>
      </x:c>
      <x:c r="N82" t="str">
        <x:v>棕橄欖色 10%</x:v>
      </x:c>
      <x:c r="O82" t="str">
        <x:v>ブラウンオリーブ 10%</x:v>
      </x:c>
      <x:c r="P82" t="str"/>
      <x:c r="Q82" t="str">
        <x:v>Olive brunâtre 10%</x:v>
      </x:c>
      <x:c r="R82" t="str">
        <x:v>Braunoliv 10%</x:v>
      </x:c>
      <x:c r="S82" t="str">
        <x:v>Oliva bruna 10%</x:v>
      </x:c>
      <x:c r="T82" t="str">
        <x:v>Oliva marrón 10%</x:v>
      </x:c>
      <x:c r="U82" t="str">
        <x:v>Castanho Azeitona 10%</x:v>
      </x:c>
      <x:c r="V82" t="str"/>
      <x:c r="W82" t="str">
        <x:v>PY42/PBk9</x:v>
      </x:c>
      <x:c r="X82" t="n">
        <x:f>IF(W82="",0,LEN(W82)-LEN(SUBSTITUTE(W82,"/",""))+1)</x:f>
        <x:v>2</x:v>
      </x:c>
      <x:c r="Y82" t="str">
        <x:v>I</x:v>
      </x:c>
      <x:c r="Z82" s="32" t="n">
        <x:v>1.67</x:v>
      </x:c>
      <x:c r="AA82" s="32" t="n">
        <x:v>3</x:v>
      </x:c>
      <x:c r="AB82" s="32" t="str">
        <x:v>ASTM D-6901</x:v>
      </x:c>
      <x:c r="AC82" t="str">
        <x:v>#E3CFA0</x:v>
      </x:c>
      <x:c r="AD82" s="34" t="n">
        <x:v>227</x:v>
      </x:c>
      <x:c r="AE82" s="34" t="n">
        <x:v>207</x:v>
      </x:c>
      <x:c r="AF82" s="34" t="n">
        <x:v>160</x:v>
      </x:c>
      <x:c r="AG82" s="32" t="n">
        <x:v>42.09</x:v>
      </x:c>
      <x:c r="AH82" s="32" t="n">
        <x:v>54.47</x:v>
      </x:c>
      <x:c r="AI82" s="32" t="n">
        <x:v>75.88</x:v>
      </x:c>
      <x:c r="AJ82" s="32" t="n">
        <x:v>83.7</x:v>
      </x:c>
      <x:c r="AK82" s="32" t="n">
        <x:v>-0.03</x:v>
      </x:c>
      <x:c r="AL82" s="32" t="n">
        <x:v>25.93</x:v>
      </x:c>
      <x:c r="AM82" s="32" t="str">
        <x:v>#000000</x:v>
      </x:c>
      <x:c r="AN82" s="32" t="str">
        <x:v>Black</x:v>
      </x:c>
      <x:c r="AO82" s="32" t="n">
        <x:v>13.7</x:v>
      </x:c>
      <x:c r="AP82" s="32" t="n">
        <x:v>13.7</x:v>
      </x:c>
      <x:c r="AQ82" s="32" t="n">
        <x:v>1.53</x:v>
      </x:c>
      <x:c r="AR82" s="32" t="n">
        <x:v>0.634946</x:v>
      </x:c>
      <x:c r="AS82" t="str">
        <x:v>PASS</x:v>
      </x:c>
      <x:c r="AT82" t="str">
        <x:v>--cda-lum-732</x:v>
      </x:c>
      <x:c r="AU82" t="str">
        <x:v>var(--cda-lum-732)</x:v>
      </x:c>
      <x:c r="AV82" t="str">
        <x:v>Median RGB from official PDF swatch (screen reference only)</x:v>
      </x:c>
      <x:c r="AW82" t="str">
        <x:v>https://www.carandache.com/content_files/uploaded_doc/product/10580/nuancier_luminance_fr.pdf</x:v>
      </x:c>
      <x:c r="AX82" t="n">
        <x:v>1</x:v>
      </x:c>
      <x:c r="AY82" t="str">
        <x:v>Official</x:v>
      </x:c>
      <x:c r="AZ82" t="str">
        <x:v>Official where available; curated Traditional Chinese/Japanese otherwise</x:v>
      </x:c>
      <x:c r="BA82" t="str">
        <x:v>Verified from official chart; digital HEX is approximate</x:v>
      </x:c>
      <x:c r="BB82" t="str">
        <x:v>Physical media appearance varies by paper, pressure, layering, water and scan/display profile.</x:v>
      </x:c>
    </x:row>
    <x:row r="83">
      <x:c r="A83" t="str">
        <x:f>G83&amp;"|"&amp;L83</x:f>
        <x:v>LUM|542</x:v>
      </x:c>
      <x:c r="B83" t="str">
        <x:v>01be9a00-de53-5190-9f4f-b11a00ba265c</x:v>
      </x:c>
      <x:c r="C83" t="str">
        <x:v>CDA-LUM-542</x:v>
      </x:c>
      <x:c r="D83" t="str">
        <x:v>e6b97c63-44ad-5921-912c-ff40fdb5df56</x:v>
      </x:c>
      <x:c r="E83" t="str">
        <x:v>CDA-CODE-542</x:v>
      </x:c>
      <x:c r="F83" t="str">
        <x:v>Caran d’Ache</x:v>
      </x:c>
      <x:c r="G83" t="str">
        <x:v>LUM</x:v>
      </x:c>
      <x:c r="H83" t="str">
        <x:v>LUMINANCE 6901</x:v>
      </x:c>
      <x:c r="I83" t="str">
        <x:v>Oil-based permanent coloured pencil</x:v>
      </x:c>
      <x:c r="J83" t="str">
        <x:v>Professional</x:v>
      </x:c>
      <x:c r="K83" s="30" t="n">
        <x:v>82</x:v>
      </x:c>
      <x:c r="L83" s="30" t="str">
        <x:v>542</x:v>
      </x:c>
      <x:c r="M83" t="str">
        <x:v>Butternut</x:v>
      </x:c>
      <x:c r="N83" t="str">
        <x:v>胡桃木色</x:v>
      </x:c>
      <x:c r="O83" t="str">
        <x:v>バターナット</x:v>
      </x:c>
      <x:c r="P83" t="str"/>
      <x:c r="Q83" t="str">
        <x:v>Butternut</x:v>
      </x:c>
      <x:c r="R83" t="str">
        <x:v>Butternut</x:v>
      </x:c>
      <x:c r="S83" t="str">
        <x:v>Butternut</x:v>
      </x:c>
      <x:c r="T83" t="str">
        <x:v>Nuez</x:v>
      </x:c>
      <x:c r="U83" t="str">
        <x:v>Butternut</x:v>
      </x:c>
      <x:c r="V83" t="str"/>
      <x:c r="W83" t="str">
        <x:v>PO82</x:v>
      </x:c>
      <x:c r="X83" t="n">
        <x:f>IF(W83="",0,LEN(W83)-LEN(SUBSTITUTE(W83,"/",""))+1)</x:f>
        <x:v>1</x:v>
      </x:c>
      <x:c r="Y83" t="str">
        <x:v>I</x:v>
      </x:c>
      <x:c r="Z83" s="32" t="n">
        <x:v>1.67</x:v>
      </x:c>
      <x:c r="AA83" s="32" t="n">
        <x:v>3</x:v>
      </x:c>
      <x:c r="AB83" s="32" t="str">
        <x:v>ASTM D-6901</x:v>
      </x:c>
      <x:c r="AC83" t="str">
        <x:v>#F7D5A6</x:v>
      </x:c>
      <x:c r="AD83" s="34" t="n">
        <x:v>247</x:v>
      </x:c>
      <x:c r="AE83" s="34" t="n">
        <x:v>213</x:v>
      </x:c>
      <x:c r="AF83" s="34" t="n">
        <x:v>166</x:v>
      </x:c>
      <x:c r="AG83" s="32" t="n">
        <x:v>34.81</x:v>
      </x:c>
      <x:c r="AH83" s="32" t="n">
        <x:v>83.51</x:v>
      </x:c>
      <x:c r="AI83" s="32" t="n">
        <x:v>80.98</x:v>
      </x:c>
      <x:c r="AJ83" s="32" t="n">
        <x:v>87.05</x:v>
      </x:c>
      <x:c r="AK83" s="32" t="n">
        <x:v>5.25</x:v>
      </x:c>
      <x:c r="AL83" s="32" t="n">
        <x:v>27.65</x:v>
      </x:c>
      <x:c r="AM83" s="32" t="str">
        <x:v>#000000</x:v>
      </x:c>
      <x:c r="AN83" s="32" t="str">
        <x:v>Black</x:v>
      </x:c>
      <x:c r="AO83" s="32" t="n">
        <x:v>15.02</x:v>
      </x:c>
      <x:c r="AP83" s="32" t="n">
        <x:v>15.02</x:v>
      </x:c>
      <x:c r="AQ83" s="32" t="n">
        <x:v>1.4</x:v>
      </x:c>
      <x:c r="AR83" s="32" t="n">
        <x:v>0.701158</x:v>
      </x:c>
      <x:c r="AS83" t="str">
        <x:v>PASS</x:v>
      </x:c>
      <x:c r="AT83" t="str">
        <x:v>--cda-lum-542</x:v>
      </x:c>
      <x:c r="AU83" t="str">
        <x:v>var(--cda-lum-542)</x:v>
      </x:c>
      <x:c r="AV83" t="str">
        <x:v>Median RGB from official PDF swatch (screen reference only)</x:v>
      </x:c>
      <x:c r="AW83" t="str">
        <x:v>https://www.carandache.com/content_files/uploaded_doc/product/10580/nuancier_luminance_fr.pdf</x:v>
      </x:c>
      <x:c r="AX83" t="n">
        <x:v>1</x:v>
      </x:c>
      <x:c r="AY83" t="str">
        <x:v>Official</x:v>
      </x:c>
      <x:c r="AZ83" t="str">
        <x:v>Official where available; curated Traditional Chinese/Japanese otherwise</x:v>
      </x:c>
      <x:c r="BA83" t="str">
        <x:v>Verified from official chart; digital HEX is approximate</x:v>
      </x:c>
      <x:c r="BB83" t="str">
        <x:v>Physical media appearance varies by paper, pressure, layering, water and scan/display profile.</x:v>
      </x:c>
    </x:row>
    <x:row r="84">
      <x:c r="A84" t="str">
        <x:f>G84&amp;"|"&amp;L84</x:f>
        <x:v>LUM|832</x:v>
      </x:c>
      <x:c r="B84" t="str">
        <x:v>7c269145-3ba7-53f4-b822-0a9dc1d20134</x:v>
      </x:c>
      <x:c r="C84" t="str">
        <x:v>CDA-LUM-832</x:v>
      </x:c>
      <x:c r="D84" t="str">
        <x:v>e9b99d7e-c47f-58b1-9226-ca91fe67a631</x:v>
      </x:c>
      <x:c r="E84" t="str">
        <x:v>CDA-CODE-832</x:v>
      </x:c>
      <x:c r="F84" t="str">
        <x:v>Caran d’Ache</x:v>
      </x:c>
      <x:c r="G84" t="str">
        <x:v>LUM</x:v>
      </x:c>
      <x:c r="H84" t="str">
        <x:v>LUMINANCE 6901</x:v>
      </x:c>
      <x:c r="I84" t="str">
        <x:v>Oil-based permanent coloured pencil</x:v>
      </x:c>
      <x:c r="J84" t="str">
        <x:v>Professional</x:v>
      </x:c>
      <x:c r="K84" s="30" t="n">
        <x:v>83</x:v>
      </x:c>
      <x:c r="L84" s="30" t="str">
        <x:v>832</x:v>
      </x:c>
      <x:c r="M84" t="str">
        <x:v>Brown ochre 10%</x:v>
      </x:c>
      <x:c r="N84" t="str">
        <x:v>棕赭色 10%</x:v>
      </x:c>
      <x:c r="O84" t="str">
        <x:v>ブラウンオーカー 10%</x:v>
      </x:c>
      <x:c r="P84" t="str"/>
      <x:c r="Q84" t="str">
        <x:v>Ocre brun 10%</x:v>
      </x:c>
      <x:c r="R84" t="str">
        <x:v>Braunocker 10%</x:v>
      </x:c>
      <x:c r="S84" t="str">
        <x:v>Ocra bruna 10%</x:v>
      </x:c>
      <x:c r="T84" t="str">
        <x:v>Ocre marrón 10%</x:v>
      </x:c>
      <x:c r="U84" t="str">
        <x:v>Ocre castanho 10%</x:v>
      </x:c>
      <x:c r="V84" t="str"/>
      <x:c r="W84" t="str">
        <x:v>PR101/PY42/PBk9</x:v>
      </x:c>
      <x:c r="X84" t="n">
        <x:f>IF(W84="",0,LEN(W84)-LEN(SUBSTITUTE(W84,"/",""))+1)</x:f>
        <x:v>3</x:v>
      </x:c>
      <x:c r="Y84" t="str">
        <x:v>I</x:v>
      </x:c>
      <x:c r="Z84" s="32" t="n">
        <x:v>1.67</x:v>
      </x:c>
      <x:c r="AA84" s="32" t="n">
        <x:v>3</x:v>
      </x:c>
      <x:c r="AB84" s="32" t="str">
        <x:v>ASTM D-6901</x:v>
      </x:c>
      <x:c r="AC84" t="str">
        <x:v>#F7D7BF</x:v>
      </x:c>
      <x:c r="AD84" s="34" t="n">
        <x:v>247</x:v>
      </x:c>
      <x:c r="AE84" s="34" t="n">
        <x:v>215</x:v>
      </x:c>
      <x:c r="AF84" s="34" t="n">
        <x:v>191</x:v>
      </x:c>
      <x:c r="AG84" s="32" t="n">
        <x:v>25.71</x:v>
      </x:c>
      <x:c r="AH84" s="32" t="n">
        <x:v>77.78</x:v>
      </x:c>
      <x:c r="AI84" s="32" t="n">
        <x:v>85.88</x:v>
      </x:c>
      <x:c r="AJ84" s="32" t="n">
        <x:v>88.04</x:v>
      </x:c>
      <x:c r="AK84" s="32" t="n">
        <x:v>7.5</x:v>
      </x:c>
      <x:c r="AL84" s="32" t="n">
        <x:v>15.94</x:v>
      </x:c>
      <x:c r="AM84" s="32" t="str">
        <x:v>#000000</x:v>
      </x:c>
      <x:c r="AN84" s="32" t="str">
        <x:v>Black</x:v>
      </x:c>
      <x:c r="AO84" s="32" t="n">
        <x:v>15.43</x:v>
      </x:c>
      <x:c r="AP84" s="32" t="n">
        <x:v>15.43</x:v>
      </x:c>
      <x:c r="AQ84" s="32" t="n">
        <x:v>1.36</x:v>
      </x:c>
      <x:c r="AR84" s="32" t="n">
        <x:v>0.721366</x:v>
      </x:c>
      <x:c r="AS84" t="str">
        <x:v>PASS</x:v>
      </x:c>
      <x:c r="AT84" t="str">
        <x:v>--cda-lum-832</x:v>
      </x:c>
      <x:c r="AU84" t="str">
        <x:v>var(--cda-lum-832)</x:v>
      </x:c>
      <x:c r="AV84" t="str">
        <x:v>Median RGB from official PDF swatch (screen reference only)</x:v>
      </x:c>
      <x:c r="AW84" t="str">
        <x:v>https://www.carandache.com/content_files/uploaded_doc/product/10580/nuancier_luminance_fr.pdf</x:v>
      </x:c>
      <x:c r="AX84" t="n">
        <x:v>1</x:v>
      </x:c>
      <x:c r="AY84" t="str">
        <x:v>Official</x:v>
      </x:c>
      <x:c r="AZ84" t="str">
        <x:v>Official where available; curated Traditional Chinese/Japanese otherwise</x:v>
      </x:c>
      <x:c r="BA84" t="str">
        <x:v>Verified from official chart; digital HEX is approximate</x:v>
      </x:c>
      <x:c r="BB84" t="str">
        <x:v>Physical media appearance varies by paper, pressure, layering, water and scan/display profile.</x:v>
      </x:c>
    </x:row>
    <x:row r="85">
      <x:c r="A85" t="str">
        <x:f>G85&amp;"|"&amp;L85</x:f>
        <x:v>LUM|068</x:v>
      </x:c>
      <x:c r="B85" t="str">
        <x:v>0c0823c8-1f3f-5884-981a-8dc4a6c0676c</x:v>
      </x:c>
      <x:c r="C85" t="str">
        <x:v>CDA-LUM-068</x:v>
      </x:c>
      <x:c r="D85" t="str">
        <x:v>cf74a785-f5e0-5e2c-bf77-3f77f5dd6745</x:v>
      </x:c>
      <x:c r="E85" t="str">
        <x:v>CDA-CODE-068</x:v>
      </x:c>
      <x:c r="F85" t="str">
        <x:v>Caran d’Ache</x:v>
      </x:c>
      <x:c r="G85" t="str">
        <x:v>LUM</x:v>
      </x:c>
      <x:c r="H85" t="str">
        <x:v>LUMINANCE 6901</x:v>
      </x:c>
      <x:c r="I85" t="str">
        <x:v>Oil-based permanent coloured pencil</x:v>
      </x:c>
      <x:c r="J85" t="str">
        <x:v>Professional</x:v>
      </x:c>
      <x:c r="K85" s="30" t="n">
        <x:v>84</x:v>
      </x:c>
      <x:c r="L85" s="30" t="str">
        <x:v>068</x:v>
      </x:c>
      <x:c r="M85" t="str">
        <x:v>Herculanum red</x:v>
      </x:c>
      <x:c r="N85" t="str">
        <x:v>赫庫蘭尼姆紅</x:v>
      </x:c>
      <x:c r="O85" t="str">
        <x:v>ヘルクラネウムレッド</x:v>
      </x:c>
      <x:c r="P85" t="str"/>
      <x:c r="Q85" t="str">
        <x:v>Rouge herculanum</x:v>
      </x:c>
      <x:c r="R85" t="str">
        <x:v>Herculanumrot</x:v>
      </x:c>
      <x:c r="S85" t="str">
        <x:v>Rosso Ercolano</x:v>
      </x:c>
      <x:c r="T85" t="str">
        <x:v>Rojo herculano</x:v>
      </x:c>
      <x:c r="U85" t="str">
        <x:v>Vermelho herculano</x:v>
      </x:c>
      <x:c r="V85" t="str"/>
      <x:c r="W85" t="str">
        <x:v>PR101</x:v>
      </x:c>
      <x:c r="X85" t="n">
        <x:f>IF(W85="",0,LEN(W85)-LEN(SUBSTITUTE(W85,"/",""))+1)</x:f>
        <x:v>1</x:v>
      </x:c>
      <x:c r="Y85" t="str">
        <x:v>I</x:v>
      </x:c>
      <x:c r="Z85" s="32" t="n">
        <x:v>1.67</x:v>
      </x:c>
      <x:c r="AA85" s="32" t="n">
        <x:v>3</x:v>
      </x:c>
      <x:c r="AB85" s="32" t="str">
        <x:v>ASTM D-6901</x:v>
      </x:c>
      <x:c r="AC85" t="str">
        <x:v>#ECB09F</x:v>
      </x:c>
      <x:c r="AD85" s="34" t="n">
        <x:v>236</x:v>
      </x:c>
      <x:c r="AE85" s="34" t="n">
        <x:v>176</x:v>
      </x:c>
      <x:c r="AF85" s="34" t="n">
        <x:v>159</x:v>
      </x:c>
      <x:c r="AG85" s="32" t="n">
        <x:v>13.25</x:v>
      </x:c>
      <x:c r="AH85" s="32" t="n">
        <x:v>66.96</x:v>
      </x:c>
      <x:c r="AI85" s="32" t="n">
        <x:v>77.45</x:v>
      </x:c>
      <x:c r="AJ85" s="32" t="n">
        <x:v>76.91</x:v>
      </x:c>
      <x:c r="AK85" s="32" t="n">
        <x:v>19.61</x:v>
      </x:c>
      <x:c r="AL85" s="32" t="n">
        <x:v>17.26</x:v>
      </x:c>
      <x:c r="AM85" s="32" t="str">
        <x:v>#000000</x:v>
      </x:c>
      <x:c r="AN85" s="32" t="str">
        <x:v>Black</x:v>
      </x:c>
      <x:c r="AO85" s="32" t="n">
        <x:v>11.28</x:v>
      </x:c>
      <x:c r="AP85" s="32" t="n">
        <x:v>11.28</x:v>
      </x:c>
      <x:c r="AQ85" s="32" t="n">
        <x:v>1.86</x:v>
      </x:c>
      <x:c r="AR85" s="32" t="n">
        <x:v>0.513867</x:v>
      </x:c>
      <x:c r="AS85" t="str">
        <x:v>PASS</x:v>
      </x:c>
      <x:c r="AT85" t="str">
        <x:v>--cda-lum-068</x:v>
      </x:c>
      <x:c r="AU85" t="str">
        <x:v>var(--cda-lum-068)</x:v>
      </x:c>
      <x:c r="AV85" t="str">
        <x:v>Median RGB from official PDF swatch (screen reference only)</x:v>
      </x:c>
      <x:c r="AW85" t="str">
        <x:v>https://www.carandache.com/content_files/uploaded_doc/product/10580/nuancier_luminance_fr.pdf</x:v>
      </x:c>
      <x:c r="AX85" t="n">
        <x:v>1</x:v>
      </x:c>
      <x:c r="AY85" t="str">
        <x:v>Official</x:v>
      </x:c>
      <x:c r="AZ85" t="str">
        <x:v>Official where available; curated Traditional Chinese/Japanese otherwise</x:v>
      </x:c>
      <x:c r="BA85" t="str">
        <x:v>Verified from official chart; digital HEX is approximate</x:v>
      </x:c>
      <x:c r="BB85" t="str">
        <x:v>Physical media appearance varies by paper, pressure, layering, water and scan/display profile.</x:v>
      </x:c>
    </x:row>
    <x:row r="86">
      <x:c r="A86" t="str">
        <x:f>G86&amp;"|"&amp;L86</x:f>
        <x:v>LUM|872</x:v>
      </x:c>
      <x:c r="B86" t="str">
        <x:v>5107780b-a919-5c1f-b52c-3ddfa062d486</x:v>
      </x:c>
      <x:c r="C86" t="str">
        <x:v>CDA-LUM-872</x:v>
      </x:c>
      <x:c r="D86" t="str">
        <x:v>155fc5c7-93e7-5547-b187-0f21844ff5c1</x:v>
      </x:c>
      <x:c r="E86" t="str">
        <x:v>CDA-CODE-872</x:v>
      </x:c>
      <x:c r="F86" t="str">
        <x:v>Caran d’Ache</x:v>
      </x:c>
      <x:c r="G86" t="str">
        <x:v>LUM</x:v>
      </x:c>
      <x:c r="H86" t="str">
        <x:v>LUMINANCE 6901</x:v>
      </x:c>
      <x:c r="I86" t="str">
        <x:v>Oil-based permanent coloured pencil</x:v>
      </x:c>
      <x:c r="J86" t="str">
        <x:v>Professional</x:v>
      </x:c>
      <x:c r="K86" s="30" t="n">
        <x:v>85</x:v>
      </x:c>
      <x:c r="L86" s="30" t="str">
        <x:v>872</x:v>
      </x:c>
      <x:c r="M86" t="str">
        <x:v>Burnt ochre 10%</x:v>
      </x:c>
      <x:c r="N86" t="str">
        <x:v>熟赭色 10%</x:v>
      </x:c>
      <x:c r="O86" t="str">
        <x:v>バーントオーカー 10%</x:v>
      </x:c>
      <x:c r="P86" t="str"/>
      <x:c r="Q86" t="str">
        <x:v>Ocre brûlée 10%</x:v>
      </x:c>
      <x:c r="R86" t="str">
        <x:v>Ocker gebrannt 10%</x:v>
      </x:c>
      <x:c r="S86" t="str">
        <x:v>Ocra bruciata 10%</x:v>
      </x:c>
      <x:c r="T86" t="str">
        <x:v>Ocre quemado 10%</x:v>
      </x:c>
      <x:c r="U86" t="str">
        <x:v>Ocre queimado 10%</x:v>
      </x:c>
      <x:c r="V86" t="str"/>
      <x:c r="W86" t="str">
        <x:v>PR101/PY42</x:v>
      </x:c>
      <x:c r="X86" t="n">
        <x:f>IF(W86="",0,LEN(W86)-LEN(SUBSTITUTE(W86,"/",""))+1)</x:f>
        <x:v>2</x:v>
      </x:c>
      <x:c r="Y86" t="str">
        <x:v>I</x:v>
      </x:c>
      <x:c r="Z86" s="32" t="n">
        <x:v>1.67</x:v>
      </x:c>
      <x:c r="AA86" s="32" t="n">
        <x:v>3</x:v>
      </x:c>
      <x:c r="AB86" s="32" t="str">
        <x:v>ASTM D-6901</x:v>
      </x:c>
      <x:c r="AC86" t="str">
        <x:v>#E9C1AA</x:v>
      </x:c>
      <x:c r="AD86" s="34" t="n">
        <x:v>233</x:v>
      </x:c>
      <x:c r="AE86" s="34" t="n">
        <x:v>193</x:v>
      </x:c>
      <x:c r="AF86" s="34" t="n">
        <x:v>170</x:v>
      </x:c>
      <x:c r="AG86" s="32" t="n">
        <x:v>21.9</x:v>
      </x:c>
      <x:c r="AH86" s="32" t="n">
        <x:v>58.88</x:v>
      </x:c>
      <x:c r="AI86" s="32" t="n">
        <x:v>79.02</x:v>
      </x:c>
      <x:c r="AJ86" s="32" t="n">
        <x:v>80.94</x:v>
      </x:c>
      <x:c r="AK86" s="32" t="n">
        <x:v>10.89</x:v>
      </x:c>
      <x:c r="AL86" s="32" t="n">
        <x:v>16.93</x:v>
      </x:c>
      <x:c r="AM86" s="32" t="str">
        <x:v>#000000</x:v>
      </x:c>
      <x:c r="AN86" s="32" t="str">
        <x:v>Black</x:v>
      </x:c>
      <x:c r="AO86" s="32" t="n">
        <x:v>12.67</x:v>
      </x:c>
      <x:c r="AP86" s="32" t="n">
        <x:v>12.67</x:v>
      </x:c>
      <x:c r="AQ86" s="32" t="n">
        <x:v>1.66</x:v>
      </x:c>
      <x:c r="AR86" s="32" t="n">
        <x:v>0.583658</x:v>
      </x:c>
      <x:c r="AS86" t="str">
        <x:v>PASS</x:v>
      </x:c>
      <x:c r="AT86" t="str">
        <x:v>--cda-lum-872</x:v>
      </x:c>
      <x:c r="AU86" t="str">
        <x:v>var(--cda-lum-872)</x:v>
      </x:c>
      <x:c r="AV86" t="str">
        <x:v>Median RGB from official PDF swatch (screen reference only)</x:v>
      </x:c>
      <x:c r="AW86" t="str">
        <x:v>https://www.carandache.com/content_files/uploaded_doc/product/10580/nuancier_luminance_fr.pdf</x:v>
      </x:c>
      <x:c r="AX86" t="n">
        <x:v>1</x:v>
      </x:c>
      <x:c r="AY86" t="str">
        <x:v>Official</x:v>
      </x:c>
      <x:c r="AZ86" t="str">
        <x:v>Official where available; curated Traditional Chinese/Japanese otherwise</x:v>
      </x:c>
      <x:c r="BA86" t="str">
        <x:v>Verified from official chart; digital HEX is approximate</x:v>
      </x:c>
      <x:c r="BB86" t="str">
        <x:v>Physical media appearance varies by paper, pressure, layering, water and scan/display profile.</x:v>
      </x:c>
    </x:row>
    <x:row r="87">
      <x:c r="A87" t="str">
        <x:f>G87&amp;"|"&amp;L87</x:f>
        <x:v>LUM|842</x:v>
      </x:c>
      <x:c r="B87" t="str">
        <x:v>b669fe91-6310-57c7-9f31-0480a4c87b27</x:v>
      </x:c>
      <x:c r="C87" t="str">
        <x:v>CDA-LUM-842</x:v>
      </x:c>
      <x:c r="D87" t="str">
        <x:v>9441003d-e3c3-5555-8369-35b723ece664</x:v>
      </x:c>
      <x:c r="E87" t="str">
        <x:v>CDA-CODE-842</x:v>
      </x:c>
      <x:c r="F87" t="str">
        <x:v>Caran d’Ache</x:v>
      </x:c>
      <x:c r="G87" t="str">
        <x:v>LUM</x:v>
      </x:c>
      <x:c r="H87" t="str">
        <x:v>LUMINANCE 6901</x:v>
      </x:c>
      <x:c r="I87" t="str">
        <x:v>Oil-based permanent coloured pencil</x:v>
      </x:c>
      <x:c r="J87" t="str">
        <x:v>Professional</x:v>
      </x:c>
      <x:c r="K87" s="30" t="n">
        <x:v>86</x:v>
      </x:c>
      <x:c r="L87" s="30" t="str">
        <x:v>842</x:v>
      </x:c>
      <x:c r="M87" t="str">
        <x:v>Raw umber 10%</x:v>
      </x:c>
      <x:c r="N87" t="str">
        <x:v>生褐色 10%</x:v>
      </x:c>
      <x:c r="O87" t="str">
        <x:v>ローアンバー 10%</x:v>
      </x:c>
      <x:c r="P87" t="str"/>
      <x:c r="Q87" t="str">
        <x:v>Ombre naturelle 10%</x:v>
      </x:c>
      <x:c r="R87" t="str">
        <x:v>Echtumbra 10%</x:v>
      </x:c>
      <x:c r="S87" t="str">
        <x:v>Ombra naturale 10 %</x:v>
      </x:c>
      <x:c r="T87" t="str">
        <x:v>Sombra natural 10%</x:v>
      </x:c>
      <x:c r="U87" t="str">
        <x:v>Sombra natural 10%</x:v>
      </x:c>
      <x:c r="V87" t="str"/>
      <x:c r="W87" t="str">
        <x:v>PR101/PY42/PBk11</x:v>
      </x:c>
      <x:c r="X87" t="n">
        <x:f>IF(W87="",0,LEN(W87)-LEN(SUBSTITUTE(W87,"/",""))+1)</x:f>
        <x:v>3</x:v>
      </x:c>
      <x:c r="Y87" t="str">
        <x:v>I</x:v>
      </x:c>
      <x:c r="Z87" s="32" t="n">
        <x:v>1.67</x:v>
      </x:c>
      <x:c r="AA87" s="32" t="n">
        <x:v>3</x:v>
      </x:c>
      <x:c r="AB87" s="32" t="str">
        <x:v>ASTM D-6901</x:v>
      </x:c>
      <x:c r="AC87" t="str">
        <x:v>#D6C1A3</x:v>
      </x:c>
      <x:c r="AD87" s="34" t="n">
        <x:v>214</x:v>
      </x:c>
      <x:c r="AE87" s="34" t="n">
        <x:v>193</x:v>
      </x:c>
      <x:c r="AF87" s="34" t="n">
        <x:v>163</x:v>
      </x:c>
      <x:c r="AG87" s="32" t="n">
        <x:v>35.29</x:v>
      </x:c>
      <x:c r="AH87" s="32" t="n">
        <x:v>38.35</x:v>
      </x:c>
      <x:c r="AI87" s="32" t="n">
        <x:v>73.92</x:v>
      </x:c>
      <x:c r="AJ87" s="32" t="n">
        <x:v>79.09</x:v>
      </x:c>
      <x:c r="AK87" s="32" t="n">
        <x:v>2.75</x:v>
      </x:c>
      <x:c r="AL87" s="32" t="n">
        <x:v>17.83</x:v>
      </x:c>
      <x:c r="AM87" s="32" t="str">
        <x:v>#000000</x:v>
      </x:c>
      <x:c r="AN87" s="32" t="str">
        <x:v>Black</x:v>
      </x:c>
      <x:c r="AO87" s="32" t="n">
        <x:v>12.02</x:v>
      </x:c>
      <x:c r="AP87" s="32" t="n">
        <x:v>12.02</x:v>
      </x:c>
      <x:c r="AQ87" s="32" t="n">
        <x:v>1.75</x:v>
      </x:c>
      <x:c r="AR87" s="32" t="n">
        <x:v>0.550804</x:v>
      </x:c>
      <x:c r="AS87" t="str">
        <x:v>PASS</x:v>
      </x:c>
      <x:c r="AT87" t="str">
        <x:v>--cda-lum-842</x:v>
      </x:c>
      <x:c r="AU87" t="str">
        <x:v>var(--cda-lum-842)</x:v>
      </x:c>
      <x:c r="AV87" t="str">
        <x:v>Median RGB from official PDF swatch (screen reference only)</x:v>
      </x:c>
      <x:c r="AW87" t="str">
        <x:v>https://www.carandache.com/content_files/uploaded_doc/product/10580/nuancier_luminance_fr.pdf</x:v>
      </x:c>
      <x:c r="AX87" t="n">
        <x:v>1</x:v>
      </x:c>
      <x:c r="AY87" t="str">
        <x:v>Official</x:v>
      </x:c>
      <x:c r="AZ87" t="str">
        <x:v>Official where available; curated Traditional Chinese/Japanese otherwise</x:v>
      </x:c>
      <x:c r="BA87" t="str">
        <x:v>Verified from official chart; digital HEX is approximate</x:v>
      </x:c>
      <x:c r="BB87" t="str">
        <x:v>Physical media appearance varies by paper, pressure, layering, water and scan/display profile.</x:v>
      </x:c>
    </x:row>
    <x:row r="88">
      <x:c r="A88" t="str">
        <x:f>G88&amp;"|"&amp;L88</x:f>
        <x:v>LUM|802</x:v>
      </x:c>
      <x:c r="B88" t="str">
        <x:v>5393d9b5-63a9-55eb-b8c7-3b818c71218f</x:v>
      </x:c>
      <x:c r="C88" t="str">
        <x:v>CDA-LUM-802</x:v>
      </x:c>
      <x:c r="D88" t="str">
        <x:v>023df18c-2712-55f0-b5ac-834e355cf2bf</x:v>
      </x:c>
      <x:c r="E88" t="str">
        <x:v>CDA-CODE-802</x:v>
      </x:c>
      <x:c r="F88" t="str">
        <x:v>Caran d’Ache</x:v>
      </x:c>
      <x:c r="G88" t="str">
        <x:v>LUM</x:v>
      </x:c>
      <x:c r="H88" t="str">
        <x:v>LUMINANCE 6901</x:v>
      </x:c>
      <x:c r="I88" t="str">
        <x:v>Oil-based permanent coloured pencil</x:v>
      </x:c>
      <x:c r="J88" t="str">
        <x:v>Professional</x:v>
      </x:c>
      <x:c r="K88" s="30" t="n">
        <x:v>87</x:v>
      </x:c>
      <x:c r="L88" s="30" t="str">
        <x:v>802</x:v>
      </x:c>
      <x:c r="M88" t="str">
        <x:v>French grey 10%</x:v>
      </x:c>
      <x:c r="N88" t="str">
        <x:v>法國灰 10%</x:v>
      </x:c>
      <x:c r="O88" t="str">
        <x:v>フレンチグレー 10%</x:v>
      </x:c>
      <x:c r="P88" t="str"/>
      <x:c r="Q88" t="str">
        <x:v>Gris français 10%</x:v>
      </x:c>
      <x:c r="R88" t="str">
        <x:v>Französischgrau 10%</x:v>
      </x:c>
      <x:c r="S88" t="str">
        <x:v>Grigio francese 10%</x:v>
      </x:c>
      <x:c r="T88" t="str">
        <x:v>Gris francés 10%</x:v>
      </x:c>
      <x:c r="U88" t="str">
        <x:v>Cinzento francês 10%</x:v>
      </x:c>
      <x:c r="V88" t="str"/>
      <x:c r="W88" t="str">
        <x:v>PY42/PR101/PBk6</x:v>
      </x:c>
      <x:c r="X88" t="n">
        <x:f>IF(W88="",0,LEN(W88)-LEN(SUBSTITUTE(W88,"/",""))+1)</x:f>
        <x:v>3</x:v>
      </x:c>
      <x:c r="Y88" t="str">
        <x:v>I</x:v>
      </x:c>
      <x:c r="Z88" s="32" t="n">
        <x:v>1.67</x:v>
      </x:c>
      <x:c r="AA88" s="32" t="n">
        <x:v>3</x:v>
      </x:c>
      <x:c r="AB88" s="32" t="str">
        <x:v>ASTM D-6901</x:v>
      </x:c>
      <x:c r="AC88" t="str">
        <x:v>#C2B4AF</x:v>
      </x:c>
      <x:c r="AD88" s="34" t="n">
        <x:v>194</x:v>
      </x:c>
      <x:c r="AE88" s="34" t="n">
        <x:v>180</x:v>
      </x:c>
      <x:c r="AF88" s="34" t="n">
        <x:v>175</x:v>
      </x:c>
      <x:c r="AG88" s="32" t="n">
        <x:v>15.79</x:v>
      </x:c>
      <x:c r="AH88" s="32" t="n">
        <x:v>13.48</x:v>
      </x:c>
      <x:c r="AI88" s="32" t="n">
        <x:v>72.35</x:v>
      </x:c>
      <x:c r="AJ88" s="32" t="n">
        <x:v>74.32</x:v>
      </x:c>
      <x:c r="AK88" s="32" t="n">
        <x:v>4.11</x:v>
      </x:c>
      <x:c r="AL88" s="32" t="n">
        <x:v>4.34</x:v>
      </x:c>
      <x:c r="AM88" s="32" t="str">
        <x:v>#000000</x:v>
      </x:c>
      <x:c r="AN88" s="32" t="str">
        <x:v>Black</x:v>
      </x:c>
      <x:c r="AO88" s="32" t="n">
        <x:v>10.44</x:v>
      </x:c>
      <x:c r="AP88" s="32" t="n">
        <x:v>10.44</x:v>
      </x:c>
      <x:c r="AQ88" s="32" t="n">
        <x:v>2.01</x:v>
      </x:c>
      <x:c r="AR88" s="32" t="n">
        <x:v>0.47207</x:v>
      </x:c>
      <x:c r="AS88" t="str">
        <x:v>PASS</x:v>
      </x:c>
      <x:c r="AT88" t="str">
        <x:v>--cda-lum-802</x:v>
      </x:c>
      <x:c r="AU88" t="str">
        <x:v>var(--cda-lum-802)</x:v>
      </x:c>
      <x:c r="AV88" t="str">
        <x:v>Median RGB from official PDF swatch (screen reference only)</x:v>
      </x:c>
      <x:c r="AW88" t="str">
        <x:v>https://www.carandache.com/content_files/uploaded_doc/product/10580/nuancier_luminance_fr.pdf</x:v>
      </x:c>
      <x:c r="AX88" t="n">
        <x:v>1</x:v>
      </x:c>
      <x:c r="AY88" t="str">
        <x:v>Official</x:v>
      </x:c>
      <x:c r="AZ88" t="str">
        <x:v>Official where available; curated Traditional Chinese/Japanese otherwise</x:v>
      </x:c>
      <x:c r="BA88" t="str">
        <x:v>Verified from official chart; digital HEX is approximate</x:v>
      </x:c>
      <x:c r="BB88" t="str">
        <x:v>Physical media appearance varies by paper, pressure, layering, water and scan/display profile.</x:v>
      </x:c>
    </x:row>
    <x:row r="89">
      <x:c r="A89" t="str">
        <x:f>G89&amp;"|"&amp;L89</x:f>
        <x:v>LUM|862</x:v>
      </x:c>
      <x:c r="B89" t="str">
        <x:v>fb02a7f6-58c5-5aa3-8019-11e00586dffe</x:v>
      </x:c>
      <x:c r="C89" t="str">
        <x:v>CDA-LUM-862</x:v>
      </x:c>
      <x:c r="D89" t="str">
        <x:v>ae6fbd3d-3326-50d7-9e45-d8bdc8a29149</x:v>
      </x:c>
      <x:c r="E89" t="str">
        <x:v>CDA-CODE-862</x:v>
      </x:c>
      <x:c r="F89" t="str">
        <x:v>Caran d’Ache</x:v>
      </x:c>
      <x:c r="G89" t="str">
        <x:v>LUM</x:v>
      </x:c>
      <x:c r="H89" t="str">
        <x:v>LUMINANCE 6901</x:v>
      </x:c>
      <x:c r="I89" t="str">
        <x:v>Oil-based permanent coloured pencil</x:v>
      </x:c>
      <x:c r="J89" t="str">
        <x:v>Professional</x:v>
      </x:c>
      <x:c r="K89" s="30" t="n">
        <x:v>88</x:v>
      </x:c>
      <x:c r="L89" s="30" t="str">
        <x:v>862</x:v>
      </x:c>
      <x:c r="M89" t="str">
        <x:v>Burnt sienna 10%</x:v>
      </x:c>
      <x:c r="N89" t="str">
        <x:v>熟赭紅 10%</x:v>
      </x:c>
      <x:c r="O89" t="str">
        <x:v>バーントシェンナ 10%</x:v>
      </x:c>
      <x:c r="P89" t="str"/>
      <x:c r="Q89" t="str">
        <x:v>Sienne brûlée 10%</x:v>
      </x:c>
      <x:c r="R89" t="str">
        <x:v>Siena gebrannt 10%</x:v>
      </x:c>
      <x:c r="S89" t="str">
        <x:v>Siena bruciata 10%</x:v>
      </x:c>
      <x:c r="T89" t="str">
        <x:v>Sienna quemada 10%</x:v>
      </x:c>
      <x:c r="U89" t="str">
        <x:v>Siena queimado 10%</x:v>
      </x:c>
      <x:c r="V89" t="str"/>
      <x:c r="W89" t="str">
        <x:v>PR101/PBk6</x:v>
      </x:c>
      <x:c r="X89" t="n">
        <x:f>IF(W89="",0,LEN(W89)-LEN(SUBSTITUTE(W89,"/",""))+1)</x:f>
        <x:v>2</x:v>
      </x:c>
      <x:c r="Y89" t="str">
        <x:v>I</x:v>
      </x:c>
      <x:c r="Z89" s="32" t="n">
        <x:v>1.67</x:v>
      </x:c>
      <x:c r="AA89" s="32" t="n">
        <x:v>3</x:v>
      </x:c>
      <x:c r="AB89" s="32" t="str">
        <x:v>ASTM D-6901</x:v>
      </x:c>
      <x:c r="AC89" t="str">
        <x:v>#DBBABA</x:v>
      </x:c>
      <x:c r="AD89" s="34" t="n">
        <x:v>219</x:v>
      </x:c>
      <x:c r="AE89" s="34" t="n">
        <x:v>186</x:v>
      </x:c>
      <x:c r="AF89" s="34" t="n">
        <x:v>186</x:v>
      </x:c>
      <x:c r="AG89" s="32" t="n">
        <x:v>0</x:v>
      </x:c>
      <x:c r="AH89" s="32" t="n">
        <x:v>31.43</x:v>
      </x:c>
      <x:c r="AI89" s="32" t="n">
        <x:v>79.41</x:v>
      </x:c>
      <x:c r="AJ89" s="32" t="n">
        <x:v>78.3</x:v>
      </x:c>
      <x:c r="AK89" s="32" t="n">
        <x:v>11.78</x:v>
      </x:c>
      <x:c r="AL89" s="32" t="n">
        <x:v>4.39</x:v>
      </x:c>
      <x:c r="AM89" s="32" t="str">
        <x:v>#000000</x:v>
      </x:c>
      <x:c r="AN89" s="32" t="str">
        <x:v>Black</x:v>
      </x:c>
      <x:c r="AO89" s="32" t="n">
        <x:v>11.74</x:v>
      </x:c>
      <x:c r="AP89" s="32" t="n">
        <x:v>11.74</x:v>
      </x:c>
      <x:c r="AQ89" s="32" t="n">
        <x:v>1.79</x:v>
      </x:c>
      <x:c r="AR89" s="32" t="n">
        <x:v>0.537231</x:v>
      </x:c>
      <x:c r="AS89" t="str">
        <x:v>PASS</x:v>
      </x:c>
      <x:c r="AT89" t="str">
        <x:v>--cda-lum-862</x:v>
      </x:c>
      <x:c r="AU89" t="str">
        <x:v>var(--cda-lum-862)</x:v>
      </x:c>
      <x:c r="AV89" t="str">
        <x:v>Median RGB from official PDF swatch (screen reference only)</x:v>
      </x:c>
      <x:c r="AW89" t="str">
        <x:v>https://www.carandache.com/content_files/uploaded_doc/product/10580/nuancier_luminance_fr.pdf</x:v>
      </x:c>
      <x:c r="AX89" t="n">
        <x:v>1</x:v>
      </x:c>
      <x:c r="AY89" t="str">
        <x:v>Official</x:v>
      </x:c>
      <x:c r="AZ89" t="str">
        <x:v>Official where available; curated Traditional Chinese/Japanese otherwise</x:v>
      </x:c>
      <x:c r="BA89" t="str">
        <x:v>Verified from official chart; digital HEX is approximate</x:v>
      </x:c>
      <x:c r="BB89" t="str">
        <x:v>Physical media appearance varies by paper, pressure, layering, water and scan/display profile.</x:v>
      </x:c>
    </x:row>
    <x:row r="90">
      <x:c r="A90" t="str">
        <x:f>G90&amp;"|"&amp;L90</x:f>
        <x:v>LUM|093</x:v>
      </x:c>
      <x:c r="B90" t="str">
        <x:v>7dd01990-16ed-59d5-ab2e-66b383a07ed1</x:v>
      </x:c>
      <x:c r="C90" t="str">
        <x:v>CDA-LUM-093</x:v>
      </x:c>
      <x:c r="D90" t="str">
        <x:v>e538ef64-8d9e-5a65-841e-49a8b475568d</x:v>
      </x:c>
      <x:c r="E90" t="str">
        <x:v>CDA-CODE-093</x:v>
      </x:c>
      <x:c r="F90" t="str">
        <x:v>Caran d’Ache</x:v>
      </x:c>
      <x:c r="G90" t="str">
        <x:v>LUM</x:v>
      </x:c>
      <x:c r="H90" t="str">
        <x:v>LUMINANCE 6901</x:v>
      </x:c>
      <x:c r="I90" t="str">
        <x:v>Oil-based permanent coloured pencil</x:v>
      </x:c>
      <x:c r="J90" t="str">
        <x:v>Professional</x:v>
      </x:c>
      <x:c r="K90" s="30" t="n">
        <x:v>89</x:v>
      </x:c>
      <x:c r="L90" s="30" t="str">
        <x:v>093</x:v>
      </x:c>
      <x:c r="M90" t="str">
        <x:v>Violet grey</x:v>
      </x:c>
      <x:c r="N90" t="str">
        <x:v>紫灰色</x:v>
      </x:c>
      <x:c r="O90" t="str">
        <x:v>バイオレットグレー</x:v>
      </x:c>
      <x:c r="P90" t="str"/>
      <x:c r="Q90" t="str">
        <x:v>Gris violet</x:v>
      </x:c>
      <x:c r="R90" t="str">
        <x:v>Grauviolet</x:v>
      </x:c>
      <x:c r="S90" t="str">
        <x:v>Viola grigiastro</x:v>
      </x:c>
      <x:c r="T90" t="str">
        <x:v>Gris violeta</x:v>
      </x:c>
      <x:c r="U90" t="str">
        <x:v>Violeta cinza</x:v>
      </x:c>
      <x:c r="V90" t="str"/>
      <x:c r="W90" t="str">
        <x:v>PR101/PY42/PV23/PBk6/PBk11</x:v>
      </x:c>
      <x:c r="X90" t="n">
        <x:f>IF(W90="",0,LEN(W90)-LEN(SUBSTITUTE(W90,"/",""))+1)</x:f>
        <x:v>5</x:v>
      </x:c>
      <x:c r="Y90" t="str">
        <x:v>I</x:v>
      </x:c>
      <x:c r="Z90" s="32" t="n">
        <x:v>1.67</x:v>
      </x:c>
      <x:c r="AA90" s="32" t="n">
        <x:v>3</x:v>
      </x:c>
      <x:c r="AB90" s="32" t="str">
        <x:v>ASTM D-6901</x:v>
      </x:c>
      <x:c r="AC90" t="str">
        <x:v>#B5ABB0</x:v>
      </x:c>
      <x:c r="AD90" s="34" t="n">
        <x:v>181</x:v>
      </x:c>
      <x:c r="AE90" s="34" t="n">
        <x:v>171</x:v>
      </x:c>
      <x:c r="AF90" s="34" t="n">
        <x:v>176</x:v>
      </x:c>
      <x:c r="AG90" s="32" t="n">
        <x:v>330</x:v>
      </x:c>
      <x:c r="AH90" s="32" t="n">
        <x:v>6.33</x:v>
      </x:c>
      <x:c r="AI90" s="32" t="n">
        <x:v>69.02</x:v>
      </x:c>
      <x:c r="AJ90" s="32" t="n">
        <x:v>70.93</x:v>
      </x:c>
      <x:c r="AK90" s="32" t="n">
        <x:v>4.49</x:v>
      </x:c>
      <x:c r="AL90" s="32" t="n">
        <x:v>-1.28</x:v>
      </x:c>
      <x:c r="AM90" s="32" t="str">
        <x:v>#000000</x:v>
      </x:c>
      <x:c r="AN90" s="32" t="str">
        <x:v>Black</x:v>
      </x:c>
      <x:c r="AO90" s="32" t="n">
        <x:v>9.42</x:v>
      </x:c>
      <x:c r="AP90" s="32" t="n">
        <x:v>9.42</x:v>
      </x:c>
      <x:c r="AQ90" s="32" t="n">
        <x:v>2.23</x:v>
      </x:c>
      <x:c r="AR90" s="32" t="n">
        <x:v>0.420842</x:v>
      </x:c>
      <x:c r="AS90" t="str">
        <x:v>PASS</x:v>
      </x:c>
      <x:c r="AT90" t="str">
        <x:v>--cda-lum-093</x:v>
      </x:c>
      <x:c r="AU90" t="str">
        <x:v>var(--cda-lum-093)</x:v>
      </x:c>
      <x:c r="AV90" t="str">
        <x:v>Median RGB from official PDF swatch (screen reference only)</x:v>
      </x:c>
      <x:c r="AW90" t="str">
        <x:v>https://www.carandache.com/content_files/uploaded_doc/product/10580/nuancier_luminance_fr.pdf</x:v>
      </x:c>
      <x:c r="AX90" t="n">
        <x:v>1</x:v>
      </x:c>
      <x:c r="AY90" t="str">
        <x:v>Official</x:v>
      </x:c>
      <x:c r="AZ90" t="str">
        <x:v>Official where available; curated Traditional Chinese/Japanese otherwise</x:v>
      </x:c>
      <x:c r="BA90" t="str">
        <x:v>Verified from official chart; digital HEX is approximate</x:v>
      </x:c>
      <x:c r="BB90" t="str">
        <x:v>Physical media appearance varies by paper, pressure, layering, water and scan/display profile.</x:v>
      </x:c>
    </x:row>
    <x:row r="91">
      <x:c r="A91" t="str">
        <x:f>G91&amp;"|"&amp;L91</x:f>
        <x:v>LUM|902</x:v>
      </x:c>
      <x:c r="B91" t="str">
        <x:v>6ec23d55-9073-56da-9978-34e7abc67356</x:v>
      </x:c>
      <x:c r="C91" t="str">
        <x:v>CDA-LUM-902</x:v>
      </x:c>
      <x:c r="D91" t="str">
        <x:v>302500f6-a3f2-54f5-9719-36f2124eb98d</x:v>
      </x:c>
      <x:c r="E91" t="str">
        <x:v>CDA-CODE-902</x:v>
      </x:c>
      <x:c r="F91" t="str">
        <x:v>Caran d’Ache</x:v>
      </x:c>
      <x:c r="G91" t="str">
        <x:v>LUM</x:v>
      </x:c>
      <x:c r="H91" t="str">
        <x:v>LUMINANCE 6901</x:v>
      </x:c>
      <x:c r="I91" t="str">
        <x:v>Oil-based permanent coloured pencil</x:v>
      </x:c>
      <x:c r="J91" t="str">
        <x:v>Professional</x:v>
      </x:c>
      <x:c r="K91" s="30" t="n">
        <x:v>90</x:v>
      </x:c>
      <x:c r="L91" s="30" t="str">
        <x:v>902</x:v>
      </x:c>
      <x:c r="M91" t="str">
        <x:v>Sepia 10%</x:v>
      </x:c>
      <x:c r="N91" t="str">
        <x:v>深褐色 10%</x:v>
      </x:c>
      <x:c r="O91" t="str">
        <x:v>セピア 10%</x:v>
      </x:c>
      <x:c r="P91" t="str"/>
      <x:c r="Q91" t="str">
        <x:v>Sépia 10%</x:v>
      </x:c>
      <x:c r="R91" t="str">
        <x:v>Sepia 10%</x:v>
      </x:c>
      <x:c r="S91" t="str">
        <x:v>Seppia 10%</x:v>
      </x:c>
      <x:c r="T91" t="str">
        <x:v>Sepia 10%</x:v>
      </x:c>
      <x:c r="U91" t="str">
        <x:v>Sépia 10%</x:v>
      </x:c>
      <x:c r="V91" t="str"/>
      <x:c r="W91" t="str">
        <x:v>PR101/PBr7/PBk6/PBk11</x:v>
      </x:c>
      <x:c r="X91" t="n">
        <x:f>IF(W91="",0,LEN(W91)-LEN(SUBSTITUTE(W91,"/",""))+1)</x:f>
        <x:v>4</x:v>
      </x:c>
      <x:c r="Y91" t="str">
        <x:v>I</x:v>
      </x:c>
      <x:c r="Z91" s="32" t="n">
        <x:v>1.67</x:v>
      </x:c>
      <x:c r="AA91" s="32" t="n">
        <x:v>3</x:v>
      </x:c>
      <x:c r="AB91" s="32" t="str">
        <x:v>ASTM D-6901</x:v>
      </x:c>
      <x:c r="AC91" t="str">
        <x:v>#A49594</x:v>
      </x:c>
      <x:c r="AD91" s="34" t="n">
        <x:v>164</x:v>
      </x:c>
      <x:c r="AE91" s="34" t="n">
        <x:v>149</x:v>
      </x:c>
      <x:c r="AF91" s="34" t="n">
        <x:v>148</x:v>
      </x:c>
      <x:c r="AG91" s="32" t="n">
        <x:v>3.75</x:v>
      </x:c>
      <x:c r="AH91" s="32" t="n">
        <x:v>8.08</x:v>
      </x:c>
      <x:c r="AI91" s="32" t="n">
        <x:v>61.18</x:v>
      </x:c>
      <x:c r="AJ91" s="32" t="n">
        <x:v>62.95</x:v>
      </x:c>
      <x:c r="AK91" s="32" t="n">
        <x:v>5.36</x:v>
      </x:c>
      <x:c r="AL91" s="32" t="n">
        <x:v>2.54</x:v>
      </x:c>
      <x:c r="AM91" s="32" t="str">
        <x:v>#000000</x:v>
      </x:c>
      <x:c r="AN91" s="32" t="str">
        <x:v>Black</x:v>
      </x:c>
      <x:c r="AO91" s="32" t="n">
        <x:v>7.31</x:v>
      </x:c>
      <x:c r="AP91" s="32" t="n">
        <x:v>7.31</x:v>
      </x:c>
      <x:c r="AQ91" s="32" t="n">
        <x:v>2.87</x:v>
      </x:c>
      <x:c r="AR91" s="32" t="n">
        <x:v>0.315255</x:v>
      </x:c>
      <x:c r="AS91" t="str">
        <x:v>PASS</x:v>
      </x:c>
      <x:c r="AT91" t="str">
        <x:v>--cda-lum-902</x:v>
      </x:c>
      <x:c r="AU91" t="str">
        <x:v>var(--cda-lum-902)</x:v>
      </x:c>
      <x:c r="AV91" t="str">
        <x:v>Median RGB from official PDF swatch (screen reference only)</x:v>
      </x:c>
      <x:c r="AW91" t="str">
        <x:v>https://www.carandache.com/content_files/uploaded_doc/product/10580/nuancier_luminance_fr.pdf</x:v>
      </x:c>
      <x:c r="AX91" t="n">
        <x:v>1</x:v>
      </x:c>
      <x:c r="AY91" t="str">
        <x:v>Official</x:v>
      </x:c>
      <x:c r="AZ91" t="str">
        <x:v>Official where available; curated Traditional Chinese/Japanese otherwise</x:v>
      </x:c>
      <x:c r="BA91" t="str">
        <x:v>Verified from official chart; digital HEX is approximate</x:v>
      </x:c>
      <x:c r="BB91" t="str">
        <x:v>Physical media appearance varies by paper, pressure, layering, water and scan/display profile.</x:v>
      </x:c>
    </x:row>
    <x:row r="92">
      <x:c r="A92" t="str">
        <x:f>G92&amp;"|"&amp;L92</x:f>
        <x:v>LUM|803</x:v>
      </x:c>
      <x:c r="B92" t="str">
        <x:v>e09dae1f-44f3-54dc-8b5d-6c4b765304aa</x:v>
      </x:c>
      <x:c r="C92" t="str">
        <x:v>CDA-LUM-803</x:v>
      </x:c>
      <x:c r="D92" t="str">
        <x:v>130e431d-ae02-520e-a331-e7e979bca45a</x:v>
      </x:c>
      <x:c r="E92" t="str">
        <x:v>CDA-CODE-803</x:v>
      </x:c>
      <x:c r="F92" t="str">
        <x:v>Caran d’Ache</x:v>
      </x:c>
      <x:c r="G92" t="str">
        <x:v>LUM</x:v>
      </x:c>
      <x:c r="H92" t="str">
        <x:v>LUMINANCE 6901</x:v>
      </x:c>
      <x:c r="I92" t="str">
        <x:v>Oil-based permanent coloured pencil</x:v>
      </x:c>
      <x:c r="J92" t="str">
        <x:v>Professional</x:v>
      </x:c>
      <x:c r="K92" s="30" t="n">
        <x:v>91</x:v>
      </x:c>
      <x:c r="L92" s="30" t="str">
        <x:v>803</x:v>
      </x:c>
      <x:c r="M92" t="str">
        <x:v>French grey 30%</x:v>
      </x:c>
      <x:c r="N92" t="str">
        <x:v>法國灰 30%</x:v>
      </x:c>
      <x:c r="O92" t="str">
        <x:v>フレンチグレー 30%</x:v>
      </x:c>
      <x:c r="P92" t="str"/>
      <x:c r="Q92" t="str">
        <x:v>Gris français 30%</x:v>
      </x:c>
      <x:c r="R92" t="str">
        <x:v>Französischgrau 30%</x:v>
      </x:c>
      <x:c r="S92" t="str">
        <x:v>Grigio francese 30%</x:v>
      </x:c>
      <x:c r="T92" t="str">
        <x:v>Gris francés 30%</x:v>
      </x:c>
      <x:c r="U92" t="str">
        <x:v>Cinzento francês 30%</x:v>
      </x:c>
      <x:c r="V92" t="str"/>
      <x:c r="W92" t="str">
        <x:v>PY42/PR101/PBk6</x:v>
      </x:c>
      <x:c r="X92" t="n">
        <x:f>IF(W92="",0,LEN(W92)-LEN(SUBSTITUTE(W92,"/",""))+1)</x:f>
        <x:v>3</x:v>
      </x:c>
      <x:c r="Y92" t="str">
        <x:v>I</x:v>
      </x:c>
      <x:c r="Z92" s="32" t="n">
        <x:v>1.67</x:v>
      </x:c>
      <x:c r="AA92" s="32" t="n">
        <x:v>3</x:v>
      </x:c>
      <x:c r="AB92" s="32" t="str">
        <x:v>ASTM D-6901</x:v>
      </x:c>
      <x:c r="AC92" t="str">
        <x:v>#A99D97</x:v>
      </x:c>
      <x:c r="AD92" s="34" t="n">
        <x:v>169</x:v>
      </x:c>
      <x:c r="AE92" s="34" t="n">
        <x:v>157</x:v>
      </x:c>
      <x:c r="AF92" s="34" t="n">
        <x:v>151</x:v>
      </x:c>
      <x:c r="AG92" s="32" t="n">
        <x:v>20</x:v>
      </x:c>
      <x:c r="AH92" s="32" t="n">
        <x:v>9.47</x:v>
      </x:c>
      <x:c r="AI92" s="32" t="n">
        <x:v>62.75</x:v>
      </x:c>
      <x:c r="AJ92" s="32" t="n">
        <x:v>65.58</x:v>
      </x:c>
      <x:c r="AK92" s="32" t="n">
        <x:v>3.31</x:v>
      </x:c>
      <x:c r="AL92" s="32" t="n">
        <x:v>4.71</x:v>
      </x:c>
      <x:c r="AM92" s="32" t="str">
        <x:v>#000000</x:v>
      </x:c>
      <x:c r="AN92" s="32" t="str">
        <x:v>Black</x:v>
      </x:c>
      <x:c r="AO92" s="32" t="n">
        <x:v>7.96</x:v>
      </x:c>
      <x:c r="AP92" s="32" t="n">
        <x:v>7.96</x:v>
      </x:c>
      <x:c r="AQ92" s="32" t="n">
        <x:v>2.64</x:v>
      </x:c>
      <x:c r="AR92" s="32" t="n">
        <x:v>0.347833</x:v>
      </x:c>
      <x:c r="AS92" t="str">
        <x:v>PASS</x:v>
      </x:c>
      <x:c r="AT92" t="str">
        <x:v>--cda-lum-803</x:v>
      </x:c>
      <x:c r="AU92" t="str">
        <x:v>var(--cda-lum-803)</x:v>
      </x:c>
      <x:c r="AV92" t="str">
        <x:v>Median RGB from official PDF swatch (screen reference only)</x:v>
      </x:c>
      <x:c r="AW92" t="str">
        <x:v>https://www.carandache.com/content_files/uploaded_doc/product/10580/nuancier_luminance_fr.pdf</x:v>
      </x:c>
      <x:c r="AX92" t="n">
        <x:v>1</x:v>
      </x:c>
      <x:c r="AY92" t="str">
        <x:v>Official</x:v>
      </x:c>
      <x:c r="AZ92" t="str">
        <x:v>Official where available; curated Traditional Chinese/Japanese otherwise</x:v>
      </x:c>
      <x:c r="BA92" t="str">
        <x:v>Verified from official chart; digital HEX is approximate</x:v>
      </x:c>
      <x:c r="BB92" t="str">
        <x:v>Physical media appearance varies by paper, pressure, layering, water and scan/display profile.</x:v>
      </x:c>
    </x:row>
    <x:row r="93">
      <x:c r="A93" t="str">
        <x:f>G93&amp;"|"&amp;L93</x:f>
        <x:v>LUM|002</x:v>
      </x:c>
      <x:c r="B93" t="str">
        <x:v>ed6f9957-7747-522d-b13b-e783f57dad64</x:v>
      </x:c>
      <x:c r="C93" t="str">
        <x:v>CDA-LUM-002</x:v>
      </x:c>
      <x:c r="D93" t="str">
        <x:v>5bb6a1fa-d374-5bae-b129-520775dd165f</x:v>
      </x:c>
      <x:c r="E93" t="str">
        <x:v>CDA-CODE-002</x:v>
      </x:c>
      <x:c r="F93" t="str">
        <x:v>Caran d’Ache</x:v>
      </x:c>
      <x:c r="G93" t="str">
        <x:v>LUM</x:v>
      </x:c>
      <x:c r="H93" t="str">
        <x:v>LUMINANCE 6901</x:v>
      </x:c>
      <x:c r="I93" t="str">
        <x:v>Oil-based permanent coloured pencil</x:v>
      </x:c>
      <x:c r="J93" t="str">
        <x:v>Professional</x:v>
      </x:c>
      <x:c r="K93" s="30" t="n">
        <x:v>92</x:v>
      </x:c>
      <x:c r="L93" s="30" t="str">
        <x:v>002</x:v>
      </x:c>
      <x:c r="M93" t="str">
        <x:v>Silver grey</x:v>
      </x:c>
      <x:c r="N93" t="str">
        <x:v>銀灰色</x:v>
      </x:c>
      <x:c r="O93" t="str">
        <x:v>シルバーグレー</x:v>
      </x:c>
      <x:c r="P93" t="str"/>
      <x:c r="Q93" t="str">
        <x:v>Gris argenté</x:v>
      </x:c>
      <x:c r="R93" t="str">
        <x:v>Silbergrau</x:v>
      </x:c>
      <x:c r="S93" t="str">
        <x:v>Grigio argento</x:v>
      </x:c>
      <x:c r="T93" t="str">
        <x:v>Gris plateado</x:v>
      </x:c>
      <x:c r="U93" t="str">
        <x:v>Cinzento prateado</x:v>
      </x:c>
      <x:c r="V93" t="str"/>
      <x:c r="W93" t="str">
        <x:v>PB15/PBk6</x:v>
      </x:c>
      <x:c r="X93" t="n">
        <x:f>IF(W93="",0,LEN(W93)-LEN(SUBSTITUTE(W93,"/",""))+1)</x:f>
        <x:v>2</x:v>
      </x:c>
      <x:c r="Y93" t="str">
        <x:v>I</x:v>
      </x:c>
      <x:c r="Z93" s="32" t="n">
        <x:v>1.67</x:v>
      </x:c>
      <x:c r="AA93" s="32" t="n">
        <x:v>3</x:v>
      </x:c>
      <x:c r="AB93" s="32" t="str">
        <x:v>ASTM D-6901</x:v>
      </x:c>
      <x:c r="AC93" t="str">
        <x:v>#DCEAF7</x:v>
      </x:c>
      <x:c r="AD93" s="34" t="n">
        <x:v>220</x:v>
      </x:c>
      <x:c r="AE93" s="34" t="n">
        <x:v>234</x:v>
      </x:c>
      <x:c r="AF93" s="34" t="n">
        <x:v>247</x:v>
      </x:c>
      <x:c r="AG93" s="32" t="n">
        <x:v>208.89</x:v>
      </x:c>
      <x:c r="AH93" s="32" t="n">
        <x:v>62.79</x:v>
      </x:c>
      <x:c r="AI93" s="32" t="n">
        <x:v>91.57</x:v>
      </x:c>
      <x:c r="AJ93" s="32" t="n">
        <x:v>92.03</x:v>
      </x:c>
      <x:c r="AK93" s="32" t="n">
        <x:v>-2.14</x:v>
      </x:c>
      <x:c r="AL93" s="32" t="n">
        <x:v>-7.87</x:v>
      </x:c>
      <x:c r="AM93" s="32" t="str">
        <x:v>#000000</x:v>
      </x:c>
      <x:c r="AN93" s="32" t="str">
        <x:v>Black</x:v>
      </x:c>
      <x:c r="AO93" s="32" t="n">
        <x:v>17.16</x:v>
      </x:c>
      <x:c r="AP93" s="32" t="n">
        <x:v>17.16</x:v>
      </x:c>
      <x:c r="AQ93" s="32" t="n">
        <x:v>1.22</x:v>
      </x:c>
      <x:c r="AR93" s="32" t="n">
        <x:v>0.807767</x:v>
      </x:c>
      <x:c r="AS93" t="str">
        <x:v>PASS</x:v>
      </x:c>
      <x:c r="AT93" t="str">
        <x:v>--cda-lum-002</x:v>
      </x:c>
      <x:c r="AU93" t="str">
        <x:v>var(--cda-lum-002)</x:v>
      </x:c>
      <x:c r="AV93" t="str">
        <x:v>Median RGB from official PDF swatch (screen reference only)</x:v>
      </x:c>
      <x:c r="AW93" t="str">
        <x:v>https://www.carandache.com/content_files/uploaded_doc/product/10580/nuancier_luminance_fr.pdf</x:v>
      </x:c>
      <x:c r="AX93" t="n">
        <x:v>1</x:v>
      </x:c>
      <x:c r="AY93" t="str">
        <x:v>Official</x:v>
      </x:c>
      <x:c r="AZ93" t="str">
        <x:v>Official where available; curated Traditional Chinese/Japanese otherwise</x:v>
      </x:c>
      <x:c r="BA93" t="str">
        <x:v>Verified from official chart; digital HEX is approximate</x:v>
      </x:c>
      <x:c r="BB93" t="str">
        <x:v>Physical media appearance varies by paper, pressure, layering, water and scan/display profile.</x:v>
      </x:c>
    </x:row>
    <x:row r="94">
      <x:c r="A94" t="str">
        <x:f>G94&amp;"|"&amp;L94</x:f>
        <x:v>LUM|004</x:v>
      </x:c>
      <x:c r="B94" t="str">
        <x:v>53c7ed04-8d52-5f71-8ba1-4ca066e0a8e2</x:v>
      </x:c>
      <x:c r="C94" t="str">
        <x:v>CDA-LUM-004</x:v>
      </x:c>
      <x:c r="D94" t="str">
        <x:v>de4df521-dec4-520d-ab19-51053b9c58ea</x:v>
      </x:c>
      <x:c r="E94" t="str">
        <x:v>CDA-CODE-004</x:v>
      </x:c>
      <x:c r="F94" t="str">
        <x:v>Caran d’Ache</x:v>
      </x:c>
      <x:c r="G94" t="str">
        <x:v>LUM</x:v>
      </x:c>
      <x:c r="H94" t="str">
        <x:v>LUMINANCE 6901</x:v>
      </x:c>
      <x:c r="I94" t="str">
        <x:v>Oil-based permanent coloured pencil</x:v>
      </x:c>
      <x:c r="J94" t="str">
        <x:v>Professional</x:v>
      </x:c>
      <x:c r="K94" s="30" t="n">
        <x:v>93</x:v>
      </x:c>
      <x:c r="L94" s="30" t="str">
        <x:v>004</x:v>
      </x:c>
      <x:c r="M94" t="str">
        <x:v>Steel grey</x:v>
      </x:c>
      <x:c r="N94" t="str">
        <x:v>鋼灰色</x:v>
      </x:c>
      <x:c r="O94" t="str">
        <x:v>スチールグレー</x:v>
      </x:c>
      <x:c r="P94" t="str"/>
      <x:c r="Q94" t="str">
        <x:v>Gris acier</x:v>
      </x:c>
      <x:c r="R94" t="str">
        <x:v>Stahlgrau</x:v>
      </x:c>
      <x:c r="S94" t="str">
        <x:v>Grigio acciaio</x:v>
      </x:c>
      <x:c r="T94" t="str">
        <x:v>Gris acero</x:v>
      </x:c>
      <x:c r="U94" t="str">
        <x:v>Cinzento aço</x:v>
      </x:c>
      <x:c r="V94" t="str"/>
      <x:c r="W94" t="str">
        <x:v>PB15/PBk6</x:v>
      </x:c>
      <x:c r="X94" t="n">
        <x:f>IF(W94="",0,LEN(W94)-LEN(SUBSTITUTE(W94,"/",""))+1)</x:f>
        <x:v>2</x:v>
      </x:c>
      <x:c r="Y94" t="str">
        <x:v>I</x:v>
      </x:c>
      <x:c r="Z94" s="32" t="n">
        <x:v>1.67</x:v>
      </x:c>
      <x:c r="AA94" s="32" t="n">
        <x:v>3</x:v>
      </x:c>
      <x:c r="AB94" s="32" t="str">
        <x:v>ASTM D-6901</x:v>
      </x:c>
      <x:c r="AC94" t="str">
        <x:v>#99A9B6</x:v>
      </x:c>
      <x:c r="AD94" s="34" t="n">
        <x:v>153</x:v>
      </x:c>
      <x:c r="AE94" s="34" t="n">
        <x:v>169</x:v>
      </x:c>
      <x:c r="AF94" s="34" t="n">
        <x:v>182</x:v>
      </x:c>
      <x:c r="AG94" s="32" t="n">
        <x:v>206.9</x:v>
      </x:c>
      <x:c r="AH94" s="32" t="n">
        <x:v>16.57</x:v>
      </x:c>
      <x:c r="AI94" s="32" t="n">
        <x:v>65.69</x:v>
      </x:c>
      <x:c r="AJ94" s="32" t="n">
        <x:v>68.41</x:v>
      </x:c>
      <x:c r="AK94" s="32" t="n">
        <x:v>-2.84</x:v>
      </x:c>
      <x:c r="AL94" s="32" t="n">
        <x:v>-8.57</x:v>
      </x:c>
      <x:c r="AM94" s="32" t="str">
        <x:v>#000000</x:v>
      </x:c>
      <x:c r="AN94" s="32" t="str">
        <x:v>Black</x:v>
      </x:c>
      <x:c r="AO94" s="32" t="n">
        <x:v>8.71</x:v>
      </x:c>
      <x:c r="AP94" s="32" t="n">
        <x:v>8.71</x:v>
      </x:c>
      <x:c r="AQ94" s="32" t="n">
        <x:v>2.41</x:v>
      </x:c>
      <x:c r="AR94" s="32" t="n">
        <x:v>0.385256</x:v>
      </x:c>
      <x:c r="AS94" t="str">
        <x:v>PASS</x:v>
      </x:c>
      <x:c r="AT94" t="str">
        <x:v>--cda-lum-004</x:v>
      </x:c>
      <x:c r="AU94" t="str">
        <x:v>var(--cda-lum-004)</x:v>
      </x:c>
      <x:c r="AV94" t="str">
        <x:v>Median RGB from official PDF swatch (screen reference only)</x:v>
      </x:c>
      <x:c r="AW94" t="str">
        <x:v>https://www.carandache.com/content_files/uploaded_doc/product/10580/nuancier_luminance_fr.pdf</x:v>
      </x:c>
      <x:c r="AX94" t="n">
        <x:v>1</x:v>
      </x:c>
      <x:c r="AY94" t="str">
        <x:v>Official</x:v>
      </x:c>
      <x:c r="AZ94" t="str">
        <x:v>Official where available; curated Traditional Chinese/Japanese otherwise</x:v>
      </x:c>
      <x:c r="BA94" t="str">
        <x:v>Verified from official chart; digital HEX is approximate</x:v>
      </x:c>
      <x:c r="BB94" t="str">
        <x:v>Physical media appearance varies by paper, pressure, layering, water and scan/display profile.</x:v>
      </x:c>
    </x:row>
    <x:row r="95">
      <x:c r="A95" t="str">
        <x:f>G95&amp;"|"&amp;L95</x:f>
        <x:v>LUM|504</x:v>
      </x:c>
      <x:c r="B95" t="str">
        <x:v>363734de-4a9e-51c8-8712-4a5034666e4c</x:v>
      </x:c>
      <x:c r="C95" t="str">
        <x:v>CDA-LUM-504</x:v>
      </x:c>
      <x:c r="D95" t="str">
        <x:v>dc4c1cca-6a3d-57e2-91d0-ab77e4c3a7f1</x:v>
      </x:c>
      <x:c r="E95" t="str">
        <x:v>CDA-CODE-504</x:v>
      </x:c>
      <x:c r="F95" t="str">
        <x:v>Caran d’Ache</x:v>
      </x:c>
      <x:c r="G95" t="str">
        <x:v>LUM</x:v>
      </x:c>
      <x:c r="H95" t="str">
        <x:v>LUMINANCE 6901</x:v>
      </x:c>
      <x:c r="I95" t="str">
        <x:v>Oil-based permanent coloured pencil</x:v>
      </x:c>
      <x:c r="J95" t="str">
        <x:v>Professional</x:v>
      </x:c>
      <x:c r="K95" s="30" t="n">
        <x:v>94</x:v>
      </x:c>
      <x:c r="L95" s="30" t="str">
        <x:v>504</x:v>
      </x:c>
      <x:c r="M95" t="str">
        <x:v>Payne’s grey 30%</x:v>
      </x:c>
      <x:c r="N95" t="str">
        <x:v>佩恩灰 30%</x:v>
      </x:c>
      <x:c r="O95" t="str">
        <x:v>ペインズグレー 30%</x:v>
      </x:c>
      <x:c r="P95" t="str"/>
      <x:c r="Q95" t="str">
        <x:v>Gris de Payne 30%</x:v>
      </x:c>
      <x:c r="R95" t="str">
        <x:v>Paynesgrau 30%</x:v>
      </x:c>
      <x:c r="S95" t="str">
        <x:v>Grigio di Payne 30%</x:v>
      </x:c>
      <x:c r="T95" t="str">
        <x:v>Gris de Payne 30%</x:v>
      </x:c>
      <x:c r="U95" t="str">
        <x:v>Cinzento de Payne 30%</x:v>
      </x:c>
      <x:c r="V95" t="str"/>
      <x:c r="W95" t="str">
        <x:v>PB29/PBk6</x:v>
      </x:c>
      <x:c r="X95" t="n">
        <x:f>IF(W95="",0,LEN(W95)-LEN(SUBSTITUTE(W95,"/",""))+1)</x:f>
        <x:v>2</x:v>
      </x:c>
      <x:c r="Y95" t="str">
        <x:v>I</x:v>
      </x:c>
      <x:c r="Z95" s="32" t="n">
        <x:v>1.67</x:v>
      </x:c>
      <x:c r="AA95" s="32" t="n">
        <x:v>3</x:v>
      </x:c>
      <x:c r="AB95" s="32" t="str">
        <x:v>ASTM D-6901</x:v>
      </x:c>
      <x:c r="AC95" t="str">
        <x:v>#9CA9B9</x:v>
      </x:c>
      <x:c r="AD95" s="34" t="n">
        <x:v>156</x:v>
      </x:c>
      <x:c r="AE95" s="34" t="n">
        <x:v>169</x:v>
      </x:c>
      <x:c r="AF95" s="34" t="n">
        <x:v>185</x:v>
      </x:c>
      <x:c r="AG95" s="32" t="n">
        <x:v>213.1</x:v>
      </x:c>
      <x:c r="AH95" s="32" t="n">
        <x:v>17.16</x:v>
      </x:c>
      <x:c r="AI95" s="32" t="n">
        <x:v>66.86</x:v>
      </x:c>
      <x:c r="AJ95" s="32" t="n">
        <x:v>68.71</x:v>
      </x:c>
      <x:c r="AK95" s="32" t="n">
        <x:v>-1.2</x:v>
      </x:c>
      <x:c r="AL95" s="32" t="n">
        <x:v>-9.75</x:v>
      </x:c>
      <x:c r="AM95" s="32" t="str">
        <x:v>#000000</x:v>
      </x:c>
      <x:c r="AN95" s="32" t="str">
        <x:v>Black</x:v>
      </x:c>
      <x:c r="AO95" s="32" t="n">
        <x:v>8.79</x:v>
      </x:c>
      <x:c r="AP95" s="32" t="n">
        <x:v>8.79</x:v>
      </x:c>
      <x:c r="AQ95" s="32" t="n">
        <x:v>2.39</x:v>
      </x:c>
      <x:c r="AR95" s="32" t="n">
        <x:v>0.389466</x:v>
      </x:c>
      <x:c r="AS95" t="str">
        <x:v>PASS</x:v>
      </x:c>
      <x:c r="AT95" t="str">
        <x:v>--cda-lum-504</x:v>
      </x:c>
      <x:c r="AU95" t="str">
        <x:v>var(--cda-lum-504)</x:v>
      </x:c>
      <x:c r="AV95" t="str">
        <x:v>Median RGB from official PDF swatch (screen reference only)</x:v>
      </x:c>
      <x:c r="AW95" t="str">
        <x:v>https://www.carandache.com/content_files/uploaded_doc/product/10580/nuancier_luminance_fr.pdf</x:v>
      </x:c>
      <x:c r="AX95" t="n">
        <x:v>1</x:v>
      </x:c>
      <x:c r="AY95" t="str">
        <x:v>Official</x:v>
      </x:c>
      <x:c r="AZ95" t="str">
        <x:v>Official where available; curated Traditional Chinese/Japanese otherwise</x:v>
      </x:c>
      <x:c r="BA95" t="str">
        <x:v>Verified from official chart; digital HEX is approximate</x:v>
      </x:c>
      <x:c r="BB95" t="str">
        <x:v>Physical media appearance varies by paper, pressure, layering, water and scan/display profile.</x:v>
      </x:c>
    </x:row>
    <x:row r="96">
      <x:c r="A96" t="str">
        <x:f>G96&amp;"|"&amp;L96</x:f>
        <x:v>LUM|808</x:v>
      </x:c>
      <x:c r="B96" t="str">
        <x:v>cb5467bb-3460-524b-aef7-b4fada7a3394</x:v>
      </x:c>
      <x:c r="C96" t="str">
        <x:v>CDA-LUM-808</x:v>
      </x:c>
      <x:c r="D96" t="str">
        <x:v>6cbb1dd3-e8e7-5b5f-a6af-10bc7843d2f6</x:v>
      </x:c>
      <x:c r="E96" t="str">
        <x:v>CDA-CODE-808</x:v>
      </x:c>
      <x:c r="F96" t="str">
        <x:v>Caran d’Ache</x:v>
      </x:c>
      <x:c r="G96" t="str">
        <x:v>LUM</x:v>
      </x:c>
      <x:c r="H96" t="str">
        <x:v>LUMINANCE 6901</x:v>
      </x:c>
      <x:c r="I96" t="str">
        <x:v>Oil-based permanent coloured pencil</x:v>
      </x:c>
      <x:c r="J96" t="str">
        <x:v>Professional</x:v>
      </x:c>
      <x:c r="K96" s="30" t="n">
        <x:v>95</x:v>
      </x:c>
      <x:c r="L96" s="30" t="str">
        <x:v>808</x:v>
      </x:c>
      <x:c r="M96" t="str">
        <x:v>French grey 70%</x:v>
      </x:c>
      <x:c r="N96" t="str">
        <x:v>法國灰 70%</x:v>
      </x:c>
      <x:c r="O96" t="str">
        <x:v>フレンチグレー 70%</x:v>
      </x:c>
      <x:c r="P96" t="str"/>
      <x:c r="Q96" t="str">
        <x:v>Gris français 70%</x:v>
      </x:c>
      <x:c r="R96" t="str">
        <x:v>Französischgrau 70%</x:v>
      </x:c>
      <x:c r="S96" t="str">
        <x:v>Grigio francese 70%</x:v>
      </x:c>
      <x:c r="T96" t="str">
        <x:v>Gris francés 70%</x:v>
      </x:c>
      <x:c r="U96" t="str">
        <x:v>Cinzento francês 70%</x:v>
      </x:c>
      <x:c r="V96" t="str"/>
      <x:c r="W96" t="str">
        <x:v>PY42/PR101/PBk6</x:v>
      </x:c>
      <x:c r="X96" t="n">
        <x:f>IF(W96="",0,LEN(W96)-LEN(SUBSTITUTE(W96,"/",""))+1)</x:f>
        <x:v>3</x:v>
      </x:c>
      <x:c r="Y96" t="str">
        <x:v>I</x:v>
      </x:c>
      <x:c r="Z96" s="32" t="n">
        <x:v>1.67</x:v>
      </x:c>
      <x:c r="AA96" s="32" t="n">
        <x:v>3</x:v>
      </x:c>
      <x:c r="AB96" s="32" t="str">
        <x:v>ASTM D-6901</x:v>
      </x:c>
      <x:c r="AC96" t="str">
        <x:v>#848179</x:v>
      </x:c>
      <x:c r="AD96" s="34" t="n">
        <x:v>132</x:v>
      </x:c>
      <x:c r="AE96" s="34" t="n">
        <x:v>129</x:v>
      </x:c>
      <x:c r="AF96" s="34" t="n">
        <x:v>121</x:v>
      </x:c>
      <x:c r="AG96" s="32" t="n">
        <x:v>43.64</x:v>
      </x:c>
      <x:c r="AH96" s="32" t="n">
        <x:v>4.35</x:v>
      </x:c>
      <x:c r="AI96" s="32" t="n">
        <x:v>49.61</x:v>
      </x:c>
      <x:c r="AJ96" s="32" t="n">
        <x:v>54.01</x:v>
      </x:c>
      <x:c r="AK96" s="32" t="n">
        <x:v>-0.39</x:v>
      </x:c>
      <x:c r="AL96" s="32" t="n">
        <x:v>4.73</x:v>
      </x:c>
      <x:c r="AM96" s="32" t="str">
        <x:v>#000000</x:v>
      </x:c>
      <x:c r="AN96" s="32" t="str">
        <x:v>Black</x:v>
      </x:c>
      <x:c r="AO96" s="32" t="n">
        <x:v>5.4</x:v>
      </x:c>
      <x:c r="AP96" s="32" t="n">
        <x:v>5.4</x:v>
      </x:c>
      <x:c r="AQ96" s="32" t="n">
        <x:v>3.89</x:v>
      </x:c>
      <x:c r="AR96" s="32" t="n">
        <x:v>0.219865</x:v>
      </x:c>
      <x:c r="AS96" t="str">
        <x:v>PASS</x:v>
      </x:c>
      <x:c r="AT96" t="str">
        <x:v>--cda-lum-808</x:v>
      </x:c>
      <x:c r="AU96" t="str">
        <x:v>var(--cda-lum-808)</x:v>
      </x:c>
      <x:c r="AV96" t="str">
        <x:v>Median RGB from official PDF swatch (screen reference only)</x:v>
      </x:c>
      <x:c r="AW96" t="str">
        <x:v>https://www.carandache.com/content_files/uploaded_doc/product/10580/nuancier_luminance_fr.pdf</x:v>
      </x:c>
      <x:c r="AX96" t="n">
        <x:v>1</x:v>
      </x:c>
      <x:c r="AY96" t="str">
        <x:v>Official</x:v>
      </x:c>
      <x:c r="AZ96" t="str">
        <x:v>Official where available; curated Traditional Chinese/Japanese otherwise</x:v>
      </x:c>
      <x:c r="BA96" t="str">
        <x:v>Verified from official chart; digital HEX is approximate</x:v>
      </x:c>
      <x:c r="BB96" t="str">
        <x:v>Physical media appearance varies by paper, pressure, layering, water and scan/display profile.</x:v>
      </x:c>
    </x:row>
    <x:row r="97">
      <x:c r="A97" t="str">
        <x:f>G97&amp;"|"&amp;L97</x:f>
        <x:v>LUM|495</x:v>
      </x:c>
      <x:c r="B97" t="str">
        <x:v>5be7107d-2998-5382-bed8-0d7168b662ef</x:v>
      </x:c>
      <x:c r="C97" t="str">
        <x:v>CDA-LUM-495</x:v>
      </x:c>
      <x:c r="D97" t="str">
        <x:v>2389d9d0-ecac-5dc3-922c-5004968271df</x:v>
      </x:c>
      <x:c r="E97" t="str">
        <x:v>CDA-CODE-495</x:v>
      </x:c>
      <x:c r="F97" t="str">
        <x:v>Caran d’Ache</x:v>
      </x:c>
      <x:c r="G97" t="str">
        <x:v>LUM</x:v>
      </x:c>
      <x:c r="H97" t="str">
        <x:v>LUMINANCE 6901</x:v>
      </x:c>
      <x:c r="I97" t="str">
        <x:v>Oil-based permanent coloured pencil</x:v>
      </x:c>
      <x:c r="J97" t="str">
        <x:v>Professional</x:v>
      </x:c>
      <x:c r="K97" s="30" t="n">
        <x:v>96</x:v>
      </x:c>
      <x:c r="L97" s="30" t="str">
        <x:v>495</x:v>
      </x:c>
      <x:c r="M97" t="str">
        <x:v>Slate grey</x:v>
      </x:c>
      <x:c r="N97" t="str">
        <x:v>板岩灰</x:v>
      </x:c>
      <x:c r="O97" t="str">
        <x:v>スレートグレー</x:v>
      </x:c>
      <x:c r="P97" t="str"/>
      <x:c r="Q97" t="str">
        <x:v>Gris ardoise</x:v>
      </x:c>
      <x:c r="R97" t="str">
        <x:v>Schiefergrau</x:v>
      </x:c>
      <x:c r="S97" t="str">
        <x:v>Grigio ardesia</x:v>
      </x:c>
      <x:c r="T97" t="str">
        <x:v>Gris pizarra</x:v>
      </x:c>
      <x:c r="U97" t="str">
        <x:v>Cinzento ardósia</x:v>
      </x:c>
      <x:c r="V97" t="str"/>
      <x:c r="W97" t="str">
        <x:v>Graphite</x:v>
      </x:c>
      <x:c r="X97" t="n">
        <x:f>IF(W97="",0,LEN(W97)-LEN(SUBSTITUTE(W97,"/",""))+1)</x:f>
        <x:v>1</x:v>
      </x:c>
      <x:c r="Y97" t="str">
        <x:v>I</x:v>
      </x:c>
      <x:c r="Z97" s="32" t="n">
        <x:v>1.67</x:v>
      </x:c>
      <x:c r="AA97" s="32" t="n">
        <x:v>3</x:v>
      </x:c>
      <x:c r="AB97" s="32" t="str">
        <x:v>ASTM D-6901</x:v>
      </x:c>
      <x:c r="AC97" t="str">
        <x:v>#6F7070</x:v>
      </x:c>
      <x:c r="AD97" s="34" t="n">
        <x:v>111</x:v>
      </x:c>
      <x:c r="AE97" s="34" t="n">
        <x:v>112</x:v>
      </x:c>
      <x:c r="AF97" s="34" t="n">
        <x:v>112</x:v>
      </x:c>
      <x:c r="AG97" s="32" t="n">
        <x:v>180</x:v>
      </x:c>
      <x:c r="AH97" s="32" t="n">
        <x:v>0.45</x:v>
      </x:c>
      <x:c r="AI97" s="32" t="n">
        <x:v>43.73</x:v>
      </x:c>
      <x:c r="AJ97" s="32" t="n">
        <x:v>47.15</x:v>
      </x:c>
      <x:c r="AK97" s="32" t="n">
        <x:v>-0.38</x:v>
      </x:c>
      <x:c r="AL97" s="32" t="n">
        <x:v>-0.13</x:v>
      </x:c>
      <x:c r="AM97" s="32" t="str">
        <x:v>#FFFFFF</x:v>
      </x:c>
      <x:c r="AN97" s="32" t="str">
        <x:v>White</x:v>
      </x:c>
      <x:c r="AO97" s="32" t="n">
        <x:v>4.97</x:v>
      </x:c>
      <x:c r="AP97" s="32" t="n">
        <x:v>4.23</x:v>
      </x:c>
      <x:c r="AQ97" s="32" t="n">
        <x:v>4.97</x:v>
      </x:c>
      <x:c r="AR97" s="32" t="n">
        <x:v>0.161377</x:v>
      </x:c>
      <x:c r="AS97" t="str">
        <x:v>PASS</x:v>
      </x:c>
      <x:c r="AT97" t="str">
        <x:v>--cda-lum-495</x:v>
      </x:c>
      <x:c r="AU97" t="str">
        <x:v>var(--cda-lum-495)</x:v>
      </x:c>
      <x:c r="AV97" t="str">
        <x:v>Median RGB from official PDF swatch (screen reference only)</x:v>
      </x:c>
      <x:c r="AW97" t="str">
        <x:v>https://www.carandache.com/content_files/uploaded_doc/product/10580/nuancier_luminance_fr.pdf</x:v>
      </x:c>
      <x:c r="AX97" t="n">
        <x:v>1</x:v>
      </x:c>
      <x:c r="AY97" t="str">
        <x:v>Official</x:v>
      </x:c>
      <x:c r="AZ97" t="str">
        <x:v>Official where available; curated Traditional Chinese/Japanese otherwise</x:v>
      </x:c>
      <x:c r="BA97" t="str">
        <x:v>Verified from official chart; digital HEX is approximate</x:v>
      </x:c>
      <x:c r="BB97" t="str">
        <x:v>Physical media appearance varies by paper, pressure, layering, water and scan/display profile.</x:v>
      </x:c>
    </x:row>
    <x:row r="98">
      <x:c r="A98" t="str">
        <x:f>G98&amp;"|"&amp;L98</x:f>
        <x:v>LUM|507</x:v>
      </x:c>
      <x:c r="B98" t="str">
        <x:v>768d5586-1ca5-59a9-9fcc-1bef66810b9e</x:v>
      </x:c>
      <x:c r="C98" t="str">
        <x:v>CDA-LUM-507</x:v>
      </x:c>
      <x:c r="D98" t="str">
        <x:v>e0a38842-55ea-528d-9bac-5d5adb64b760</x:v>
      </x:c>
      <x:c r="E98" t="str">
        <x:v>CDA-CODE-507</x:v>
      </x:c>
      <x:c r="F98" t="str">
        <x:v>Caran d’Ache</x:v>
      </x:c>
      <x:c r="G98" t="str">
        <x:v>LUM</x:v>
      </x:c>
      <x:c r="H98" t="str">
        <x:v>LUMINANCE 6901</x:v>
      </x:c>
      <x:c r="I98" t="str">
        <x:v>Oil-based permanent coloured pencil</x:v>
      </x:c>
      <x:c r="J98" t="str">
        <x:v>Professional</x:v>
      </x:c>
      <x:c r="K98" s="30" t="n">
        <x:v>97</x:v>
      </x:c>
      <x:c r="L98" s="30" t="str">
        <x:v>507</x:v>
      </x:c>
      <x:c r="M98" t="str">
        <x:v>Payne’s grey 60%</x:v>
      </x:c>
      <x:c r="N98" t="str">
        <x:v>佩恩灰 60%</x:v>
      </x:c>
      <x:c r="O98" t="str">
        <x:v>ペインズグレー 60%</x:v>
      </x:c>
      <x:c r="P98" t="str"/>
      <x:c r="Q98" t="str">
        <x:v>Gris de Payne 60%</x:v>
      </x:c>
      <x:c r="R98" t="str">
        <x:v>Paynesgrau 60%</x:v>
      </x:c>
      <x:c r="S98" t="str">
        <x:v>Grigio di Payne 60%</x:v>
      </x:c>
      <x:c r="T98" t="str">
        <x:v>Gris de Payne 60%</x:v>
      </x:c>
      <x:c r="U98" t="str">
        <x:v>Cinzento de Payne 60%</x:v>
      </x:c>
      <x:c r="V98" t="str"/>
      <x:c r="W98" t="str">
        <x:v>PB29/PBk6</x:v>
      </x:c>
      <x:c r="X98" t="n">
        <x:f>IF(W98="",0,LEN(W98)-LEN(SUBSTITUTE(W98,"/",""))+1)</x:f>
        <x:v>2</x:v>
      </x:c>
      <x:c r="Y98" t="str">
        <x:v>II</x:v>
      </x:c>
      <x:c r="Z98" s="32" t="n">
        <x:v>3.33</x:v>
      </x:c>
      <x:c r="AA98" s="32" t="n">
        <x:v>3</x:v>
      </x:c>
      <x:c r="AB98" s="32" t="str">
        <x:v>ASTM D-6901</x:v>
      </x:c>
      <x:c r="AC98" t="str">
        <x:v>#6D7A86</x:v>
      </x:c>
      <x:c r="AD98" s="34" t="n">
        <x:v>109</x:v>
      </x:c>
      <x:c r="AE98" s="34" t="n">
        <x:v>122</x:v>
      </x:c>
      <x:c r="AF98" s="34" t="n">
        <x:v>134</x:v>
      </x:c>
      <x:c r="AG98" s="32" t="n">
        <x:v>208.8</x:v>
      </x:c>
      <x:c r="AH98" s="32" t="n">
        <x:v>10.29</x:v>
      </x:c>
      <x:c r="AI98" s="32" t="n">
        <x:v>47.65</x:v>
      </x:c>
      <x:c r="AJ98" s="32" t="n">
        <x:v>50.56</x:v>
      </x:c>
      <x:c r="AK98" s="32" t="n">
        <x:v>-2.08</x:v>
      </x:c>
      <x:c r="AL98" s="32" t="n">
        <x:v>-8.15</x:v>
      </x:c>
      <x:c r="AM98" s="32" t="str">
        <x:v>#000000</x:v>
      </x:c>
      <x:c r="AN98" s="32" t="str">
        <x:v>Black</x:v>
      </x:c>
      <x:c r="AO98" s="32" t="n">
        <x:v>4.78</x:v>
      </x:c>
      <x:c r="AP98" s="32" t="n">
        <x:v>4.78</x:v>
      </x:c>
      <x:c r="AQ98" s="32" t="n">
        <x:v>4.39</x:v>
      </x:c>
      <x:c r="AR98" s="32" t="n">
        <x:v>0.188915</x:v>
      </x:c>
      <x:c r="AS98" t="str">
        <x:v>PASS</x:v>
      </x:c>
      <x:c r="AT98" t="str">
        <x:v>--cda-lum-507</x:v>
      </x:c>
      <x:c r="AU98" t="str">
        <x:v>var(--cda-lum-507)</x:v>
      </x:c>
      <x:c r="AV98" t="str">
        <x:v>Median RGB from official PDF swatch (screen reference only)</x:v>
      </x:c>
      <x:c r="AW98" t="str">
        <x:v>https://www.carandache.com/content_files/uploaded_doc/product/10580/nuancier_luminance_fr.pdf</x:v>
      </x:c>
      <x:c r="AX98" t="n">
        <x:v>1</x:v>
      </x:c>
      <x:c r="AY98" t="str">
        <x:v>Official</x:v>
      </x:c>
      <x:c r="AZ98" t="str">
        <x:v>Official where available; curated Traditional Chinese/Japanese otherwise</x:v>
      </x:c>
      <x:c r="BA98" t="str">
        <x:v>Verified from official chart; digital HEX is approximate</x:v>
      </x:c>
      <x:c r="BB98" t="str">
        <x:v>Physical media appearance varies by paper, pressure, layering, water and scan/display profile.</x:v>
      </x:c>
    </x:row>
    <x:row r="99">
      <x:c r="A99" t="str">
        <x:f>G99&amp;"|"&amp;L99</x:f>
        <x:v>LUM|508</x:v>
      </x:c>
      <x:c r="B99" t="str">
        <x:v>7c59b1d8-2b12-5c2f-ad7a-5602ab7538bb</x:v>
      </x:c>
      <x:c r="C99" t="str">
        <x:v>CDA-LUM-508</x:v>
      </x:c>
      <x:c r="D99" t="str">
        <x:v>ac1b5a77-594e-5945-b354-658024eb187d</x:v>
      </x:c>
      <x:c r="E99" t="str">
        <x:v>CDA-CODE-508</x:v>
      </x:c>
      <x:c r="F99" t="str">
        <x:v>Caran d’Ache</x:v>
      </x:c>
      <x:c r="G99" t="str">
        <x:v>LUM</x:v>
      </x:c>
      <x:c r="H99" t="str">
        <x:v>LUMINANCE 6901</x:v>
      </x:c>
      <x:c r="I99" t="str">
        <x:v>Oil-based permanent coloured pencil</x:v>
      </x:c>
      <x:c r="J99" t="str">
        <x:v>Professional</x:v>
      </x:c>
      <x:c r="K99" s="30" t="n">
        <x:v>98</x:v>
      </x:c>
      <x:c r="L99" s="30" t="str">
        <x:v>508</x:v>
      </x:c>
      <x:c r="M99" t="str">
        <x:v>Payne’s grey 70%</x:v>
      </x:c>
      <x:c r="N99" t="str">
        <x:v>佩恩灰 70%</x:v>
      </x:c>
      <x:c r="O99" t="str">
        <x:v>ペインズグレー 70%</x:v>
      </x:c>
      <x:c r="P99" t="str"/>
      <x:c r="Q99" t="str">
        <x:v>Gris de Payne 70%</x:v>
      </x:c>
      <x:c r="R99" t="str">
        <x:v>Paynesgrau 70%</x:v>
      </x:c>
      <x:c r="S99" t="str">
        <x:v>Grigio di Payne 70%</x:v>
      </x:c>
      <x:c r="T99" t="str">
        <x:v>Gris de Payne 70%</x:v>
      </x:c>
      <x:c r="U99" t="str">
        <x:v>Cinzento de Payne 70%</x:v>
      </x:c>
      <x:c r="V99" t="str"/>
      <x:c r="W99" t="str">
        <x:v>PB29/PBk6</x:v>
      </x:c>
      <x:c r="X99" t="n">
        <x:f>IF(W99="",0,LEN(W99)-LEN(SUBSTITUTE(W99,"/",""))+1)</x:f>
        <x:v>2</x:v>
      </x:c>
      <x:c r="Y99" t="str">
        <x:v>I</x:v>
      </x:c>
      <x:c r="Z99" s="32" t="n">
        <x:v>1.67</x:v>
      </x:c>
      <x:c r="AA99" s="32" t="n">
        <x:v>3</x:v>
      </x:c>
      <x:c r="AB99" s="32" t="str">
        <x:v>ASTM D-6901</x:v>
      </x:c>
      <x:c r="AC99" t="str">
        <x:v>#4C5860</x:v>
      </x:c>
      <x:c r="AD99" s="34" t="n">
        <x:v>76</x:v>
      </x:c>
      <x:c r="AE99" s="34" t="n">
        <x:v>88</x:v>
      </x:c>
      <x:c r="AF99" s="34" t="n">
        <x:v>96</x:v>
      </x:c>
      <x:c r="AG99" s="32" t="n">
        <x:v>204</x:v>
      </x:c>
      <x:c r="AH99" s="32" t="n">
        <x:v>11.63</x:v>
      </x:c>
      <x:c r="AI99" s="32" t="n">
        <x:v>33.73</x:v>
      </x:c>
      <x:c r="AJ99" s="32" t="n">
        <x:v>36.67</x:v>
      </x:c>
      <x:c r="AK99" s="32" t="n">
        <x:v>-2.72</x:v>
      </x:c>
      <x:c r="AL99" s="32" t="n">
        <x:v>-6.18</x:v>
      </x:c>
      <x:c r="AM99" s="32" t="str">
        <x:v>#FFFFFF</x:v>
      </x:c>
      <x:c r="AN99" s="32" t="str">
        <x:v>White</x:v>
      </x:c>
      <x:c r="AO99" s="32" t="n">
        <x:v>7.31</x:v>
      </x:c>
      <x:c r="AP99" s="32" t="n">
        <x:v>2.87</x:v>
      </x:c>
      <x:c r="AQ99" s="32" t="n">
        <x:v>7.31</x:v>
      </x:c>
      <x:c r="AR99" s="32" t="n">
        <x:v>0.093605</x:v>
      </x:c>
      <x:c r="AS99" t="str">
        <x:v>PASS</x:v>
      </x:c>
      <x:c r="AT99" t="str">
        <x:v>--cda-lum-508</x:v>
      </x:c>
      <x:c r="AU99" t="str">
        <x:v>var(--cda-lum-508)</x:v>
      </x:c>
      <x:c r="AV99" t="str">
        <x:v>Median RGB from official PDF swatch (screen reference only)</x:v>
      </x:c>
      <x:c r="AW99" t="str">
        <x:v>https://www.carandache.com/content_files/uploaded_doc/product/10580/nuancier_luminance_fr.pdf</x:v>
      </x:c>
      <x:c r="AX99" t="n">
        <x:v>1</x:v>
      </x:c>
      <x:c r="AY99" t="str">
        <x:v>Official</x:v>
      </x:c>
      <x:c r="AZ99" t="str">
        <x:v>Official where available; curated Traditional Chinese/Japanese otherwise</x:v>
      </x:c>
      <x:c r="BA99" t="str">
        <x:v>Verified from official chart; digital HEX is approximate</x:v>
      </x:c>
      <x:c r="BB99" t="str">
        <x:v>Physical media appearance varies by paper, pressure, layering, water and scan/display profile.</x:v>
      </x:c>
    </x:row>
    <x:row r="100">
      <x:c r="A100" t="str">
        <x:f>G100&amp;"|"&amp;L100</x:f>
        <x:v>LUM|639</x:v>
      </x:c>
      <x:c r="B100" t="str">
        <x:v>474b97aa-be51-5c72-9c54-b4db11e4b75a</x:v>
      </x:c>
      <x:c r="C100" t="str">
        <x:v>CDA-LUM-639</x:v>
      </x:c>
      <x:c r="D100" t="str">
        <x:v>2eb95630-5bad-5fcf-bd5f-cba4f8aed753</x:v>
      </x:c>
      <x:c r="E100" t="str">
        <x:v>CDA-CODE-639</x:v>
      </x:c>
      <x:c r="F100" t="str">
        <x:v>Caran d’Ache</x:v>
      </x:c>
      <x:c r="G100" t="str">
        <x:v>LUM</x:v>
      </x:c>
      <x:c r="H100" t="str">
        <x:v>LUMINANCE 6901</x:v>
      </x:c>
      <x:c r="I100" t="str">
        <x:v>Oil-based permanent coloured pencil</x:v>
      </x:c>
      <x:c r="J100" t="str">
        <x:v>Professional</x:v>
      </x:c>
      <x:c r="K100" s="30" t="n">
        <x:v>99</x:v>
      </x:c>
      <x:c r="L100" s="30" t="str">
        <x:v>639</x:v>
      </x:c>
      <x:c r="M100" t="str">
        <x:v>Dark indigo</x:v>
      </x:c>
      <x:c r="N100" t="str">
        <x:v>深靛藍</x:v>
      </x:c>
      <x:c r="O100" t="str">
        <x:v>ダークインディゴ</x:v>
      </x:c>
      <x:c r="P100" t="str"/>
      <x:c r="Q100" t="str">
        <x:v>Indigo foncé</x:v>
      </x:c>
      <x:c r="R100" t="str">
        <x:v>Indigoblau dunkel</x:v>
      </x:c>
      <x:c r="S100" t="str">
        <x:v>Indaco scuro</x:v>
      </x:c>
      <x:c r="T100" t="str">
        <x:v>Índigo oscuro</x:v>
      </x:c>
      <x:c r="U100" t="str">
        <x:v>Índigo escuro</x:v>
      </x:c>
      <x:c r="V100" t="str"/>
      <x:c r="W100" t="str">
        <x:v>PB60/PR254</x:v>
      </x:c>
      <x:c r="X100" t="n">
        <x:f>IF(W100="",0,LEN(W100)-LEN(SUBSTITUTE(W100,"/",""))+1)</x:f>
        <x:v>2</x:v>
      </x:c>
      <x:c r="Y100" t="str">
        <x:v>I</x:v>
      </x:c>
      <x:c r="Z100" s="32" t="n">
        <x:v>1.67</x:v>
      </x:c>
      <x:c r="AA100" s="32" t="n">
        <x:v>3</x:v>
      </x:c>
      <x:c r="AB100" s="32" t="str">
        <x:v>ASTM D-6901</x:v>
      </x:c>
      <x:c r="AC100" t="str">
        <x:v>#222427</x:v>
      </x:c>
      <x:c r="AD100" s="34" t="n">
        <x:v>34</x:v>
      </x:c>
      <x:c r="AE100" s="34" t="n">
        <x:v>36</x:v>
      </x:c>
      <x:c r="AF100" s="34" t="n">
        <x:v>39</x:v>
      </x:c>
      <x:c r="AG100" s="32" t="n">
        <x:v>216</x:v>
      </x:c>
      <x:c r="AH100" s="32" t="n">
        <x:v>6.85</x:v>
      </x:c>
      <x:c r="AI100" s="32" t="n">
        <x:v>14.31</x:v>
      </x:c>
      <x:c r="AJ100" s="32" t="n">
        <x:v>14.11</x:v>
      </x:c>
      <x:c r="AK100" s="32" t="n">
        <x:v>-0.13</x:v>
      </x:c>
      <x:c r="AL100" s="32" t="n">
        <x:v>-2.31</x:v>
      </x:c>
      <x:c r="AM100" s="32" t="str">
        <x:v>#FFFFFF</x:v>
      </x:c>
      <x:c r="AN100" s="32" t="str">
        <x:v>White</x:v>
      </x:c>
      <x:c r="AO100" s="32" t="n">
        <x:v>15.56</x:v>
      </x:c>
      <x:c r="AP100" s="32" t="n">
        <x:v>1.35</x:v>
      </x:c>
      <x:c r="AQ100" s="32" t="n">
        <x:v>15.56</x:v>
      </x:c>
      <x:c r="AR100" s="32" t="n">
        <x:v>0.017483</x:v>
      </x:c>
      <x:c r="AS100" t="str">
        <x:v>PASS</x:v>
      </x:c>
      <x:c r="AT100" t="str">
        <x:v>--cda-lum-639</x:v>
      </x:c>
      <x:c r="AU100" t="str">
        <x:v>var(--cda-lum-639)</x:v>
      </x:c>
      <x:c r="AV100" t="str">
        <x:v>Median RGB from corrected official PDF swatch ROI (screen reference only)</x:v>
      </x:c>
      <x:c r="AW100" t="str">
        <x:v>https://www.carandache.com/content_files/uploaded_doc/product/10580/nuancier_luminance_fr.pdf</x:v>
      </x:c>
      <x:c r="AX100" t="n">
        <x:v>1</x:v>
      </x:c>
      <x:c r="AY100" t="str">
        <x:v>Official</x:v>
      </x:c>
      <x:c r="AZ100" t="str">
        <x:v>Official where available; curated Traditional Chinese/Japanese otherwise</x:v>
      </x:c>
      <x:c r="BA100" t="str">
        <x:v>Verified from official chart; last-row swatch sampling corrected</x:v>
      </x:c>
      <x:c r="BB100" t="str">
        <x:v>Corrected v1.0.1: prior sample hit blank page area; physical media appearance varies by paper, pressure, layering and display profile.</x:v>
      </x:c>
    </x:row>
    <x:row r="101">
      <x:c r="A101" t="str">
        <x:f>G101&amp;"|"&amp;L101</x:f>
        <x:v>LUM|009</x:v>
      </x:c>
      <x:c r="B101" t="str">
        <x:v>fa84569e-8798-5545-8760-2f462456e487</x:v>
      </x:c>
      <x:c r="C101" t="str">
        <x:v>CDA-LUM-009</x:v>
      </x:c>
      <x:c r="D101" t="str">
        <x:v>2d957d29-ed22-5cec-97bd-83295e45a493</x:v>
      </x:c>
      <x:c r="E101" t="str">
        <x:v>CDA-CODE-009</x:v>
      </x:c>
      <x:c r="F101" t="str">
        <x:v>Caran d’Ache</x:v>
      </x:c>
      <x:c r="G101" t="str">
        <x:v>LUM</x:v>
      </x:c>
      <x:c r="H101" t="str">
        <x:v>LUMINANCE 6901</x:v>
      </x:c>
      <x:c r="I101" t="str">
        <x:v>Oil-based permanent coloured pencil</x:v>
      </x:c>
      <x:c r="J101" t="str">
        <x:v>Professional</x:v>
      </x:c>
      <x:c r="K101" s="30" t="n">
        <x:v>100</x:v>
      </x:c>
      <x:c r="L101" s="30" t="str">
        <x:v>009</x:v>
      </x:c>
      <x:c r="M101" t="str">
        <x:v>Black</x:v>
      </x:c>
      <x:c r="N101" t="str">
        <x:v>黑色</x:v>
      </x:c>
      <x:c r="O101" t="str">
        <x:v>ブラック</x:v>
      </x:c>
      <x:c r="P101" t="str"/>
      <x:c r="Q101" t="str">
        <x:v>Noir</x:v>
      </x:c>
      <x:c r="R101" t="str">
        <x:v>Schwarz</x:v>
      </x:c>
      <x:c r="S101" t="str">
        <x:v>Nero</x:v>
      </x:c>
      <x:c r="T101" t="str">
        <x:v>Negro</x:v>
      </x:c>
      <x:c r="U101" t="str">
        <x:v>Preto</x:v>
      </x:c>
      <x:c r="V101" t="str"/>
      <x:c r="W101" t="str">
        <x:v>PBk6</x:v>
      </x:c>
      <x:c r="X101" t="n">
        <x:f>IF(W101="",0,LEN(W101)-LEN(SUBSTITUTE(W101,"/",""))+1)</x:f>
        <x:v>1</x:v>
      </x:c>
      <x:c r="Y101" t="str">
        <x:v>I</x:v>
      </x:c>
      <x:c r="Z101" s="32" t="n">
        <x:v>1.67</x:v>
      </x:c>
      <x:c r="AA101" s="32" t="n">
        <x:v>3</x:v>
      </x:c>
      <x:c r="AB101" s="32" t="str">
        <x:v>ASTM D-6901</x:v>
      </x:c>
      <x:c r="AC101" t="str">
        <x:v>#202021</x:v>
      </x:c>
      <x:c r="AD101" s="34" t="n">
        <x:v>32</x:v>
      </x:c>
      <x:c r="AE101" s="34" t="n">
        <x:v>32</x:v>
      </x:c>
      <x:c r="AF101" s="34" t="n">
        <x:v>33</x:v>
      </x:c>
      <x:c r="AG101" s="32" t="n">
        <x:v>240</x:v>
      </x:c>
      <x:c r="AH101" s="32" t="n">
        <x:v>1.54</x:v>
      </x:c>
      <x:c r="AI101" s="32" t="n">
        <x:v>12.75</x:v>
      </x:c>
      <x:c r="AJ101" s="32" t="n">
        <x:v>12.29</x:v>
      </x:c>
      <x:c r="AK101" s="32" t="n">
        <x:v>0.25</x:v>
      </x:c>
      <x:c r="AL101" s="32" t="n">
        <x:v>-0.68</x:v>
      </x:c>
      <x:c r="AM101" s="32" t="str">
        <x:v>#FFFFFF</x:v>
      </x:c>
      <x:c r="AN101" s="32" t="str">
        <x:v>White</x:v>
      </x:c>
      <x:c r="AO101" s="32" t="n">
        <x:v>16.28</x:v>
      </x:c>
      <x:c r="AP101" s="32" t="n">
        <x:v>1.29</x:v>
      </x:c>
      <x:c r="AQ101" s="32" t="n">
        <x:v>16.28</x:v>
      </x:c>
      <x:c r="AR101" s="32" t="n">
        <x:v>0.014499</x:v>
      </x:c>
      <x:c r="AS101" t="str">
        <x:v>PASS</x:v>
      </x:c>
      <x:c r="AT101" t="str">
        <x:v>--cda-lum-009</x:v>
      </x:c>
      <x:c r="AU101" t="str">
        <x:v>var(--cda-lum-009)</x:v>
      </x:c>
      <x:c r="AV101" t="str">
        <x:v>Median RGB from corrected official PDF swatch ROI (screen reference only)</x:v>
      </x:c>
      <x:c r="AW101" t="str">
        <x:v>https://www.carandache.com/content_files/uploaded_doc/product/10580/nuancier_luminance_fr.pdf</x:v>
      </x:c>
      <x:c r="AX101" t="n">
        <x:v>1</x:v>
      </x:c>
      <x:c r="AY101" t="str">
        <x:v>Official</x:v>
      </x:c>
      <x:c r="AZ101" t="str">
        <x:v>Official where available; curated Traditional Chinese/Japanese otherwise</x:v>
      </x:c>
      <x:c r="BA101" t="str">
        <x:v>Verified from official chart; last-row swatch sampling corrected</x:v>
      </x:c>
      <x:c r="BB101" t="str">
        <x:v>Corrected v1.0.1: prior sample hit blank page area; physical media appearance varies by paper, pressure, layering and display profile.</x:v>
      </x:c>
    </x:row>
    <x:row r="102">
      <x:c r="A102" t="str">
        <x:f>G102&amp;"|"&amp;L102</x:f>
        <x:v>PAB|043</x:v>
      </x:c>
      <x:c r="B102" t="str">
        <x:v>b4e677b8-169c-5780-a926-7257dab301ca</x:v>
      </x:c>
      <x:c r="C102" t="str">
        <x:v>CDA-PAB-043</x:v>
      </x:c>
      <x:c r="D102" t="str">
        <x:v>a6adfc73-dc6f-5dda-9ee1-81eb979c8dbf</x:v>
      </x:c>
      <x:c r="E102" t="str">
        <x:v>CDA-CODE-043</x:v>
      </x:c>
      <x:c r="F102" t="str">
        <x:v>Caran d’Ache</x:v>
      </x:c>
      <x:c r="G102" t="str">
        <x:v>PAB</x:v>
      </x:c>
      <x:c r="H102" t="str">
        <x:v>PABLO</x:v>
      </x:c>
      <x:c r="I102" t="str">
        <x:v>Permanent coloured pencil</x:v>
      </x:c>
      <x:c r="J102" t="str">
        <x:v>Artist</x:v>
      </x:c>
      <x:c r="K102" s="30" t="n">
        <x:v>1</x:v>
      </x:c>
      <x:c r="L102" s="30" t="str">
        <x:v>043</x:v>
      </x:c>
      <x:c r="M102" t="str">
        <x:v>Brownish orange</x:v>
      </x:c>
      <x:c r="N102" t="str">
        <x:v>褐橙色</x:v>
      </x:c>
      <x:c r="O102" t="str">
        <x:v>ブラウニッシュオレンジ</x:v>
      </x:c>
      <x:c r="P102" t="str"/>
      <x:c r="Q102" t="str">
        <x:v>Brun orangé</x:v>
      </x:c>
      <x:c r="R102" t="str">
        <x:v>Braunorange</x:v>
      </x:c>
      <x:c r="S102" t="str">
        <x:v>Bruno arancio</x:v>
      </x:c>
      <x:c r="T102" t="str">
        <x:v>Pardo anaranjado</x:v>
      </x:c>
      <x:c r="U102" t="str"/>
      <x:c r="V102" t="str"/>
      <x:c r="W102" t="str"/>
      <x:c r="X102" t="n">
        <x:f>IF(W102="",0,LEN(W102)-LEN(SUBSTITUTE(W102,"/",""))+1)</x:f>
        <x:v>0</x:v>
      </x:c>
      <x:c r="Y102" t="str">
        <x:v>H</x:v>
      </x:c>
      <x:c r="Z102" s="32" t="n">
        <x:v>1.67</x:v>
      </x:c>
      <x:c r="AA102" s="32" t="n">
        <x:v>3</x:v>
      </x:c>
      <x:c r="AB102" s="32" t="str">
        <x:v>Blue Wool Scale / UV 150h</x:v>
      </x:c>
      <x:c r="AC102" t="str">
        <x:v>#AE6856</x:v>
      </x:c>
      <x:c r="AD102" s="34" t="n">
        <x:v>174</x:v>
      </x:c>
      <x:c r="AE102" s="34" t="n">
        <x:v>104</x:v>
      </x:c>
      <x:c r="AF102" s="34" t="n">
        <x:v>86</x:v>
      </x:c>
      <x:c r="AG102" s="32" t="n">
        <x:v>12.27</x:v>
      </x:c>
      <x:c r="AH102" s="32" t="n">
        <x:v>35.2</x:v>
      </x:c>
      <x:c r="AI102" s="32" t="n">
        <x:v>50.98</x:v>
      </x:c>
      <x:c r="AJ102" s="32" t="n">
        <x:v>51.35</x:v>
      </x:c>
      <x:c r="AK102" s="32" t="n">
        <x:v>26.1</x:v>
      </x:c>
      <x:c r="AL102" s="32" t="n">
        <x:v>22.1</x:v>
      </x:c>
      <x:c r="AM102" s="32" t="str">
        <x:v>#000000</x:v>
      </x:c>
      <x:c r="AN102" s="32" t="str">
        <x:v>Black</x:v>
      </x:c>
      <x:c r="AO102" s="32" t="n">
        <x:v>4.91</x:v>
      </x:c>
      <x:c r="AP102" s="32" t="n">
        <x:v>4.91</x:v>
      </x:c>
      <x:c r="AQ102" s="32" t="n">
        <x:v>4.27</x:v>
      </x:c>
      <x:c r="AR102" s="32" t="n">
        <x:v>0.195712</x:v>
      </x:c>
      <x:c r="AS102" t="str">
        <x:v>PASS</x:v>
      </x:c>
      <x:c r="AT102" t="str">
        <x:v>--cda-pab-043</x:v>
      </x:c>
      <x:c r="AU102" t="str">
        <x:v>var(--cda-pab-043)</x:v>
      </x:c>
      <x:c r="AV102" t="str">
        <x:v>Median RGB from official PDF swatch (screen reference only)</x:v>
      </x:c>
      <x:c r="AW102" t="str">
        <x:v>https://www.carandache.com/content_files/uploaded_doc/product/10469/Colour_Chart_Pablo.pdf</x:v>
      </x:c>
      <x:c r="AX102" t="n">
        <x:v>1</x:v>
      </x:c>
      <x:c r="AY102" t="str">
        <x:v>Official</x:v>
      </x:c>
      <x:c r="AZ102" t="str">
        <x:v>Official where available; curated Traditional Chinese/Japanese otherwise</x:v>
      </x:c>
      <x:c r="BA102" t="str">
        <x:v>Verified from official chart; digital HEX is approximate</x:v>
      </x:c>
      <x:c r="BB102" t="str">
        <x:v>Physical media appearance varies by paper, pressure, layering, water and scan/display profile.</x:v>
      </x:c>
    </x:row>
    <x:row r="103">
      <x:c r="A103" t="str">
        <x:f>G103&amp;"|"&amp;L103</x:f>
        <x:v>PAB|067</x:v>
      </x:c>
      <x:c r="B103" t="str">
        <x:v>61c249e0-006c-5926-bf77-6985bb161738</x:v>
      </x:c>
      <x:c r="C103" t="str">
        <x:v>CDA-PAB-067</x:v>
      </x:c>
      <x:c r="D103" t="str">
        <x:v>d24180a2-6c7d-56a5-a306-b47946913f2d</x:v>
      </x:c>
      <x:c r="E103" t="str">
        <x:v>CDA-CODE-067</x:v>
      </x:c>
      <x:c r="F103" t="str">
        <x:v>Caran d’Ache</x:v>
      </x:c>
      <x:c r="G103" t="str">
        <x:v>PAB</x:v>
      </x:c>
      <x:c r="H103" t="str">
        <x:v>PABLO</x:v>
      </x:c>
      <x:c r="I103" t="str">
        <x:v>Permanent coloured pencil</x:v>
      </x:c>
      <x:c r="J103" t="str">
        <x:v>Artist</x:v>
      </x:c>
      <x:c r="K103" s="30" t="n">
        <x:v>2</x:v>
      </x:c>
      <x:c r="L103" s="30" t="str">
        <x:v>067</x:v>
      </x:c>
      <x:c r="M103" t="str">
        <x:v>Mahogany</x:v>
      </x:c>
      <x:c r="N103" t="str">
        <x:v>桃花心木色</x:v>
      </x:c>
      <x:c r="O103" t="str">
        <x:v>マホガニー</x:v>
      </x:c>
      <x:c r="P103" t="str"/>
      <x:c r="Q103" t="str">
        <x:v>Acajou</x:v>
      </x:c>
      <x:c r="R103" t="str">
        <x:v>Mahagonibraun</x:v>
      </x:c>
      <x:c r="S103" t="str">
        <x:v>Mogano</x:v>
      </x:c>
      <x:c r="T103" t="str">
        <x:v>Caoba</x:v>
      </x:c>
      <x:c r="U103" t="str"/>
      <x:c r="V103" t="str"/>
      <x:c r="W103" t="str"/>
      <x:c r="X103" t="n">
        <x:f>IF(W103="",0,LEN(W103)-LEN(SUBSTITUTE(W103,"/",""))+1)</x:f>
        <x:v>0</x:v>
      </x:c>
      <x:c r="Y103" t="str">
        <x:v>H</x:v>
      </x:c>
      <x:c r="Z103" s="32" t="n">
        <x:v>1.67</x:v>
      </x:c>
      <x:c r="AA103" s="32" t="n">
        <x:v>3</x:v>
      </x:c>
      <x:c r="AB103" s="32" t="str">
        <x:v>Blue Wool Scale / UV 150h</x:v>
      </x:c>
      <x:c r="AC103" t="str">
        <x:v>#A55041</x:v>
      </x:c>
      <x:c r="AD103" s="34" t="n">
        <x:v>165</x:v>
      </x:c>
      <x:c r="AE103" s="34" t="n">
        <x:v>80</x:v>
      </x:c>
      <x:c r="AF103" s="34" t="n">
        <x:v>65</x:v>
      </x:c>
      <x:c r="AG103" s="32" t="n">
        <x:v>9</x:v>
      </x:c>
      <x:c r="AH103" s="32" t="n">
        <x:v>43.48</x:v>
      </x:c>
      <x:c r="AI103" s="32" t="n">
        <x:v>45.1</x:v>
      </x:c>
      <x:c r="AJ103" s="32" t="n">
        <x:v>44.41</x:v>
      </x:c>
      <x:c r="AK103" s="32" t="n">
        <x:v>33.73</x:v>
      </x:c>
      <x:c r="AL103" s="32" t="n">
        <x:v>25.16</x:v>
      </x:c>
      <x:c r="AM103" s="32" t="str">
        <x:v>#FFFFFF</x:v>
      </x:c>
      <x:c r="AN103" s="32" t="str">
        <x:v>White</x:v>
      </x:c>
      <x:c r="AO103" s="32" t="n">
        <x:v>5.49</x:v>
      </x:c>
      <x:c r="AP103" s="32" t="n">
        <x:v>3.82</x:v>
      </x:c>
      <x:c r="AQ103" s="32" t="n">
        <x:v>5.49</x:v>
      </x:c>
      <x:c r="AR103" s="32" t="n">
        <x:v>0.141183</x:v>
      </x:c>
      <x:c r="AS103" t="str">
        <x:v>PASS</x:v>
      </x:c>
      <x:c r="AT103" t="str">
        <x:v>--cda-pab-067</x:v>
      </x:c>
      <x:c r="AU103" t="str">
        <x:v>var(--cda-pab-067)</x:v>
      </x:c>
      <x:c r="AV103" t="str">
        <x:v>Median RGB from official PDF swatch (screen reference only)</x:v>
      </x:c>
      <x:c r="AW103" t="str">
        <x:v>https://www.carandache.com/content_files/uploaded_doc/product/10469/Colour_Chart_Pablo.pdf</x:v>
      </x:c>
      <x:c r="AX103" t="n">
        <x:v>1</x:v>
      </x:c>
      <x:c r="AY103" t="str">
        <x:v>Official</x:v>
      </x:c>
      <x:c r="AZ103" t="str">
        <x:v>Official where available; curated Traditional Chinese/Japanese otherwise</x:v>
      </x:c>
      <x:c r="BA103" t="str">
        <x:v>Verified from official chart; digital HEX is approximate</x:v>
      </x:c>
      <x:c r="BB103" t="str">
        <x:v>Physical media appearance varies by paper, pressure, layering, water and scan/display profile.</x:v>
      </x:c>
    </x:row>
    <x:row r="104">
      <x:c r="A104" t="str">
        <x:f>G104&amp;"|"&amp;L104</x:f>
        <x:v>PAB|085</x:v>
      </x:c>
      <x:c r="B104" t="str">
        <x:v>5d704b24-d1dd-5f18-9add-801e43571ca1</x:v>
      </x:c>
      <x:c r="C104" t="str">
        <x:v>CDA-PAB-085</x:v>
      </x:c>
      <x:c r="D104" t="str">
        <x:v>da971211-9e99-52a4-843a-00873895f793</x:v>
      </x:c>
      <x:c r="E104" t="str">
        <x:v>CDA-CODE-085</x:v>
      </x:c>
      <x:c r="F104" t="str">
        <x:v>Caran d’Ache</x:v>
      </x:c>
      <x:c r="G104" t="str">
        <x:v>PAB</x:v>
      </x:c>
      <x:c r="H104" t="str">
        <x:v>PABLO</x:v>
      </x:c>
      <x:c r="I104" t="str">
        <x:v>Permanent coloured pencil</x:v>
      </x:c>
      <x:c r="J104" t="str">
        <x:v>Artist</x:v>
      </x:c>
      <x:c r="K104" s="30" t="n">
        <x:v>3</x:v>
      </x:c>
      <x:c r="L104" s="30" t="str">
        <x:v>085</x:v>
      </x:c>
      <x:c r="M104" t="str">
        <x:v>Bordeaux red</x:v>
      </x:c>
      <x:c r="N104" t="str">
        <x:v>波爾多紅</x:v>
      </x:c>
      <x:c r="O104" t="str">
        <x:v>ボルドーレッド</x:v>
      </x:c>
      <x:c r="P104" t="str"/>
      <x:c r="Q104" t="str">
        <x:v>Bordeaux</x:v>
      </x:c>
      <x:c r="R104" t="str">
        <x:v>Bordeaux</x:v>
      </x:c>
      <x:c r="S104" t="str">
        <x:v>Bordeaux</x:v>
      </x:c>
      <x:c r="T104" t="str">
        <x:v>Burdeos</x:v>
      </x:c>
      <x:c r="U104" t="str"/>
      <x:c r="V104" t="str"/>
      <x:c r="W104" t="str"/>
      <x:c r="X104" t="n">
        <x:f>IF(W104="",0,LEN(W104)-LEN(SUBSTITUTE(W104,"/",""))+1)</x:f>
        <x:v>0</x:v>
      </x:c>
      <x:c r="Y104" t="str">
        <x:v>H</x:v>
      </x:c>
      <x:c r="Z104" s="32" t="n">
        <x:v>1.67</x:v>
      </x:c>
      <x:c r="AA104" s="32" t="n">
        <x:v>3</x:v>
      </x:c>
      <x:c r="AB104" s="32" t="str">
        <x:v>Blue Wool Scale / UV 150h</x:v>
      </x:c>
      <x:c r="AC104" t="str">
        <x:v>#B24448</x:v>
      </x:c>
      <x:c r="AD104" s="34" t="n">
        <x:v>178</x:v>
      </x:c>
      <x:c r="AE104" s="34" t="n">
        <x:v>68</x:v>
      </x:c>
      <x:c r="AF104" s="34" t="n">
        <x:v>72</x:v>
      </x:c>
      <x:c r="AG104" s="32" t="n">
        <x:v>357.82</x:v>
      </x:c>
      <x:c r="AH104" s="32" t="n">
        <x:v>44.72</x:v>
      </x:c>
      <x:c r="AI104" s="32" t="n">
        <x:v>48.24</x:v>
      </x:c>
      <x:c r="AJ104" s="32" t="n">
        <x:v>44.33</x:v>
      </x:c>
      <x:c r="AK104" s="32" t="n">
        <x:v>45.06</x:v>
      </x:c>
      <x:c r="AL104" s="32" t="n">
        <x:v>21.29</x:v>
      </x:c>
      <x:c r="AM104" s="32" t="str">
        <x:v>#FFFFFF</x:v>
      </x:c>
      <x:c r="AN104" s="32" t="str">
        <x:v>White</x:v>
      </x:c>
      <x:c r="AO104" s="32" t="n">
        <x:v>5.51</x:v>
      </x:c>
      <x:c r="AP104" s="32" t="n">
        <x:v>3.81</x:v>
      </x:c>
      <x:c r="AQ104" s="32" t="n">
        <x:v>5.51</x:v>
      </x:c>
      <x:c r="AR104" s="32" t="n">
        <x:v>0.140671</x:v>
      </x:c>
      <x:c r="AS104" t="str">
        <x:v>PASS</x:v>
      </x:c>
      <x:c r="AT104" t="str">
        <x:v>--cda-pab-085</x:v>
      </x:c>
      <x:c r="AU104" t="str">
        <x:v>var(--cda-pab-085)</x:v>
      </x:c>
      <x:c r="AV104" t="str">
        <x:v>Median RGB from official PDF swatch (screen reference only)</x:v>
      </x:c>
      <x:c r="AW104" t="str">
        <x:v>https://www.carandache.com/content_files/uploaded_doc/product/10469/Colour_Chart_Pablo.pdf</x:v>
      </x:c>
      <x:c r="AX104" t="n">
        <x:v>1</x:v>
      </x:c>
      <x:c r="AY104" t="str">
        <x:v>Official</x:v>
      </x:c>
      <x:c r="AZ104" t="str">
        <x:v>Official where available; curated Traditional Chinese/Japanese otherwise</x:v>
      </x:c>
      <x:c r="BA104" t="str">
        <x:v>Verified from official chart; digital HEX is approximate</x:v>
      </x:c>
      <x:c r="BB104" t="str">
        <x:v>Physical media appearance varies by paper, pressure, layering, water and scan/display profile.</x:v>
      </x:c>
    </x:row>
    <x:row r="105">
      <x:c r="A105" t="str">
        <x:f>G105&amp;"|"&amp;L105</x:f>
        <x:v>PAB|075</x:v>
      </x:c>
      <x:c r="B105" t="str">
        <x:v>6827c376-8419-5baf-8a1e-bfc77d24c139</x:v>
      </x:c>
      <x:c r="C105" t="str">
        <x:v>CDA-PAB-075</x:v>
      </x:c>
      <x:c r="D105" t="str">
        <x:v>363313a5-2c52-552f-8f14-166148a40e39</x:v>
      </x:c>
      <x:c r="E105" t="str">
        <x:v>CDA-CODE-075</x:v>
      </x:c>
      <x:c r="F105" t="str">
        <x:v>Caran d’Ache</x:v>
      </x:c>
      <x:c r="G105" t="str">
        <x:v>PAB</x:v>
      </x:c>
      <x:c r="H105" t="str">
        <x:v>PABLO</x:v>
      </x:c>
      <x:c r="I105" t="str">
        <x:v>Permanent coloured pencil</x:v>
      </x:c>
      <x:c r="J105" t="str">
        <x:v>Artist</x:v>
      </x:c>
      <x:c r="K105" s="30" t="n">
        <x:v>4</x:v>
      </x:c>
      <x:c r="L105" s="30" t="str">
        <x:v>075</x:v>
      </x:c>
      <x:c r="M105" t="str">
        <x:v>Indian red</x:v>
      </x:c>
      <x:c r="N105" t="str">
        <x:v>印度紅</x:v>
      </x:c>
      <x:c r="O105" t="str">
        <x:v>インディアンレッド</x:v>
      </x:c>
      <x:c r="P105" t="str"/>
      <x:c r="Q105" t="str">
        <x:v>Rouge indien</x:v>
      </x:c>
      <x:c r="R105" t="str">
        <x:v>Indischrot</x:v>
      </x:c>
      <x:c r="S105" t="str">
        <x:v>Rosso indiano</x:v>
      </x:c>
      <x:c r="T105" t="str">
        <x:v>Rojo indio</x:v>
      </x:c>
      <x:c r="U105" t="str"/>
      <x:c r="V105" t="str"/>
      <x:c r="W105" t="str"/>
      <x:c r="X105" t="n">
        <x:f>IF(W105="",0,LEN(W105)-LEN(SUBSTITUTE(W105,"/",""))+1)</x:f>
        <x:v>0</x:v>
      </x:c>
      <x:c r="Y105" t="str">
        <x:v>H</x:v>
      </x:c>
      <x:c r="Z105" s="32" t="n">
        <x:v>1.67</x:v>
      </x:c>
      <x:c r="AA105" s="32" t="n">
        <x:v>3</x:v>
      </x:c>
      <x:c r="AB105" s="32" t="str">
        <x:v>Blue Wool Scale / UV 150h</x:v>
      </x:c>
      <x:c r="AC105" t="str">
        <x:v>#C03840</x:v>
      </x:c>
      <x:c r="AD105" s="34" t="n">
        <x:v>192</x:v>
      </x:c>
      <x:c r="AE105" s="34" t="n">
        <x:v>56</x:v>
      </x:c>
      <x:c r="AF105" s="34" t="n">
        <x:v>64</x:v>
      </x:c>
      <x:c r="AG105" s="32" t="n">
        <x:v>356.47</x:v>
      </x:c>
      <x:c r="AH105" s="32" t="n">
        <x:v>54.84</x:v>
      </x:c>
      <x:c r="AI105" s="32" t="n">
        <x:v>48.63</x:v>
      </x:c>
      <x:c r="AJ105" s="32" t="n">
        <x:v>44.81</x:v>
      </x:c>
      <x:c r="AK105" s="32" t="n">
        <x:v>54.26</x:v>
      </x:c>
      <x:c r="AL105" s="32" t="n">
        <x:v>27.24</x:v>
      </x:c>
      <x:c r="AM105" s="32" t="str">
        <x:v>#FFFFFF</x:v>
      </x:c>
      <x:c r="AN105" s="32" t="str">
        <x:v>White</x:v>
      </x:c>
      <x:c r="AO105" s="32" t="n">
        <x:v>5.41</x:v>
      </x:c>
      <x:c r="AP105" s="32" t="n">
        <x:v>3.88</x:v>
      </x:c>
      <x:c r="AQ105" s="32" t="n">
        <x:v>5.41</x:v>
      </x:c>
      <x:c r="AR105" s="32" t="n">
        <x:v>0.14405</x:v>
      </x:c>
      <x:c r="AS105" t="str">
        <x:v>PASS</x:v>
      </x:c>
      <x:c r="AT105" t="str">
        <x:v>--cda-pab-075</x:v>
      </x:c>
      <x:c r="AU105" t="str">
        <x:v>var(--cda-pab-075)</x:v>
      </x:c>
      <x:c r="AV105" t="str">
        <x:v>Median RGB from official PDF swatch (screen reference only)</x:v>
      </x:c>
      <x:c r="AW105" t="str">
        <x:v>https://www.carandache.com/content_files/uploaded_doc/product/10469/Colour_Chart_Pablo.pdf</x:v>
      </x:c>
      <x:c r="AX105" t="n">
        <x:v>1</x:v>
      </x:c>
      <x:c r="AY105" t="str">
        <x:v>Official</x:v>
      </x:c>
      <x:c r="AZ105" t="str">
        <x:v>Official where available; curated Traditional Chinese/Japanese otherwise</x:v>
      </x:c>
      <x:c r="BA105" t="str">
        <x:v>Verified from official chart; digital HEX is approximate</x:v>
      </x:c>
      <x:c r="BB105" t="str">
        <x:v>Physical media appearance varies by paper, pressure, layering, water and scan/display profile.</x:v>
      </x:c>
    </x:row>
    <x:row r="106">
      <x:c r="A106" t="str">
        <x:f>G106&amp;"|"&amp;L106</x:f>
        <x:v>PAB|089</x:v>
      </x:c>
      <x:c r="B106" t="str">
        <x:v>873876bd-ebeb-5dde-9229-d86d6752061e</x:v>
      </x:c>
      <x:c r="C106" t="str">
        <x:v>CDA-PAB-089</x:v>
      </x:c>
      <x:c r="D106" t="str">
        <x:v>3159f625-d33c-5af9-a012-e3105a2781ee</x:v>
      </x:c>
      <x:c r="E106" t="str">
        <x:v>CDA-CODE-089</x:v>
      </x:c>
      <x:c r="F106" t="str">
        <x:v>Caran d’Ache</x:v>
      </x:c>
      <x:c r="G106" t="str">
        <x:v>PAB</x:v>
      </x:c>
      <x:c r="H106" t="str">
        <x:v>PABLO</x:v>
      </x:c>
      <x:c r="I106" t="str">
        <x:v>Permanent coloured pencil</x:v>
      </x:c>
      <x:c r="J106" t="str">
        <x:v>Artist</x:v>
      </x:c>
      <x:c r="K106" s="30" t="n">
        <x:v>5</x:v>
      </x:c>
      <x:c r="L106" s="30" t="str">
        <x:v>089</x:v>
      </x:c>
      <x:c r="M106" t="str">
        <x:v>Dark carmine</x:v>
      </x:c>
      <x:c r="N106" t="str">
        <x:v>深胭脂紅</x:v>
      </x:c>
      <x:c r="O106" t="str">
        <x:v>ダークカーマイン</x:v>
      </x:c>
      <x:c r="P106" t="str"/>
      <x:c r="Q106" t="str">
        <x:v>Carmin foncé</x:v>
      </x:c>
      <x:c r="R106" t="str">
        <x:v>Dunkelkarmin</x:v>
      </x:c>
      <x:c r="S106" t="str">
        <x:v>Carminio scuro</x:v>
      </x:c>
      <x:c r="T106" t="str">
        <x:v>Carmín oscuro</x:v>
      </x:c>
      <x:c r="U106" t="str"/>
      <x:c r="V106" t="str"/>
      <x:c r="W106" t="str"/>
      <x:c r="X106" t="n">
        <x:f>IF(W106="",0,LEN(W106)-LEN(SUBSTITUTE(W106,"/",""))+1)</x:f>
        <x:v>0</x:v>
      </x:c>
      <x:c r="Y106" t="str">
        <x:v>H</x:v>
      </x:c>
      <x:c r="Z106" s="32" t="n">
        <x:v>1.67</x:v>
      </x:c>
      <x:c r="AA106" s="32" t="n">
        <x:v>3</x:v>
      </x:c>
      <x:c r="AB106" s="32" t="str">
        <x:v>Blue Wool Scale / UV 150h</x:v>
      </x:c>
      <x:c r="AC106" t="str">
        <x:v>#AB4755</x:v>
      </x:c>
      <x:c r="AD106" s="34" t="n">
        <x:v>171</x:v>
      </x:c>
      <x:c r="AE106" s="34" t="n">
        <x:v>71</x:v>
      </x:c>
      <x:c r="AF106" s="34" t="n">
        <x:v>85</x:v>
      </x:c>
      <x:c r="AG106" s="32" t="n">
        <x:v>351.6</x:v>
      </x:c>
      <x:c r="AH106" s="32" t="n">
        <x:v>41.32</x:v>
      </x:c>
      <x:c r="AI106" s="32" t="n">
        <x:v>47.45</x:v>
      </x:c>
      <x:c r="AJ106" s="32" t="n">
        <x:v>43.98</x:v>
      </x:c>
      <x:c r="AK106" s="32" t="n">
        <x:v>42.25</x:v>
      </x:c>
      <x:c r="AL106" s="32" t="n">
        <x:v>12.66</x:v>
      </x:c>
      <x:c r="AM106" s="32" t="str">
        <x:v>#FFFFFF</x:v>
      </x:c>
      <x:c r="AN106" s="32" t="str">
        <x:v>White</x:v>
      </x:c>
      <x:c r="AO106" s="32" t="n">
        <x:v>5.58</x:v>
      </x:c>
      <x:c r="AP106" s="32" t="n">
        <x:v>3.76</x:v>
      </x:c>
      <x:c r="AQ106" s="32" t="n">
        <x:v>5.58</x:v>
      </x:c>
      <x:c r="AR106" s="32" t="n">
        <x:v>0.138203</x:v>
      </x:c>
      <x:c r="AS106" t="str">
        <x:v>PASS</x:v>
      </x:c>
      <x:c r="AT106" t="str">
        <x:v>--cda-pab-089</x:v>
      </x:c>
      <x:c r="AU106" t="str">
        <x:v>var(--cda-pab-089)</x:v>
      </x:c>
      <x:c r="AV106" t="str">
        <x:v>Median RGB from official PDF swatch (screen reference only)</x:v>
      </x:c>
      <x:c r="AW106" t="str">
        <x:v>https://www.carandache.com/content_files/uploaded_doc/product/10469/Colour_Chart_Pablo.pdf</x:v>
      </x:c>
      <x:c r="AX106" t="n">
        <x:v>1</x:v>
      </x:c>
      <x:c r="AY106" t="str">
        <x:v>Official</x:v>
      </x:c>
      <x:c r="AZ106" t="str">
        <x:v>Official where available; curated Traditional Chinese/Japanese otherwise</x:v>
      </x:c>
      <x:c r="BA106" t="str">
        <x:v>Verified from official chart; digital HEX is approximate</x:v>
      </x:c>
      <x:c r="BB106" t="str">
        <x:v>Physical media appearance varies by paper, pressure, layering, water and scan/display profile.</x:v>
      </x:c>
    </x:row>
    <x:row r="107">
      <x:c r="A107" t="str">
        <x:f>G107&amp;"|"&amp;L107</x:f>
        <x:v>PAB|080</x:v>
      </x:c>
      <x:c r="B107" t="str">
        <x:v>b256c34e-dfc9-53ce-bea9-1c84390d92e4</x:v>
      </x:c>
      <x:c r="C107" t="str">
        <x:v>CDA-PAB-080</x:v>
      </x:c>
      <x:c r="D107" t="str">
        <x:v>8fc33401-4732-5074-a23a-104fe5efd12f</x:v>
      </x:c>
      <x:c r="E107" t="str">
        <x:v>CDA-CODE-080</x:v>
      </x:c>
      <x:c r="F107" t="str">
        <x:v>Caran d’Ache</x:v>
      </x:c>
      <x:c r="G107" t="str">
        <x:v>PAB</x:v>
      </x:c>
      <x:c r="H107" t="str">
        <x:v>PABLO</x:v>
      </x:c>
      <x:c r="I107" t="str">
        <x:v>Permanent coloured pencil</x:v>
      </x:c>
      <x:c r="J107" t="str">
        <x:v>Artist</x:v>
      </x:c>
      <x:c r="K107" s="30" t="n">
        <x:v>6</x:v>
      </x:c>
      <x:c r="L107" s="30" t="str">
        <x:v>080</x:v>
      </x:c>
      <x:c r="M107" t="str">
        <x:v>Carmine Lake</x:v>
      </x:c>
      <x:c r="N107" t="str">
        <x:v>胭脂紅色淀</x:v>
      </x:c>
      <x:c r="O107" t="str">
        <x:v>カーマインレーキ</x:v>
      </x:c>
      <x:c r="P107" t="str"/>
      <x:c r="Q107" t="str">
        <x:v>Carmin</x:v>
      </x:c>
      <x:c r="R107" t="str">
        <x:v>Karmin</x:v>
      </x:c>
      <x:c r="S107" t="str">
        <x:v>Carminio</x:v>
      </x:c>
      <x:c r="T107" t="str">
        <x:v>Carmín</x:v>
      </x:c>
      <x:c r="U107" t="str"/>
      <x:c r="V107" t="str"/>
      <x:c r="W107" t="str"/>
      <x:c r="X107" t="n">
        <x:f>IF(W107="",0,LEN(W107)-LEN(SUBSTITUTE(W107,"/",""))+1)</x:f>
        <x:v>0</x:v>
      </x:c>
      <x:c r="Y107" t="str">
        <x:v>H</x:v>
      </x:c>
      <x:c r="Z107" s="32" t="n">
        <x:v>1.67</x:v>
      </x:c>
      <x:c r="AA107" s="32" t="n">
        <x:v>3</x:v>
      </x:c>
      <x:c r="AB107" s="32" t="str">
        <x:v>Blue Wool Scale / UV 150h</x:v>
      </x:c>
      <x:c r="AC107" t="str">
        <x:v>#BC314C</x:v>
      </x:c>
      <x:c r="AD107" s="34" t="n">
        <x:v>188</x:v>
      </x:c>
      <x:c r="AE107" s="34" t="n">
        <x:v>49</x:v>
      </x:c>
      <x:c r="AF107" s="34" t="n">
        <x:v>76</x:v>
      </x:c>
      <x:c r="AG107" s="32" t="n">
        <x:v>348.35</x:v>
      </x:c>
      <x:c r="AH107" s="32" t="n">
        <x:v>58.65</x:v>
      </x:c>
      <x:c r="AI107" s="32" t="n">
        <x:v>46.47</x:v>
      </x:c>
      <x:c r="AJ107" s="32" t="n">
        <x:v>43.38</x:v>
      </x:c>
      <x:c r="AK107" s="32" t="n">
        <x:v>56.28</x:v>
      </x:c>
      <x:c r="AL107" s="32" t="n">
        <x:v>17.9</x:v>
      </x:c>
      <x:c r="AM107" s="32" t="str">
        <x:v>#FFFFFF</x:v>
      </x:c>
      <x:c r="AN107" s="32" t="str">
        <x:v>White</x:v>
      </x:c>
      <x:c r="AO107" s="32" t="n">
        <x:v>5.7</x:v>
      </x:c>
      <x:c r="AP107" s="32" t="n">
        <x:v>3.68</x:v>
      </x:c>
      <x:c r="AQ107" s="32" t="n">
        <x:v>5.7</x:v>
      </x:c>
      <x:c r="AR107" s="32" t="n">
        <x:v>0.134098</x:v>
      </x:c>
      <x:c r="AS107" t="str">
        <x:v>PASS</x:v>
      </x:c>
      <x:c r="AT107" t="str">
        <x:v>--cda-pab-080</x:v>
      </x:c>
      <x:c r="AU107" t="str">
        <x:v>var(--cda-pab-080)</x:v>
      </x:c>
      <x:c r="AV107" t="str">
        <x:v>Median RGB from official PDF swatch (screen reference only)</x:v>
      </x:c>
      <x:c r="AW107" t="str">
        <x:v>https://www.carandache.com/content_files/uploaded_doc/product/10469/Colour_Chart_Pablo.pdf</x:v>
      </x:c>
      <x:c r="AX107" t="n">
        <x:v>1</x:v>
      </x:c>
      <x:c r="AY107" t="str">
        <x:v>Official</x:v>
      </x:c>
      <x:c r="AZ107" t="str">
        <x:v>Official where available; curated Traditional Chinese/Japanese otherwise</x:v>
      </x:c>
      <x:c r="BA107" t="str">
        <x:v>Verified from official chart; digital HEX is approximate</x:v>
      </x:c>
      <x:c r="BB107" t="str">
        <x:v>Physical media appearance varies by paper, pressure, layering, water and scan/display profile.</x:v>
      </x:c>
    </x:row>
    <x:row r="108">
      <x:c r="A108" t="str">
        <x:f>G108&amp;"|"&amp;L108</x:f>
        <x:v>PAB|280</x:v>
      </x:c>
      <x:c r="B108" t="str">
        <x:v>9db92dfa-63b3-54a9-bd7b-c0d23e22ff31</x:v>
      </x:c>
      <x:c r="C108" t="str">
        <x:v>CDA-PAB-280</x:v>
      </x:c>
      <x:c r="D108" t="str">
        <x:v>6822217d-d89f-53cd-a6b0-807aa44726ba</x:v>
      </x:c>
      <x:c r="E108" t="str">
        <x:v>CDA-CODE-280</x:v>
      </x:c>
      <x:c r="F108" t="str">
        <x:v>Caran d’Ache</x:v>
      </x:c>
      <x:c r="G108" t="str">
        <x:v>PAB</x:v>
      </x:c>
      <x:c r="H108" t="str">
        <x:v>PABLO</x:v>
      </x:c>
      <x:c r="I108" t="str">
        <x:v>Permanent coloured pencil</x:v>
      </x:c>
      <x:c r="J108" t="str">
        <x:v>Artist</x:v>
      </x:c>
      <x:c r="K108" s="30" t="n">
        <x:v>7</x:v>
      </x:c>
      <x:c r="L108" s="30" t="str">
        <x:v>280</x:v>
      </x:c>
      <x:c r="M108" t="str">
        <x:v>Ruby red</x:v>
      </x:c>
      <x:c r="N108" t="str">
        <x:v>紅寶石紅</x:v>
      </x:c>
      <x:c r="O108" t="str">
        <x:v>ルビーレッド</x:v>
      </x:c>
      <x:c r="P108" t="str"/>
      <x:c r="Q108" t="str">
        <x:v>Rouge rubis</x:v>
      </x:c>
      <x:c r="R108" t="str">
        <x:v>Rubinrot</x:v>
      </x:c>
      <x:c r="S108" t="str">
        <x:v>Rosso rubino</x:v>
      </x:c>
      <x:c r="T108" t="str">
        <x:v>Rojo rubí</x:v>
      </x:c>
      <x:c r="U108" t="str"/>
      <x:c r="V108" t="str"/>
      <x:c r="W108" t="str"/>
      <x:c r="X108" t="n">
        <x:f>IF(W108="",0,LEN(W108)-LEN(SUBSTITUTE(W108,"/",""))+1)</x:f>
        <x:v>0</x:v>
      </x:c>
      <x:c r="Y108" t="str">
        <x:v>H</x:v>
      </x:c>
      <x:c r="Z108" s="32" t="n">
        <x:v>1.67</x:v>
      </x:c>
      <x:c r="AA108" s="32" t="n">
        <x:v>3</x:v>
      </x:c>
      <x:c r="AB108" s="32" t="str">
        <x:v>Blue Wool Scale / UV 150h</x:v>
      </x:c>
      <x:c r="AC108" t="str">
        <x:v>#E04856</x:v>
      </x:c>
      <x:c r="AD108" s="34" t="n">
        <x:v>224</x:v>
      </x:c>
      <x:c r="AE108" s="34" t="n">
        <x:v>72</x:v>
      </x:c>
      <x:c r="AF108" s="34" t="n">
        <x:v>86</x:v>
      </x:c>
      <x:c r="AG108" s="32" t="n">
        <x:v>354.47</x:v>
      </x:c>
      <x:c r="AH108" s="32" t="n">
        <x:v>71.03</x:v>
      </x:c>
      <x:c r="AI108" s="32" t="n">
        <x:v>58.04</x:v>
      </x:c>
      <x:c r="AJ108" s="32" t="n">
        <x:v>53.12</x:v>
      </x:c>
      <x:c r="AK108" s="32" t="n">
        <x:v>59.55</x:v>
      </x:c>
      <x:c r="AL108" s="32" t="n">
        <x:v>25.87</x:v>
      </x:c>
      <x:c r="AM108" s="32" t="str">
        <x:v>#000000</x:v>
      </x:c>
      <x:c r="AN108" s="32" t="str">
        <x:v>Black</x:v>
      </x:c>
      <x:c r="AO108" s="32" t="n">
        <x:v>5.23</x:v>
      </x:c>
      <x:c r="AP108" s="32" t="n">
        <x:v>5.23</x:v>
      </x:c>
      <x:c r="AQ108" s="32" t="n">
        <x:v>4.01</x:v>
      </x:c>
      <x:c r="AR108" s="32" t="n">
        <x:v>0.211539</x:v>
      </x:c>
      <x:c r="AS108" t="str">
        <x:v>PASS</x:v>
      </x:c>
      <x:c r="AT108" t="str">
        <x:v>--cda-pab-280</x:v>
      </x:c>
      <x:c r="AU108" t="str">
        <x:v>var(--cda-pab-280)</x:v>
      </x:c>
      <x:c r="AV108" t="str">
        <x:v>Median RGB from official PDF swatch (screen reference only)</x:v>
      </x:c>
      <x:c r="AW108" t="str">
        <x:v>https://www.carandache.com/content_files/uploaded_doc/product/10469/Colour_Chart_Pablo.pdf</x:v>
      </x:c>
      <x:c r="AX108" t="n">
        <x:v>1</x:v>
      </x:c>
      <x:c r="AY108" t="str">
        <x:v>Official</x:v>
      </x:c>
      <x:c r="AZ108" t="str">
        <x:v>Official where available; curated Traditional Chinese/Japanese otherwise</x:v>
      </x:c>
      <x:c r="BA108" t="str">
        <x:v>Verified from official chart; digital HEX is approximate</x:v>
      </x:c>
      <x:c r="BB108" t="str">
        <x:v>Physical media appearance varies by paper, pressure, layering, water and scan/display profile.</x:v>
      </x:c>
    </x:row>
    <x:row r="109">
      <x:c r="A109" t="str">
        <x:f>G109&amp;"|"&amp;L109</x:f>
        <x:v>PAB|270</x:v>
      </x:c>
      <x:c r="B109" t="str">
        <x:v>2ee7da5c-820d-5a84-bc29-04e5f3565ebc</x:v>
      </x:c>
      <x:c r="C109" t="str">
        <x:v>CDA-PAB-270</x:v>
      </x:c>
      <x:c r="D109" t="str">
        <x:v>7fed9c50-7917-5c2c-949a-4fc34a33385f</x:v>
      </x:c>
      <x:c r="E109" t="str">
        <x:v>CDA-CODE-270</x:v>
      </x:c>
      <x:c r="F109" t="str">
        <x:v>Caran d’Ache</x:v>
      </x:c>
      <x:c r="G109" t="str">
        <x:v>PAB</x:v>
      </x:c>
      <x:c r="H109" t="str">
        <x:v>PABLO</x:v>
      </x:c>
      <x:c r="I109" t="str">
        <x:v>Permanent coloured pencil</x:v>
      </x:c>
      <x:c r="J109" t="str">
        <x:v>Artist</x:v>
      </x:c>
      <x:c r="K109" s="30" t="n">
        <x:v>8</x:v>
      </x:c>
      <x:c r="L109" s="30" t="str">
        <x:v>270</x:v>
      </x:c>
      <x:c r="M109" t="str">
        <x:v>Raspberry red</x:v>
      </x:c>
      <x:c r="N109" t="str">
        <x:v>覆盆子紅</x:v>
      </x:c>
      <x:c r="O109" t="str">
        <x:v>ラズベリーレッド</x:v>
      </x:c>
      <x:c r="P109" t="str"/>
      <x:c r="Q109" t="str">
        <x:v>Rouge framboise</x:v>
      </x:c>
      <x:c r="R109" t="str">
        <x:v>Himbeerrot</x:v>
      </x:c>
      <x:c r="S109" t="str">
        <x:v>Rosso lampone</x:v>
      </x:c>
      <x:c r="T109" t="str">
        <x:v>Rojo frambuesa</x:v>
      </x:c>
      <x:c r="U109" t="str"/>
      <x:c r="V109" t="str"/>
      <x:c r="W109" t="str"/>
      <x:c r="X109" t="n">
        <x:f>IF(W109="",0,LEN(W109)-LEN(SUBSTITUTE(W109,"/",""))+1)</x:f>
        <x:v>0</x:v>
      </x:c>
      <x:c r="Y109" t="str">
        <x:v>H</x:v>
      </x:c>
      <x:c r="Z109" s="32" t="n">
        <x:v>1.67</x:v>
      </x:c>
      <x:c r="AA109" s="32" t="n">
        <x:v>3</x:v>
      </x:c>
      <x:c r="AB109" s="32" t="str">
        <x:v>Blue Wool Scale / UV 150h</x:v>
      </x:c>
      <x:c r="AC109" t="str">
        <x:v>#F16C82</x:v>
      </x:c>
      <x:c r="AD109" s="34" t="n">
        <x:v>241</x:v>
      </x:c>
      <x:c r="AE109" s="34" t="n">
        <x:v>108</x:v>
      </x:c>
      <x:c r="AF109" s="34" t="n">
        <x:v>130</x:v>
      </x:c>
      <x:c r="AG109" s="32" t="n">
        <x:v>350.08</x:v>
      </x:c>
      <x:c r="AH109" s="32" t="n">
        <x:v>82.61</x:v>
      </x:c>
      <x:c r="AI109" s="32" t="n">
        <x:v>68.43</x:v>
      </x:c>
      <x:c r="AJ109" s="32" t="n">
        <x:v>62.54</x:v>
      </x:c>
      <x:c r="AK109" s="32" t="n">
        <x:v>53.07</x:v>
      </x:c>
      <x:c r="AL109" s="32" t="n">
        <x:v>13.44</x:v>
      </x:c>
      <x:c r="AM109" s="32" t="str">
        <x:v>#000000</x:v>
      </x:c>
      <x:c r="AN109" s="32" t="str">
        <x:v>Black</x:v>
      </x:c>
      <x:c r="AO109" s="32" t="n">
        <x:v>7.21</x:v>
      </x:c>
      <x:c r="AP109" s="32" t="n">
        <x:v>7.21</x:v>
      </x:c>
      <x:c r="AQ109" s="32" t="n">
        <x:v>2.91</x:v>
      </x:c>
      <x:c r="AR109" s="32" t="n">
        <x:v>0.310376</x:v>
      </x:c>
      <x:c r="AS109" t="str">
        <x:v>PASS</x:v>
      </x:c>
      <x:c r="AT109" t="str">
        <x:v>--cda-pab-270</x:v>
      </x:c>
      <x:c r="AU109" t="str">
        <x:v>var(--cda-pab-270)</x:v>
      </x:c>
      <x:c r="AV109" t="str">
        <x:v>Median RGB from official PDF swatch (screen reference only)</x:v>
      </x:c>
      <x:c r="AW109" t="str">
        <x:v>https://www.carandache.com/content_files/uploaded_doc/product/10469/Colour_Chart_Pablo.pdf</x:v>
      </x:c>
      <x:c r="AX109" t="n">
        <x:v>1</x:v>
      </x:c>
      <x:c r="AY109" t="str">
        <x:v>Official</x:v>
      </x:c>
      <x:c r="AZ109" t="str">
        <x:v>Official where available; curated Traditional Chinese/Japanese otherwise</x:v>
      </x:c>
      <x:c r="BA109" t="str">
        <x:v>Verified from official chart; digital HEX is approximate</x:v>
      </x:c>
      <x:c r="BB109" t="str">
        <x:v>Physical media appearance varies by paper, pressure, layering, water and scan/display profile.</x:v>
      </x:c>
    </x:row>
    <x:row r="110">
      <x:c r="A110" t="str">
        <x:f>G110&amp;"|"&amp;L110</x:f>
        <x:v>PAB|081</x:v>
      </x:c>
      <x:c r="B110" t="str">
        <x:v>f9e05b5d-e46e-5fe9-a750-38aefbcbca45</x:v>
      </x:c>
      <x:c r="C110" t="str">
        <x:v>CDA-PAB-081</x:v>
      </x:c>
      <x:c r="D110" t="str">
        <x:v>211a5e8d-3ee2-580c-9d09-b2a3736b420e</x:v>
      </x:c>
      <x:c r="E110" t="str">
        <x:v>CDA-CODE-081</x:v>
      </x:c>
      <x:c r="F110" t="str">
        <x:v>Caran d’Ache</x:v>
      </x:c>
      <x:c r="G110" t="str">
        <x:v>PAB</x:v>
      </x:c>
      <x:c r="H110" t="str">
        <x:v>PABLO</x:v>
      </x:c>
      <x:c r="I110" t="str">
        <x:v>Permanent coloured pencil</x:v>
      </x:c>
      <x:c r="J110" t="str">
        <x:v>Artist</x:v>
      </x:c>
      <x:c r="K110" s="30" t="n">
        <x:v>9</x:v>
      </x:c>
      <x:c r="L110" s="30" t="str">
        <x:v>081</x:v>
      </x:c>
      <x:c r="M110" t="str">
        <x:v>Pink</x:v>
      </x:c>
      <x:c r="N110" t="str">
        <x:v>粉紅色</x:v>
      </x:c>
      <x:c r="O110" t="str">
        <x:v>ピンク</x:v>
      </x:c>
      <x:c r="P110" t="str"/>
      <x:c r="Q110" t="str">
        <x:v>Rose</x:v>
      </x:c>
      <x:c r="R110" t="str">
        <x:v>Rosa</x:v>
      </x:c>
      <x:c r="S110" t="str">
        <x:v>Rosa</x:v>
      </x:c>
      <x:c r="T110" t="str">
        <x:v>Rosa</x:v>
      </x:c>
      <x:c r="U110" t="str"/>
      <x:c r="V110" t="str"/>
      <x:c r="W110" t="str"/>
      <x:c r="X110" t="n">
        <x:f>IF(W110="",0,LEN(W110)-LEN(SUBSTITUTE(W110,"/",""))+1)</x:f>
        <x:v>0</x:v>
      </x:c>
      <x:c r="Y110" t="str">
        <x:v>H</x:v>
      </x:c>
      <x:c r="Z110" s="32" t="n">
        <x:v>1.67</x:v>
      </x:c>
      <x:c r="AA110" s="32" t="n">
        <x:v>3</x:v>
      </x:c>
      <x:c r="AB110" s="32" t="str">
        <x:v>Blue Wool Scale / UV 150h</x:v>
      </x:c>
      <x:c r="AC110" t="str">
        <x:v>#F58CB3</x:v>
      </x:c>
      <x:c r="AD110" s="34" t="n">
        <x:v>245</x:v>
      </x:c>
      <x:c r="AE110" s="34" t="n">
        <x:v>140</x:v>
      </x:c>
      <x:c r="AF110" s="34" t="n">
        <x:v>179</x:v>
      </x:c>
      <x:c r="AG110" s="32" t="n">
        <x:v>337.71</x:v>
      </x:c>
      <x:c r="AH110" s="32" t="n">
        <x:v>84</x:v>
      </x:c>
      <x:c r="AI110" s="32" t="n">
        <x:v>75.49</x:v>
      </x:c>
      <x:c r="AJ110" s="32" t="n">
        <x:v>70.47</x:v>
      </x:c>
      <x:c r="AK110" s="32" t="n">
        <x:v>44.36</x:v>
      </x:c>
      <x:c r="AL110" s="32" t="n">
        <x:v>-2.83</x:v>
      </x:c>
      <x:c r="AM110" s="32" t="str">
        <x:v>#000000</x:v>
      </x:c>
      <x:c r="AN110" s="32" t="str">
        <x:v>Black</x:v>
      </x:c>
      <x:c r="AO110" s="32" t="n">
        <x:v>9.28</x:v>
      </x:c>
      <x:c r="AP110" s="32" t="n">
        <x:v>9.28</x:v>
      </x:c>
      <x:c r="AQ110" s="32" t="n">
        <x:v>2.26</x:v>
      </x:c>
      <x:c r="AR110" s="32" t="n">
        <x:v>0.414233</x:v>
      </x:c>
      <x:c r="AS110" t="str">
        <x:v>PASS</x:v>
      </x:c>
      <x:c r="AT110" t="str">
        <x:v>--cda-pab-081</x:v>
      </x:c>
      <x:c r="AU110" t="str">
        <x:v>var(--cda-pab-081)</x:v>
      </x:c>
      <x:c r="AV110" t="str">
        <x:v>Median RGB from official PDF swatch (screen reference only)</x:v>
      </x:c>
      <x:c r="AW110" t="str">
        <x:v>https://www.carandache.com/content_files/uploaded_doc/product/10469/Colour_Chart_Pablo.pdf</x:v>
      </x:c>
      <x:c r="AX110" t="n">
        <x:v>1</x:v>
      </x:c>
      <x:c r="AY110" t="str">
        <x:v>Official</x:v>
      </x:c>
      <x:c r="AZ110" t="str">
        <x:v>Official where available; curated Traditional Chinese/Japanese otherwise</x:v>
      </x:c>
      <x:c r="BA110" t="str">
        <x:v>Verified from official chart; digital HEX is approximate</x:v>
      </x:c>
      <x:c r="BB110" t="str">
        <x:v>Physical media appearance varies by paper, pressure, layering, water and scan/display profile.</x:v>
      </x:c>
    </x:row>
    <x:row r="111">
      <x:c r="A111" t="str">
        <x:f>G111&amp;"|"&amp;L111</x:f>
        <x:v>PAB|082</x:v>
      </x:c>
      <x:c r="B111" t="str">
        <x:v>277caba3-79a8-5570-ace0-10067498a1d2</x:v>
      </x:c>
      <x:c r="C111" t="str">
        <x:v>CDA-PAB-082</x:v>
      </x:c>
      <x:c r="D111" t="str">
        <x:v>255654d8-dd32-544f-b3c0-e9e35ab2568f</x:v>
      </x:c>
      <x:c r="E111" t="str">
        <x:v>CDA-CODE-082</x:v>
      </x:c>
      <x:c r="F111" t="str">
        <x:v>Caran d’Ache</x:v>
      </x:c>
      <x:c r="G111" t="str">
        <x:v>PAB</x:v>
      </x:c>
      <x:c r="H111" t="str">
        <x:v>PABLO</x:v>
      </x:c>
      <x:c r="I111" t="str">
        <x:v>Permanent coloured pencil</x:v>
      </x:c>
      <x:c r="J111" t="str">
        <x:v>Artist</x:v>
      </x:c>
      <x:c r="K111" s="30" t="n">
        <x:v>10</x:v>
      </x:c>
      <x:c r="L111" s="30" t="str">
        <x:v>082</x:v>
      </x:c>
      <x:c r="M111" t="str">
        <x:v>Old pink</x:v>
      </x:c>
      <x:c r="N111" t="str">
        <x:v>復古粉紅</x:v>
      </x:c>
      <x:c r="O111" t="str">
        <x:v>オールドピンク</x:v>
      </x:c>
      <x:c r="P111" t="str"/>
      <x:c r="Q111" t="str">
        <x:v>Vieux rose</x:v>
      </x:c>
      <x:c r="R111" t="str">
        <x:v>Altrosa</x:v>
      </x:c>
      <x:c r="S111" t="str">
        <x:v>Rosa anticot</x:v>
      </x:c>
      <x:c r="T111" t="str">
        <x:v>Rosa viejo</x:v>
      </x:c>
      <x:c r="U111" t="str"/>
      <x:c r="V111" t="str"/>
      <x:c r="W111" t="str"/>
      <x:c r="X111" t="n">
        <x:f>IF(W111="",0,LEN(W111)-LEN(SUBSTITUTE(W111,"/",""))+1)</x:f>
        <x:v>0</x:v>
      </x:c>
      <x:c r="Y111" t="str">
        <x:v>H</x:v>
      </x:c>
      <x:c r="Z111" s="32" t="n">
        <x:v>1.67</x:v>
      </x:c>
      <x:c r="AA111" s="32" t="n">
        <x:v>3</x:v>
      </x:c>
      <x:c r="AB111" s="32" t="str">
        <x:v>Blue Wool Scale / UV 150h</x:v>
      </x:c>
      <x:c r="AC111" t="str">
        <x:v>#EF7476</x:v>
      </x:c>
      <x:c r="AD111" s="34" t="n">
        <x:v>239</x:v>
      </x:c>
      <x:c r="AE111" s="34" t="n">
        <x:v>116</x:v>
      </x:c>
      <x:c r="AF111" s="34" t="n">
        <x:v>118</x:v>
      </x:c>
      <x:c r="AG111" s="32" t="n">
        <x:v>359.02</x:v>
      </x:c>
      <x:c r="AH111" s="32" t="n">
        <x:v>79.35</x:v>
      </x:c>
      <x:c r="AI111" s="32" t="n">
        <x:v>69.61</x:v>
      </x:c>
      <x:c r="AJ111" s="32" t="n">
        <x:v>63.47</x:v>
      </x:c>
      <x:c r="AK111" s="32" t="n">
        <x:v>47.49</x:v>
      </x:c>
      <x:c r="AL111" s="32" t="n">
        <x:v>21.53</x:v>
      </x:c>
      <x:c r="AM111" s="32" t="str">
        <x:v>#000000</x:v>
      </x:c>
      <x:c r="AN111" s="32" t="str">
        <x:v>Black</x:v>
      </x:c>
      <x:c r="AO111" s="32" t="n">
        <x:v>7.43</x:v>
      </x:c>
      <x:c r="AP111" s="32" t="n">
        <x:v>7.43</x:v>
      </x:c>
      <x:c r="AQ111" s="32" t="n">
        <x:v>2.83</x:v>
      </x:c>
      <x:c r="AR111" s="32" t="n">
        <x:v>0.321495</x:v>
      </x:c>
      <x:c r="AS111" t="str">
        <x:v>PASS</x:v>
      </x:c>
      <x:c r="AT111" t="str">
        <x:v>--cda-pab-082</x:v>
      </x:c>
      <x:c r="AU111" t="str">
        <x:v>var(--cda-pab-082)</x:v>
      </x:c>
      <x:c r="AV111" t="str">
        <x:v>Median RGB from official PDF swatch (screen reference only)</x:v>
      </x:c>
      <x:c r="AW111" t="str">
        <x:v>https://www.carandache.com/content_files/uploaded_doc/product/10469/Colour_Chart_Pablo.pdf</x:v>
      </x:c>
      <x:c r="AX111" t="n">
        <x:v>1</x:v>
      </x:c>
      <x:c r="AY111" t="str">
        <x:v>Official</x:v>
      </x:c>
      <x:c r="AZ111" t="str">
        <x:v>Official where available; curated Traditional Chinese/Japanese otherwise</x:v>
      </x:c>
      <x:c r="BA111" t="str">
        <x:v>Verified from official chart; digital HEX is approximate</x:v>
      </x:c>
      <x:c r="BB111" t="str">
        <x:v>Physical media appearance varies by paper, pressure, layering, water and scan/display profile.</x:v>
      </x:c>
    </x:row>
    <x:row r="112">
      <x:c r="A112" t="str">
        <x:f>G112&amp;"|"&amp;L112</x:f>
        <x:v>PAB|071</x:v>
      </x:c>
      <x:c r="B112" t="str">
        <x:v>5e982f9b-da4a-51d3-a003-4b4549be0acb</x:v>
      </x:c>
      <x:c r="C112" t="str">
        <x:v>CDA-PAB-071</x:v>
      </x:c>
      <x:c r="D112" t="str">
        <x:v>ee2773c8-482d-51ce-83d3-72cc028e5a61</x:v>
      </x:c>
      <x:c r="E112" t="str">
        <x:v>CDA-CODE-071</x:v>
      </x:c>
      <x:c r="F112" t="str">
        <x:v>Caran d’Ache</x:v>
      </x:c>
      <x:c r="G112" t="str">
        <x:v>PAB</x:v>
      </x:c>
      <x:c r="H112" t="str">
        <x:v>PABLO</x:v>
      </x:c>
      <x:c r="I112" t="str">
        <x:v>Permanent coloured pencil</x:v>
      </x:c>
      <x:c r="J112" t="str">
        <x:v>Artist</x:v>
      </x:c>
      <x:c r="K112" s="30" t="n">
        <x:v>11</x:v>
      </x:c>
      <x:c r="L112" s="30" t="str">
        <x:v>071</x:v>
      </x:c>
      <x:c r="M112" t="str">
        <x:v>Salmon pink</x:v>
      </x:c>
      <x:c r="N112" t="str">
        <x:v>鮭魚粉紅</x:v>
      </x:c>
      <x:c r="O112" t="str">
        <x:v>サーモンピンク</x:v>
      </x:c>
      <x:c r="P112" t="str"/>
      <x:c r="Q112" t="str">
        <x:v>Saumon rose</x:v>
      </x:c>
      <x:c r="R112" t="str">
        <x:v>Rosarot</x:v>
      </x:c>
      <x:c r="S112" t="str">
        <x:v>Salmone rosato</x:v>
      </x:c>
      <x:c r="T112" t="str">
        <x:v>Salmón rosa</x:v>
      </x:c>
      <x:c r="U112" t="str"/>
      <x:c r="V112" t="str"/>
      <x:c r="W112" t="str"/>
      <x:c r="X112" t="n">
        <x:f>IF(W112="",0,LEN(W112)-LEN(SUBSTITUTE(W112,"/",""))+1)</x:f>
        <x:v>0</x:v>
      </x:c>
      <x:c r="Y112" t="str">
        <x:v>H</x:v>
      </x:c>
      <x:c r="Z112" s="32" t="n">
        <x:v>1.67</x:v>
      </x:c>
      <x:c r="AA112" s="32" t="n">
        <x:v>3</x:v>
      </x:c>
      <x:c r="AB112" s="32" t="str">
        <x:v>Blue Wool Scale / UV 150h</x:v>
      </x:c>
      <x:c r="AC112" t="str">
        <x:v>#F79D9B</x:v>
      </x:c>
      <x:c r="AD112" s="34" t="n">
        <x:v>247</x:v>
      </x:c>
      <x:c r="AE112" s="34" t="n">
        <x:v>157</x:v>
      </x:c>
      <x:c r="AF112" s="34" t="n">
        <x:v>155</x:v>
      </x:c>
      <x:c r="AG112" s="32" t="n">
        <x:v>1.3</x:v>
      </x:c>
      <x:c r="AH112" s="32" t="n">
        <x:v>85.19</x:v>
      </x:c>
      <x:c r="AI112" s="32" t="n">
        <x:v>78.82</x:v>
      </x:c>
      <x:c r="AJ112" s="32" t="n">
        <x:v>73.71</x:v>
      </x:c>
      <x:c r="AK112" s="32" t="n">
        <x:v>33.3</x:v>
      </x:c>
      <x:c r="AL112" s="32" t="n">
        <x:v>15.16</x:v>
      </x:c>
      <x:c r="AM112" s="32" t="str">
        <x:v>#000000</x:v>
      </x:c>
      <x:c r="AN112" s="32" t="str">
        <x:v>Black</x:v>
      </x:c>
      <x:c r="AO112" s="32" t="n">
        <x:v>10.25</x:v>
      </x:c>
      <x:c r="AP112" s="32" t="n">
        <x:v>10.25</x:v>
      </x:c>
      <x:c r="AQ112" s="32" t="n">
        <x:v>2.05</x:v>
      </x:c>
      <x:c r="AR112" s="32" t="n">
        <x:v>0.462547</x:v>
      </x:c>
      <x:c r="AS112" t="str">
        <x:v>PASS</x:v>
      </x:c>
      <x:c r="AT112" t="str">
        <x:v>--cda-pab-071</x:v>
      </x:c>
      <x:c r="AU112" t="str">
        <x:v>var(--cda-pab-071)</x:v>
      </x:c>
      <x:c r="AV112" t="str">
        <x:v>Median RGB from official PDF swatch (screen reference only)</x:v>
      </x:c>
      <x:c r="AW112" t="str">
        <x:v>https://www.carandache.com/content_files/uploaded_doc/product/10469/Colour_Chart_Pablo.pdf</x:v>
      </x:c>
      <x:c r="AX112" t="n">
        <x:v>1</x:v>
      </x:c>
      <x:c r="AY112" t="str">
        <x:v>Official</x:v>
      </x:c>
      <x:c r="AZ112" t="str">
        <x:v>Official where available; curated Traditional Chinese/Japanese otherwise</x:v>
      </x:c>
      <x:c r="BA112" t="str">
        <x:v>Verified from official chart; digital HEX is approximate</x:v>
      </x:c>
      <x:c r="BB112" t="str">
        <x:v>Physical media appearance varies by paper, pressure, layering, water and scan/display profile.</x:v>
      </x:c>
    </x:row>
    <x:row r="113">
      <x:c r="A113" t="str">
        <x:f>G113&amp;"|"&amp;L113</x:f>
        <x:v>PAB|051</x:v>
      </x:c>
      <x:c r="B113" t="str">
        <x:v>aec0dad5-cfff-5630-a4eb-c91aaf3b242b</x:v>
      </x:c>
      <x:c r="C113" t="str">
        <x:v>CDA-PAB-051</x:v>
      </x:c>
      <x:c r="D113" t="str">
        <x:v>ba3d6fa0-5853-50ec-bfad-2bc45415ef04</x:v>
      </x:c>
      <x:c r="E113" t="str">
        <x:v>CDA-CODE-051</x:v>
      </x:c>
      <x:c r="F113" t="str">
        <x:v>Caran d’Ache</x:v>
      </x:c>
      <x:c r="G113" t="str">
        <x:v>PAB</x:v>
      </x:c>
      <x:c r="H113" t="str">
        <x:v>PABLO</x:v>
      </x:c>
      <x:c r="I113" t="str">
        <x:v>Permanent coloured pencil</x:v>
      </x:c>
      <x:c r="J113" t="str">
        <x:v>Artist</x:v>
      </x:c>
      <x:c r="K113" s="30" t="n">
        <x:v>12</x:v>
      </x:c>
      <x:c r="L113" s="30" t="str">
        <x:v>051</x:v>
      </x:c>
      <x:c r="M113" t="str">
        <x:v>Salmon</x:v>
      </x:c>
      <x:c r="N113" t="str">
        <x:v>鮭魚色</x:v>
      </x:c>
      <x:c r="O113" t="str">
        <x:v>サーモン</x:v>
      </x:c>
      <x:c r="P113" t="str"/>
      <x:c r="Q113" t="str">
        <x:v>Saumon</x:v>
      </x:c>
      <x:c r="R113" t="str">
        <x:v>Lachsrot</x:v>
      </x:c>
      <x:c r="S113" t="str">
        <x:v>Salmone</x:v>
      </x:c>
      <x:c r="T113" t="str">
        <x:v>Salmón</x:v>
      </x:c>
      <x:c r="U113" t="str"/>
      <x:c r="V113" t="str"/>
      <x:c r="W113" t="str"/>
      <x:c r="X113" t="n">
        <x:f>IF(W113="",0,LEN(W113)-LEN(SUBSTITUTE(W113,"/",""))+1)</x:f>
        <x:v>0</x:v>
      </x:c>
      <x:c r="Y113" t="str">
        <x:v>H</x:v>
      </x:c>
      <x:c r="Z113" s="32" t="n">
        <x:v>1.67</x:v>
      </x:c>
      <x:c r="AA113" s="32" t="n">
        <x:v>3</x:v>
      </x:c>
      <x:c r="AB113" s="32" t="str">
        <x:v>Blue Wool Scale / UV 150h</x:v>
      </x:c>
      <x:c r="AC113" t="str">
        <x:v>#F9986E</x:v>
      </x:c>
      <x:c r="AD113" s="34" t="n">
        <x:v>249</x:v>
      </x:c>
      <x:c r="AE113" s="34" t="n">
        <x:v>152</x:v>
      </x:c>
      <x:c r="AF113" s="34" t="n">
        <x:v>110</x:v>
      </x:c>
      <x:c r="AG113" s="32" t="n">
        <x:v>18.13</x:v>
      </x:c>
      <x:c r="AH113" s="32" t="n">
        <x:v>92.05</x:v>
      </x:c>
      <x:c r="AI113" s="32" t="n">
        <x:v>70.39</x:v>
      </x:c>
      <x:c r="AJ113" s="32" t="n">
        <x:v>72.05</x:v>
      </x:c>
      <x:c r="AK113" s="32" t="n">
        <x:v>32.33</x:v>
      </x:c>
      <x:c r="AL113" s="32" t="n">
        <x:v>37.38</x:v>
      </x:c>
      <x:c r="AM113" s="32" t="str">
        <x:v>#000000</x:v>
      </x:c>
      <x:c r="AN113" s="32" t="str">
        <x:v>Black</x:v>
      </x:c>
      <x:c r="AO113" s="32" t="n">
        <x:v>9.74</x:v>
      </x:c>
      <x:c r="AP113" s="32" t="n">
        <x:v>9.74</x:v>
      </x:c>
      <x:c r="AQ113" s="32" t="n">
        <x:v>2.16</x:v>
      </x:c>
      <x:c r="AR113" s="32" t="n">
        <x:v>0.43722</x:v>
      </x:c>
      <x:c r="AS113" t="str">
        <x:v>PASS</x:v>
      </x:c>
      <x:c r="AT113" t="str">
        <x:v>--cda-pab-051</x:v>
      </x:c>
      <x:c r="AU113" t="str">
        <x:v>var(--cda-pab-051)</x:v>
      </x:c>
      <x:c r="AV113" t="str">
        <x:v>Median RGB from official PDF swatch (screen reference only)</x:v>
      </x:c>
      <x:c r="AW113" t="str">
        <x:v>https://www.carandache.com/content_files/uploaded_doc/product/10469/Colour_Chart_Pablo.pdf</x:v>
      </x:c>
      <x:c r="AX113" t="n">
        <x:v>1</x:v>
      </x:c>
      <x:c r="AY113" t="str">
        <x:v>Official</x:v>
      </x:c>
      <x:c r="AZ113" t="str">
        <x:v>Official where available; curated Traditional Chinese/Japanese otherwise</x:v>
      </x:c>
      <x:c r="BA113" t="str">
        <x:v>Verified from official chart; digital HEX is approximate</x:v>
      </x:c>
      <x:c r="BB113" t="str">
        <x:v>Physical media appearance varies by paper, pressure, layering, water and scan/display profile.</x:v>
      </x:c>
    </x:row>
    <x:row r="114">
      <x:c r="A114" t="str">
        <x:f>G114&amp;"|"&amp;L114</x:f>
        <x:v>PAB|041</x:v>
      </x:c>
      <x:c r="B114" t="str">
        <x:v>1946c06a-2abe-50b1-b460-43265a0c98bc</x:v>
      </x:c>
      <x:c r="C114" t="str">
        <x:v>CDA-PAB-041</x:v>
      </x:c>
      <x:c r="D114" t="str">
        <x:v>ceca6685-d7aa-5cc6-ae9f-101c1861f467</x:v>
      </x:c>
      <x:c r="E114" t="str">
        <x:v>CDA-CODE-041</x:v>
      </x:c>
      <x:c r="F114" t="str">
        <x:v>Caran d’Ache</x:v>
      </x:c>
      <x:c r="G114" t="str">
        <x:v>PAB</x:v>
      </x:c>
      <x:c r="H114" t="str">
        <x:v>PABLO</x:v>
      </x:c>
      <x:c r="I114" t="str">
        <x:v>Permanent coloured pencil</x:v>
      </x:c>
      <x:c r="J114" t="str">
        <x:v>Artist</x:v>
      </x:c>
      <x:c r="K114" s="30" t="n">
        <x:v>13</x:v>
      </x:c>
      <x:c r="L114" s="30" t="str">
        <x:v>041</x:v>
      </x:c>
      <x:c r="M114" t="str">
        <x:v>Apricot</x:v>
      </x:c>
      <x:c r="N114" t="str">
        <x:v>杏色</x:v>
      </x:c>
      <x:c r="O114" t="str">
        <x:v>アプリコット</x:v>
      </x:c>
      <x:c r="P114" t="str"/>
      <x:c r="Q114" t="str">
        <x:v>Abricot</x:v>
      </x:c>
      <x:c r="R114" t="str">
        <x:v>Aprikose</x:v>
      </x:c>
      <x:c r="S114" t="str">
        <x:v>Albicocca</x:v>
      </x:c>
      <x:c r="T114" t="str">
        <x:v>Albaricoque</x:v>
      </x:c>
      <x:c r="U114" t="str"/>
      <x:c r="V114" t="str"/>
      <x:c r="W114" t="str"/>
      <x:c r="X114" t="n">
        <x:f>IF(W114="",0,LEN(W114)-LEN(SUBSTITUTE(W114,"/",""))+1)</x:f>
        <x:v>0</x:v>
      </x:c>
      <x:c r="Y114" t="str">
        <x:v>H</x:v>
      </x:c>
      <x:c r="Z114" s="32" t="n">
        <x:v>1.67</x:v>
      </x:c>
      <x:c r="AA114" s="32" t="n">
        <x:v>3</x:v>
      </x:c>
      <x:c r="AB114" s="32" t="str">
        <x:v>Blue Wool Scale / UV 150h</x:v>
      </x:c>
      <x:c r="AC114" t="str">
        <x:v>#FEC56A</x:v>
      </x:c>
      <x:c r="AD114" s="34" t="n">
        <x:v>254</x:v>
      </x:c>
      <x:c r="AE114" s="34" t="n">
        <x:v>197</x:v>
      </x:c>
      <x:c r="AF114" s="34" t="n">
        <x:v>106</x:v>
      </x:c>
      <x:c r="AG114" s="32" t="n">
        <x:v>36.89</x:v>
      </x:c>
      <x:c r="AH114" s="32" t="n">
        <x:v>98.67</x:v>
      </x:c>
      <x:c r="AI114" s="32" t="n">
        <x:v>70.59</x:v>
      </x:c>
      <x:c r="AJ114" s="32" t="n">
        <x:v>82.94</x:v>
      </x:c>
      <x:c r="AK114" s="32" t="n">
        <x:v>10.51</x:v>
      </x:c>
      <x:c r="AL114" s="32" t="n">
        <x:v>52.75</x:v>
      </x:c>
      <x:c r="AM114" s="32" t="str">
        <x:v>#000000</x:v>
      </x:c>
      <x:c r="AN114" s="32" t="str">
        <x:v>Black</x:v>
      </x:c>
      <x:c r="AO114" s="32" t="n">
        <x:v>13.41</x:v>
      </x:c>
      <x:c r="AP114" s="32" t="n">
        <x:v>13.41</x:v>
      </x:c>
      <x:c r="AQ114" s="32" t="n">
        <x:v>1.57</x:v>
      </x:c>
      <x:c r="AR114" s="32" t="n">
        <x:v>0.620439</x:v>
      </x:c>
      <x:c r="AS114" t="str">
        <x:v>PASS</x:v>
      </x:c>
      <x:c r="AT114" t="str">
        <x:v>--cda-pab-041</x:v>
      </x:c>
      <x:c r="AU114" t="str">
        <x:v>var(--cda-pab-041)</x:v>
      </x:c>
      <x:c r="AV114" t="str">
        <x:v>Median RGB from official PDF swatch (screen reference only)</x:v>
      </x:c>
      <x:c r="AW114" t="str">
        <x:v>https://www.carandache.com/content_files/uploaded_doc/product/10469/Colour_Chart_Pablo.pdf</x:v>
      </x:c>
      <x:c r="AX114" t="n">
        <x:v>1</x:v>
      </x:c>
      <x:c r="AY114" t="str">
        <x:v>Official</x:v>
      </x:c>
      <x:c r="AZ114" t="str">
        <x:v>Official where available; curated Traditional Chinese/Japanese otherwise</x:v>
      </x:c>
      <x:c r="BA114" t="str">
        <x:v>Verified from official chart; digital HEX is approximate</x:v>
      </x:c>
      <x:c r="BB114" t="str">
        <x:v>Physical media appearance varies by paper, pressure, layering, water and scan/display profile.</x:v>
      </x:c>
    </x:row>
    <x:row r="115">
      <x:c r="A115" t="str">
        <x:f>G115&amp;"|"&amp;L115</x:f>
        <x:v>PAB|493</x:v>
      </x:c>
      <x:c r="B115" t="str">
        <x:v>b0a08d6e-c0a0-5c74-89b4-fc31e178b787</x:v>
      </x:c>
      <x:c r="C115" t="str">
        <x:v>CDA-PAB-493</x:v>
      </x:c>
      <x:c r="D115" t="str">
        <x:v>1f225a02-e19a-5ba5-afe7-19744aaa8e3e</x:v>
      </x:c>
      <x:c r="E115" t="str">
        <x:v>CDA-CODE-493</x:v>
      </x:c>
      <x:c r="F115" t="str">
        <x:v>Caran d’Ache</x:v>
      </x:c>
      <x:c r="G115" t="str">
        <x:v>PAB</x:v>
      </x:c>
      <x:c r="H115" t="str">
        <x:v>PABLO</x:v>
      </x:c>
      <x:c r="I115" t="str">
        <x:v>Permanent coloured pencil</x:v>
      </x:c>
      <x:c r="J115" t="str">
        <x:v>Artist</x:v>
      </x:c>
      <x:c r="K115" s="30" t="n">
        <x:v>14</x:v>
      </x:c>
      <x:c r="L115" s="30" t="str">
        <x:v>493</x:v>
      </x:c>
      <x:c r="M115" t="str">
        <x:v>Granite rose</x:v>
      </x:c>
      <x:c r="N115" t="str">
        <x:v>花崗岩粉紅</x:v>
      </x:c>
      <x:c r="O115" t="str">
        <x:v>グラナイトローズ</x:v>
      </x:c>
      <x:c r="P115" t="str"/>
      <x:c r="Q115" t="str">
        <x:v>Granit rose</x:v>
      </x:c>
      <x:c r="R115" t="str">
        <x:v>Rosagranit</x:v>
      </x:c>
      <x:c r="S115" t="str">
        <x:v>Granito rosa</x:v>
      </x:c>
      <x:c r="T115" t="str">
        <x:v>Rosa granito</x:v>
      </x:c>
      <x:c r="U115" t="str"/>
      <x:c r="V115" t="str"/>
      <x:c r="W115" t="str"/>
      <x:c r="X115" t="n">
        <x:f>IF(W115="",0,LEN(W115)-LEN(SUBSTITUTE(W115,"/",""))+1)</x:f>
        <x:v>0</x:v>
      </x:c>
      <x:c r="Y115" t="str">
        <x:v>H</x:v>
      </x:c>
      <x:c r="Z115" s="32" t="n">
        <x:v>1.67</x:v>
      </x:c>
      <x:c r="AA115" s="32" t="n">
        <x:v>3</x:v>
      </x:c>
      <x:c r="AB115" s="32" t="str">
        <x:v>Blue Wool Scale / UV 150h</x:v>
      </x:c>
      <x:c r="AC115" t="str">
        <x:v>#FED7C5</x:v>
      </x:c>
      <x:c r="AD115" s="34" t="n">
        <x:v>254</x:v>
      </x:c>
      <x:c r="AE115" s="34" t="n">
        <x:v>215</x:v>
      </x:c>
      <x:c r="AF115" s="34" t="n">
        <x:v>197</x:v>
      </x:c>
      <x:c r="AG115" s="32" t="n">
        <x:v>18.95</x:v>
      </x:c>
      <x:c r="AH115" s="32" t="n">
        <x:v>96.61</x:v>
      </x:c>
      <x:c r="AI115" s="32" t="n">
        <x:v>88.43</x:v>
      </x:c>
      <x:c r="AJ115" s="32" t="n">
        <x:v>88.78</x:v>
      </x:c>
      <x:c r="AK115" s="32" t="n">
        <x:v>10.9</x:v>
      </x:c>
      <x:c r="AL115" s="32" t="n">
        <x:v>13.94</x:v>
      </x:c>
      <x:c r="AM115" s="32" t="str">
        <x:v>#000000</x:v>
      </x:c>
      <x:c r="AN115" s="32" t="str">
        <x:v>Black</x:v>
      </x:c>
      <x:c r="AO115" s="32" t="n">
        <x:v>15.74</x:v>
      </x:c>
      <x:c r="AP115" s="32" t="n">
        <x:v>15.74</x:v>
      </x:c>
      <x:c r="AQ115" s="32" t="n">
        <x:v>1.33</x:v>
      </x:c>
      <x:c r="AR115" s="32" t="n">
        <x:v>0.737029</x:v>
      </x:c>
      <x:c r="AS115" t="str">
        <x:v>PASS</x:v>
      </x:c>
      <x:c r="AT115" t="str">
        <x:v>--cda-pab-493</x:v>
      </x:c>
      <x:c r="AU115" t="str">
        <x:v>var(--cda-pab-493)</x:v>
      </x:c>
      <x:c r="AV115" t="str">
        <x:v>Median RGB from official PDF swatch (screen reference only)</x:v>
      </x:c>
      <x:c r="AW115" t="str">
        <x:v>https://www.carandache.com/content_files/uploaded_doc/product/10469/Colour_Chart_Pablo.pdf</x:v>
      </x:c>
      <x:c r="AX115" t="n">
        <x:v>1</x:v>
      </x:c>
      <x:c r="AY115" t="str">
        <x:v>Official</x:v>
      </x:c>
      <x:c r="AZ115" t="str">
        <x:v>Official where available; curated Traditional Chinese/Japanese otherwise</x:v>
      </x:c>
      <x:c r="BA115" t="str">
        <x:v>Verified from official chart; digital HEX is approximate</x:v>
      </x:c>
      <x:c r="BB115" t="str">
        <x:v>Physical media appearance varies by paper, pressure, layering, water and scan/display profile.</x:v>
      </x:c>
    </x:row>
    <x:row r="116">
      <x:c r="A116" t="str">
        <x:f>G116&amp;"|"&amp;L116</x:f>
        <x:v>PAB|091</x:v>
      </x:c>
      <x:c r="B116" t="str">
        <x:v>35218264-e5c1-5719-b958-c33a77adf4b8</x:v>
      </x:c>
      <x:c r="C116" t="str">
        <x:v>CDA-PAB-091</x:v>
      </x:c>
      <x:c r="D116" t="str">
        <x:v>71bb4cc3-85d7-5434-9cba-24e15796e725</x:v>
      </x:c>
      <x:c r="E116" t="str">
        <x:v>CDA-CODE-091</x:v>
      </x:c>
      <x:c r="F116" t="str">
        <x:v>Caran d’Ache</x:v>
      </x:c>
      <x:c r="G116" t="str">
        <x:v>PAB</x:v>
      </x:c>
      <x:c r="H116" t="str">
        <x:v>PABLO</x:v>
      </x:c>
      <x:c r="I116" t="str">
        <x:v>Permanent coloured pencil</x:v>
      </x:c>
      <x:c r="J116" t="str">
        <x:v>Artist</x:v>
      </x:c>
      <x:c r="K116" s="30" t="n">
        <x:v>15</x:v>
      </x:c>
      <x:c r="L116" s="30" t="str">
        <x:v>091</x:v>
      </x:c>
      <x:c r="M116" t="str">
        <x:v>Light purple</x:v>
      </x:c>
      <x:c r="N116" t="str">
        <x:v>淺紫色</x:v>
      </x:c>
      <x:c r="O116" t="str">
        <x:v>ライトパープル</x:v>
      </x:c>
      <x:c r="P116" t="str"/>
      <x:c r="Q116" t="str">
        <x:v>Pourpre clair</x:v>
      </x:c>
      <x:c r="R116" t="str">
        <x:v>Hellpurpur</x:v>
      </x:c>
      <x:c r="S116" t="str">
        <x:v>Porpora chiaro</x:v>
      </x:c>
      <x:c r="T116" t="str">
        <x:v>Púrpura claro</x:v>
      </x:c>
      <x:c r="U116" t="str"/>
      <x:c r="V116" t="str"/>
      <x:c r="W116" t="str"/>
      <x:c r="X116" t="n">
        <x:f>IF(W116="",0,LEN(W116)-LEN(SUBSTITUTE(W116,"/",""))+1)</x:f>
        <x:v>0</x:v>
      </x:c>
      <x:c r="Y116" t="str">
        <x:v>H</x:v>
      </x:c>
      <x:c r="Z116" s="32" t="n">
        <x:v>1.67</x:v>
      </x:c>
      <x:c r="AA116" s="32" t="n">
        <x:v>3</x:v>
      </x:c>
      <x:c r="AB116" s="32" t="str">
        <x:v>Blue Wool Scale / UV 150h</x:v>
      </x:c>
      <x:c r="AC116" t="str">
        <x:v>#E485AB</x:v>
      </x:c>
      <x:c r="AD116" s="34" t="n">
        <x:v>228</x:v>
      </x:c>
      <x:c r="AE116" s="34" t="n">
        <x:v>133</x:v>
      </x:c>
      <x:c r="AF116" s="34" t="n">
        <x:v>171</x:v>
      </x:c>
      <x:c r="AG116" s="32" t="n">
        <x:v>336</x:v>
      </x:c>
      <x:c r="AH116" s="32" t="n">
        <x:v>63.76</x:v>
      </x:c>
      <x:c r="AI116" s="32" t="n">
        <x:v>70.78</x:v>
      </x:c>
      <x:c r="AJ116" s="32" t="n">
        <x:v>66.68</x:v>
      </x:c>
      <x:c r="AK116" s="32" t="n">
        <x:v>41.05</x:v>
      </x:c>
      <x:c r="AL116" s="32" t="n">
        <x:v>-4.17</x:v>
      </x:c>
      <x:c r="AM116" s="32" t="str">
        <x:v>#000000</x:v>
      </x:c>
      <x:c r="AN116" s="32" t="str">
        <x:v>Black</x:v>
      </x:c>
      <x:c r="AO116" s="32" t="n">
        <x:v>8.24</x:v>
      </x:c>
      <x:c r="AP116" s="32" t="n">
        <x:v>8.24</x:v>
      </x:c>
      <x:c r="AQ116" s="32" t="n">
        <x:v>2.55</x:v>
      </x:c>
      <x:c r="AR116" s="32" t="n">
        <x:v>0.362093</x:v>
      </x:c>
      <x:c r="AS116" t="str">
        <x:v>PASS</x:v>
      </x:c>
      <x:c r="AT116" t="str">
        <x:v>--cda-pab-091</x:v>
      </x:c>
      <x:c r="AU116" t="str">
        <x:v>var(--cda-pab-091)</x:v>
      </x:c>
      <x:c r="AV116" t="str">
        <x:v>Median RGB from official PDF swatch (screen reference only)</x:v>
      </x:c>
      <x:c r="AW116" t="str">
        <x:v>https://www.carandache.com/content_files/uploaded_doc/product/10469/Colour_Chart_Pablo.pdf</x:v>
      </x:c>
      <x:c r="AX116" t="n">
        <x:v>1</x:v>
      </x:c>
      <x:c r="AY116" t="str">
        <x:v>Official</x:v>
      </x:c>
      <x:c r="AZ116" t="str">
        <x:v>Official where available; curated Traditional Chinese/Japanese otherwise</x:v>
      </x:c>
      <x:c r="BA116" t="str">
        <x:v>Verified from official chart; digital HEX is approximate</x:v>
      </x:c>
      <x:c r="BB116" t="str">
        <x:v>Physical media appearance varies by paper, pressure, layering, water and scan/display profile.</x:v>
      </x:c>
    </x:row>
    <x:row r="117">
      <x:c r="A117" t="str">
        <x:f>G117&amp;"|"&amp;L117</x:f>
        <x:v>PAB|350</x:v>
      </x:c>
      <x:c r="B117" t="str">
        <x:v>9749d0c3-6147-54e9-b774-b797c669322a</x:v>
      </x:c>
      <x:c r="C117" t="str">
        <x:v>CDA-PAB-350</x:v>
      </x:c>
      <x:c r="D117" t="str">
        <x:v>39bf01fa-a31a-593e-a617-859ebd045d80</x:v>
      </x:c>
      <x:c r="E117" t="str">
        <x:v>CDA-CODE-350</x:v>
      </x:c>
      <x:c r="F117" t="str">
        <x:v>Caran d’Ache</x:v>
      </x:c>
      <x:c r="G117" t="str">
        <x:v>PAB</x:v>
      </x:c>
      <x:c r="H117" t="str">
        <x:v>PABLO</x:v>
      </x:c>
      <x:c r="I117" t="str">
        <x:v>Permanent coloured pencil</x:v>
      </x:c>
      <x:c r="J117" t="str">
        <x:v>Artist</x:v>
      </x:c>
      <x:c r="K117" s="30" t="n">
        <x:v>16</x:v>
      </x:c>
      <x:c r="L117" s="30" t="str">
        <x:v>350</x:v>
      </x:c>
      <x:c r="M117" t="str">
        <x:v>Purplish red</x:v>
      </x:c>
      <x:c r="N117" t="str">
        <x:v>紫紅色</x:v>
      </x:c>
      <x:c r="O117" t="str">
        <x:v>パープリッシュレッド</x:v>
      </x:c>
      <x:c r="P117" t="str"/>
      <x:c r="Q117" t="str">
        <x:v>Rouge pourpre</x:v>
      </x:c>
      <x:c r="R117" t="str">
        <x:v>Purpurrot</x:v>
      </x:c>
      <x:c r="S117" t="str">
        <x:v>Rosso porpora</x:v>
      </x:c>
      <x:c r="T117" t="str">
        <x:v>Rojo púrpura</x:v>
      </x:c>
      <x:c r="U117" t="str"/>
      <x:c r="V117" t="str"/>
      <x:c r="W117" t="str"/>
      <x:c r="X117" t="n">
        <x:f>IF(W117="",0,LEN(W117)-LEN(SUBSTITUTE(W117,"/",""))+1)</x:f>
        <x:v>0</x:v>
      </x:c>
      <x:c r="Y117" t="str">
        <x:v>H</x:v>
      </x:c>
      <x:c r="Z117" s="32" t="n">
        <x:v>1.67</x:v>
      </x:c>
      <x:c r="AA117" s="32" t="n">
        <x:v>3</x:v>
      </x:c>
      <x:c r="AB117" s="32" t="str">
        <x:v>Blue Wool Scale / UV 150h</x:v>
      </x:c>
      <x:c r="AC117" t="str">
        <x:v>#B83678</x:v>
      </x:c>
      <x:c r="AD117" s="34" t="n">
        <x:v>184</x:v>
      </x:c>
      <x:c r="AE117" s="34" t="n">
        <x:v>54</x:v>
      </x:c>
      <x:c r="AF117" s="34" t="n">
        <x:v>120</x:v>
      </x:c>
      <x:c r="AG117" s="32" t="n">
        <x:v>329.54</x:v>
      </x:c>
      <x:c r="AH117" s="32" t="n">
        <x:v>54.62</x:v>
      </x:c>
      <x:c r="AI117" s="32" t="n">
        <x:v>46.67</x:v>
      </x:c>
      <x:c r="AJ117" s="32" t="n">
        <x:v>44.5</x:v>
      </x:c>
      <x:c r="AK117" s="32" t="n">
        <x:v>57.33</x:v>
      </x:c>
      <x:c r="AL117" s="32" t="n">
        <x:v>-7.87</x:v>
      </x:c>
      <x:c r="AM117" s="32" t="str">
        <x:v>#FFFFFF</x:v>
      </x:c>
      <x:c r="AN117" s="32" t="str">
        <x:v>White</x:v>
      </x:c>
      <x:c r="AO117" s="32" t="n">
        <x:v>5.47</x:v>
      </x:c>
      <x:c r="AP117" s="32" t="n">
        <x:v>3.84</x:v>
      </x:c>
      <x:c r="AQ117" s="32" t="n">
        <x:v>5.47</x:v>
      </x:c>
      <x:c r="AR117" s="32" t="n">
        <x:v>0.141847</x:v>
      </x:c>
      <x:c r="AS117" t="str">
        <x:v>PASS</x:v>
      </x:c>
      <x:c r="AT117" t="str">
        <x:v>--cda-pab-350</x:v>
      </x:c>
      <x:c r="AU117" t="str">
        <x:v>var(--cda-pab-350)</x:v>
      </x:c>
      <x:c r="AV117" t="str">
        <x:v>Median RGB from official PDF swatch (screen reference only)</x:v>
      </x:c>
      <x:c r="AW117" t="str">
        <x:v>https://www.carandache.com/content_files/uploaded_doc/product/10469/Colour_Chart_Pablo.pdf</x:v>
      </x:c>
      <x:c r="AX117" t="n">
        <x:v>1</x:v>
      </x:c>
      <x:c r="AY117" t="str">
        <x:v>Official</x:v>
      </x:c>
      <x:c r="AZ117" t="str">
        <x:v>Official where available; curated Traditional Chinese/Japanese otherwise</x:v>
      </x:c>
      <x:c r="BA117" t="str">
        <x:v>Verified from official chart; digital HEX is approximate</x:v>
      </x:c>
      <x:c r="BB117" t="str">
        <x:v>Physical media appearance varies by paper, pressure, layering, water and scan/display profile.</x:v>
      </x:c>
    </x:row>
    <x:row r="118">
      <x:c r="A118" t="str">
        <x:f>G118&amp;"|"&amp;L118</x:f>
        <x:v>PAB|090</x:v>
      </x:c>
      <x:c r="B118" t="str">
        <x:v>14cc49fc-9ca3-557f-951b-9199f306a7a2</x:v>
      </x:c>
      <x:c r="C118" t="str">
        <x:v>CDA-PAB-090</x:v>
      </x:c>
      <x:c r="D118" t="str">
        <x:v>b72cc0ea-a75f-581d-91e3-da56df96481d</x:v>
      </x:c>
      <x:c r="E118" t="str">
        <x:v>CDA-CODE-090</x:v>
      </x:c>
      <x:c r="F118" t="str">
        <x:v>Caran d’Ache</x:v>
      </x:c>
      <x:c r="G118" t="str">
        <x:v>PAB</x:v>
      </x:c>
      <x:c r="H118" t="str">
        <x:v>PABLO</x:v>
      </x:c>
      <x:c r="I118" t="str">
        <x:v>Permanent coloured pencil</x:v>
      </x:c>
      <x:c r="J118" t="str">
        <x:v>Artist</x:v>
      </x:c>
      <x:c r="K118" s="30" t="n">
        <x:v>17</x:v>
      </x:c>
      <x:c r="L118" s="30" t="str">
        <x:v>090</x:v>
      </x:c>
      <x:c r="M118" t="str">
        <x:v>Purple</x:v>
      </x:c>
      <x:c r="N118" t="str">
        <x:v>紫色</x:v>
      </x:c>
      <x:c r="O118" t="str">
        <x:v>パープル</x:v>
      </x:c>
      <x:c r="P118" t="str"/>
      <x:c r="Q118" t="str">
        <x:v>Pourpre</x:v>
      </x:c>
      <x:c r="R118" t="str">
        <x:v>Purpur</x:v>
      </x:c>
      <x:c r="S118" t="str">
        <x:v>Porpora</x:v>
      </x:c>
      <x:c r="T118" t="str">
        <x:v>Púrpura</x:v>
      </x:c>
      <x:c r="U118" t="str"/>
      <x:c r="V118" t="str"/>
      <x:c r="W118" t="str"/>
      <x:c r="X118" t="n">
        <x:f>IF(W118="",0,LEN(W118)-LEN(SUBSTITUTE(W118,"/",""))+1)</x:f>
        <x:v>0</x:v>
      </x:c>
      <x:c r="Y118" t="str">
        <x:v>H</x:v>
      </x:c>
      <x:c r="Z118" s="32" t="n">
        <x:v>1.67</x:v>
      </x:c>
      <x:c r="AA118" s="32" t="n">
        <x:v>3</x:v>
      </x:c>
      <x:c r="AB118" s="32" t="str">
        <x:v>Blue Wool Scale / UV 150h</x:v>
      </x:c>
      <x:c r="AC118" t="str">
        <x:v>#B46394</x:v>
      </x:c>
      <x:c r="AD118" s="34" t="n">
        <x:v>180</x:v>
      </x:c>
      <x:c r="AE118" s="34" t="n">
        <x:v>99</x:v>
      </x:c>
      <x:c r="AF118" s="34" t="n">
        <x:v>148</x:v>
      </x:c>
      <x:c r="AG118" s="32" t="n">
        <x:v>323.7</x:v>
      </x:c>
      <x:c r="AH118" s="32" t="n">
        <x:v>35.06</x:v>
      </x:c>
      <x:c r="AI118" s="32" t="n">
        <x:v>54.71</x:v>
      </x:c>
      <x:c r="AJ118" s="32" t="n">
        <x:v>52.69</x:v>
      </x:c>
      <x:c r="AK118" s="32" t="n">
        <x:v>39.08</x:v>
      </x:c>
      <x:c r="AL118" s="32" t="n">
        <x:v>-12.44</x:v>
      </x:c>
      <x:c r="AM118" s="32" t="str">
        <x:v>#000000</x:v>
      </x:c>
      <x:c r="AN118" s="32" t="str">
        <x:v>Black</x:v>
      </x:c>
      <x:c r="AO118" s="32" t="n">
        <x:v>5.15</x:v>
      </x:c>
      <x:c r="AP118" s="32" t="n">
        <x:v>5.15</x:v>
      </x:c>
      <x:c r="AQ118" s="32" t="n">
        <x:v>4.08</x:v>
      </x:c>
      <x:c r="AR118" s="32" t="n">
        <x:v>0.207651</x:v>
      </x:c>
      <x:c r="AS118" t="str">
        <x:v>PASS</x:v>
      </x:c>
      <x:c r="AT118" t="str">
        <x:v>--cda-pab-090</x:v>
      </x:c>
      <x:c r="AU118" t="str">
        <x:v>var(--cda-pab-090)</x:v>
      </x:c>
      <x:c r="AV118" t="str">
        <x:v>Median RGB from official PDF swatch (screen reference only)</x:v>
      </x:c>
      <x:c r="AW118" t="str">
        <x:v>https://www.carandache.com/content_files/uploaded_doc/product/10469/Colour_Chart_Pablo.pdf</x:v>
      </x:c>
      <x:c r="AX118" t="n">
        <x:v>1</x:v>
      </x:c>
      <x:c r="AY118" t="str">
        <x:v>Official</x:v>
      </x:c>
      <x:c r="AZ118" t="str">
        <x:v>Official where available; curated Traditional Chinese/Japanese otherwise</x:v>
      </x:c>
      <x:c r="BA118" t="str">
        <x:v>Verified from official chart; digital HEX is approximate</x:v>
      </x:c>
      <x:c r="BB118" t="str">
        <x:v>Physical media appearance varies by paper, pressure, layering, water and scan/display profile.</x:v>
      </x:c>
    </x:row>
    <x:row r="119">
      <x:c r="A119" t="str">
        <x:f>G119&amp;"|"&amp;L119</x:f>
        <x:v>PAB|100</x:v>
      </x:c>
      <x:c r="B119" t="str">
        <x:v>461a52b2-7f0e-54c7-857f-62f8f1ca1617</x:v>
      </x:c>
      <x:c r="C119" t="str">
        <x:v>CDA-PAB-100</x:v>
      </x:c>
      <x:c r="D119" t="str">
        <x:v>7d7a2fc3-34ef-554f-8f35-f3e2c4355962</x:v>
      </x:c>
      <x:c r="E119" t="str">
        <x:v>CDA-CODE-100</x:v>
      </x:c>
      <x:c r="F119" t="str">
        <x:v>Caran d’Ache</x:v>
      </x:c>
      <x:c r="G119" t="str">
        <x:v>PAB</x:v>
      </x:c>
      <x:c r="H119" t="str">
        <x:v>PABLO</x:v>
      </x:c>
      <x:c r="I119" t="str">
        <x:v>Permanent coloured pencil</x:v>
      </x:c>
      <x:c r="J119" t="str">
        <x:v>Artist</x:v>
      </x:c>
      <x:c r="K119" s="30" t="n">
        <x:v>18</x:v>
      </x:c>
      <x:c r="L119" s="30" t="str">
        <x:v>100</x:v>
      </x:c>
      <x:c r="M119" t="str">
        <x:v>Purple violet</x:v>
      </x:c>
      <x:c r="N119" t="str">
        <x:v>紫羅蘭</x:v>
      </x:c>
      <x:c r="O119" t="str">
        <x:v>パープルバイオレット</x:v>
      </x:c>
      <x:c r="P119" t="str"/>
      <x:c r="Q119" t="str">
        <x:v>Violet pourpre</x:v>
      </x:c>
      <x:c r="R119" t="str">
        <x:v>Purpurviolett</x:v>
      </x:c>
      <x:c r="S119" t="str">
        <x:v>Viola porpora</x:v>
      </x:c>
      <x:c r="T119" t="str">
        <x:v>Violeta púrpura</x:v>
      </x:c>
      <x:c r="U119" t="str"/>
      <x:c r="V119" t="str"/>
      <x:c r="W119" t="str"/>
      <x:c r="X119" t="n">
        <x:f>IF(W119="",0,LEN(W119)-LEN(SUBSTITUTE(W119,"/",""))+1)</x:f>
        <x:v>0</x:v>
      </x:c>
      <x:c r="Y119" t="str">
        <x:v>H</x:v>
      </x:c>
      <x:c r="Z119" s="32" t="n">
        <x:v>1.67</x:v>
      </x:c>
      <x:c r="AA119" s="32" t="n">
        <x:v>3</x:v>
      </x:c>
      <x:c r="AB119" s="32" t="str">
        <x:v>Blue Wool Scale / UV 150h</x:v>
      </x:c>
      <x:c r="AC119" t="str">
        <x:v>#9F4E83</x:v>
      </x:c>
      <x:c r="AD119" s="34" t="n">
        <x:v>159</x:v>
      </x:c>
      <x:c r="AE119" s="34" t="n">
        <x:v>78</x:v>
      </x:c>
      <x:c r="AF119" s="34" t="n">
        <x:v>131</x:v>
      </x:c>
      <x:c r="AG119" s="32" t="n">
        <x:v>320.74</x:v>
      </x:c>
      <x:c r="AH119" s="32" t="n">
        <x:v>34.18</x:v>
      </x:c>
      <x:c r="AI119" s="32" t="n">
        <x:v>46.47</x:v>
      </x:c>
      <x:c r="AJ119" s="32" t="n">
        <x:v>44.89</x:v>
      </x:c>
      <x:c r="AK119" s="32" t="n">
        <x:v>40.41</x:v>
      </x:c>
      <x:c r="AL119" s="32" t="n">
        <x:v>-14.39</x:v>
      </x:c>
      <x:c r="AM119" s="32" t="str">
        <x:v>#FFFFFF</x:v>
      </x:c>
      <x:c r="AN119" s="32" t="str">
        <x:v>White</x:v>
      </x:c>
      <x:c r="AO119" s="32" t="n">
        <x:v>5.4</x:v>
      </x:c>
      <x:c r="AP119" s="32" t="n">
        <x:v>3.89</x:v>
      </x:c>
      <x:c r="AQ119" s="32" t="n">
        <x:v>5.4</x:v>
      </x:c>
      <x:c r="AR119" s="32" t="n">
        <x:v>0.144584</x:v>
      </x:c>
      <x:c r="AS119" t="str">
        <x:v>PASS</x:v>
      </x:c>
      <x:c r="AT119" t="str">
        <x:v>--cda-pab-100</x:v>
      </x:c>
      <x:c r="AU119" t="str">
        <x:v>var(--cda-pab-100)</x:v>
      </x:c>
      <x:c r="AV119" t="str">
        <x:v>Median RGB from official PDF swatch (screen reference only)</x:v>
      </x:c>
      <x:c r="AW119" t="str">
        <x:v>https://www.carandache.com/content_files/uploaded_doc/product/10469/Colour_Chart_Pablo.pdf</x:v>
      </x:c>
      <x:c r="AX119" t="n">
        <x:v>1</x:v>
      </x:c>
      <x:c r="AY119" t="str">
        <x:v>Official</x:v>
      </x:c>
      <x:c r="AZ119" t="str">
        <x:v>Official where available; curated Traditional Chinese/Japanese otherwise</x:v>
      </x:c>
      <x:c r="BA119" t="str">
        <x:v>Verified from official chart; digital HEX is approximate</x:v>
      </x:c>
      <x:c r="BB119" t="str">
        <x:v>Physical media appearance varies by paper, pressure, layering, water and scan/display profile.</x:v>
      </x:c>
    </x:row>
    <x:row r="120">
      <x:c r="A120" t="str">
        <x:f>G120&amp;"|"&amp;L120</x:f>
        <x:v>PAB|110</x:v>
      </x:c>
      <x:c r="B120" t="str">
        <x:v>fdf748f6-afea-5a9c-818e-aeb3157d4d34</x:v>
      </x:c>
      <x:c r="C120" t="str">
        <x:v>CDA-PAB-110</x:v>
      </x:c>
      <x:c r="D120" t="str">
        <x:v>f0a08db4-689d-598f-a25b-26913808fa89</x:v>
      </x:c>
      <x:c r="E120" t="str">
        <x:v>CDA-CODE-110</x:v>
      </x:c>
      <x:c r="F120" t="str">
        <x:v>Caran d’Ache</x:v>
      </x:c>
      <x:c r="G120" t="str">
        <x:v>PAB</x:v>
      </x:c>
      <x:c r="H120" t="str">
        <x:v>PABLO</x:v>
      </x:c>
      <x:c r="I120" t="str">
        <x:v>Permanent coloured pencil</x:v>
      </x:c>
      <x:c r="J120" t="str">
        <x:v>Artist</x:v>
      </x:c>
      <x:c r="K120" s="30" t="n">
        <x:v>19</x:v>
      </x:c>
      <x:c r="L120" s="30" t="str">
        <x:v>110</x:v>
      </x:c>
      <x:c r="M120" t="str">
        <x:v>Lilac</x:v>
      </x:c>
      <x:c r="N120" t="str">
        <x:v>丁香紫</x:v>
      </x:c>
      <x:c r="O120" t="str">
        <x:v>ライラック</x:v>
      </x:c>
      <x:c r="P120" t="str"/>
      <x:c r="Q120" t="str">
        <x:v>Lilas</x:v>
      </x:c>
      <x:c r="R120" t="str">
        <x:v>Lila</x:v>
      </x:c>
      <x:c r="S120" t="str">
        <x:v>Lilla</x:v>
      </x:c>
      <x:c r="T120" t="str">
        <x:v>Lila</x:v>
      </x:c>
      <x:c r="U120" t="str"/>
      <x:c r="V120" t="str"/>
      <x:c r="W120" t="str"/>
      <x:c r="X120" t="n">
        <x:f>IF(W120="",0,LEN(W120)-LEN(SUBSTITUTE(W120,"/",""))+1)</x:f>
        <x:v>0</x:v>
      </x:c>
      <x:c r="Y120" t="str">
        <x:v>H</x:v>
      </x:c>
      <x:c r="Z120" s="32" t="n">
        <x:v>1.67</x:v>
      </x:c>
      <x:c r="AA120" s="32" t="n">
        <x:v>3</x:v>
      </x:c>
      <x:c r="AB120" s="32" t="str">
        <x:v>Blue Wool Scale / UV 150h</x:v>
      </x:c>
      <x:c r="AC120" t="str">
        <x:v>#774078</x:v>
      </x:c>
      <x:c r="AD120" s="34" t="n">
        <x:v>119</x:v>
      </x:c>
      <x:c r="AE120" s="34" t="n">
        <x:v>64</x:v>
      </x:c>
      <x:c r="AF120" s="34" t="n">
        <x:v>120</x:v>
      </x:c>
      <x:c r="AG120" s="32" t="n">
        <x:v>298.93</x:v>
      </x:c>
      <x:c r="AH120" s="32" t="n">
        <x:v>30.43</x:v>
      </x:c>
      <x:c r="AI120" s="32" t="n">
        <x:v>36.08</x:v>
      </x:c>
      <x:c r="AJ120" s="32" t="n">
        <x:v>35.88</x:v>
      </x:c>
      <x:c r="AK120" s="32" t="n">
        <x:v>32.88</x:v>
      </x:c>
      <x:c r="AL120" s="32" t="n">
        <x:v>-21.95</x:v>
      </x:c>
      <x:c r="AM120" s="32" t="str">
        <x:v>#FFFFFF</x:v>
      </x:c>
      <x:c r="AN120" s="32" t="str">
        <x:v>White</x:v>
      </x:c>
      <x:c r="AO120" s="32" t="n">
        <x:v>7.53</x:v>
      </x:c>
      <x:c r="AP120" s="32" t="n">
        <x:v>2.79</x:v>
      </x:c>
      <x:c r="AQ120" s="32" t="n">
        <x:v>7.53</x:v>
      </x:c>
      <x:c r="AR120" s="32" t="n">
        <x:v>0.089448</x:v>
      </x:c>
      <x:c r="AS120" t="str">
        <x:v>PASS</x:v>
      </x:c>
      <x:c r="AT120" t="str">
        <x:v>--cda-pab-110</x:v>
      </x:c>
      <x:c r="AU120" t="str">
        <x:v>var(--cda-pab-110)</x:v>
      </x:c>
      <x:c r="AV120" t="str">
        <x:v>Median RGB from official PDF swatch (screen reference only)</x:v>
      </x:c>
      <x:c r="AW120" t="str">
        <x:v>https://www.carandache.com/content_files/uploaded_doc/product/10469/Colour_Chart_Pablo.pdf</x:v>
      </x:c>
      <x:c r="AX120" t="n">
        <x:v>1</x:v>
      </x:c>
      <x:c r="AY120" t="str">
        <x:v>Official</x:v>
      </x:c>
      <x:c r="AZ120" t="str">
        <x:v>Official where available; curated Traditional Chinese/Japanese otherwise</x:v>
      </x:c>
      <x:c r="BA120" t="str">
        <x:v>Verified from official chart; digital HEX is approximate</x:v>
      </x:c>
      <x:c r="BB120" t="str">
        <x:v>Physical media appearance varies by paper, pressure, layering, water and scan/display profile.</x:v>
      </x:c>
    </x:row>
    <x:row r="121">
      <x:c r="A121" t="str">
        <x:f>G121&amp;"|"&amp;L121</x:f>
        <x:v>PAB|099</x:v>
      </x:c>
      <x:c r="B121" t="str">
        <x:v>e2fff1cc-e311-59e1-9159-cb15c82637c7</x:v>
      </x:c>
      <x:c r="C121" t="str">
        <x:v>CDA-PAB-099</x:v>
      </x:c>
      <x:c r="D121" t="str">
        <x:v>b1a53e2d-72a1-560f-827c-7dd3d112decc</x:v>
      </x:c>
      <x:c r="E121" t="str">
        <x:v>CDA-CODE-099</x:v>
      </x:c>
      <x:c r="F121" t="str">
        <x:v>Caran d’Ache</x:v>
      </x:c>
      <x:c r="G121" t="str">
        <x:v>PAB</x:v>
      </x:c>
      <x:c r="H121" t="str">
        <x:v>PABLO</x:v>
      </x:c>
      <x:c r="I121" t="str">
        <x:v>Permanent coloured pencil</x:v>
      </x:c>
      <x:c r="J121" t="str">
        <x:v>Artist</x:v>
      </x:c>
      <x:c r="K121" s="30" t="n">
        <x:v>20</x:v>
      </x:c>
      <x:c r="L121" s="30" t="str">
        <x:v>099</x:v>
      </x:c>
      <x:c r="M121" t="str">
        <x:v>Aubergine</x:v>
      </x:c>
      <x:c r="N121" t="str">
        <x:v>茄紫色</x:v>
      </x:c>
      <x:c r="O121" t="str">
        <x:v>オーベルジーヌ</x:v>
      </x:c>
      <x:c r="P121" t="str"/>
      <x:c r="Q121" t="str">
        <x:v>Aubergine</x:v>
      </x:c>
      <x:c r="R121" t="str">
        <x:v>Aubergine</x:v>
      </x:c>
      <x:c r="S121" t="str">
        <x:v>Melanzana</x:v>
      </x:c>
      <x:c r="T121" t="str">
        <x:v>Berenjena</x:v>
      </x:c>
      <x:c r="U121" t="str"/>
      <x:c r="V121" t="str"/>
      <x:c r="W121" t="str"/>
      <x:c r="X121" t="n">
        <x:f>IF(W121="",0,LEN(W121)-LEN(SUBSTITUTE(W121,"/",""))+1)</x:f>
        <x:v>0</x:v>
      </x:c>
      <x:c r="Y121" t="str">
        <x:v>H</x:v>
      </x:c>
      <x:c r="Z121" s="32" t="n">
        <x:v>1.67</x:v>
      </x:c>
      <x:c r="AA121" s="32" t="n">
        <x:v>3</x:v>
      </x:c>
      <x:c r="AB121" s="32" t="str">
        <x:v>Blue Wool Scale / UV 150h</x:v>
      </x:c>
      <x:c r="AC121" t="str">
        <x:v>#63485F</x:v>
      </x:c>
      <x:c r="AD121" s="34" t="n">
        <x:v>99</x:v>
      </x:c>
      <x:c r="AE121" s="34" t="n">
        <x:v>72</x:v>
      </x:c>
      <x:c r="AF121" s="34" t="n">
        <x:v>95</x:v>
      </x:c>
      <x:c r="AG121" s="32" t="n">
        <x:v>308.89</x:v>
      </x:c>
      <x:c r="AH121" s="32" t="n">
        <x:v>15.79</x:v>
      </x:c>
      <x:c r="AI121" s="32" t="n">
        <x:v>33.53</x:v>
      </x:c>
      <x:c r="AJ121" s="32" t="n">
        <x:v>34.22</x:v>
      </x:c>
      <x:c r="AK121" s="32" t="n">
        <x:v>15.81</x:v>
      </x:c>
      <x:c r="AL121" s="32" t="n">
        <x:v>-9.01</x:v>
      </x:c>
      <x:c r="AM121" s="32" t="str">
        <x:v>#FFFFFF</x:v>
      </x:c>
      <x:c r="AN121" s="32" t="str">
        <x:v>White</x:v>
      </x:c>
      <x:c r="AO121" s="32" t="n">
        <x:v>8.01</x:v>
      </x:c>
      <x:c r="AP121" s="32" t="n">
        <x:v>2.62</x:v>
      </x:c>
      <x:c r="AQ121" s="32" t="n">
        <x:v>8.01</x:v>
      </x:c>
      <x:c r="AR121" s="32" t="n">
        <x:v>0.081136</x:v>
      </x:c>
      <x:c r="AS121" t="str">
        <x:v>PASS</x:v>
      </x:c>
      <x:c r="AT121" t="str">
        <x:v>--cda-pab-099</x:v>
      </x:c>
      <x:c r="AU121" t="str">
        <x:v>var(--cda-pab-099)</x:v>
      </x:c>
      <x:c r="AV121" t="str">
        <x:v>Median RGB from official PDF swatch (screen reference only)</x:v>
      </x:c>
      <x:c r="AW121" t="str">
        <x:v>https://www.carandache.com/content_files/uploaded_doc/product/10469/Colour_Chart_Pablo.pdf</x:v>
      </x:c>
      <x:c r="AX121" t="n">
        <x:v>1</x:v>
      </x:c>
      <x:c r="AY121" t="str">
        <x:v>Official</x:v>
      </x:c>
      <x:c r="AZ121" t="str">
        <x:v>Official where available; curated Traditional Chinese/Japanese otherwise</x:v>
      </x:c>
      <x:c r="BA121" t="str">
        <x:v>Verified from official chart; digital HEX is approximate</x:v>
      </x:c>
      <x:c r="BB121" t="str">
        <x:v>Physical media appearance varies by paper, pressure, layering, water and scan/display profile.</x:v>
      </x:c>
    </x:row>
    <x:row r="122">
      <x:c r="A122" t="str">
        <x:f>G122&amp;"|"&amp;L122</x:f>
        <x:v>PAB|111</x:v>
      </x:c>
      <x:c r="B122" t="str">
        <x:v>a2d2f8ea-a4d2-5624-9c36-bd45bb8348ae</x:v>
      </x:c>
      <x:c r="C122" t="str">
        <x:v>CDA-PAB-111</x:v>
      </x:c>
      <x:c r="D122" t="str">
        <x:v>ed48de5b-9fa5-5c31-aede-7207b4fc5200</x:v>
      </x:c>
      <x:c r="E122" t="str">
        <x:v>CDA-CODE-111</x:v>
      </x:c>
      <x:c r="F122" t="str">
        <x:v>Caran d’Ache</x:v>
      </x:c>
      <x:c r="G122" t="str">
        <x:v>PAB</x:v>
      </x:c>
      <x:c r="H122" t="str">
        <x:v>PABLO</x:v>
      </x:c>
      <x:c r="I122" t="str">
        <x:v>Permanent coloured pencil</x:v>
      </x:c>
      <x:c r="J122" t="str">
        <x:v>Artist</x:v>
      </x:c>
      <x:c r="K122" s="30" t="n">
        <x:v>21</x:v>
      </x:c>
      <x:c r="L122" s="30" t="str">
        <x:v>111</x:v>
      </x:c>
      <x:c r="M122" t="str">
        <x:v>Mauve</x:v>
      </x:c>
      <x:c r="N122" t="str">
        <x:v>淡紫色</x:v>
      </x:c>
      <x:c r="O122" t="str">
        <x:v>モーブ</x:v>
      </x:c>
      <x:c r="P122" t="str"/>
      <x:c r="Q122" t="str">
        <x:v>Mauve</x:v>
      </x:c>
      <x:c r="R122" t="str">
        <x:v>Hellrotviolett</x:v>
      </x:c>
      <x:c r="S122" t="str">
        <x:v>Malva</x:v>
      </x:c>
      <x:c r="T122" t="str">
        <x:v>Malva</x:v>
      </x:c>
      <x:c r="U122" t="str"/>
      <x:c r="V122" t="str"/>
      <x:c r="W122" t="str"/>
      <x:c r="X122" t="n">
        <x:f>IF(W122="",0,LEN(W122)-LEN(SUBSTITUTE(W122,"/",""))+1)</x:f>
        <x:v>0</x:v>
      </x:c>
      <x:c r="Y122" t="str">
        <x:v>H</x:v>
      </x:c>
      <x:c r="Z122" s="32" t="n">
        <x:v>1.67</x:v>
      </x:c>
      <x:c r="AA122" s="32" t="n">
        <x:v>3</x:v>
      </x:c>
      <x:c r="AB122" s="32" t="str">
        <x:v>Blue Wool Scale / UV 150h</x:v>
      </x:c>
      <x:c r="AC122" t="str">
        <x:v>#B874AE</x:v>
      </x:c>
      <x:c r="AD122" s="34" t="n">
        <x:v>184</x:v>
      </x:c>
      <x:c r="AE122" s="34" t="n">
        <x:v>116</x:v>
      </x:c>
      <x:c r="AF122" s="34" t="n">
        <x:v>174</x:v>
      </x:c>
      <x:c r="AG122" s="32" t="n">
        <x:v>308.82</x:v>
      </x:c>
      <x:c r="AH122" s="32" t="n">
        <x:v>32.38</x:v>
      </x:c>
      <x:c r="AI122" s="32" t="n">
        <x:v>58.82</x:v>
      </x:c>
      <x:c r="AJ122" s="32" t="n">
        <x:v>57.79</x:v>
      </x:c>
      <x:c r="AK122" s="32" t="n">
        <x:v>35.67</x:v>
      </x:c>
      <x:c r="AL122" s="32" t="n">
        <x:v>-19.78</x:v>
      </x:c>
      <x:c r="AM122" s="32" t="str">
        <x:v>#000000</x:v>
      </x:c>
      <x:c r="AN122" s="32" t="str">
        <x:v>Black</x:v>
      </x:c>
      <x:c r="AO122" s="32" t="n">
        <x:v>6.15</x:v>
      </x:c>
      <x:c r="AP122" s="32" t="n">
        <x:v>6.15</x:v>
      </x:c>
      <x:c r="AQ122" s="32" t="n">
        <x:v>3.42</x:v>
      </x:c>
      <x:c r="AR122" s="32" t="n">
        <x:v>0.257371</x:v>
      </x:c>
      <x:c r="AS122" t="str">
        <x:v>PASS</x:v>
      </x:c>
      <x:c r="AT122" t="str">
        <x:v>--cda-pab-111</x:v>
      </x:c>
      <x:c r="AU122" t="str">
        <x:v>var(--cda-pab-111)</x:v>
      </x:c>
      <x:c r="AV122" t="str">
        <x:v>Median RGB from official PDF swatch (screen reference only)</x:v>
      </x:c>
      <x:c r="AW122" t="str">
        <x:v>https://www.carandache.com/content_files/uploaded_doc/product/10469/Colour_Chart_Pablo.pdf</x:v>
      </x:c>
      <x:c r="AX122" t="n">
        <x:v>1</x:v>
      </x:c>
      <x:c r="AY122" t="str">
        <x:v>Official</x:v>
      </x:c>
      <x:c r="AZ122" t="str">
        <x:v>Official where available; curated Traditional Chinese/Japanese otherwise</x:v>
      </x:c>
      <x:c r="BA122" t="str">
        <x:v>Verified from official chart; digital HEX is approximate</x:v>
      </x:c>
      <x:c r="BB122" t="str">
        <x:v>Physical media appearance varies by paper, pressure, layering, water and scan/display profile.</x:v>
      </x:c>
    </x:row>
    <x:row r="123">
      <x:c r="A123" t="str">
        <x:f>G123&amp;"|"&amp;L123</x:f>
        <x:v>PAB|131</x:v>
      </x:c>
      <x:c r="B123" t="str">
        <x:v>21c7fdda-57b9-5730-a55d-3d2cbb7e1796</x:v>
      </x:c>
      <x:c r="C123" t="str">
        <x:v>CDA-PAB-131</x:v>
      </x:c>
      <x:c r="D123" t="str">
        <x:v>e0da0eb4-8bbe-57dd-a5fe-0cf6204da565</x:v>
      </x:c>
      <x:c r="E123" t="str">
        <x:v>CDA-CODE-131</x:v>
      </x:c>
      <x:c r="F123" t="str">
        <x:v>Caran d’Ache</x:v>
      </x:c>
      <x:c r="G123" t="str">
        <x:v>PAB</x:v>
      </x:c>
      <x:c r="H123" t="str">
        <x:v>PABLO</x:v>
      </x:c>
      <x:c r="I123" t="str">
        <x:v>Permanent coloured pencil</x:v>
      </x:c>
      <x:c r="J123" t="str">
        <x:v>Artist</x:v>
      </x:c>
      <x:c r="K123" s="30" t="n">
        <x:v>22</x:v>
      </x:c>
      <x:c r="L123" s="30" t="str">
        <x:v>131</x:v>
      </x:c>
      <x:c r="M123" t="str">
        <x:v>Periwinkle blue</x:v>
      </x:c>
      <x:c r="N123" t="str">
        <x:v>長春花藍</x:v>
      </x:c>
      <x:c r="O123" t="str">
        <x:v>ペリウィンクルブルー</x:v>
      </x:c>
      <x:c r="P123" t="str"/>
      <x:c r="Q123" t="str">
        <x:v>Pervenche</x:v>
      </x:c>
      <x:c r="R123" t="str">
        <x:v>Hellviolett</x:v>
      </x:c>
      <x:c r="S123" t="str">
        <x:v>Blu pervinca</x:v>
      </x:c>
      <x:c r="T123" t="str">
        <x:v>Pervenche</x:v>
      </x:c>
      <x:c r="U123" t="str"/>
      <x:c r="V123" t="str"/>
      <x:c r="W123" t="str"/>
      <x:c r="X123" t="n">
        <x:f>IF(W123="",0,LEN(W123)-LEN(SUBSTITUTE(W123,"/",""))+1)</x:f>
        <x:v>0</x:v>
      </x:c>
      <x:c r="Y123" t="str">
        <x:v>H</x:v>
      </x:c>
      <x:c r="Z123" s="32" t="n">
        <x:v>1.67</x:v>
      </x:c>
      <x:c r="AA123" s="32" t="n">
        <x:v>3</x:v>
      </x:c>
      <x:c r="AB123" s="32" t="str">
        <x:v>Blue Wool Scale / UV 150h</x:v>
      </x:c>
      <x:c r="AC123" t="str">
        <x:v>#9972AD</x:v>
      </x:c>
      <x:c r="AD123" s="34" t="n">
        <x:v>153</x:v>
      </x:c>
      <x:c r="AE123" s="34" t="n">
        <x:v>114</x:v>
      </x:c>
      <x:c r="AF123" s="34" t="n">
        <x:v>173</x:v>
      </x:c>
      <x:c r="AG123" s="32" t="n">
        <x:v>279.66</x:v>
      </x:c>
      <x:c r="AH123" s="32" t="n">
        <x:v>26.46</x:v>
      </x:c>
      <x:c r="AI123" s="32" t="n">
        <x:v>56.27</x:v>
      </x:c>
      <x:c r="AJ123" s="32" t="n">
        <x:v>53.84</x:v>
      </x:c>
      <x:c r="AK123" s="32" t="n">
        <x:v>26.41</x:v>
      </x:c>
      <x:c r="AL123" s="32" t="n">
        <x:v>-25.56</x:v>
      </x:c>
      <x:c r="AM123" s="32" t="str">
        <x:v>#000000</x:v>
      </x:c>
      <x:c r="AN123" s="32" t="str">
        <x:v>Black</x:v>
      </x:c>
      <x:c r="AO123" s="32" t="n">
        <x:v>5.36</x:v>
      </x:c>
      <x:c r="AP123" s="32" t="n">
        <x:v>5.36</x:v>
      </x:c>
      <x:c r="AQ123" s="32" t="n">
        <x:v>3.91</x:v>
      </x:c>
      <x:c r="AR123" s="32" t="n">
        <x:v>0.218241</x:v>
      </x:c>
      <x:c r="AS123" t="str">
        <x:v>PASS</x:v>
      </x:c>
      <x:c r="AT123" t="str">
        <x:v>--cda-pab-131</x:v>
      </x:c>
      <x:c r="AU123" t="str">
        <x:v>var(--cda-pab-131)</x:v>
      </x:c>
      <x:c r="AV123" t="str">
        <x:v>Median RGB from official PDF swatch (screen reference only)</x:v>
      </x:c>
      <x:c r="AW123" t="str">
        <x:v>https://www.carandache.com/content_files/uploaded_doc/product/10469/Colour_Chart_Pablo.pdf</x:v>
      </x:c>
      <x:c r="AX123" t="n">
        <x:v>1</x:v>
      </x:c>
      <x:c r="AY123" t="str">
        <x:v>Official</x:v>
      </x:c>
      <x:c r="AZ123" t="str">
        <x:v>Official where available; curated Traditional Chinese/Japanese otherwise</x:v>
      </x:c>
      <x:c r="BA123" t="str">
        <x:v>Verified from official chart; digital HEX is approximate</x:v>
      </x:c>
      <x:c r="BB123" t="str">
        <x:v>Physical media appearance varies by paper, pressure, layering, water and scan/display profile.</x:v>
      </x:c>
    </x:row>
    <x:row r="124">
      <x:c r="A124" t="str">
        <x:f>G124&amp;"|"&amp;L124</x:f>
        <x:v>PAB|130</x:v>
      </x:c>
      <x:c r="B124" t="str">
        <x:v>79160087-1501-538e-af73-79169b1fa2a5</x:v>
      </x:c>
      <x:c r="C124" t="str">
        <x:v>CDA-PAB-130</x:v>
      </x:c>
      <x:c r="D124" t="str">
        <x:v>43c027dd-6187-531d-b042-64d6d78c816b</x:v>
      </x:c>
      <x:c r="E124" t="str">
        <x:v>CDA-CODE-130</x:v>
      </x:c>
      <x:c r="F124" t="str">
        <x:v>Caran d’Ache</x:v>
      </x:c>
      <x:c r="G124" t="str">
        <x:v>PAB</x:v>
      </x:c>
      <x:c r="H124" t="str">
        <x:v>PABLO</x:v>
      </x:c>
      <x:c r="I124" t="str">
        <x:v>Permanent coloured pencil</x:v>
      </x:c>
      <x:c r="J124" t="str">
        <x:v>Artist</x:v>
      </x:c>
      <x:c r="K124" s="30" t="n">
        <x:v>23</x:v>
      </x:c>
      <x:c r="L124" s="30" t="str">
        <x:v>130</x:v>
      </x:c>
      <x:c r="M124" t="str">
        <x:v>Royal blue</x:v>
      </x:c>
      <x:c r="N124" t="str">
        <x:v>皇家藍</x:v>
      </x:c>
      <x:c r="O124" t="str">
        <x:v>ロイヤルブルー</x:v>
      </x:c>
      <x:c r="P124" t="str"/>
      <x:c r="Q124" t="str">
        <x:v>Bleu royal</x:v>
      </x:c>
      <x:c r="R124" t="str">
        <x:v>Königsblau</x:v>
      </x:c>
      <x:c r="S124" t="str">
        <x:v>Blu royal</x:v>
      </x:c>
      <x:c r="T124" t="str">
        <x:v>Azul real</x:v>
      </x:c>
      <x:c r="U124" t="str"/>
      <x:c r="V124" t="str"/>
      <x:c r="W124" t="str"/>
      <x:c r="X124" t="n">
        <x:f>IF(W124="",0,LEN(W124)-LEN(SUBSTITUTE(W124,"/",""))+1)</x:f>
        <x:v>0</x:v>
      </x:c>
      <x:c r="Y124" t="str">
        <x:v>H</x:v>
      </x:c>
      <x:c r="Z124" s="32" t="n">
        <x:v>1.67</x:v>
      </x:c>
      <x:c r="AA124" s="32" t="n">
        <x:v>3</x:v>
      </x:c>
      <x:c r="AB124" s="32" t="str">
        <x:v>Blue Wool Scale / UV 150h</x:v>
      </x:c>
      <x:c r="AC124" t="str">
        <x:v>#625D99</x:v>
      </x:c>
      <x:c r="AD124" s="34" t="n">
        <x:v>98</x:v>
      </x:c>
      <x:c r="AE124" s="34" t="n">
        <x:v>93</x:v>
      </x:c>
      <x:c r="AF124" s="34" t="n">
        <x:v>153</x:v>
      </x:c>
      <x:c r="AG124" s="32" t="n">
        <x:v>245</x:v>
      </x:c>
      <x:c r="AH124" s="32" t="n">
        <x:v>24.39</x:v>
      </x:c>
      <x:c r="AI124" s="32" t="n">
        <x:v>48.24</x:v>
      </x:c>
      <x:c r="AJ124" s="32" t="n">
        <x:v>42.35</x:v>
      </x:c>
      <x:c r="AK124" s="32" t="n">
        <x:v>16.9</x:v>
      </x:c>
      <x:c r="AL124" s="32" t="n">
        <x:v>-32.12</x:v>
      </x:c>
      <x:c r="AM124" s="32" t="str">
        <x:v>#FFFFFF</x:v>
      </x:c>
      <x:c r="AN124" s="32" t="str">
        <x:v>White</x:v>
      </x:c>
      <x:c r="AO124" s="32" t="n">
        <x:v>5.92</x:v>
      </x:c>
      <x:c r="AP124" s="32" t="n">
        <x:v>3.55</x:v>
      </x:c>
      <x:c r="AQ124" s="32" t="n">
        <x:v>5.92</x:v>
      </x:c>
      <x:c r="AR124" s="32" t="n">
        <x:v>0.127253</x:v>
      </x:c>
      <x:c r="AS124" t="str">
        <x:v>PASS</x:v>
      </x:c>
      <x:c r="AT124" t="str">
        <x:v>--cda-pab-130</x:v>
      </x:c>
      <x:c r="AU124" t="str">
        <x:v>var(--cda-pab-130)</x:v>
      </x:c>
      <x:c r="AV124" t="str">
        <x:v>Median RGB from official PDF swatch (screen reference only)</x:v>
      </x:c>
      <x:c r="AW124" t="str">
        <x:v>https://www.carandache.com/content_files/uploaded_doc/product/10469/Colour_Chart_Pablo.pdf</x:v>
      </x:c>
      <x:c r="AX124" t="n">
        <x:v>1</x:v>
      </x:c>
      <x:c r="AY124" t="str">
        <x:v>Official</x:v>
      </x:c>
      <x:c r="AZ124" t="str">
        <x:v>Official where available; curated Traditional Chinese/Japanese otherwise</x:v>
      </x:c>
      <x:c r="BA124" t="str">
        <x:v>Verified from official chart; digital HEX is approximate</x:v>
      </x:c>
      <x:c r="BB124" t="str">
        <x:v>Physical media appearance varies by paper, pressure, layering, water and scan/display profile.</x:v>
      </x:c>
    </x:row>
    <x:row r="125">
      <x:c r="A125" t="str">
        <x:f>G125&amp;"|"&amp;L125</x:f>
        <x:v>PAB|120</x:v>
      </x:c>
      <x:c r="B125" t="str">
        <x:v>c9ae4fa1-83c3-58a6-bd97-d1269de4df7e</x:v>
      </x:c>
      <x:c r="C125" t="str">
        <x:v>CDA-PAB-120</x:v>
      </x:c>
      <x:c r="D125" t="str">
        <x:v>fee913f0-b01c-52a4-9be8-3e5be4c01b51</x:v>
      </x:c>
      <x:c r="E125" t="str">
        <x:v>CDA-CODE-120</x:v>
      </x:c>
      <x:c r="F125" t="str">
        <x:v>Caran d’Ache</x:v>
      </x:c>
      <x:c r="G125" t="str">
        <x:v>PAB</x:v>
      </x:c>
      <x:c r="H125" t="str">
        <x:v>PABLO</x:v>
      </x:c>
      <x:c r="I125" t="str">
        <x:v>Permanent coloured pencil</x:v>
      </x:c>
      <x:c r="J125" t="str">
        <x:v>Artist</x:v>
      </x:c>
      <x:c r="K125" s="30" t="n">
        <x:v>24</x:v>
      </x:c>
      <x:c r="L125" s="30" t="str">
        <x:v>120</x:v>
      </x:c>
      <x:c r="M125" t="str">
        <x:v>Violet</x:v>
      </x:c>
      <x:c r="N125" t="str">
        <x:v>紫羅蘭色</x:v>
      </x:c>
      <x:c r="O125" t="str">
        <x:v>バイオレット</x:v>
      </x:c>
      <x:c r="P125" t="str"/>
      <x:c r="Q125" t="str">
        <x:v>Violet</x:v>
      </x:c>
      <x:c r="R125" t="str">
        <x:v>Violett</x:v>
      </x:c>
      <x:c r="S125" t="str">
        <x:v>Violetto</x:v>
      </x:c>
      <x:c r="T125" t="str">
        <x:v>Violeta</x:v>
      </x:c>
      <x:c r="U125" t="str"/>
      <x:c r="V125" t="str"/>
      <x:c r="W125" t="str"/>
      <x:c r="X125" t="n">
        <x:f>IF(W125="",0,LEN(W125)-LEN(SUBSTITUTE(W125,"/",""))+1)</x:f>
        <x:v>0</x:v>
      </x:c>
      <x:c r="Y125" t="str">
        <x:v>H</x:v>
      </x:c>
      <x:c r="Z125" s="32" t="n">
        <x:v>1.67</x:v>
      </x:c>
      <x:c r="AA125" s="32" t="n">
        <x:v>3</x:v>
      </x:c>
      <x:c r="AB125" s="32" t="str">
        <x:v>Blue Wool Scale / UV 150h</x:v>
      </x:c>
      <x:c r="AC125" t="str">
        <x:v>#625390</x:v>
      </x:c>
      <x:c r="AD125" s="34" t="n">
        <x:v>98</x:v>
      </x:c>
      <x:c r="AE125" s="34" t="n">
        <x:v>83</x:v>
      </x:c>
      <x:c r="AF125" s="34" t="n">
        <x:v>144</x:v>
      </x:c>
      <x:c r="AG125" s="32" t="n">
        <x:v>254.75</x:v>
      </x:c>
      <x:c r="AH125" s="32" t="n">
        <x:v>26.87</x:v>
      </x:c>
      <x:c r="AI125" s="32" t="n">
        <x:v>44.51</x:v>
      </x:c>
      <x:c r="AJ125" s="32" t="n">
        <x:v>39.24</x:v>
      </x:c>
      <x:c r="AK125" s="32" t="n">
        <x:v>20.6</x:v>
      </x:c>
      <x:c r="AL125" s="32" t="n">
        <x:v>-31.6</x:v>
      </x:c>
      <x:c r="AM125" s="32" t="str">
        <x:v>#FFFFFF</x:v>
      </x:c>
      <x:c r="AN125" s="32" t="str">
        <x:v>White</x:v>
      </x:c>
      <x:c r="AO125" s="32" t="n">
        <x:v>6.65</x:v>
      </x:c>
      <x:c r="AP125" s="32" t="n">
        <x:v>3.16</x:v>
      </x:c>
      <x:c r="AQ125" s="32" t="n">
        <x:v>6.65</x:v>
      </x:c>
      <x:c r="AR125" s="32" t="n">
        <x:v>0.107968</x:v>
      </x:c>
      <x:c r="AS125" t="str">
        <x:v>PASS</x:v>
      </x:c>
      <x:c r="AT125" t="str">
        <x:v>--cda-pab-120</x:v>
      </x:c>
      <x:c r="AU125" t="str">
        <x:v>var(--cda-pab-120)</x:v>
      </x:c>
      <x:c r="AV125" t="str">
        <x:v>Median RGB from official PDF swatch (screen reference only)</x:v>
      </x:c>
      <x:c r="AW125" t="str">
        <x:v>https://www.carandache.com/content_files/uploaded_doc/product/10469/Colour_Chart_Pablo.pdf</x:v>
      </x:c>
      <x:c r="AX125" t="n">
        <x:v>1</x:v>
      </x:c>
      <x:c r="AY125" t="str">
        <x:v>Official</x:v>
      </x:c>
      <x:c r="AZ125" t="str">
        <x:v>Official where available; curated Traditional Chinese/Japanese otherwise</x:v>
      </x:c>
      <x:c r="BA125" t="str">
        <x:v>Verified from official chart; digital HEX is approximate</x:v>
      </x:c>
      <x:c r="BB125" t="str">
        <x:v>Physical media appearance varies by paper, pressure, layering, water and scan/display profile.</x:v>
      </x:c>
    </x:row>
    <x:row r="126">
      <x:c r="A126" t="str">
        <x:f>G126&amp;"|"&amp;L126</x:f>
        <x:v>PAB|139</x:v>
      </x:c>
      <x:c r="B126" t="str">
        <x:v>c13b08d7-1cbb-5d28-97d5-88467306d779</x:v>
      </x:c>
      <x:c r="C126" t="str">
        <x:v>CDA-PAB-139</x:v>
      </x:c>
      <x:c r="D126" t="str">
        <x:v>82319dcf-1981-54ac-8bc2-b72f5862f24d</x:v>
      </x:c>
      <x:c r="E126" t="str">
        <x:v>CDA-CODE-139</x:v>
      </x:c>
      <x:c r="F126" t="str">
        <x:v>Caran d’Ache</x:v>
      </x:c>
      <x:c r="G126" t="str">
        <x:v>PAB</x:v>
      </x:c>
      <x:c r="H126" t="str">
        <x:v>PABLO</x:v>
      </x:c>
      <x:c r="I126" t="str">
        <x:v>Permanent coloured pencil</x:v>
      </x:c>
      <x:c r="J126" t="str">
        <x:v>Artist</x:v>
      </x:c>
      <x:c r="K126" s="30" t="n">
        <x:v>25</x:v>
      </x:c>
      <x:c r="L126" s="30" t="str">
        <x:v>139</x:v>
      </x:c>
      <x:c r="M126" t="str">
        <x:v>Indigo blue</x:v>
      </x:c>
      <x:c r="N126" t="str">
        <x:v>靛藍</x:v>
      </x:c>
      <x:c r="O126" t="str">
        <x:v>インディゴブルー</x:v>
      </x:c>
      <x:c r="P126" t="str"/>
      <x:c r="Q126" t="str">
        <x:v>Bleu indigo</x:v>
      </x:c>
      <x:c r="R126" t="str">
        <x:v>Indigoblau</x:v>
      </x:c>
      <x:c r="S126" t="str">
        <x:v>Indaco</x:v>
      </x:c>
      <x:c r="T126" t="str">
        <x:v>Azul índigo</x:v>
      </x:c>
      <x:c r="U126" t="str"/>
      <x:c r="V126" t="str"/>
      <x:c r="W126" t="str"/>
      <x:c r="X126" t="n">
        <x:f>IF(W126="",0,LEN(W126)-LEN(SUBSTITUTE(W126,"/",""))+1)</x:f>
        <x:v>0</x:v>
      </x:c>
      <x:c r="Y126" t="str">
        <x:v>H</x:v>
      </x:c>
      <x:c r="Z126" s="32" t="n">
        <x:v>1.67</x:v>
      </x:c>
      <x:c r="AA126" s="32" t="n">
        <x:v>3</x:v>
      </x:c>
      <x:c r="AB126" s="32" t="str">
        <x:v>Blue Wool Scale / UV 150h</x:v>
      </x:c>
      <x:c r="AC126" t="str">
        <x:v>#41405F</x:v>
      </x:c>
      <x:c r="AD126" s="34" t="n">
        <x:v>65</x:v>
      </x:c>
      <x:c r="AE126" s="34" t="n">
        <x:v>64</x:v>
      </x:c>
      <x:c r="AF126" s="34" t="n">
        <x:v>95</x:v>
      </x:c>
      <x:c r="AG126" s="32" t="n">
        <x:v>241.94</x:v>
      </x:c>
      <x:c r="AH126" s="32" t="n">
        <x:v>19.5</x:v>
      </x:c>
      <x:c r="AI126" s="32" t="n">
        <x:v>31.18</x:v>
      </x:c>
      <x:c r="AJ126" s="32" t="n">
        <x:v>28.42</x:v>
      </x:c>
      <x:c r="AK126" s="32" t="n">
        <x:v>8.47</x:v>
      </x:c>
      <x:c r="AL126" s="32" t="n">
        <x:v>-18.19</x:v>
      </x:c>
      <x:c r="AM126" s="32" t="str">
        <x:v>#FFFFFF</x:v>
      </x:c>
      <x:c r="AN126" s="32" t="str">
        <x:v>White</x:v>
      </x:c>
      <x:c r="AO126" s="32" t="n">
        <x:v>9.89</x:v>
      </x:c>
      <x:c r="AP126" s="32" t="n">
        <x:v>2.12</x:v>
      </x:c>
      <x:c r="AQ126" s="32" t="n">
        <x:v>9.89</x:v>
      </x:c>
      <x:c r="AR126" s="32" t="n">
        <x:v>0.056168</x:v>
      </x:c>
      <x:c r="AS126" t="str">
        <x:v>PASS</x:v>
      </x:c>
      <x:c r="AT126" t="str">
        <x:v>--cda-pab-139</x:v>
      </x:c>
      <x:c r="AU126" t="str">
        <x:v>var(--cda-pab-139)</x:v>
      </x:c>
      <x:c r="AV126" t="str">
        <x:v>Median RGB from official PDF swatch (screen reference only)</x:v>
      </x:c>
      <x:c r="AW126" t="str">
        <x:v>https://www.carandache.com/content_files/uploaded_doc/product/10469/Colour_Chart_Pablo.pdf</x:v>
      </x:c>
      <x:c r="AX126" t="n">
        <x:v>1</x:v>
      </x:c>
      <x:c r="AY126" t="str">
        <x:v>Official</x:v>
      </x:c>
      <x:c r="AZ126" t="str">
        <x:v>Official where available; curated Traditional Chinese/Japanese otherwise</x:v>
      </x:c>
      <x:c r="BA126" t="str">
        <x:v>Verified from official chart; digital HEX is approximate</x:v>
      </x:c>
      <x:c r="BB126" t="str">
        <x:v>Physical media appearance varies by paper, pressure, layering, water and scan/display profile.</x:v>
      </x:c>
    </x:row>
    <x:row r="127">
      <x:c r="A127" t="str">
        <x:f>G127&amp;"|"&amp;L127</x:f>
        <x:v>PAB|159</x:v>
      </x:c>
      <x:c r="B127" t="str">
        <x:v>05772a0e-e5c2-5a35-8e16-64f9df11e051</x:v>
      </x:c>
      <x:c r="C127" t="str">
        <x:v>CDA-PAB-159</x:v>
      </x:c>
      <x:c r="D127" t="str">
        <x:v>08addc77-b004-586f-abb1-86a724f3b33e</x:v>
      </x:c>
      <x:c r="E127" t="str">
        <x:v>CDA-CODE-159</x:v>
      </x:c>
      <x:c r="F127" t="str">
        <x:v>Caran d’Ache</x:v>
      </x:c>
      <x:c r="G127" t="str">
        <x:v>PAB</x:v>
      </x:c>
      <x:c r="H127" t="str">
        <x:v>PABLO</x:v>
      </x:c>
      <x:c r="I127" t="str">
        <x:v>Permanent coloured pencil</x:v>
      </x:c>
      <x:c r="J127" t="str">
        <x:v>Artist</x:v>
      </x:c>
      <x:c r="K127" s="30" t="n">
        <x:v>26</x:v>
      </x:c>
      <x:c r="L127" s="30" t="str">
        <x:v>159</x:v>
      </x:c>
      <x:c r="M127" t="str">
        <x:v>Prussian blue</x:v>
      </x:c>
      <x:c r="N127" t="str">
        <x:v>普魯士藍</x:v>
      </x:c>
      <x:c r="O127" t="str">
        <x:v>プルシャンブルー</x:v>
      </x:c>
      <x:c r="P127" t="str"/>
      <x:c r="Q127" t="str">
        <x:v>Bleu de Prusse</x:v>
      </x:c>
      <x:c r="R127" t="str">
        <x:v>Preussischblau</x:v>
      </x:c>
      <x:c r="S127" t="str">
        <x:v>Blu di Prussia</x:v>
      </x:c>
      <x:c r="T127" t="str">
        <x:v>Azul de Prusia</x:v>
      </x:c>
      <x:c r="U127" t="str"/>
      <x:c r="V127" t="str"/>
      <x:c r="W127" t="str"/>
      <x:c r="X127" t="n">
        <x:f>IF(W127="",0,LEN(W127)-LEN(SUBSTITUTE(W127,"/",""))+1)</x:f>
        <x:v>0</x:v>
      </x:c>
      <x:c r="Y127" t="str">
        <x:v>H</x:v>
      </x:c>
      <x:c r="Z127" s="32" t="n">
        <x:v>1.67</x:v>
      </x:c>
      <x:c r="AA127" s="32" t="n">
        <x:v>3</x:v>
      </x:c>
      <x:c r="AB127" s="32" t="str">
        <x:v>Blue Wool Scale / UV 150h</x:v>
      </x:c>
      <x:c r="AC127" t="str">
        <x:v>#345983</x:v>
      </x:c>
      <x:c r="AD127" s="34" t="n">
        <x:v>52</x:v>
      </x:c>
      <x:c r="AE127" s="34" t="n">
        <x:v>89</x:v>
      </x:c>
      <x:c r="AF127" s="34" t="n">
        <x:v>131</x:v>
      </x:c>
      <x:c r="AG127" s="32" t="n">
        <x:v>211.9</x:v>
      </x:c>
      <x:c r="AH127" s="32" t="n">
        <x:v>43.17</x:v>
      </x:c>
      <x:c r="AI127" s="32" t="n">
        <x:v>35.88</x:v>
      </x:c>
      <x:c r="AJ127" s="32" t="n">
        <x:v>36.95</x:v>
      </x:c>
      <x:c r="AK127" s="32" t="n">
        <x:v>0.36</x:v>
      </x:c>
      <x:c r="AL127" s="32" t="n">
        <x:v>-27.51</x:v>
      </x:c>
      <x:c r="AM127" s="32" t="str">
        <x:v>#FFFFFF</x:v>
      </x:c>
      <x:c r="AN127" s="32" t="str">
        <x:v>White</x:v>
      </x:c>
      <x:c r="AO127" s="32" t="n">
        <x:v>7.23</x:v>
      </x:c>
      <x:c r="AP127" s="32" t="n">
        <x:v>2.9</x:v>
      </x:c>
      <x:c r="AQ127" s="32" t="n">
        <x:v>7.23</x:v>
      </x:c>
      <x:c r="AR127" s="32" t="n">
        <x:v>0.095135</x:v>
      </x:c>
      <x:c r="AS127" t="str">
        <x:v>PASS</x:v>
      </x:c>
      <x:c r="AT127" t="str">
        <x:v>--cda-pab-159</x:v>
      </x:c>
      <x:c r="AU127" t="str">
        <x:v>var(--cda-pab-159)</x:v>
      </x:c>
      <x:c r="AV127" t="str">
        <x:v>Median RGB from official PDF swatch (screen reference only)</x:v>
      </x:c>
      <x:c r="AW127" t="str">
        <x:v>https://www.carandache.com/content_files/uploaded_doc/product/10469/Colour_Chart_Pablo.pdf</x:v>
      </x:c>
      <x:c r="AX127" t="n">
        <x:v>1</x:v>
      </x:c>
      <x:c r="AY127" t="str">
        <x:v>Official</x:v>
      </x:c>
      <x:c r="AZ127" t="str">
        <x:v>Official where available; curated Traditional Chinese/Japanese otherwise</x:v>
      </x:c>
      <x:c r="BA127" t="str">
        <x:v>Verified from official chart; digital HEX is approximate</x:v>
      </x:c>
      <x:c r="BB127" t="str">
        <x:v>Physical media appearance varies by paper, pressure, layering, water and scan/display profile.</x:v>
      </x:c>
    </x:row>
    <x:row r="128">
      <x:c r="A128" t="str">
        <x:f>G128&amp;"|"&amp;L128</x:f>
        <x:v>PAB|140</x:v>
      </x:c>
      <x:c r="B128" t="str">
        <x:v>7f6b4dd6-1a62-5ea2-9d08-c4e407313730</x:v>
      </x:c>
      <x:c r="C128" t="str">
        <x:v>CDA-PAB-140</x:v>
      </x:c>
      <x:c r="D128" t="str">
        <x:v>1cc51d9d-3506-5022-8478-a1ae9af587e8</x:v>
      </x:c>
      <x:c r="E128" t="str">
        <x:v>CDA-CODE-140</x:v>
      </x:c>
      <x:c r="F128" t="str">
        <x:v>Caran d’Ache</x:v>
      </x:c>
      <x:c r="G128" t="str">
        <x:v>PAB</x:v>
      </x:c>
      <x:c r="H128" t="str">
        <x:v>PABLO</x:v>
      </x:c>
      <x:c r="I128" t="str">
        <x:v>Permanent coloured pencil</x:v>
      </x:c>
      <x:c r="J128" t="str">
        <x:v>Artist</x:v>
      </x:c>
      <x:c r="K128" s="30" t="n">
        <x:v>27</x:v>
      </x:c>
      <x:c r="L128" s="30" t="str">
        <x:v>140</x:v>
      </x:c>
      <x:c r="M128" t="str">
        <x:v>Ultramarine</x:v>
      </x:c>
      <x:c r="N128" t="str">
        <x:v>群青</x:v>
      </x:c>
      <x:c r="O128" t="str">
        <x:v>ウルトラマリン</x:v>
      </x:c>
      <x:c r="P128" t="str"/>
      <x:c r="Q128" t="str">
        <x:v>Bleu outremer</x:v>
      </x:c>
      <x:c r="R128" t="str">
        <x:v>Ultramarinblau</x:v>
      </x:c>
      <x:c r="S128" t="str">
        <x:v>Blu oltremare</x:v>
      </x:c>
      <x:c r="T128" t="str">
        <x:v>Azul ultramar</x:v>
      </x:c>
      <x:c r="U128" t="str"/>
      <x:c r="V128" t="str"/>
      <x:c r="W128" t="str"/>
      <x:c r="X128" t="n">
        <x:f>IF(W128="",0,LEN(W128)-LEN(SUBSTITUTE(W128,"/",""))+1)</x:f>
        <x:v>0</x:v>
      </x:c>
      <x:c r="Y128" t="str">
        <x:v>H</x:v>
      </x:c>
      <x:c r="Z128" s="32" t="n">
        <x:v>1.67</x:v>
      </x:c>
      <x:c r="AA128" s="32" t="n">
        <x:v>3</x:v>
      </x:c>
      <x:c r="AB128" s="32" t="str">
        <x:v>Blue Wool Scale / UV 150h</x:v>
      </x:c>
      <x:c r="AC128" t="str">
        <x:v>#36479E</x:v>
      </x:c>
      <x:c r="AD128" s="34" t="n">
        <x:v>54</x:v>
      </x:c>
      <x:c r="AE128" s="34" t="n">
        <x:v>71</x:v>
      </x:c>
      <x:c r="AF128" s="34" t="n">
        <x:v>158</x:v>
      </x:c>
      <x:c r="AG128" s="32" t="n">
        <x:v>230.19</x:v>
      </x:c>
      <x:c r="AH128" s="32" t="n">
        <x:v>49.06</x:v>
      </x:c>
      <x:c r="AI128" s="32" t="n">
        <x:v>41.57</x:v>
      </x:c>
      <x:c r="AJ128" s="32" t="n">
        <x:v>33.47</x:v>
      </x:c>
      <x:c r="AK128" s="32" t="n">
        <x:v>22.35</x:v>
      </x:c>
      <x:c r="AL128" s="32" t="n">
        <x:v>-49.47</x:v>
      </x:c>
      <x:c r="AM128" s="32" t="str">
        <x:v>#FFFFFF</x:v>
      </x:c>
      <x:c r="AN128" s="32" t="str">
        <x:v>White</x:v>
      </x:c>
      <x:c r="AO128" s="32" t="n">
        <x:v>8.23</x:v>
      </x:c>
      <x:c r="AP128" s="32" t="n">
        <x:v>2.55</x:v>
      </x:c>
      <x:c r="AQ128" s="32" t="n">
        <x:v>8.23</x:v>
      </x:c>
      <x:c r="AR128" s="32" t="n">
        <x:v>0.077594</x:v>
      </x:c>
      <x:c r="AS128" t="str">
        <x:v>PASS</x:v>
      </x:c>
      <x:c r="AT128" t="str">
        <x:v>--cda-pab-140</x:v>
      </x:c>
      <x:c r="AU128" t="str">
        <x:v>var(--cda-pab-140)</x:v>
      </x:c>
      <x:c r="AV128" t="str">
        <x:v>Median RGB from official PDF swatch (screen reference only)</x:v>
      </x:c>
      <x:c r="AW128" t="str">
        <x:v>https://www.carandache.com/content_files/uploaded_doc/product/10469/Colour_Chart_Pablo.pdf</x:v>
      </x:c>
      <x:c r="AX128" t="n">
        <x:v>1</x:v>
      </x:c>
      <x:c r="AY128" t="str">
        <x:v>Official</x:v>
      </x:c>
      <x:c r="AZ128" t="str">
        <x:v>Official where available; curated Traditional Chinese/Japanese otherwise</x:v>
      </x:c>
      <x:c r="BA128" t="str">
        <x:v>Verified from official chart; digital HEX is approximate</x:v>
      </x:c>
      <x:c r="BB128" t="str">
        <x:v>Physical media appearance varies by paper, pressure, layering, water and scan/display profile.</x:v>
      </x:c>
    </x:row>
    <x:row r="129">
      <x:c r="A129" t="str">
        <x:f>G129&amp;"|"&amp;L129</x:f>
        <x:v>PAB|149</x:v>
      </x:c>
      <x:c r="B129" t="str">
        <x:v>1d2c6f91-3803-510a-88e9-94ba5a5ce631</x:v>
      </x:c>
      <x:c r="C129" t="str">
        <x:v>CDA-PAB-149</x:v>
      </x:c>
      <x:c r="D129" t="str">
        <x:v>b0b0f599-0beb-5dd7-b398-ef01ad96ff1b</x:v>
      </x:c>
      <x:c r="E129" t="str">
        <x:v>CDA-CODE-149</x:v>
      </x:c>
      <x:c r="F129" t="str">
        <x:v>Caran d’Ache</x:v>
      </x:c>
      <x:c r="G129" t="str">
        <x:v>PAB</x:v>
      </x:c>
      <x:c r="H129" t="str">
        <x:v>PABLO</x:v>
      </x:c>
      <x:c r="I129" t="str">
        <x:v>Permanent coloured pencil</x:v>
      </x:c>
      <x:c r="J129" t="str">
        <x:v>Artist</x:v>
      </x:c>
      <x:c r="K129" s="30" t="n">
        <x:v>28</x:v>
      </x:c>
      <x:c r="L129" s="30" t="str">
        <x:v>149</x:v>
      </x:c>
      <x:c r="M129" t="str">
        <x:v>Night blue</x:v>
      </x:c>
      <x:c r="N129" t="str">
        <x:v>夜藍</x:v>
      </x:c>
      <x:c r="O129" t="str">
        <x:v>ナイトブルー</x:v>
      </x:c>
      <x:c r="P129" t="str"/>
      <x:c r="Q129" t="str">
        <x:v>Bleu nuit</x:v>
      </x:c>
      <x:c r="R129" t="str">
        <x:v>Nachtblau</x:v>
      </x:c>
      <x:c r="S129" t="str">
        <x:v>Blu notte</x:v>
      </x:c>
      <x:c r="T129" t="str">
        <x:v>Azul noche</x:v>
      </x:c>
      <x:c r="U129" t="str"/>
      <x:c r="V129" t="str"/>
      <x:c r="W129" t="str"/>
      <x:c r="X129" t="n">
        <x:f>IF(W129="",0,LEN(W129)-LEN(SUBSTITUTE(W129,"/",""))+1)</x:f>
        <x:v>0</x:v>
      </x:c>
      <x:c r="Y129" t="str">
        <x:v>H</x:v>
      </x:c>
      <x:c r="Z129" s="32" t="n">
        <x:v>1.67</x:v>
      </x:c>
      <x:c r="AA129" s="32" t="n">
        <x:v>3</x:v>
      </x:c>
      <x:c r="AB129" s="32" t="str">
        <x:v>Blue Wool Scale / UV 150h</x:v>
      </x:c>
      <x:c r="AC129" t="str">
        <x:v>#33558A</x:v>
      </x:c>
      <x:c r="AD129" s="34" t="n">
        <x:v>51</x:v>
      </x:c>
      <x:c r="AE129" s="34" t="n">
        <x:v>85</x:v>
      </x:c>
      <x:c r="AF129" s="34" t="n">
        <x:v>138</x:v>
      </x:c>
      <x:c r="AG129" s="32" t="n">
        <x:v>216.55</x:v>
      </x:c>
      <x:c r="AH129" s="32" t="n">
        <x:v>46.03</x:v>
      </x:c>
      <x:c r="AI129" s="32" t="n">
        <x:v>37.06</x:v>
      </x:c>
      <x:c r="AJ129" s="32" t="n">
        <x:v>36.05</x:v>
      </x:c>
      <x:c r="AK129" s="32" t="n">
        <x:v>5.21</x:v>
      </x:c>
      <x:c r="AL129" s="32" t="n">
        <x:v>-33.21</x:v>
      </x:c>
      <x:c r="AM129" s="32" t="str">
        <x:v>#FFFFFF</x:v>
      </x:c>
      <x:c r="AN129" s="32" t="str">
        <x:v>White</x:v>
      </x:c>
      <x:c r="AO129" s="32" t="n">
        <x:v>7.48</x:v>
      </x:c>
      <x:c r="AP129" s="32" t="n">
        <x:v>2.81</x:v>
      </x:c>
      <x:c r="AQ129" s="32" t="n">
        <x:v>7.48</x:v>
      </x:c>
      <x:c r="AR129" s="32" t="n">
        <x:v>0.090358</x:v>
      </x:c>
      <x:c r="AS129" t="str">
        <x:v>PASS</x:v>
      </x:c>
      <x:c r="AT129" t="str">
        <x:v>--cda-pab-149</x:v>
      </x:c>
      <x:c r="AU129" t="str">
        <x:v>var(--cda-pab-149)</x:v>
      </x:c>
      <x:c r="AV129" t="str">
        <x:v>Median RGB from official PDF swatch (screen reference only)</x:v>
      </x:c>
      <x:c r="AW129" t="str">
        <x:v>https://www.carandache.com/content_files/uploaded_doc/product/10469/Colour_Chart_Pablo.pdf</x:v>
      </x:c>
      <x:c r="AX129" t="n">
        <x:v>1</x:v>
      </x:c>
      <x:c r="AY129" t="str">
        <x:v>Official</x:v>
      </x:c>
      <x:c r="AZ129" t="str">
        <x:v>Official where available; curated Traditional Chinese/Japanese otherwise</x:v>
      </x:c>
      <x:c r="BA129" t="str">
        <x:v>Verified from official chart; digital HEX is approximate</x:v>
      </x:c>
      <x:c r="BB129" t="str">
        <x:v>Physical media appearance varies by paper, pressure, layering, water and scan/display profile.</x:v>
      </x:c>
    </x:row>
    <x:row r="130">
      <x:c r="A130" t="str">
        <x:f>G130&amp;"|"&amp;L130</x:f>
        <x:v>PAB|150</x:v>
      </x:c>
      <x:c r="B130" t="str">
        <x:v>9c9c9991-67c3-505b-bdf0-799e7e680a82</x:v>
      </x:c>
      <x:c r="C130" t="str">
        <x:v>CDA-PAB-150</x:v>
      </x:c>
      <x:c r="D130" t="str">
        <x:v>1efcdfd5-1f9c-5830-a849-7c18919825be</x:v>
      </x:c>
      <x:c r="E130" t="str">
        <x:v>CDA-CODE-150</x:v>
      </x:c>
      <x:c r="F130" t="str">
        <x:v>Caran d’Ache</x:v>
      </x:c>
      <x:c r="G130" t="str">
        <x:v>PAB</x:v>
      </x:c>
      <x:c r="H130" t="str">
        <x:v>PABLO</x:v>
      </x:c>
      <x:c r="I130" t="str">
        <x:v>Permanent coloured pencil</x:v>
      </x:c>
      <x:c r="J130" t="str">
        <x:v>Artist</x:v>
      </x:c>
      <x:c r="K130" s="30" t="n">
        <x:v>29</x:v>
      </x:c>
      <x:c r="L130" s="30" t="str">
        <x:v>150</x:v>
      </x:c>
      <x:c r="M130" t="str">
        <x:v>Sapphire blue</x:v>
      </x:c>
      <x:c r="N130" t="str">
        <x:v>藍寶石藍</x:v>
      </x:c>
      <x:c r="O130" t="str">
        <x:v>サファイアブルー</x:v>
      </x:c>
      <x:c r="P130" t="str"/>
      <x:c r="Q130" t="str">
        <x:v>Bleu saphir</x:v>
      </x:c>
      <x:c r="R130" t="str">
        <x:v>Saphirblau</x:v>
      </x:c>
      <x:c r="S130" t="str">
        <x:v>Blu zaffiro</x:v>
      </x:c>
      <x:c r="T130" t="str">
        <x:v>Azul zafiro</x:v>
      </x:c>
      <x:c r="U130" t="str"/>
      <x:c r="V130" t="str"/>
      <x:c r="W130" t="str"/>
      <x:c r="X130" t="n">
        <x:f>IF(W130="",0,LEN(W130)-LEN(SUBSTITUTE(W130,"/",""))+1)</x:f>
        <x:v>0</x:v>
      </x:c>
      <x:c r="Y130" t="str">
        <x:v>H</x:v>
      </x:c>
      <x:c r="Z130" s="32" t="n">
        <x:v>1.67</x:v>
      </x:c>
      <x:c r="AA130" s="32" t="n">
        <x:v>3</x:v>
      </x:c>
      <x:c r="AB130" s="32" t="str">
        <x:v>Blue Wool Scale / UV 150h</x:v>
      </x:c>
      <x:c r="AC130" t="str">
        <x:v>#1E62AA</x:v>
      </x:c>
      <x:c r="AD130" s="34" t="n">
        <x:v>30</x:v>
      </x:c>
      <x:c r="AE130" s="34" t="n">
        <x:v>98</x:v>
      </x:c>
      <x:c r="AF130" s="34" t="n">
        <x:v>170</x:v>
      </x:c>
      <x:c r="AG130" s="32" t="n">
        <x:v>210.86</x:v>
      </x:c>
      <x:c r="AH130" s="32" t="n">
        <x:v>70</x:v>
      </x:c>
      <x:c r="AI130" s="32" t="n">
        <x:v>39.22</x:v>
      </x:c>
      <x:c r="AJ130" s="32" t="n">
        <x:v>41.08</x:v>
      </x:c>
      <x:c r="AK130" s="32" t="n">
        <x:v>5.9</x:v>
      </x:c>
      <x:c r="AL130" s="32" t="n">
        <x:v>-44.45</x:v>
      </x:c>
      <x:c r="AM130" s="32" t="str">
        <x:v>#FFFFFF</x:v>
      </x:c>
      <x:c r="AN130" s="32" t="str">
        <x:v>White</x:v>
      </x:c>
      <x:c r="AO130" s="32" t="n">
        <x:v>6.21</x:v>
      </x:c>
      <x:c r="AP130" s="32" t="n">
        <x:v>3.38</x:v>
      </x:c>
      <x:c r="AQ130" s="32" t="n">
        <x:v>6.21</x:v>
      </x:c>
      <x:c r="AR130" s="32" t="n">
        <x:v>0.119137</x:v>
      </x:c>
      <x:c r="AS130" t="str">
        <x:v>PASS</x:v>
      </x:c>
      <x:c r="AT130" t="str">
        <x:v>--cda-pab-150</x:v>
      </x:c>
      <x:c r="AU130" t="str">
        <x:v>var(--cda-pab-150)</x:v>
      </x:c>
      <x:c r="AV130" t="str">
        <x:v>Median RGB from official PDF swatch (screen reference only)</x:v>
      </x:c>
      <x:c r="AW130" t="str">
        <x:v>https://www.carandache.com/content_files/uploaded_doc/product/10469/Colour_Chart_Pablo.pdf</x:v>
      </x:c>
      <x:c r="AX130" t="n">
        <x:v>1</x:v>
      </x:c>
      <x:c r="AY130" t="str">
        <x:v>Official</x:v>
      </x:c>
      <x:c r="AZ130" t="str">
        <x:v>Official where available; curated Traditional Chinese/Japanese otherwise</x:v>
      </x:c>
      <x:c r="BA130" t="str">
        <x:v>Verified from official chart; digital HEX is approximate</x:v>
      </x:c>
      <x:c r="BB130" t="str">
        <x:v>Physical media appearance varies by paper, pressure, layering, water and scan/display profile.</x:v>
      </x:c>
    </x:row>
    <x:row r="131">
      <x:c r="A131" t="str">
        <x:f>G131&amp;"|"&amp;L131</x:f>
        <x:v>PAB|260</x:v>
      </x:c>
      <x:c r="B131" t="str">
        <x:v>9ba226dc-71e0-5984-961c-11150bececfc</x:v>
      </x:c>
      <x:c r="C131" t="str">
        <x:v>CDA-PAB-260</x:v>
      </x:c>
      <x:c r="D131" t="str">
        <x:v>06d5be45-8f90-573d-a96f-05ec46073790</x:v>
      </x:c>
      <x:c r="E131" t="str">
        <x:v>CDA-CODE-260</x:v>
      </x:c>
      <x:c r="F131" t="str">
        <x:v>Caran d’Ache</x:v>
      </x:c>
      <x:c r="G131" t="str">
        <x:v>PAB</x:v>
      </x:c>
      <x:c r="H131" t="str">
        <x:v>PABLO</x:v>
      </x:c>
      <x:c r="I131" t="str">
        <x:v>Permanent coloured pencil</x:v>
      </x:c>
      <x:c r="J131" t="str">
        <x:v>Artist</x:v>
      </x:c>
      <x:c r="K131" s="30" t="n">
        <x:v>30</x:v>
      </x:c>
      <x:c r="L131" s="30" t="str">
        <x:v>260</x:v>
      </x:c>
      <x:c r="M131" t="str">
        <x:v>Blue</x:v>
      </x:c>
      <x:c r="N131" t="str">
        <x:v>藍色</x:v>
      </x:c>
      <x:c r="O131" t="str">
        <x:v>ブルー</x:v>
      </x:c>
      <x:c r="P131" t="str"/>
      <x:c r="Q131" t="str">
        <x:v>Bleu</x:v>
      </x:c>
      <x:c r="R131" t="str">
        <x:v>Blau</x:v>
      </x:c>
      <x:c r="S131" t="str">
        <x:v>Blu</x:v>
      </x:c>
      <x:c r="T131" t="str">
        <x:v>Azul</x:v>
      </x:c>
      <x:c r="U131" t="str"/>
      <x:c r="V131" t="str"/>
      <x:c r="W131" t="str"/>
      <x:c r="X131" t="n">
        <x:f>IF(W131="",0,LEN(W131)-LEN(SUBSTITUTE(W131,"/",""))+1)</x:f>
        <x:v>0</x:v>
      </x:c>
      <x:c r="Y131" t="str">
        <x:v>H</x:v>
      </x:c>
      <x:c r="Z131" s="32" t="n">
        <x:v>1.67</x:v>
      </x:c>
      <x:c r="AA131" s="32" t="n">
        <x:v>3</x:v>
      </x:c>
      <x:c r="AB131" s="32" t="str">
        <x:v>Blue Wool Scale / UV 150h</x:v>
      </x:c>
      <x:c r="AC131" t="str">
        <x:v>#355A9B</x:v>
      </x:c>
      <x:c r="AD131" s="34" t="n">
        <x:v>53</x:v>
      </x:c>
      <x:c r="AE131" s="34" t="n">
        <x:v>90</x:v>
      </x:c>
      <x:c r="AF131" s="34" t="n">
        <x:v>155</x:v>
      </x:c>
      <x:c r="AG131" s="32" t="n">
        <x:v>218.24</x:v>
      </x:c>
      <x:c r="AH131" s="32" t="n">
        <x:v>49.04</x:v>
      </x:c>
      <x:c r="AI131" s="32" t="n">
        <x:v>40.78</x:v>
      </x:c>
      <x:c r="AJ131" s="32" t="n">
        <x:v>38.61</x:v>
      </x:c>
      <x:c r="AK131" s="32" t="n">
        <x:v>8.55</x:v>
      </x:c>
      <x:c r="AL131" s="32" t="n">
        <x:v>-39.42</x:v>
      </x:c>
      <x:c r="AM131" s="32" t="str">
        <x:v>#FFFFFF</x:v>
      </x:c>
      <x:c r="AN131" s="32" t="str">
        <x:v>White</x:v>
      </x:c>
      <x:c r="AO131" s="32" t="n">
        <x:v>6.8</x:v>
      </x:c>
      <x:c r="AP131" s="32" t="n">
        <x:v>3.09</x:v>
      </x:c>
      <x:c r="AQ131" s="32" t="n">
        <x:v>6.8</x:v>
      </x:c>
      <x:c r="AR131" s="32" t="n">
        <x:v>0.104358</x:v>
      </x:c>
      <x:c r="AS131" t="str">
        <x:v>PASS</x:v>
      </x:c>
      <x:c r="AT131" t="str">
        <x:v>--cda-pab-260</x:v>
      </x:c>
      <x:c r="AU131" t="str">
        <x:v>var(--cda-pab-260)</x:v>
      </x:c>
      <x:c r="AV131" t="str">
        <x:v>Median RGB from official PDF swatch (screen reference only)</x:v>
      </x:c>
      <x:c r="AW131" t="str">
        <x:v>https://www.carandache.com/content_files/uploaded_doc/product/10469/Colour_Chart_Pablo.pdf</x:v>
      </x:c>
      <x:c r="AX131" t="n">
        <x:v>1</x:v>
      </x:c>
      <x:c r="AY131" t="str">
        <x:v>Official</x:v>
      </x:c>
      <x:c r="AZ131" t="str">
        <x:v>Official where available; curated Traditional Chinese/Japanese otherwise</x:v>
      </x:c>
      <x:c r="BA131" t="str">
        <x:v>Verified from official chart; digital HEX is approximate</x:v>
      </x:c>
      <x:c r="BB131" t="str">
        <x:v>Physical media appearance varies by paper, pressure, layering, water and scan/display profile.</x:v>
      </x:c>
    </x:row>
    <x:row r="132">
      <x:c r="A132" t="str">
        <x:f>G132&amp;"|"&amp;L132</x:f>
        <x:v>PAB|169</x:v>
      </x:c>
      <x:c r="B132" t="str">
        <x:v>ef8d11dc-eb1c-5894-a334-61ef1853ab4c</x:v>
      </x:c>
      <x:c r="C132" t="str">
        <x:v>CDA-PAB-169</x:v>
      </x:c>
      <x:c r="D132" t="str">
        <x:v>ec221387-abf8-5daf-a96e-3e77a16b0173</x:v>
      </x:c>
      <x:c r="E132" t="str">
        <x:v>CDA-CODE-169</x:v>
      </x:c>
      <x:c r="F132" t="str">
        <x:v>Caran d’Ache</x:v>
      </x:c>
      <x:c r="G132" t="str">
        <x:v>PAB</x:v>
      </x:c>
      <x:c r="H132" t="str">
        <x:v>PABLO</x:v>
      </x:c>
      <x:c r="I132" t="str">
        <x:v>Permanent coloured pencil</x:v>
      </x:c>
      <x:c r="J132" t="str">
        <x:v>Artist</x:v>
      </x:c>
      <x:c r="K132" s="30" t="n">
        <x:v>31</x:v>
      </x:c>
      <x:c r="L132" s="30" t="str">
        <x:v>169</x:v>
      </x:c>
      <x:c r="M132" t="str">
        <x:v>Marine blue</x:v>
      </x:c>
      <x:c r="N132" t="str">
        <x:v>海軍藍</x:v>
      </x:c>
      <x:c r="O132" t="str">
        <x:v>マリンブルー</x:v>
      </x:c>
      <x:c r="P132" t="str"/>
      <x:c r="Q132" t="str">
        <x:v>Bleu marine</x:v>
      </x:c>
      <x:c r="R132" t="str">
        <x:v>Marineblau</x:v>
      </x:c>
      <x:c r="S132" t="str">
        <x:v>Blu marino</x:v>
      </x:c>
      <x:c r="T132" t="str">
        <x:v>Azul marino</x:v>
      </x:c>
      <x:c r="U132" t="str"/>
      <x:c r="V132" t="str"/>
      <x:c r="W132" t="str"/>
      <x:c r="X132" t="n">
        <x:f>IF(W132="",0,LEN(W132)-LEN(SUBSTITUTE(W132,"/",""))+1)</x:f>
        <x:v>0</x:v>
      </x:c>
      <x:c r="Y132" t="str">
        <x:v>H</x:v>
      </x:c>
      <x:c r="Z132" s="32" t="n">
        <x:v>1.67</x:v>
      </x:c>
      <x:c r="AA132" s="32" t="n">
        <x:v>3</x:v>
      </x:c>
      <x:c r="AB132" s="32" t="str">
        <x:v>Blue Wool Scale / UV 150h</x:v>
      </x:c>
      <x:c r="AC132" t="str">
        <x:v>#0F608D</x:v>
      </x:c>
      <x:c r="AD132" s="34" t="n">
        <x:v>15</x:v>
      </x:c>
      <x:c r="AE132" s="34" t="n">
        <x:v>96</x:v>
      </x:c>
      <x:c r="AF132" s="34" t="n">
        <x:v>141</x:v>
      </x:c>
      <x:c r="AG132" s="32" t="n">
        <x:v>201.43</x:v>
      </x:c>
      <x:c r="AH132" s="32" t="n">
        <x:v>80.77</x:v>
      </x:c>
      <x:c r="AI132" s="32" t="n">
        <x:v>30.59</x:v>
      </x:c>
      <x:c r="AJ132" s="32" t="n">
        <x:v>38.53</x:v>
      </x:c>
      <x:c r="AK132" s="32" t="n">
        <x:v>-5.6</x:v>
      </x:c>
      <x:c r="AL132" s="32" t="n">
        <x:v>-31.19</x:v>
      </x:c>
      <x:c r="AM132" s="32" t="str">
        <x:v>#FFFFFF</x:v>
      </x:c>
      <x:c r="AN132" s="32" t="str">
        <x:v>White</x:v>
      </x:c>
      <x:c r="AO132" s="32" t="n">
        <x:v>6.82</x:v>
      </x:c>
      <x:c r="AP132" s="32" t="n">
        <x:v>3.08</x:v>
      </x:c>
      <x:c r="AQ132" s="32" t="n">
        <x:v>6.82</x:v>
      </x:c>
      <x:c r="AR132" s="32" t="n">
        <x:v>0.103904</x:v>
      </x:c>
      <x:c r="AS132" t="str">
        <x:v>PASS</x:v>
      </x:c>
      <x:c r="AT132" t="str">
        <x:v>--cda-pab-169</x:v>
      </x:c>
      <x:c r="AU132" t="str">
        <x:v>var(--cda-pab-169)</x:v>
      </x:c>
      <x:c r="AV132" t="str">
        <x:v>Median RGB from official PDF swatch (screen reference only)</x:v>
      </x:c>
      <x:c r="AW132" t="str">
        <x:v>https://www.carandache.com/content_files/uploaded_doc/product/10469/Colour_Chart_Pablo.pdf</x:v>
      </x:c>
      <x:c r="AX132" t="n">
        <x:v>1</x:v>
      </x:c>
      <x:c r="AY132" t="str">
        <x:v>Official</x:v>
      </x:c>
      <x:c r="AZ132" t="str">
        <x:v>Official where available; curated Traditional Chinese/Japanese otherwise</x:v>
      </x:c>
      <x:c r="BA132" t="str">
        <x:v>Verified from official chart; digital HEX is approximate</x:v>
      </x:c>
      <x:c r="BB132" t="str">
        <x:v>Physical media appearance varies by paper, pressure, layering, water and scan/display profile.</x:v>
      </x:c>
    </x:row>
    <x:row r="133">
      <x:c r="A133" t="str">
        <x:f>G133&amp;"|"&amp;L133</x:f>
        <x:v>PAB|145</x:v>
      </x:c>
      <x:c r="B133" t="str">
        <x:v>87fcf73b-9336-5cb6-9ec8-d63cc474d4b8</x:v>
      </x:c>
      <x:c r="C133" t="str">
        <x:v>CDA-PAB-145</x:v>
      </x:c>
      <x:c r="D133" t="str">
        <x:v>8580dae2-477a-5d0e-afcb-89e0a00e77a6</x:v>
      </x:c>
      <x:c r="E133" t="str">
        <x:v>CDA-CODE-145</x:v>
      </x:c>
      <x:c r="F133" t="str">
        <x:v>Caran d’Ache</x:v>
      </x:c>
      <x:c r="G133" t="str">
        <x:v>PAB</x:v>
      </x:c>
      <x:c r="H133" t="str">
        <x:v>PABLO</x:v>
      </x:c>
      <x:c r="I133" t="str">
        <x:v>Permanent coloured pencil</x:v>
      </x:c>
      <x:c r="J133" t="str">
        <x:v>Artist</x:v>
      </x:c>
      <x:c r="K133" s="30" t="n">
        <x:v>32</x:v>
      </x:c>
      <x:c r="L133" s="30" t="str">
        <x:v>145</x:v>
      </x:c>
      <x:c r="M133" t="str">
        <x:v>Bluish grey</x:v>
      </x:c>
      <x:c r="N133" t="str">
        <x:v>藍灰色</x:v>
      </x:c>
      <x:c r="O133" t="str">
        <x:v>ブルーグレー</x:v>
      </x:c>
      <x:c r="P133" t="str"/>
      <x:c r="Q133" t="str">
        <x:v>Bleu gris</x:v>
      </x:c>
      <x:c r="R133" t="str">
        <x:v>Graublau</x:v>
      </x:c>
      <x:c r="S133" t="str">
        <x:v>Blu grigio</x:v>
      </x:c>
      <x:c r="T133" t="str">
        <x:v>Azul gris</x:v>
      </x:c>
      <x:c r="U133" t="str"/>
      <x:c r="V133" t="str"/>
      <x:c r="W133" t="str"/>
      <x:c r="X133" t="n">
        <x:f>IF(W133="",0,LEN(W133)-LEN(SUBSTITUTE(W133,"/",""))+1)</x:f>
        <x:v>0</x:v>
      </x:c>
      <x:c r="Y133" t="str">
        <x:v>H</x:v>
      </x:c>
      <x:c r="Z133" s="32" t="n">
        <x:v>1.67</x:v>
      </x:c>
      <x:c r="AA133" s="32" t="n">
        <x:v>3</x:v>
      </x:c>
      <x:c r="AB133" s="32" t="str">
        <x:v>Blue Wool Scale / UV 150h</x:v>
      </x:c>
      <x:c r="AC133" t="str">
        <x:v>#486EA1</x:v>
      </x:c>
      <x:c r="AD133" s="34" t="n">
        <x:v>72</x:v>
      </x:c>
      <x:c r="AE133" s="34" t="n">
        <x:v>110</x:v>
      </x:c>
      <x:c r="AF133" s="34" t="n">
        <x:v>161</x:v>
      </x:c>
      <x:c r="AG133" s="32" t="n">
        <x:v>214.38</x:v>
      </x:c>
      <x:c r="AH133" s="32" t="n">
        <x:v>38.2</x:v>
      </x:c>
      <x:c r="AI133" s="32" t="n">
        <x:v>45.69</x:v>
      </x:c>
      <x:c r="AJ133" s="32" t="n">
        <x:v>45.77</x:v>
      </x:c>
      <x:c r="AK133" s="32" t="n">
        <x:v>2</x:v>
      </x:c>
      <x:c r="AL133" s="32" t="n">
        <x:v>-31.6</x:v>
      </x:c>
      <x:c r="AM133" s="32" t="str">
        <x:v>#FFFFFF</x:v>
      </x:c>
      <x:c r="AN133" s="32" t="str">
        <x:v>White</x:v>
      </x:c>
      <x:c r="AO133" s="32" t="n">
        <x:v>5.22</x:v>
      </x:c>
      <x:c r="AP133" s="32" t="n">
        <x:v>4.02</x:v>
      </x:c>
      <x:c r="AQ133" s="32" t="n">
        <x:v>5.22</x:v>
      </x:c>
      <x:c r="AR133" s="32" t="n">
        <x:v>0.151028</x:v>
      </x:c>
      <x:c r="AS133" t="str">
        <x:v>PASS</x:v>
      </x:c>
      <x:c r="AT133" t="str">
        <x:v>--cda-pab-145</x:v>
      </x:c>
      <x:c r="AU133" t="str">
        <x:v>var(--cda-pab-145)</x:v>
      </x:c>
      <x:c r="AV133" t="str">
        <x:v>Median RGB from official PDF swatch (screen reference only)</x:v>
      </x:c>
      <x:c r="AW133" t="str">
        <x:v>https://www.carandache.com/content_files/uploaded_doc/product/10469/Colour_Chart_Pablo.pdf</x:v>
      </x:c>
      <x:c r="AX133" t="n">
        <x:v>1</x:v>
      </x:c>
      <x:c r="AY133" t="str">
        <x:v>Official</x:v>
      </x:c>
      <x:c r="AZ133" t="str">
        <x:v>Official where available; curated Traditional Chinese/Japanese otherwise</x:v>
      </x:c>
      <x:c r="BA133" t="str">
        <x:v>Verified from official chart; digital HEX is approximate</x:v>
      </x:c>
      <x:c r="BB133" t="str">
        <x:v>Physical media appearance varies by paper, pressure, layering, water and scan/display profile.</x:v>
      </x:c>
    </x:row>
    <x:row r="134">
      <x:c r="A134" t="str">
        <x:f>G134&amp;"|"&amp;L134</x:f>
        <x:v>PAB|370</x:v>
      </x:c>
      <x:c r="B134" t="str">
        <x:v>089cee2c-bbcc-5993-a39f-c63b8dd41344</x:v>
      </x:c>
      <x:c r="C134" t="str">
        <x:v>CDA-PAB-370</x:v>
      </x:c>
      <x:c r="D134" t="str">
        <x:v>af4c8d4a-7fbd-5dbe-9455-0e110ad4b140</x:v>
      </x:c>
      <x:c r="E134" t="str">
        <x:v>CDA-CODE-370</x:v>
      </x:c>
      <x:c r="F134" t="str">
        <x:v>Caran d’Ache</x:v>
      </x:c>
      <x:c r="G134" t="str">
        <x:v>PAB</x:v>
      </x:c>
      <x:c r="H134" t="str">
        <x:v>PABLO</x:v>
      </x:c>
      <x:c r="I134" t="str">
        <x:v>Permanent coloured pencil</x:v>
      </x:c>
      <x:c r="J134" t="str">
        <x:v>Artist</x:v>
      </x:c>
      <x:c r="K134" s="30" t="n">
        <x:v>33</x:v>
      </x:c>
      <x:c r="L134" s="30" t="str">
        <x:v>370</x:v>
      </x:c>
      <x:c r="M134" t="str">
        <x:v>Gentian blue</x:v>
      </x:c>
      <x:c r="N134" t="str">
        <x:v>龍膽藍</x:v>
      </x:c>
      <x:c r="O134" t="str">
        <x:v>ゲンチアンブルー</x:v>
      </x:c>
      <x:c r="P134" t="str"/>
      <x:c r="Q134" t="str">
        <x:v>Bleu gentiane</x:v>
      </x:c>
      <x:c r="R134" t="str">
        <x:v>Enzianblau</x:v>
      </x:c>
      <x:c r="S134" t="str">
        <x:v>Blu genziana</x:v>
      </x:c>
      <x:c r="T134" t="str">
        <x:v>Azul genciana</x:v>
      </x:c>
      <x:c r="U134" t="str"/>
      <x:c r="V134" t="str"/>
      <x:c r="W134" t="str"/>
      <x:c r="X134" t="n">
        <x:f>IF(W134="",0,LEN(W134)-LEN(SUBSTITUTE(W134,"/",""))+1)</x:f>
        <x:v>0</x:v>
      </x:c>
      <x:c r="Y134" t="str">
        <x:v>H</x:v>
      </x:c>
      <x:c r="Z134" s="32" t="n">
        <x:v>1.67</x:v>
      </x:c>
      <x:c r="AA134" s="32" t="n">
        <x:v>3</x:v>
      </x:c>
      <x:c r="AB134" s="32" t="str">
        <x:v>Blue Wool Scale / UV 150h</x:v>
      </x:c>
      <x:c r="AC134" t="str">
        <x:v>#1F89C3</x:v>
      </x:c>
      <x:c r="AD134" s="34" t="n">
        <x:v>31</x:v>
      </x:c>
      <x:c r="AE134" s="34" t="n">
        <x:v>137</x:v>
      </x:c>
      <x:c r="AF134" s="34" t="n">
        <x:v>195</x:v>
      </x:c>
      <x:c r="AG134" s="32" t="n">
        <x:v>201.22</x:v>
      </x:c>
      <x:c r="AH134" s="32" t="n">
        <x:v>72.57</x:v>
      </x:c>
      <x:c r="AI134" s="32" t="n">
        <x:v>44.31</x:v>
      </x:c>
      <x:c r="AJ134" s="32" t="n">
        <x:v>54.15</x:v>
      </x:c>
      <x:c r="AK134" s="32" t="n">
        <x:v>-8.22</x:v>
      </x:c>
      <x:c r="AL134" s="32" t="n">
        <x:v>-38.2</x:v>
      </x:c>
      <x:c r="AM134" s="32" t="str">
        <x:v>#000000</x:v>
      </x:c>
      <x:c r="AN134" s="32" t="str">
        <x:v>Black</x:v>
      </x:c>
      <x:c r="AO134" s="32" t="n">
        <x:v>5.42</x:v>
      </x:c>
      <x:c r="AP134" s="32" t="n">
        <x:v>5.42</x:v>
      </x:c>
      <x:c r="AQ134" s="32" t="n">
        <x:v>3.87</x:v>
      </x:c>
      <x:c r="AR134" s="32" t="n">
        <x:v>0.221228</x:v>
      </x:c>
      <x:c r="AS134" t="str">
        <x:v>PASS</x:v>
      </x:c>
      <x:c r="AT134" t="str">
        <x:v>--cda-pab-370</x:v>
      </x:c>
      <x:c r="AU134" t="str">
        <x:v>var(--cda-pab-370)</x:v>
      </x:c>
      <x:c r="AV134" t="str">
        <x:v>Median RGB from official PDF swatch (screen reference only)</x:v>
      </x:c>
      <x:c r="AW134" t="str">
        <x:v>https://www.carandache.com/content_files/uploaded_doc/product/10469/Colour_Chart_Pablo.pdf</x:v>
      </x:c>
      <x:c r="AX134" t="n">
        <x:v>1</x:v>
      </x:c>
      <x:c r="AY134" t="str">
        <x:v>Official</x:v>
      </x:c>
      <x:c r="AZ134" t="str">
        <x:v>Official where available; curated Traditional Chinese/Japanese otherwise</x:v>
      </x:c>
      <x:c r="BA134" t="str">
        <x:v>Verified from official chart; digital HEX is approximate</x:v>
      </x:c>
      <x:c r="BB134" t="str">
        <x:v>Physical media appearance varies by paper, pressure, layering, water and scan/display profile.</x:v>
      </x:c>
    </x:row>
    <x:row r="135">
      <x:c r="A135" t="str">
        <x:f>G135&amp;"|"&amp;L135</x:f>
        <x:v>PAB|141</x:v>
      </x:c>
      <x:c r="B135" t="str">
        <x:v>526aafd2-44e4-502a-9c77-fd085c9a5dc2</x:v>
      </x:c>
      <x:c r="C135" t="str">
        <x:v>CDA-PAB-141</x:v>
      </x:c>
      <x:c r="D135" t="str">
        <x:v>2820208d-5c41-5753-be02-69641858efec</x:v>
      </x:c>
      <x:c r="E135" t="str">
        <x:v>CDA-CODE-141</x:v>
      </x:c>
      <x:c r="F135" t="str">
        <x:v>Caran d’Ache</x:v>
      </x:c>
      <x:c r="G135" t="str">
        <x:v>PAB</x:v>
      </x:c>
      <x:c r="H135" t="str">
        <x:v>PABLO</x:v>
      </x:c>
      <x:c r="I135" t="str">
        <x:v>Permanent coloured pencil</x:v>
      </x:c>
      <x:c r="J135" t="str">
        <x:v>Artist</x:v>
      </x:c>
      <x:c r="K135" s="30" t="n">
        <x:v>34</x:v>
      </x:c>
      <x:c r="L135" s="30" t="str">
        <x:v>141</x:v>
      </x:c>
      <x:c r="M135" t="str">
        <x:v>Sky blue</x:v>
      </x:c>
      <x:c r="N135" t="str">
        <x:v>天空藍</x:v>
      </x:c>
      <x:c r="O135" t="str">
        <x:v>スカイブルー</x:v>
      </x:c>
      <x:c r="P135" t="str"/>
      <x:c r="Q135" t="str">
        <x:v>Bleu lavande</x:v>
      </x:c>
      <x:c r="R135" t="str">
        <x:v>Hellultramarin</x:v>
      </x:c>
      <x:c r="S135" t="str">
        <x:v>Blu lavanda</x:v>
      </x:c>
      <x:c r="T135" t="str">
        <x:v>Azul lavanda</x:v>
      </x:c>
      <x:c r="U135" t="str"/>
      <x:c r="V135" t="str"/>
      <x:c r="W135" t="str"/>
      <x:c r="X135" t="n">
        <x:f>IF(W135="",0,LEN(W135)-LEN(SUBSTITUTE(W135,"/",""))+1)</x:f>
        <x:v>0</x:v>
      </x:c>
      <x:c r="Y135" t="str">
        <x:v>H</x:v>
      </x:c>
      <x:c r="Z135" s="32" t="n">
        <x:v>1.67</x:v>
      </x:c>
      <x:c r="AA135" s="32" t="n">
        <x:v>3</x:v>
      </x:c>
      <x:c r="AB135" s="32" t="str">
        <x:v>Blue Wool Scale / UV 150h</x:v>
      </x:c>
      <x:c r="AC135" t="str">
        <x:v>#6F9FC9</x:v>
      </x:c>
      <x:c r="AD135" s="34" t="n">
        <x:v>111</x:v>
      </x:c>
      <x:c r="AE135" s="34" t="n">
        <x:v>159</x:v>
      </x:c>
      <x:c r="AF135" s="34" t="n">
        <x:v>201</x:v>
      </x:c>
      <x:c r="AG135" s="32" t="n">
        <x:v>208</x:v>
      </x:c>
      <x:c r="AH135" s="32" t="n">
        <x:v>45.45</x:v>
      </x:c>
      <x:c r="AI135" s="32" t="n">
        <x:v>61.18</x:v>
      </x:c>
      <x:c r="AJ135" s="32" t="n">
        <x:v>63.66</x:v>
      </x:c>
      <x:c r="AK135" s="32" t="n">
        <x:v>-4.88</x:v>
      </x:c>
      <x:c r="AL135" s="32" t="n">
        <x:v>-26.57</x:v>
      </x:c>
      <x:c r="AM135" s="32" t="str">
        <x:v>#000000</x:v>
      </x:c>
      <x:c r="AN135" s="32" t="str">
        <x:v>Black</x:v>
      </x:c>
      <x:c r="AO135" s="32" t="n">
        <x:v>7.48</x:v>
      </x:c>
      <x:c r="AP135" s="32" t="n">
        <x:v>7.48</x:v>
      </x:c>
      <x:c r="AQ135" s="32" t="n">
        <x:v>2.81</x:v>
      </x:c>
      <x:c r="AR135" s="32" t="n">
        <x:v>0.323928</x:v>
      </x:c>
      <x:c r="AS135" t="str">
        <x:v>PASS</x:v>
      </x:c>
      <x:c r="AT135" t="str">
        <x:v>--cda-pab-141</x:v>
      </x:c>
      <x:c r="AU135" t="str">
        <x:v>var(--cda-pab-141)</x:v>
      </x:c>
      <x:c r="AV135" t="str">
        <x:v>Median RGB from official PDF swatch (screen reference only)</x:v>
      </x:c>
      <x:c r="AW135" t="str">
        <x:v>https://www.carandache.com/content_files/uploaded_doc/product/10469/Colour_Chart_Pablo.pdf</x:v>
      </x:c>
      <x:c r="AX135" t="n">
        <x:v>1</x:v>
      </x:c>
      <x:c r="AY135" t="str">
        <x:v>Official</x:v>
      </x:c>
      <x:c r="AZ135" t="str">
        <x:v>Official where available; curated Traditional Chinese/Japanese otherwise</x:v>
      </x:c>
      <x:c r="BA135" t="str">
        <x:v>Verified from official chart; digital HEX is approximate</x:v>
      </x:c>
      <x:c r="BB135" t="str">
        <x:v>Physical media appearance varies by paper, pressure, layering, water and scan/display profile.</x:v>
      </x:c>
    </x:row>
    <x:row r="136">
      <x:c r="A136" t="str">
        <x:f>G136&amp;"|"&amp;L136</x:f>
        <x:v>PAB|155</x:v>
      </x:c>
      <x:c r="B136" t="str">
        <x:v>c9c7987f-7389-55bc-be13-42f642015ea3</x:v>
      </x:c>
      <x:c r="C136" t="str">
        <x:v>CDA-PAB-155</x:v>
      </x:c>
      <x:c r="D136" t="str">
        <x:v>3c5db537-6064-5064-a505-fe605b85a67d</x:v>
      </x:c>
      <x:c r="E136" t="str">
        <x:v>CDA-CODE-155</x:v>
      </x:c>
      <x:c r="F136" t="str">
        <x:v>Caran d’Ache</x:v>
      </x:c>
      <x:c r="G136" t="str">
        <x:v>PAB</x:v>
      </x:c>
      <x:c r="H136" t="str">
        <x:v>PABLO</x:v>
      </x:c>
      <x:c r="I136" t="str">
        <x:v>Permanent coloured pencil</x:v>
      </x:c>
      <x:c r="J136" t="str">
        <x:v>Artist</x:v>
      </x:c>
      <x:c r="K136" s="30" t="n">
        <x:v>35</x:v>
      </x:c>
      <x:c r="L136" s="30" t="str">
        <x:v>155</x:v>
      </x:c>
      <x:c r="M136" t="str">
        <x:v>Blue jeans</x:v>
      </x:c>
      <x:c r="N136" t="str">
        <x:v>牛仔藍</x:v>
      </x:c>
      <x:c r="O136" t="str">
        <x:v>ブルージーンズ</x:v>
      </x:c>
      <x:c r="P136" t="str"/>
      <x:c r="Q136" t="str">
        <x:v>Bleu jeans</x:v>
      </x:c>
      <x:c r="R136" t="str">
        <x:v>Jeansblau</x:v>
      </x:c>
      <x:c r="S136" t="str">
        <x:v>Blu jeans</x:v>
      </x:c>
      <x:c r="T136" t="str">
        <x:v>Azul tejano</x:v>
      </x:c>
      <x:c r="U136" t="str"/>
      <x:c r="V136" t="str"/>
      <x:c r="W136" t="str"/>
      <x:c r="X136" t="n">
        <x:f>IF(W136="",0,LEN(W136)-LEN(SUBSTITUTE(W136,"/",""))+1)</x:f>
        <x:v>0</x:v>
      </x:c>
      <x:c r="Y136" t="str">
        <x:v>H</x:v>
      </x:c>
      <x:c r="Z136" s="32" t="n">
        <x:v>1.67</x:v>
      </x:c>
      <x:c r="AA136" s="32" t="n">
        <x:v>3</x:v>
      </x:c>
      <x:c r="AB136" s="32" t="str">
        <x:v>Blue Wool Scale / UV 150h</x:v>
      </x:c>
      <x:c r="AC136" t="str">
        <x:v>#6499B6</x:v>
      </x:c>
      <x:c r="AD136" s="34" t="n">
        <x:v>100</x:v>
      </x:c>
      <x:c r="AE136" s="34" t="n">
        <x:v>153</x:v>
      </x:c>
      <x:c r="AF136" s="34" t="n">
        <x:v>182</x:v>
      </x:c>
      <x:c r="AG136" s="32" t="n">
        <x:v>201.22</x:v>
      </x:c>
      <x:c r="AH136" s="32" t="n">
        <x:v>35.96</x:v>
      </x:c>
      <x:c r="AI136" s="32" t="n">
        <x:v>55.29</x:v>
      </x:c>
      <x:c r="AJ136" s="32" t="n">
        <x:v>60.66</x:v>
      </x:c>
      <x:c r="AK136" s="32" t="n">
        <x:v>-9.72</x:v>
      </x:c>
      <x:c r="AL136" s="32" t="n">
        <x:v>-20.56</x:v>
      </x:c>
      <x:c r="AM136" s="32" t="str">
        <x:v>#000000</x:v>
      </x:c>
      <x:c r="AN136" s="32" t="str">
        <x:v>Black</x:v>
      </x:c>
      <x:c r="AO136" s="32" t="n">
        <x:v>6.77</x:v>
      </x:c>
      <x:c r="AP136" s="32" t="n">
        <x:v>6.77</x:v>
      </x:c>
      <x:c r="AQ136" s="32" t="n">
        <x:v>3.1</x:v>
      </x:c>
      <x:c r="AR136" s="32" t="n">
        <x:v>0.288692</x:v>
      </x:c>
      <x:c r="AS136" t="str">
        <x:v>PASS</x:v>
      </x:c>
      <x:c r="AT136" t="str">
        <x:v>--cda-pab-155</x:v>
      </x:c>
      <x:c r="AU136" t="str">
        <x:v>var(--cda-pab-155)</x:v>
      </x:c>
      <x:c r="AV136" t="str">
        <x:v>Median RGB from official PDF swatch (screen reference only)</x:v>
      </x:c>
      <x:c r="AW136" t="str">
        <x:v>https://www.carandache.com/content_files/uploaded_doc/product/10469/Colour_Chart_Pablo.pdf</x:v>
      </x:c>
      <x:c r="AX136" t="n">
        <x:v>1</x:v>
      </x:c>
      <x:c r="AY136" t="str">
        <x:v>Official</x:v>
      </x:c>
      <x:c r="AZ136" t="str">
        <x:v>Official where available; curated Traditional Chinese/Japanese otherwise</x:v>
      </x:c>
      <x:c r="BA136" t="str">
        <x:v>Verified from official chart; digital HEX is approximate</x:v>
      </x:c>
      <x:c r="BB136" t="str">
        <x:v>Physical media appearance varies by paper, pressure, layering, water and scan/display profile.</x:v>
      </x:c>
    </x:row>
    <x:row r="137">
      <x:c r="A137" t="str">
        <x:f>G137&amp;"|"&amp;L137</x:f>
        <x:v>PAB|151</x:v>
      </x:c>
      <x:c r="B137" t="str">
        <x:v>cdc8a5db-bd26-5937-a618-ebf70872c969</x:v>
      </x:c>
      <x:c r="C137" t="str">
        <x:v>CDA-PAB-151</x:v>
      </x:c>
      <x:c r="D137" t="str">
        <x:v>30993ab0-8b94-5684-8677-1c4f2f02bb8e</x:v>
      </x:c>
      <x:c r="E137" t="str">
        <x:v>CDA-CODE-151</x:v>
      </x:c>
      <x:c r="F137" t="str">
        <x:v>Caran d’Ache</x:v>
      </x:c>
      <x:c r="G137" t="str">
        <x:v>PAB</x:v>
      </x:c>
      <x:c r="H137" t="str">
        <x:v>PABLO</x:v>
      </x:c>
      <x:c r="I137" t="str">
        <x:v>Permanent coloured pencil</x:v>
      </x:c>
      <x:c r="J137" t="str">
        <x:v>Artist</x:v>
      </x:c>
      <x:c r="K137" s="30" t="n">
        <x:v>36</x:v>
      </x:c>
      <x:c r="L137" s="30" t="str">
        <x:v>151</x:v>
      </x:c>
      <x:c r="M137" t="str">
        <x:v>Pastel blue</x:v>
      </x:c>
      <x:c r="N137" t="str">
        <x:v>粉彩藍</x:v>
      </x:c>
      <x:c r="O137" t="str">
        <x:v>パステルブルー</x:v>
      </x:c>
      <x:c r="P137" t="str"/>
      <x:c r="Q137" t="str">
        <x:v>Bleu pastel</x:v>
      </x:c>
      <x:c r="R137" t="str">
        <x:v>Pastelblau</x:v>
      </x:c>
      <x:c r="S137" t="str">
        <x:v>Blu pastello</x:v>
      </x:c>
      <x:c r="T137" t="str">
        <x:v>Azul pastel</x:v>
      </x:c>
      <x:c r="U137" t="str"/>
      <x:c r="V137" t="str"/>
      <x:c r="W137" t="str"/>
      <x:c r="X137" t="n">
        <x:f>IF(W137="",0,LEN(W137)-LEN(SUBSTITUTE(W137,"/",""))+1)</x:f>
        <x:v>0</x:v>
      </x:c>
      <x:c r="Y137" t="str">
        <x:v>H</x:v>
      </x:c>
      <x:c r="Z137" s="32" t="n">
        <x:v>1.67</x:v>
      </x:c>
      <x:c r="AA137" s="32" t="n">
        <x:v>3</x:v>
      </x:c>
      <x:c r="AB137" s="32" t="str">
        <x:v>Blue Wool Scale / UV 150h</x:v>
      </x:c>
      <x:c r="AC137" t="str">
        <x:v>#68ACD2</x:v>
      </x:c>
      <x:c r="AD137" s="34" t="n">
        <x:v>104</x:v>
      </x:c>
      <x:c r="AE137" s="34" t="n">
        <x:v>172</x:v>
      </x:c>
      <x:c r="AF137" s="34" t="n">
        <x:v>210</x:v>
      </x:c>
      <x:c r="AG137" s="32" t="n">
        <x:v>201.51</x:v>
      </x:c>
      <x:c r="AH137" s="32" t="n">
        <x:v>54.08</x:v>
      </x:c>
      <x:c r="AI137" s="32" t="n">
        <x:v>61.57</x:v>
      </x:c>
      <x:c r="AJ137" s="32" t="n">
        <x:v>67.35</x:v>
      </x:c>
      <x:c r="AK137" s="32" t="n">
        <x:v>-11.11</x:v>
      </x:c>
      <x:c r="AL137" s="32" t="n">
        <x:v>-25.92</x:v>
      </x:c>
      <x:c r="AM137" s="32" t="str">
        <x:v>#000000</x:v>
      </x:c>
      <x:c r="AN137" s="32" t="str">
        <x:v>Black</x:v>
      </x:c>
      <x:c r="AO137" s="32" t="n">
        <x:v>8.42</x:v>
      </x:c>
      <x:c r="AP137" s="32" t="n">
        <x:v>8.42</x:v>
      </x:c>
      <x:c r="AQ137" s="32" t="n">
        <x:v>2.49</x:v>
      </x:c>
      <x:c r="AR137" s="32" t="n">
        <x:v>0.371012</x:v>
      </x:c>
      <x:c r="AS137" t="str">
        <x:v>PASS</x:v>
      </x:c>
      <x:c r="AT137" t="str">
        <x:v>--cda-pab-151</x:v>
      </x:c>
      <x:c r="AU137" t="str">
        <x:v>var(--cda-pab-151)</x:v>
      </x:c>
      <x:c r="AV137" t="str">
        <x:v>Median RGB from official PDF swatch (screen reference only)</x:v>
      </x:c>
      <x:c r="AW137" t="str">
        <x:v>https://www.carandache.com/content_files/uploaded_doc/product/10469/Colour_Chart_Pablo.pdf</x:v>
      </x:c>
      <x:c r="AX137" t="n">
        <x:v>1</x:v>
      </x:c>
      <x:c r="AY137" t="str">
        <x:v>Official</x:v>
      </x:c>
      <x:c r="AZ137" t="str">
        <x:v>Official where available; curated Traditional Chinese/Japanese otherwise</x:v>
      </x:c>
      <x:c r="BA137" t="str">
        <x:v>Verified from official chart; digital HEX is approximate</x:v>
      </x:c>
      <x:c r="BB137" t="str">
        <x:v>Physical media appearance varies by paper, pressure, layering, water and scan/display profile.</x:v>
      </x:c>
    </x:row>
    <x:row r="138">
      <x:c r="A138" t="str">
        <x:f>G138&amp;"|"&amp;L138</x:f>
        <x:v>PAB|161</x:v>
      </x:c>
      <x:c r="B138" t="str">
        <x:v>0c0ed134-ca7c-5127-8964-0ce8b427e076</x:v>
      </x:c>
      <x:c r="C138" t="str">
        <x:v>CDA-PAB-161</x:v>
      </x:c>
      <x:c r="D138" t="str">
        <x:v>6ffc111a-0ad6-541a-8290-6ab5dc59fcce</x:v>
      </x:c>
      <x:c r="E138" t="str">
        <x:v>CDA-CODE-161</x:v>
      </x:c>
      <x:c r="F138" t="str">
        <x:v>Caran d’Ache</x:v>
      </x:c>
      <x:c r="G138" t="str">
        <x:v>PAB</x:v>
      </x:c>
      <x:c r="H138" t="str">
        <x:v>PABLO</x:v>
      </x:c>
      <x:c r="I138" t="str">
        <x:v>Permanent coloured pencil</x:v>
      </x:c>
      <x:c r="J138" t="str">
        <x:v>Artist</x:v>
      </x:c>
      <x:c r="K138" s="30" t="n">
        <x:v>37</x:v>
      </x:c>
      <x:c r="L138" s="30" t="str">
        <x:v>161</x:v>
      </x:c>
      <x:c r="M138" t="str">
        <x:v>Light blue</x:v>
      </x:c>
      <x:c r="N138" t="str">
        <x:v>淺藍色</x:v>
      </x:c>
      <x:c r="O138" t="str">
        <x:v>ライトブルー</x:v>
      </x:c>
      <x:c r="P138" t="str"/>
      <x:c r="Q138" t="str">
        <x:v>Bleu clair</x:v>
      </x:c>
      <x:c r="R138" t="str">
        <x:v>Hellblau</x:v>
      </x:c>
      <x:c r="S138" t="str">
        <x:v>Azzurro chiaro</x:v>
      </x:c>
      <x:c r="T138" t="str">
        <x:v>Azul claro</x:v>
      </x:c>
      <x:c r="U138" t="str"/>
      <x:c r="V138" t="str"/>
      <x:c r="W138" t="str"/>
      <x:c r="X138" t="n">
        <x:f>IF(W138="",0,LEN(W138)-LEN(SUBSTITUTE(W138,"/",""))+1)</x:f>
        <x:v>0</x:v>
      </x:c>
      <x:c r="Y138" t="str">
        <x:v>H</x:v>
      </x:c>
      <x:c r="Z138" s="32" t="n">
        <x:v>1.67</x:v>
      </x:c>
      <x:c r="AA138" s="32" t="n">
        <x:v>3</x:v>
      </x:c>
      <x:c r="AB138" s="32" t="str">
        <x:v>Blue Wool Scale / UV 150h</x:v>
      </x:c>
      <x:c r="AC138" t="str">
        <x:v>#34AFE0</x:v>
      </x:c>
      <x:c r="AD138" s="34" t="n">
        <x:v>52</x:v>
      </x:c>
      <x:c r="AE138" s="34" t="n">
        <x:v>175</x:v>
      </x:c>
      <x:c r="AF138" s="34" t="n">
        <x:v>224</x:v>
      </x:c>
      <x:c r="AG138" s="32" t="n">
        <x:v>197.09</x:v>
      </x:c>
      <x:c r="AH138" s="32" t="n">
        <x:v>73.5</x:v>
      </x:c>
      <x:c r="AI138" s="32" t="n">
        <x:v>54.12</x:v>
      </x:c>
      <x:c r="AJ138" s="32" t="n">
        <x:v>67.1</x:v>
      </x:c>
      <x:c r="AK138" s="32" t="n">
        <x:v>-17.03</x:v>
      </x:c>
      <x:c r="AL138" s="32" t="n">
        <x:v>-34.14</x:v>
      </x:c>
      <x:c r="AM138" s="32" t="str">
        <x:v>#000000</x:v>
      </x:c>
      <x:c r="AN138" s="32" t="str">
        <x:v>Black</x:v>
      </x:c>
      <x:c r="AO138" s="32" t="n">
        <x:v>8.35</x:v>
      </x:c>
      <x:c r="AP138" s="32" t="n">
        <x:v>8.35</x:v>
      </x:c>
      <x:c r="AQ138" s="32" t="n">
        <x:v>2.51</x:v>
      </x:c>
      <x:c r="AR138" s="32" t="n">
        <x:v>0.367718</x:v>
      </x:c>
      <x:c r="AS138" t="str">
        <x:v>PASS</x:v>
      </x:c>
      <x:c r="AT138" t="str">
        <x:v>--cda-pab-161</x:v>
      </x:c>
      <x:c r="AU138" t="str">
        <x:v>var(--cda-pab-161)</x:v>
      </x:c>
      <x:c r="AV138" t="str">
        <x:v>Median RGB from official PDF swatch (screen reference only)</x:v>
      </x:c>
      <x:c r="AW138" t="str">
        <x:v>https://www.carandache.com/content_files/uploaded_doc/product/10469/Colour_Chart_Pablo.pdf</x:v>
      </x:c>
      <x:c r="AX138" t="n">
        <x:v>1</x:v>
      </x:c>
      <x:c r="AY138" t="str">
        <x:v>Official</x:v>
      </x:c>
      <x:c r="AZ138" t="str">
        <x:v>Official where available; curated Traditional Chinese/Japanese otherwise</x:v>
      </x:c>
      <x:c r="BA138" t="str">
        <x:v>Verified from official chart; digital HEX is approximate</x:v>
      </x:c>
      <x:c r="BB138" t="str">
        <x:v>Physical media appearance varies by paper, pressure, layering, water and scan/display profile.</x:v>
      </x:c>
    </x:row>
    <x:row r="139">
      <x:c r="A139" t="str">
        <x:f>G139&amp;"|"&amp;L139</x:f>
        <x:v>PAB|171</x:v>
      </x:c>
      <x:c r="B139" t="str">
        <x:v>da7de529-5713-56c7-b75a-31e86371a683</x:v>
      </x:c>
      <x:c r="C139" t="str">
        <x:v>CDA-PAB-171</x:v>
      </x:c>
      <x:c r="D139" t="str">
        <x:v>8af82ae3-1ed6-53f3-82c5-825de5d678dc</x:v>
      </x:c>
      <x:c r="E139" t="str">
        <x:v>CDA-CODE-171</x:v>
      </x:c>
      <x:c r="F139" t="str">
        <x:v>Caran d’Ache</x:v>
      </x:c>
      <x:c r="G139" t="str">
        <x:v>PAB</x:v>
      </x:c>
      <x:c r="H139" t="str">
        <x:v>PABLO</x:v>
      </x:c>
      <x:c r="I139" t="str">
        <x:v>Permanent coloured pencil</x:v>
      </x:c>
      <x:c r="J139" t="str">
        <x:v>Artist</x:v>
      </x:c>
      <x:c r="K139" s="30" t="n">
        <x:v>38</x:v>
      </x:c>
      <x:c r="L139" s="30" t="str">
        <x:v>171</x:v>
      </x:c>
      <x:c r="M139" t="str">
        <x:v>Turquoise blue</x:v>
      </x:c>
      <x:c r="N139" t="str">
        <x:v>土耳其藍</x:v>
      </x:c>
      <x:c r="O139" t="str">
        <x:v>ターコイズブルー</x:v>
      </x:c>
      <x:c r="P139" t="str"/>
      <x:c r="Q139" t="str">
        <x:v>Bleu turquoise</x:v>
      </x:c>
      <x:c r="R139" t="str">
        <x:v>Türkisblau</x:v>
      </x:c>
      <x:c r="S139" t="str">
        <x:v>Blu turchese</x:v>
      </x:c>
      <x:c r="T139" t="str">
        <x:v>Azul turquesa</x:v>
      </x:c>
      <x:c r="U139" t="str"/>
      <x:c r="V139" t="str"/>
      <x:c r="W139" t="str"/>
      <x:c r="X139" t="n">
        <x:f>IF(W139="",0,LEN(W139)-LEN(SUBSTITUTE(W139,"/",""))+1)</x:f>
        <x:v>0</x:v>
      </x:c>
      <x:c r="Y139" t="str">
        <x:v>H</x:v>
      </x:c>
      <x:c r="Z139" s="32" t="n">
        <x:v>1.67</x:v>
      </x:c>
      <x:c r="AA139" s="32" t="n">
        <x:v>3</x:v>
      </x:c>
      <x:c r="AB139" s="32" t="str">
        <x:v>Blue Wool Scale / UV 150h</x:v>
      </x:c>
      <x:c r="AC139" t="str">
        <x:v>#7FD1E4</x:v>
      </x:c>
      <x:c r="AD139" s="34" t="n">
        <x:v>127</x:v>
      </x:c>
      <x:c r="AE139" s="34" t="n">
        <x:v>209</x:v>
      </x:c>
      <x:c r="AF139" s="34" t="n">
        <x:v>228</x:v>
      </x:c>
      <x:c r="AG139" s="32" t="n">
        <x:v>191.29</x:v>
      </x:c>
      <x:c r="AH139" s="32" t="n">
        <x:v>65.16</x:v>
      </x:c>
      <x:c r="AI139" s="32" t="n">
        <x:v>69.61</x:v>
      </x:c>
      <x:c r="AJ139" s="32" t="n">
        <x:v>79.45</x:v>
      </x:c>
      <x:c r="AK139" s="32" t="n">
        <x:v>-20.14</x:v>
      </x:c>
      <x:c r="AL139" s="32" t="n">
        <x:v>-17.2</x:v>
      </x:c>
      <x:c r="AM139" s="32" t="str">
        <x:v>#000000</x:v>
      </x:c>
      <x:c r="AN139" s="32" t="str">
        <x:v>Black</x:v>
      </x:c>
      <x:c r="AO139" s="32" t="n">
        <x:v>12.14</x:v>
      </x:c>
      <x:c r="AP139" s="32" t="n">
        <x:v>12.14</x:v>
      </x:c>
      <x:c r="AQ139" s="32" t="n">
        <x:v>1.73</x:v>
      </x:c>
      <x:c r="AR139" s="32" t="n">
        <x:v>0.557144</x:v>
      </x:c>
      <x:c r="AS139" t="str">
        <x:v>PASS</x:v>
      </x:c>
      <x:c r="AT139" t="str">
        <x:v>--cda-pab-171</x:v>
      </x:c>
      <x:c r="AU139" t="str">
        <x:v>var(--cda-pab-171)</x:v>
      </x:c>
      <x:c r="AV139" t="str">
        <x:v>Median RGB from official PDF swatch (screen reference only)</x:v>
      </x:c>
      <x:c r="AW139" t="str">
        <x:v>https://www.carandache.com/content_files/uploaded_doc/product/10469/Colour_Chart_Pablo.pdf</x:v>
      </x:c>
      <x:c r="AX139" t="n">
        <x:v>1</x:v>
      </x:c>
      <x:c r="AY139" t="str">
        <x:v>Official</x:v>
      </x:c>
      <x:c r="AZ139" t="str">
        <x:v>Official where available; curated Traditional Chinese/Japanese otherwise</x:v>
      </x:c>
      <x:c r="BA139" t="str">
        <x:v>Verified from official chart; digital HEX is approximate</x:v>
      </x:c>
      <x:c r="BB139" t="str">
        <x:v>Physical media appearance varies by paper, pressure, layering, water and scan/display profile.</x:v>
      </x:c>
    </x:row>
    <x:row r="140">
      <x:c r="A140" t="str">
        <x:f>G140&amp;"|"&amp;L140</x:f>
        <x:v>PAB|181</x:v>
      </x:c>
      <x:c r="B140" t="str">
        <x:v>4e408046-20f3-596a-8650-0dce98f85afa</x:v>
      </x:c>
      <x:c r="C140" t="str">
        <x:v>CDA-PAB-181</x:v>
      </x:c>
      <x:c r="D140" t="str">
        <x:v>af2a2944-e566-5dee-8ba8-64d621eb0cbf</x:v>
      </x:c>
      <x:c r="E140" t="str">
        <x:v>CDA-CODE-181</x:v>
      </x:c>
      <x:c r="F140" t="str">
        <x:v>Caran d’Ache</x:v>
      </x:c>
      <x:c r="G140" t="str">
        <x:v>PAB</x:v>
      </x:c>
      <x:c r="H140" t="str">
        <x:v>PABLO</x:v>
      </x:c>
      <x:c r="I140" t="str">
        <x:v>Permanent coloured pencil</x:v>
      </x:c>
      <x:c r="J140" t="str">
        <x:v>Artist</x:v>
      </x:c>
      <x:c r="K140" s="30" t="n">
        <x:v>39</x:v>
      </x:c>
      <x:c r="L140" s="30" t="str">
        <x:v>181</x:v>
      </x:c>
      <x:c r="M140" t="str">
        <x:v>Light malachite green</x:v>
      </x:c>
      <x:c r="N140" t="str">
        <x:v>淺孔雀石綠</x:v>
      </x:c>
      <x:c r="O140" t="str">
        <x:v>ライトマラカイトグリーン</x:v>
      </x:c>
      <x:c r="P140" t="str"/>
      <x:c r="Q140" t="str">
        <x:v>Vert malachite clair</x:v>
      </x:c>
      <x:c r="R140" t="str">
        <x:v>Hellmalachitgrün</x:v>
      </x:c>
      <x:c r="S140" t="str">
        <x:v>Verde malachite chiaro</x:v>
      </x:c>
      <x:c r="T140" t="str">
        <x:v>Verde malaquita claro</x:v>
      </x:c>
      <x:c r="U140" t="str"/>
      <x:c r="V140" t="str"/>
      <x:c r="W140" t="str"/>
      <x:c r="X140" t="n">
        <x:f>IF(W140="",0,LEN(W140)-LEN(SUBSTITUTE(W140,"/",""))+1)</x:f>
        <x:v>0</x:v>
      </x:c>
      <x:c r="Y140" t="str">
        <x:v>H</x:v>
      </x:c>
      <x:c r="Z140" s="32" t="n">
        <x:v>1.67</x:v>
      </x:c>
      <x:c r="AA140" s="32" t="n">
        <x:v>3</x:v>
      </x:c>
      <x:c r="AB140" s="32" t="str">
        <x:v>Blue Wool Scale / UV 150h</x:v>
      </x:c>
      <x:c r="AC140" t="str">
        <x:v>#76CBC1</x:v>
      </x:c>
      <x:c r="AD140" s="34" t="n">
        <x:v>118</x:v>
      </x:c>
      <x:c r="AE140" s="34" t="n">
        <x:v>203</x:v>
      </x:c>
      <x:c r="AF140" s="34" t="n">
        <x:v>193</x:v>
      </x:c>
      <x:c r="AG140" s="32" t="n">
        <x:v>172.94</x:v>
      </x:c>
      <x:c r="AH140" s="32" t="n">
        <x:v>44.97</x:v>
      </x:c>
      <x:c r="AI140" s="32" t="n">
        <x:v>62.94</x:v>
      </x:c>
      <x:c r="AJ140" s="32" t="n">
        <x:v>76.32</x:v>
      </x:c>
      <x:c r="AK140" s="32" t="n">
        <x:v>-28.15</x:v>
      </x:c>
      <x:c r="AL140" s="32" t="n">
        <x:v>-3.09</x:v>
      </x:c>
      <x:c r="AM140" s="32" t="str">
        <x:v>#000000</x:v>
      </x:c>
      <x:c r="AN140" s="32" t="str">
        <x:v>Black</x:v>
      </x:c>
      <x:c r="AO140" s="32" t="n">
        <x:v>11.08</x:v>
      </x:c>
      <x:c r="AP140" s="32" t="n">
        <x:v>11.08</x:v>
      </x:c>
      <x:c r="AQ140" s="32" t="n">
        <x:v>1.89</x:v>
      </x:c>
      <x:c r="AR140" s="32" t="n">
        <x:v>0.504137</x:v>
      </x:c>
      <x:c r="AS140" t="str">
        <x:v>PASS</x:v>
      </x:c>
      <x:c r="AT140" t="str">
        <x:v>--cda-pab-181</x:v>
      </x:c>
      <x:c r="AU140" t="str">
        <x:v>var(--cda-pab-181)</x:v>
      </x:c>
      <x:c r="AV140" t="str">
        <x:v>Median RGB from official PDF swatch (screen reference only)</x:v>
      </x:c>
      <x:c r="AW140" t="str">
        <x:v>https://www.carandache.com/content_files/uploaded_doc/product/10469/Colour_Chart_Pablo.pdf</x:v>
      </x:c>
      <x:c r="AX140" t="n">
        <x:v>1</x:v>
      </x:c>
      <x:c r="AY140" t="str">
        <x:v>Official</x:v>
      </x:c>
      <x:c r="AZ140" t="str">
        <x:v>Official where available; curated Traditional Chinese/Japanese otherwise</x:v>
      </x:c>
      <x:c r="BA140" t="str">
        <x:v>Verified from official chart; digital HEX is approximate</x:v>
      </x:c>
      <x:c r="BB140" t="str">
        <x:v>Physical media appearance varies by paper, pressure, layering, water and scan/display profile.</x:v>
      </x:c>
    </x:row>
    <x:row r="141">
      <x:c r="A141" t="str">
        <x:f>G141&amp;"|"&amp;L141</x:f>
        <x:v>PAB|191</x:v>
      </x:c>
      <x:c r="B141" t="str">
        <x:v>70767b3e-8cb1-5049-acb9-6339ba9fad4a</x:v>
      </x:c>
      <x:c r="C141" t="str">
        <x:v>CDA-PAB-191</x:v>
      </x:c>
      <x:c r="D141" t="str">
        <x:v>295c1c8c-f3a3-598e-9fb8-99b3a59852df</x:v>
      </x:c>
      <x:c r="E141" t="str">
        <x:v>CDA-CODE-191</x:v>
      </x:c>
      <x:c r="F141" t="str">
        <x:v>Caran d’Ache</x:v>
      </x:c>
      <x:c r="G141" t="str">
        <x:v>PAB</x:v>
      </x:c>
      <x:c r="H141" t="str">
        <x:v>PABLO</x:v>
      </x:c>
      <x:c r="I141" t="str">
        <x:v>Permanent coloured pencil</x:v>
      </x:c>
      <x:c r="J141" t="str">
        <x:v>Artist</x:v>
      </x:c>
      <x:c r="K141" s="30" t="n">
        <x:v>40</x:v>
      </x:c>
      <x:c r="L141" s="30" t="str">
        <x:v>191</x:v>
      </x:c>
      <x:c r="M141" t="str">
        <x:v>Turquoise</x:v>
      </x:c>
      <x:c r="N141" t="str">
        <x:v>綠松石色</x:v>
      </x:c>
      <x:c r="O141" t="str">
        <x:v>ターコイズ</x:v>
      </x:c>
      <x:c r="P141" t="str"/>
      <x:c r="Q141" t="str">
        <x:v>Vert turquoise</x:v>
      </x:c>
      <x:c r="R141" t="str">
        <x:v>Türkischgrün</x:v>
      </x:c>
      <x:c r="S141" t="str">
        <x:v>Verde turchese</x:v>
      </x:c>
      <x:c r="T141" t="str">
        <x:v>Turquesa</x:v>
      </x:c>
      <x:c r="U141" t="str"/>
      <x:c r="V141" t="str"/>
      <x:c r="W141" t="str"/>
      <x:c r="X141" t="n">
        <x:f>IF(W141="",0,LEN(W141)-LEN(SUBSTITUTE(W141,"/",""))+1)</x:f>
        <x:v>0</x:v>
      </x:c>
      <x:c r="Y141" t="str">
        <x:v>H</x:v>
      </x:c>
      <x:c r="Z141" s="32" t="n">
        <x:v>1.67</x:v>
      </x:c>
      <x:c r="AA141" s="32" t="n">
        <x:v>3</x:v>
      </x:c>
      <x:c r="AB141" s="32" t="str">
        <x:v>Blue Wool Scale / UV 150h</x:v>
      </x:c>
      <x:c r="AC141" t="str">
        <x:v>#62C5BA</x:v>
      </x:c>
      <x:c r="AD141" s="34" t="n">
        <x:v>98</x:v>
      </x:c>
      <x:c r="AE141" s="34" t="n">
        <x:v>197</x:v>
      </x:c>
      <x:c r="AF141" s="34" t="n">
        <x:v>186</x:v>
      </x:c>
      <x:c r="AG141" s="32" t="n">
        <x:v>173.33</x:v>
      </x:c>
      <x:c r="AH141" s="32" t="n">
        <x:v>46.05</x:v>
      </x:c>
      <x:c r="AI141" s="32" t="n">
        <x:v>57.84</x:v>
      </x:c>
      <x:c r="AJ141" s="32" t="n">
        <x:v>73.59</x:v>
      </x:c>
      <x:c r="AK141" s="32" t="n">
        <x:v>-31.71</x:v>
      </x:c>
      <x:c r="AL141" s="32" t="n">
        <x:v>-3.4</x:v>
      </x:c>
      <x:c r="AM141" s="32" t="str">
        <x:v>#000000</x:v>
      </x:c>
      <x:c r="AN141" s="32" t="str">
        <x:v>Black</x:v>
      </x:c>
      <x:c r="AO141" s="32" t="n">
        <x:v>10.21</x:v>
      </x:c>
      <x:c r="AP141" s="32" t="n">
        <x:v>10.21</x:v>
      </x:c>
      <x:c r="AQ141" s="32" t="n">
        <x:v>2.06</x:v>
      </x:c>
      <x:c r="AR141" s="32" t="n">
        <x:v>0.460743</x:v>
      </x:c>
      <x:c r="AS141" t="str">
        <x:v>PASS</x:v>
      </x:c>
      <x:c r="AT141" t="str">
        <x:v>--cda-pab-191</x:v>
      </x:c>
      <x:c r="AU141" t="str">
        <x:v>var(--cda-pab-191)</x:v>
      </x:c>
      <x:c r="AV141" t="str">
        <x:v>Median RGB from official PDF swatch (screen reference only)</x:v>
      </x:c>
      <x:c r="AW141" t="str">
        <x:v>https://www.carandache.com/content_files/uploaded_doc/product/10469/Colour_Chart_Pablo.pdf</x:v>
      </x:c>
      <x:c r="AX141" t="n">
        <x:v>1</x:v>
      </x:c>
      <x:c r="AY141" t="str">
        <x:v>Official</x:v>
      </x:c>
      <x:c r="AZ141" t="str">
        <x:v>Official where available; curated Traditional Chinese/Japanese otherwise</x:v>
      </x:c>
      <x:c r="BA141" t="str">
        <x:v>Verified from official chart; digital HEX is approximate</x:v>
      </x:c>
      <x:c r="BB141" t="str">
        <x:v>Physical media appearance varies by paper, pressure, layering, water and scan/display profile.</x:v>
      </x:c>
    </x:row>
    <x:row r="142">
      <x:c r="A142" t="str">
        <x:f>G142&amp;"|"&amp;L142</x:f>
        <x:v>PAB|011</x:v>
      </x:c>
      <x:c r="B142" t="str">
        <x:v>b3c68e20-cf88-5360-a2fe-3e552a3143c5</x:v>
      </x:c>
      <x:c r="C142" t="str">
        <x:v>CDA-PAB-011</x:v>
      </x:c>
      <x:c r="D142" t="str">
        <x:v>43a8d005-d4eb-5d75-b7e7-67ed5cabd5f4</x:v>
      </x:c>
      <x:c r="E142" t="str">
        <x:v>CDA-CODE-011</x:v>
      </x:c>
      <x:c r="F142" t="str">
        <x:v>Caran d’Ache</x:v>
      </x:c>
      <x:c r="G142" t="str">
        <x:v>PAB</x:v>
      </x:c>
      <x:c r="H142" t="str">
        <x:v>PABLO</x:v>
      </x:c>
      <x:c r="I142" t="str">
        <x:v>Permanent coloured pencil</x:v>
      </x:c>
      <x:c r="J142" t="str">
        <x:v>Artist</x:v>
      </x:c>
      <x:c r="K142" s="30" t="n">
        <x:v>41</x:v>
      </x:c>
      <x:c r="L142" s="30" t="str">
        <x:v>011</x:v>
      </x:c>
      <x:c r="M142" t="str">
        <x:v>Pale yellow</x:v>
      </x:c>
      <x:c r="N142" t="str">
        <x:v>淡黃色</x:v>
      </x:c>
      <x:c r="O142" t="str">
        <x:v>ペールイエロー</x:v>
      </x:c>
      <x:c r="P142" t="str"/>
      <x:c r="Q142" t="str">
        <x:v>Jaune lumière</x:v>
      </x:c>
      <x:c r="R142" t="str">
        <x:v>Lichtgelb</x:v>
      </x:c>
      <x:c r="S142" t="str">
        <x:v>Giallo chiaro</x:v>
      </x:c>
      <x:c r="T142" t="str">
        <x:v>Amarillo luminoso</x:v>
      </x:c>
      <x:c r="U142" t="str"/>
      <x:c r="V142" t="str"/>
      <x:c r="W142" t="str"/>
      <x:c r="X142" t="n">
        <x:f>IF(W142="",0,LEN(W142)-LEN(SUBSTITUTE(W142,"/",""))+1)</x:f>
        <x:v>0</x:v>
      </x:c>
      <x:c r="Y142" t="str">
        <x:v>H</x:v>
      </x:c>
      <x:c r="Z142" s="32" t="n">
        <x:v>1.67</x:v>
      </x:c>
      <x:c r="AA142" s="32" t="n">
        <x:v>3</x:v>
      </x:c>
      <x:c r="AB142" s="32" t="str">
        <x:v>Blue Wool Scale / UV 150h</x:v>
      </x:c>
      <x:c r="AC142" t="str">
        <x:v>#FAF090</x:v>
      </x:c>
      <x:c r="AD142" s="34" t="n">
        <x:v>250</x:v>
      </x:c>
      <x:c r="AE142" s="34" t="n">
        <x:v>240</x:v>
      </x:c>
      <x:c r="AF142" s="34" t="n">
        <x:v>144</x:v>
      </x:c>
      <x:c r="AG142" s="32" t="n">
        <x:v>54.34</x:v>
      </x:c>
      <x:c r="AH142" s="32" t="n">
        <x:v>91.38</x:v>
      </x:c>
      <x:c r="AI142" s="32" t="n">
        <x:v>77.25</x:v>
      </x:c>
      <x:c r="AJ142" s="32" t="n">
        <x:v>93.74</x:v>
      </x:c>
      <x:c r="AK142" s="32" t="n">
        <x:v>-9.69</x:v>
      </x:c>
      <x:c r="AL142" s="32" t="n">
        <x:v>47.48</x:v>
      </x:c>
      <x:c r="AM142" s="32" t="str">
        <x:v>#000000</x:v>
      </x:c>
      <x:c r="AN142" s="32" t="str">
        <x:v>Black</x:v>
      </x:c>
      <x:c r="AO142" s="32" t="n">
        <x:v>17.93</x:v>
      </x:c>
      <x:c r="AP142" s="32" t="n">
        <x:v>17.93</x:v>
      </x:c>
      <x:c r="AQ142" s="32" t="n">
        <x:v>1.17</x:v>
      </x:c>
      <x:c r="AR142" s="32" t="n">
        <x:v>0.846578</x:v>
      </x:c>
      <x:c r="AS142" t="str">
        <x:v>PASS</x:v>
      </x:c>
      <x:c r="AT142" t="str">
        <x:v>--cda-pab-011</x:v>
      </x:c>
      <x:c r="AU142" t="str">
        <x:v>var(--cda-pab-011)</x:v>
      </x:c>
      <x:c r="AV142" t="str">
        <x:v>Median RGB from official PDF swatch (screen reference only)</x:v>
      </x:c>
      <x:c r="AW142" t="str">
        <x:v>https://www.carandache.com/content_files/uploaded_doc/product/10469/Colour_Chart_Pablo.pdf</x:v>
      </x:c>
      <x:c r="AX142" t="n">
        <x:v>1</x:v>
      </x:c>
      <x:c r="AY142" t="str">
        <x:v>Official</x:v>
      </x:c>
      <x:c r="AZ142" t="str">
        <x:v>Official where available; curated Traditional Chinese/Japanese otherwise</x:v>
      </x:c>
      <x:c r="BA142" t="str">
        <x:v>Verified from official chart; digital HEX is approximate</x:v>
      </x:c>
      <x:c r="BB142" t="str">
        <x:v>Physical media appearance varies by paper, pressure, layering, water and scan/display profile.</x:v>
      </x:c>
    </x:row>
    <x:row r="143">
      <x:c r="A143" t="str">
        <x:f>G143&amp;"|"&amp;L143</x:f>
        <x:v>PAB|250</x:v>
      </x:c>
      <x:c r="B143" t="str">
        <x:v>2e928320-78f3-53d5-b6e3-48253c4f99a0</x:v>
      </x:c>
      <x:c r="C143" t="str">
        <x:v>CDA-PAB-250</x:v>
      </x:c>
      <x:c r="D143" t="str">
        <x:v>a36f41da-2a4f-5347-af79-4684b0317670</x:v>
      </x:c>
      <x:c r="E143" t="str">
        <x:v>CDA-CODE-250</x:v>
      </x:c>
      <x:c r="F143" t="str">
        <x:v>Caran d’Ache</x:v>
      </x:c>
      <x:c r="G143" t="str">
        <x:v>PAB</x:v>
      </x:c>
      <x:c r="H143" t="str">
        <x:v>PABLO</x:v>
      </x:c>
      <x:c r="I143" t="str">
        <x:v>Permanent coloured pencil</x:v>
      </x:c>
      <x:c r="J143" t="str">
        <x:v>Artist</x:v>
      </x:c>
      <x:c r="K143" s="30" t="n">
        <x:v>42</x:v>
      </x:c>
      <x:c r="L143" s="30" t="str">
        <x:v>250</x:v>
      </x:c>
      <x:c r="M143" t="str">
        <x:v>Canary yellow</x:v>
      </x:c>
      <x:c r="N143" t="str">
        <x:v>金絲雀黃</x:v>
      </x:c>
      <x:c r="O143" t="str">
        <x:v>カナリアイエロー</x:v>
      </x:c>
      <x:c r="P143" t="str"/>
      <x:c r="Q143" t="str">
        <x:v>Jaune canari</x:v>
      </x:c>
      <x:c r="R143" t="str">
        <x:v>Kanariengelb</x:v>
      </x:c>
      <x:c r="S143" t="str">
        <x:v>Giallo canarino</x:v>
      </x:c>
      <x:c r="T143" t="str">
        <x:v>Amarillo canário</x:v>
      </x:c>
      <x:c r="U143" t="str"/>
      <x:c r="V143" t="str"/>
      <x:c r="W143" t="str"/>
      <x:c r="X143" t="n">
        <x:f>IF(W143="",0,LEN(W143)-LEN(SUBSTITUTE(W143,"/",""))+1)</x:f>
        <x:v>0</x:v>
      </x:c>
      <x:c r="Y143" t="str">
        <x:v>H</x:v>
      </x:c>
      <x:c r="Z143" s="32" t="n">
        <x:v>1.67</x:v>
      </x:c>
      <x:c r="AA143" s="32" t="n">
        <x:v>3</x:v>
      </x:c>
      <x:c r="AB143" s="32" t="str">
        <x:v>Blue Wool Scale / UV 150h</x:v>
      </x:c>
      <x:c r="AC143" t="str">
        <x:v>#F8E438</x:v>
      </x:c>
      <x:c r="AD143" s="34" t="n">
        <x:v>248</x:v>
      </x:c>
      <x:c r="AE143" s="34" t="n">
        <x:v>228</x:v>
      </x:c>
      <x:c r="AF143" s="34" t="n">
        <x:v>56</x:v>
      </x:c>
      <x:c r="AG143" s="32" t="n">
        <x:v>53.75</x:v>
      </x:c>
      <x:c r="AH143" s="32" t="n">
        <x:v>93.2</x:v>
      </x:c>
      <x:c r="AI143" s="32" t="n">
        <x:v>59.61</x:v>
      </x:c>
      <x:c r="AJ143" s="32" t="n">
        <x:v>89.73</x:v>
      </x:c>
      <x:c r="AK143" s="32" t="n">
        <x:v>-10.38</x:v>
      </x:c>
      <x:c r="AL143" s="32" t="n">
        <x:v>79.42</x:v>
      </x:c>
      <x:c r="AM143" s="32" t="str">
        <x:v>#000000</x:v>
      </x:c>
      <x:c r="AN143" s="32" t="str">
        <x:v>Black</x:v>
      </x:c>
      <x:c r="AO143" s="32" t="n">
        <x:v>16.15</x:v>
      </x:c>
      <x:c r="AP143" s="32" t="n">
        <x:v>16.15</x:v>
      </x:c>
      <x:c r="AQ143" s="32" t="n">
        <x:v>1.3</x:v>
      </x:c>
      <x:c r="AR143" s="32" t="n">
        <x:v>0.757288</x:v>
      </x:c>
      <x:c r="AS143" t="str">
        <x:v>PASS</x:v>
      </x:c>
      <x:c r="AT143" t="str">
        <x:v>--cda-pab-250</x:v>
      </x:c>
      <x:c r="AU143" t="str">
        <x:v>var(--cda-pab-250)</x:v>
      </x:c>
      <x:c r="AV143" t="str">
        <x:v>Median RGB from official PDF swatch (screen reference only)</x:v>
      </x:c>
      <x:c r="AW143" t="str">
        <x:v>https://www.carandache.com/content_files/uploaded_doc/product/10469/Colour_Chart_Pablo.pdf</x:v>
      </x:c>
      <x:c r="AX143" t="n">
        <x:v>1</x:v>
      </x:c>
      <x:c r="AY143" t="str">
        <x:v>Official</x:v>
      </x:c>
      <x:c r="AZ143" t="str">
        <x:v>Official where available; curated Traditional Chinese/Japanese otherwise</x:v>
      </x:c>
      <x:c r="BA143" t="str">
        <x:v>Verified from official chart; digital HEX is approximate</x:v>
      </x:c>
      <x:c r="BB143" t="str">
        <x:v>Physical media appearance varies by paper, pressure, layering, water and scan/display profile.</x:v>
      </x:c>
    </x:row>
    <x:row r="144">
      <x:c r="A144" t="str">
        <x:f>G144&amp;"|"&amp;L144</x:f>
        <x:v>PAB|240</x:v>
      </x:c>
      <x:c r="B144" t="str">
        <x:v>b5559d9a-f9e8-524d-afee-1def8d0283fd</x:v>
      </x:c>
      <x:c r="C144" t="str">
        <x:v>CDA-PAB-240</x:v>
      </x:c>
      <x:c r="D144" t="str">
        <x:v>e71849e5-e37c-518f-99a0-9189b6af2b63</x:v>
      </x:c>
      <x:c r="E144" t="str">
        <x:v>CDA-CODE-240</x:v>
      </x:c>
      <x:c r="F144" t="str">
        <x:v>Caran d’Ache</x:v>
      </x:c>
      <x:c r="G144" t="str">
        <x:v>PAB</x:v>
      </x:c>
      <x:c r="H144" t="str">
        <x:v>PABLO</x:v>
      </x:c>
      <x:c r="I144" t="str">
        <x:v>Permanent coloured pencil</x:v>
      </x:c>
      <x:c r="J144" t="str">
        <x:v>Artist</x:v>
      </x:c>
      <x:c r="K144" s="30" t="n">
        <x:v>43</x:v>
      </x:c>
      <x:c r="L144" s="30" t="str">
        <x:v>240</x:v>
      </x:c>
      <x:c r="M144" t="str">
        <x:v>Lemon yellow</x:v>
      </x:c>
      <x:c r="N144" t="str">
        <x:v>檸檬黃</x:v>
      </x:c>
      <x:c r="O144" t="str">
        <x:v>レモンイエロー</x:v>
      </x:c>
      <x:c r="P144" t="str"/>
      <x:c r="Q144" t="str">
        <x:v>Jaune citron</x:v>
      </x:c>
      <x:c r="R144" t="str">
        <x:v>Zitronengelb</x:v>
      </x:c>
      <x:c r="S144" t="str">
        <x:v>Giallo limone</x:v>
      </x:c>
      <x:c r="T144" t="str">
        <x:v>Amarillo limón</x:v>
      </x:c>
      <x:c r="U144" t="str"/>
      <x:c r="V144" t="str"/>
      <x:c r="W144" t="str"/>
      <x:c r="X144" t="n">
        <x:f>IF(W144="",0,LEN(W144)-LEN(SUBSTITUTE(W144,"/",""))+1)</x:f>
        <x:v>0</x:v>
      </x:c>
      <x:c r="Y144" t="str">
        <x:v>H</x:v>
      </x:c>
      <x:c r="Z144" s="32" t="n">
        <x:v>1.67</x:v>
      </x:c>
      <x:c r="AA144" s="32" t="n">
        <x:v>3</x:v>
      </x:c>
      <x:c r="AB144" s="32" t="str">
        <x:v>Blue Wool Scale / UV 150h</x:v>
      </x:c>
      <x:c r="AC144" t="str">
        <x:v>#EBE958</x:v>
      </x:c>
      <x:c r="AD144" s="34" t="n">
        <x:v>235</x:v>
      </x:c>
      <x:c r="AE144" s="34" t="n">
        <x:v>233</x:v>
      </x:c>
      <x:c r="AF144" s="34" t="n">
        <x:v>88</x:v>
      </x:c>
      <x:c r="AG144" s="32" t="n">
        <x:v>59.18</x:v>
      </x:c>
      <x:c r="AH144" s="32" t="n">
        <x:v>78.61</x:v>
      </x:c>
      <x:c r="AI144" s="32" t="n">
        <x:v>63.33</x:v>
      </x:c>
      <x:c r="AJ144" s="32" t="n">
        <x:v>90.16</x:v>
      </x:c>
      <x:c r="AK144" s="32" t="n">
        <x:v>-16.7</x:v>
      </x:c>
      <x:c r="AL144" s="32" t="n">
        <x:v>68.23</x:v>
      </x:c>
      <x:c r="AM144" s="32" t="str">
        <x:v>#000000</x:v>
      </x:c>
      <x:c r="AN144" s="32" t="str">
        <x:v>Black</x:v>
      </x:c>
      <x:c r="AO144" s="32" t="n">
        <x:v>16.33</x:v>
      </x:c>
      <x:c r="AP144" s="32" t="n">
        <x:v>16.33</x:v>
      </x:c>
      <x:c r="AQ144" s="32" t="n">
        <x:v>1.29</x:v>
      </x:c>
      <x:c r="AR144" s="32" t="n">
        <x:v>0.766446</x:v>
      </x:c>
      <x:c r="AS144" t="str">
        <x:v>PASS</x:v>
      </x:c>
      <x:c r="AT144" t="str">
        <x:v>--cda-pab-240</x:v>
      </x:c>
      <x:c r="AU144" t="str">
        <x:v>var(--cda-pab-240)</x:v>
      </x:c>
      <x:c r="AV144" t="str">
        <x:v>Median RGB from official PDF swatch (screen reference only)</x:v>
      </x:c>
      <x:c r="AW144" t="str">
        <x:v>https://www.carandache.com/content_files/uploaded_doc/product/10469/Colour_Chart_Pablo.pdf</x:v>
      </x:c>
      <x:c r="AX144" t="n">
        <x:v>1</x:v>
      </x:c>
      <x:c r="AY144" t="str">
        <x:v>Official</x:v>
      </x:c>
      <x:c r="AZ144" t="str">
        <x:v>Official where available; curated Traditional Chinese/Japanese otherwise</x:v>
      </x:c>
      <x:c r="BA144" t="str">
        <x:v>Verified from official chart; digital HEX is approximate</x:v>
      </x:c>
      <x:c r="BB144" t="str">
        <x:v>Physical media appearance varies by paper, pressure, layering, water and scan/display profile.</x:v>
      </x:c>
    </x:row>
    <x:row r="145">
      <x:c r="A145" t="str">
        <x:f>G145&amp;"|"&amp;L145</x:f>
        <x:v>PAB|021</x:v>
      </x:c>
      <x:c r="B145" t="str">
        <x:v>366b1f4a-a83e-5066-9c6f-469668d9823e</x:v>
      </x:c>
      <x:c r="C145" t="str">
        <x:v>CDA-PAB-021</x:v>
      </x:c>
      <x:c r="D145" t="str">
        <x:v>1727780c-fec6-5bde-9cc2-92c8617cddc2</x:v>
      </x:c>
      <x:c r="E145" t="str">
        <x:v>CDA-CODE-021</x:v>
      </x:c>
      <x:c r="F145" t="str">
        <x:v>Caran d’Ache</x:v>
      </x:c>
      <x:c r="G145" t="str">
        <x:v>PAB</x:v>
      </x:c>
      <x:c r="H145" t="str">
        <x:v>PABLO</x:v>
      </x:c>
      <x:c r="I145" t="str">
        <x:v>Permanent coloured pencil</x:v>
      </x:c>
      <x:c r="J145" t="str">
        <x:v>Artist</x:v>
      </x:c>
      <x:c r="K145" s="30" t="n">
        <x:v>44</x:v>
      </x:c>
      <x:c r="L145" s="30" t="str">
        <x:v>021</x:v>
      </x:c>
      <x:c r="M145" t="str">
        <x:v>Naples yellow</x:v>
      </x:c>
      <x:c r="N145" t="str">
        <x:v>那不勒斯黃</x:v>
      </x:c>
      <x:c r="O145" t="str">
        <x:v>ネープルスイエロー</x:v>
      </x:c>
      <x:c r="P145" t="str"/>
      <x:c r="Q145" t="str">
        <x:v>Jaune de Naples</x:v>
      </x:c>
      <x:c r="R145" t="str">
        <x:v>Neapelgelb</x:v>
      </x:c>
      <x:c r="S145" t="str">
        <x:v>Giallo di Napoli</x:v>
      </x:c>
      <x:c r="T145" t="str">
        <x:v>Amarillo de Nápoles</x:v>
      </x:c>
      <x:c r="U145" t="str"/>
      <x:c r="V145" t="str"/>
      <x:c r="W145" t="str"/>
      <x:c r="X145" t="n">
        <x:f>IF(W145="",0,LEN(W145)-LEN(SUBSTITUTE(W145,"/",""))+1)</x:f>
        <x:v>0</x:v>
      </x:c>
      <x:c r="Y145" t="str">
        <x:v>H</x:v>
      </x:c>
      <x:c r="Z145" s="32" t="n">
        <x:v>1.67</x:v>
      </x:c>
      <x:c r="AA145" s="32" t="n">
        <x:v>3</x:v>
      </x:c>
      <x:c r="AB145" s="32" t="str">
        <x:v>Blue Wool Scale / UV 150h</x:v>
      </x:c>
      <x:c r="AC145" t="str">
        <x:v>#FFE865</x:v>
      </x:c>
      <x:c r="AD145" s="34" t="n">
        <x:v>255</x:v>
      </x:c>
      <x:c r="AE145" s="34" t="n">
        <x:v>232</x:v>
      </x:c>
      <x:c r="AF145" s="34" t="n">
        <x:v>101</x:v>
      </x:c>
      <x:c r="AG145" s="32" t="n">
        <x:v>51.04</x:v>
      </x:c>
      <x:c r="AH145" s="32" t="n">
        <x:v>100</x:v>
      </x:c>
      <x:c r="AI145" s="32" t="n">
        <x:v>69.8</x:v>
      </x:c>
      <x:c r="AJ145" s="32" t="n">
        <x:v>91.65</x:v>
      </x:c>
      <x:c r="AK145" s="32" t="n">
        <x:v>-7.26</x:v>
      </x:c>
      <x:c r="AL145" s="32" t="n">
        <x:v>64.92</x:v>
      </x:c>
      <x:c r="AM145" s="32" t="str">
        <x:v>#000000</x:v>
      </x:c>
      <x:c r="AN145" s="32" t="str">
        <x:v>Black</x:v>
      </x:c>
      <x:c r="AO145" s="32" t="n">
        <x:v>16.98</x:v>
      </x:c>
      <x:c r="AP145" s="32" t="n">
        <x:v>16.98</x:v>
      </x:c>
      <x:c r="AQ145" s="32" t="n">
        <x:v>1.24</x:v>
      </x:c>
      <x:c r="AR145" s="32" t="n">
        <x:v>0.799128</x:v>
      </x:c>
      <x:c r="AS145" t="str">
        <x:v>PASS</x:v>
      </x:c>
      <x:c r="AT145" t="str">
        <x:v>--cda-pab-021</x:v>
      </x:c>
      <x:c r="AU145" t="str">
        <x:v>var(--cda-pab-021)</x:v>
      </x:c>
      <x:c r="AV145" t="str">
        <x:v>Median RGB from official PDF swatch (screen reference only)</x:v>
      </x:c>
      <x:c r="AW145" t="str">
        <x:v>https://www.carandache.com/content_files/uploaded_doc/product/10469/Colour_Chart_Pablo.pdf</x:v>
      </x:c>
      <x:c r="AX145" t="n">
        <x:v>1</x:v>
      </x:c>
      <x:c r="AY145" t="str">
        <x:v>Official</x:v>
      </x:c>
      <x:c r="AZ145" t="str">
        <x:v>Official where available; curated Traditional Chinese/Japanese otherwise</x:v>
      </x:c>
      <x:c r="BA145" t="str">
        <x:v>Verified from official chart; digital HEX is approximate</x:v>
      </x:c>
      <x:c r="BB145" t="str">
        <x:v>Physical media appearance varies by paper, pressure, layering, water and scan/display profile.</x:v>
      </x:c>
    </x:row>
    <x:row r="146">
      <x:c r="A146" t="str">
        <x:f>G146&amp;"|"&amp;L146</x:f>
        <x:v>PAB|010</x:v>
      </x:c>
      <x:c r="B146" t="str">
        <x:v>a90731f9-26cc-5c8e-b5c0-748b44794cde</x:v>
      </x:c>
      <x:c r="C146" t="str">
        <x:v>CDA-PAB-010</x:v>
      </x:c>
      <x:c r="D146" t="str">
        <x:v>2eb703d0-d144-5025-ac87-72936a922e7c</x:v>
      </x:c>
      <x:c r="E146" t="str">
        <x:v>CDA-CODE-010</x:v>
      </x:c>
      <x:c r="F146" t="str">
        <x:v>Caran d’Ache</x:v>
      </x:c>
      <x:c r="G146" t="str">
        <x:v>PAB</x:v>
      </x:c>
      <x:c r="H146" t="str">
        <x:v>PABLO</x:v>
      </x:c>
      <x:c r="I146" t="str">
        <x:v>Permanent coloured pencil</x:v>
      </x:c>
      <x:c r="J146" t="str">
        <x:v>Artist</x:v>
      </x:c>
      <x:c r="K146" s="30" t="n">
        <x:v>45</x:v>
      </x:c>
      <x:c r="L146" s="30" t="str">
        <x:v>010</x:v>
      </x:c>
      <x:c r="M146" t="str">
        <x:v>Yellow</x:v>
      </x:c>
      <x:c r="N146" t="str">
        <x:v>黃色</x:v>
      </x:c>
      <x:c r="O146" t="str">
        <x:v>イエロー</x:v>
      </x:c>
      <x:c r="P146" t="str"/>
      <x:c r="Q146" t="str">
        <x:v>Jaune</x:v>
      </x:c>
      <x:c r="R146" t="str">
        <x:v>Gelb</x:v>
      </x:c>
      <x:c r="S146" t="str">
        <x:v>Giallo</x:v>
      </x:c>
      <x:c r="T146" t="str">
        <x:v>Amarillo</x:v>
      </x:c>
      <x:c r="U146" t="str"/>
      <x:c r="V146" t="str"/>
      <x:c r="W146" t="str"/>
      <x:c r="X146" t="n">
        <x:f>IF(W146="",0,LEN(W146)-LEN(SUBSTITUTE(W146,"/",""))+1)</x:f>
        <x:v>0</x:v>
      </x:c>
      <x:c r="Y146" t="str">
        <x:v>H</x:v>
      </x:c>
      <x:c r="Z146" s="32" t="n">
        <x:v>1.67</x:v>
      </x:c>
      <x:c r="AA146" s="32" t="n">
        <x:v>3</x:v>
      </x:c>
      <x:c r="AB146" s="32" t="str">
        <x:v>Blue Wool Scale / UV 150h</x:v>
      </x:c>
      <x:c r="AC146" t="str">
        <x:v>#FFE212</x:v>
      </x:c>
      <x:c r="AD146" s="34" t="n">
        <x:v>255</x:v>
      </x:c>
      <x:c r="AE146" s="34" t="n">
        <x:v>226</x:v>
      </x:c>
      <x:c r="AF146" s="34" t="n">
        <x:v>18</x:v>
      </x:c>
      <x:c r="AG146" s="32" t="n">
        <x:v>52.66</x:v>
      </x:c>
      <x:c r="AH146" s="32" t="n">
        <x:v>100</x:v>
      </x:c>
      <x:c r="AI146" s="32" t="n">
        <x:v>53.53</x:v>
      </x:c>
      <x:c r="AJ146" s="32" t="n">
        <x:v>89.72</x:v>
      </x:c>
      <x:c r="AK146" s="32" t="n">
        <x:v>-7.3</x:v>
      </x:c>
      <x:c r="AL146" s="32" t="n">
        <x:v>87.54</x:v>
      </x:c>
      <x:c r="AM146" s="32" t="str">
        <x:v>#000000</x:v>
      </x:c>
      <x:c r="AN146" s="32" t="str">
        <x:v>Black</x:v>
      </x:c>
      <x:c r="AO146" s="32" t="n">
        <x:v>16.14</x:v>
      </x:c>
      <x:c r="AP146" s="32" t="n">
        <x:v>16.14</x:v>
      </x:c>
      <x:c r="AQ146" s="32" t="n">
        <x:v>1.3</x:v>
      </x:c>
      <x:c r="AR146" s="32" t="n">
        <x:v>0.756964</x:v>
      </x:c>
      <x:c r="AS146" t="str">
        <x:v>PASS</x:v>
      </x:c>
      <x:c r="AT146" t="str">
        <x:v>--cda-pab-010</x:v>
      </x:c>
      <x:c r="AU146" t="str">
        <x:v>var(--cda-pab-010)</x:v>
      </x:c>
      <x:c r="AV146" t="str">
        <x:v>Median RGB from official PDF swatch (screen reference only)</x:v>
      </x:c>
      <x:c r="AW146" t="str">
        <x:v>https://www.carandache.com/content_files/uploaded_doc/product/10469/Colour_Chart_Pablo.pdf</x:v>
      </x:c>
      <x:c r="AX146" t="n">
        <x:v>1</x:v>
      </x:c>
      <x:c r="AY146" t="str">
        <x:v>Official</x:v>
      </x:c>
      <x:c r="AZ146" t="str">
        <x:v>Official where available; curated Traditional Chinese/Japanese otherwise</x:v>
      </x:c>
      <x:c r="BA146" t="str">
        <x:v>Verified from official chart; digital HEX is approximate</x:v>
      </x:c>
      <x:c r="BB146" t="str">
        <x:v>Physical media appearance varies by paper, pressure, layering, water and scan/display profile.</x:v>
      </x:c>
    </x:row>
    <x:row r="147">
      <x:c r="A147" t="str">
        <x:f>G147&amp;"|"&amp;L147</x:f>
        <x:v>PAB|020</x:v>
      </x:c>
      <x:c r="B147" t="str">
        <x:v>bbd7a2a2-48e0-58de-a18a-ea51b1ac8398</x:v>
      </x:c>
      <x:c r="C147" t="str">
        <x:v>CDA-PAB-020</x:v>
      </x:c>
      <x:c r="D147" t="str">
        <x:v>6505c891-c1b2-502b-bed0-6adb7d50721c</x:v>
      </x:c>
      <x:c r="E147" t="str">
        <x:v>CDA-CODE-020</x:v>
      </x:c>
      <x:c r="F147" t="str">
        <x:v>Caran d’Ache</x:v>
      </x:c>
      <x:c r="G147" t="str">
        <x:v>PAB</x:v>
      </x:c>
      <x:c r="H147" t="str">
        <x:v>PABLO</x:v>
      </x:c>
      <x:c r="I147" t="str">
        <x:v>Permanent coloured pencil</x:v>
      </x:c>
      <x:c r="J147" t="str">
        <x:v>Artist</x:v>
      </x:c>
      <x:c r="K147" s="30" t="n">
        <x:v>46</x:v>
      </x:c>
      <x:c r="L147" s="30" t="str">
        <x:v>020</x:v>
      </x:c>
      <x:c r="M147" t="str">
        <x:v>Golden yellow</x:v>
      </x:c>
      <x:c r="N147" t="str">
        <x:v>金黃色</x:v>
      </x:c>
      <x:c r="O147" t="str">
        <x:v>ゴールデンイエロー</x:v>
      </x:c>
      <x:c r="P147" t="str"/>
      <x:c r="Q147" t="str">
        <x:v>Jaune d’or</x:v>
      </x:c>
      <x:c r="R147" t="str">
        <x:v>Goldgelb</x:v>
      </x:c>
      <x:c r="S147" t="str">
        <x:v>Giallo oro</x:v>
      </x:c>
      <x:c r="T147" t="str">
        <x:v>Amarillo oro</x:v>
      </x:c>
      <x:c r="U147" t="str"/>
      <x:c r="V147" t="str"/>
      <x:c r="W147" t="str"/>
      <x:c r="X147" t="n">
        <x:f>IF(W147="",0,LEN(W147)-LEN(SUBSTITUTE(W147,"/",""))+1)</x:f>
        <x:v>0</x:v>
      </x:c>
      <x:c r="Y147" t="str">
        <x:v>H</x:v>
      </x:c>
      <x:c r="Z147" s="32" t="n">
        <x:v>1.67</x:v>
      </x:c>
      <x:c r="AA147" s="32" t="n">
        <x:v>3</x:v>
      </x:c>
      <x:c r="AB147" s="32" t="str">
        <x:v>Blue Wool Scale / UV 150h</x:v>
      </x:c>
      <x:c r="AC147" t="str">
        <x:v>#FFC80C</x:v>
      </x:c>
      <x:c r="AD147" s="34" t="n">
        <x:v>255</x:v>
      </x:c>
      <x:c r="AE147" s="34" t="n">
        <x:v>200</x:v>
      </x:c>
      <x:c r="AF147" s="34" t="n">
        <x:v>12</x:v>
      </x:c>
      <x:c r="AG147" s="32" t="n">
        <x:v>46.42</x:v>
      </x:c>
      <x:c r="AH147" s="32" t="n">
        <x:v>100</x:v>
      </x:c>
      <x:c r="AI147" s="32" t="n">
        <x:v>52.35</x:v>
      </x:c>
      <x:c r="AJ147" s="32" t="n">
        <x:v>83.23</x:v>
      </x:c>
      <x:c r="AK147" s="32" t="n">
        <x:v>5.83</x:v>
      </x:c>
      <x:c r="AL147" s="32" t="n">
        <x:v>83.43</x:v>
      </x:c>
      <x:c r="AM147" s="32" t="str">
        <x:v>#000000</x:v>
      </x:c>
      <x:c r="AN147" s="32" t="str">
        <x:v>Black</x:v>
      </x:c>
      <x:c r="AO147" s="32" t="n">
        <x:v>13.52</x:v>
      </x:c>
      <x:c r="AP147" s="32" t="n">
        <x:v>13.52</x:v>
      </x:c>
      <x:c r="AQ147" s="32" t="n">
        <x:v>1.55</x:v>
      </x:c>
      <x:c r="AR147" s="32" t="n">
        <x:v>0.625951</x:v>
      </x:c>
      <x:c r="AS147" t="str">
        <x:v>PASS</x:v>
      </x:c>
      <x:c r="AT147" t="str">
        <x:v>--cda-pab-020</x:v>
      </x:c>
      <x:c r="AU147" t="str">
        <x:v>var(--cda-pab-020)</x:v>
      </x:c>
      <x:c r="AV147" t="str">
        <x:v>Median RGB from official PDF swatch (screen reference only)</x:v>
      </x:c>
      <x:c r="AW147" t="str">
        <x:v>https://www.carandache.com/content_files/uploaded_doc/product/10469/Colour_Chart_Pablo.pdf</x:v>
      </x:c>
      <x:c r="AX147" t="n">
        <x:v>1</x:v>
      </x:c>
      <x:c r="AY147" t="str">
        <x:v>Official</x:v>
      </x:c>
      <x:c r="AZ147" t="str">
        <x:v>Official where available; curated Traditional Chinese/Japanese otherwise</x:v>
      </x:c>
      <x:c r="BA147" t="str">
        <x:v>Verified from official chart; digital HEX is approximate</x:v>
      </x:c>
      <x:c r="BB147" t="str">
        <x:v>Physical media appearance varies by paper, pressure, layering, water and scan/display profile.</x:v>
      </x:c>
    </x:row>
    <x:row r="148">
      <x:c r="A148" t="str">
        <x:f>G148&amp;"|"&amp;L148</x:f>
        <x:v>PAB|300</x:v>
      </x:c>
      <x:c r="B148" t="str">
        <x:v>accacae0-48cb-5fc2-a730-77b8820ad5dc</x:v>
      </x:c>
      <x:c r="C148" t="str">
        <x:v>CDA-PAB-300</x:v>
      </x:c>
      <x:c r="D148" t="str">
        <x:v>a0ce686f-7535-53f8-b53e-5ecadedba3d5</x:v>
      </x:c>
      <x:c r="E148" t="str">
        <x:v>CDA-CODE-300</x:v>
      </x:c>
      <x:c r="F148" t="str">
        <x:v>Caran d’Ache</x:v>
      </x:c>
      <x:c r="G148" t="str">
        <x:v>PAB</x:v>
      </x:c>
      <x:c r="H148" t="str">
        <x:v>PABLO</x:v>
      </x:c>
      <x:c r="I148" t="str">
        <x:v>Permanent coloured pencil</x:v>
      </x:c>
      <x:c r="J148" t="str">
        <x:v>Artist</x:v>
      </x:c>
      <x:c r="K148" s="30" t="n">
        <x:v>47</x:v>
      </x:c>
      <x:c r="L148" s="30" t="str">
        <x:v>300</x:v>
      </x:c>
      <x:c r="M148" t="str">
        <x:v>Fast orange</x:v>
      </x:c>
      <x:c r="N148" t="str">
        <x:v>耐久橙</x:v>
      </x:c>
      <x:c r="O148" t="str">
        <x:v>ファストオレンジ</x:v>
      </x:c>
      <x:c r="P148" t="str"/>
      <x:c r="Q148" t="str">
        <x:v>Orange solide</x:v>
      </x:c>
      <x:c r="R148" t="str">
        <x:v>Echtorange</x:v>
      </x:c>
      <x:c r="S148" t="str">
        <x:v>Arancio permanente</x:v>
      </x:c>
      <x:c r="T148" t="str">
        <x:v>Naranja sólido</x:v>
      </x:c>
      <x:c r="U148" t="str"/>
      <x:c r="V148" t="str"/>
      <x:c r="W148" t="str"/>
      <x:c r="X148" t="n">
        <x:f>IF(W148="",0,LEN(W148)-LEN(SUBSTITUTE(W148,"/",""))+1)</x:f>
        <x:v>0</x:v>
      </x:c>
      <x:c r="Y148" t="str">
        <x:v>H</x:v>
      </x:c>
      <x:c r="Z148" s="32" t="n">
        <x:v>1.67</x:v>
      </x:c>
      <x:c r="AA148" s="32" t="n">
        <x:v>3</x:v>
      </x:c>
      <x:c r="AB148" s="32" t="str">
        <x:v>Blue Wool Scale / UV 150h</x:v>
      </x:c>
      <x:c r="AC148" t="str">
        <x:v>#FBA63A</x:v>
      </x:c>
      <x:c r="AD148" s="34" t="n">
        <x:v>251</x:v>
      </x:c>
      <x:c r="AE148" s="34" t="n">
        <x:v>166</x:v>
      </x:c>
      <x:c r="AF148" s="34" t="n">
        <x:v>58</x:v>
      </x:c>
      <x:c r="AG148" s="32" t="n">
        <x:v>33.58</x:v>
      </x:c>
      <x:c r="AH148" s="32" t="n">
        <x:v>96.02</x:v>
      </x:c>
      <x:c r="AI148" s="32" t="n">
        <x:v>60.59</x:v>
      </x:c>
      <x:c r="AJ148" s="32" t="n">
        <x:v>74.88</x:v>
      </x:c>
      <x:c r="AK148" s="32" t="n">
        <x:v>22.86</x:v>
      </x:c>
      <x:c r="AL148" s="32" t="n">
        <x:v>65.18</x:v>
      </x:c>
      <x:c r="AM148" s="32" t="str">
        <x:v>#000000</x:v>
      </x:c>
      <x:c r="AN148" s="32" t="str">
        <x:v>Black</x:v>
      </x:c>
      <x:c r="AO148" s="32" t="n">
        <x:v>10.62</x:v>
      </x:c>
      <x:c r="AP148" s="32" t="n">
        <x:v>10.62</x:v>
      </x:c>
      <x:c r="AQ148" s="32" t="n">
        <x:v>1.98</x:v>
      </x:c>
      <x:c r="AR148" s="32" t="n">
        <x:v>0.480872</x:v>
      </x:c>
      <x:c r="AS148" t="str">
        <x:v>PASS</x:v>
      </x:c>
      <x:c r="AT148" t="str">
        <x:v>--cda-pab-300</x:v>
      </x:c>
      <x:c r="AU148" t="str">
        <x:v>var(--cda-pab-300)</x:v>
      </x:c>
      <x:c r="AV148" t="str">
        <x:v>Median RGB from official PDF swatch (screen reference only)</x:v>
      </x:c>
      <x:c r="AW148" t="str">
        <x:v>https://www.carandache.com/content_files/uploaded_doc/product/10469/Colour_Chart_Pablo.pdf</x:v>
      </x:c>
      <x:c r="AX148" t="n">
        <x:v>1</x:v>
      </x:c>
      <x:c r="AY148" t="str">
        <x:v>Official</x:v>
      </x:c>
      <x:c r="AZ148" t="str">
        <x:v>Official where available; curated Traditional Chinese/Japanese otherwise</x:v>
      </x:c>
      <x:c r="BA148" t="str">
        <x:v>Verified from official chart; digital HEX is approximate</x:v>
      </x:c>
      <x:c r="BB148" t="str">
        <x:v>Physical media appearance varies by paper, pressure, layering, water and scan/display profile.</x:v>
      </x:c>
    </x:row>
    <x:row r="149">
      <x:c r="A149" t="str">
        <x:f>G149&amp;"|"&amp;L149</x:f>
        <x:v>PAB|030</x:v>
      </x:c>
      <x:c r="B149" t="str">
        <x:v>32b91504-ef39-511f-a61c-f7255d5094de</x:v>
      </x:c>
      <x:c r="C149" t="str">
        <x:v>CDA-PAB-030</x:v>
      </x:c>
      <x:c r="D149" t="str">
        <x:v>ebda54ca-102e-54e3-a9ae-065baab1ac50</x:v>
      </x:c>
      <x:c r="E149" t="str">
        <x:v>CDA-CODE-030</x:v>
      </x:c>
      <x:c r="F149" t="str">
        <x:v>Caran d’Ache</x:v>
      </x:c>
      <x:c r="G149" t="str">
        <x:v>PAB</x:v>
      </x:c>
      <x:c r="H149" t="str">
        <x:v>PABLO</x:v>
      </x:c>
      <x:c r="I149" t="str">
        <x:v>Permanent coloured pencil</x:v>
      </x:c>
      <x:c r="J149" t="str">
        <x:v>Artist</x:v>
      </x:c>
      <x:c r="K149" s="30" t="n">
        <x:v>48</x:v>
      </x:c>
      <x:c r="L149" s="30" t="str">
        <x:v>030</x:v>
      </x:c>
      <x:c r="M149" t="str">
        <x:v>Orange</x:v>
      </x:c>
      <x:c r="N149" t="str">
        <x:v>橙色</x:v>
      </x:c>
      <x:c r="O149" t="str">
        <x:v>オレンジ</x:v>
      </x:c>
      <x:c r="P149" t="str"/>
      <x:c r="Q149" t="str">
        <x:v>Orange</x:v>
      </x:c>
      <x:c r="R149" t="str">
        <x:v>Orange</x:v>
      </x:c>
      <x:c r="S149" t="str">
        <x:v>Arancio</x:v>
      </x:c>
      <x:c r="T149" t="str">
        <x:v>Naranja</x:v>
      </x:c>
      <x:c r="U149" t="str"/>
      <x:c r="V149" t="str"/>
      <x:c r="W149" t="str"/>
      <x:c r="X149" t="n">
        <x:f>IF(W149="",0,LEN(W149)-LEN(SUBSTITUTE(W149,"/",""))+1)</x:f>
        <x:v>0</x:v>
      </x:c>
      <x:c r="Y149" t="str">
        <x:v>H</x:v>
      </x:c>
      <x:c r="Z149" s="32" t="n">
        <x:v>1.67</x:v>
      </x:c>
      <x:c r="AA149" s="32" t="n">
        <x:v>3</x:v>
      </x:c>
      <x:c r="AB149" s="32" t="str">
        <x:v>Blue Wool Scale / UV 150h</x:v>
      </x:c>
      <x:c r="AC149" t="str">
        <x:v>#F88E42</x:v>
      </x:c>
      <x:c r="AD149" s="34" t="n">
        <x:v>248</x:v>
      </x:c>
      <x:c r="AE149" s="34" t="n">
        <x:v>142</x:v>
      </x:c>
      <x:c r="AF149" s="34" t="n">
        <x:v>66</x:v>
      </x:c>
      <x:c r="AG149" s="32" t="n">
        <x:v>25.05</x:v>
      </x:c>
      <x:c r="AH149" s="32" t="n">
        <x:v>92.86</x:v>
      </x:c>
      <x:c r="AI149" s="32" t="n">
        <x:v>61.57</x:v>
      </x:c>
      <x:c r="AJ149" s="32" t="n">
        <x:v>69.26</x:v>
      </x:c>
      <x:c r="AK149" s="32" t="n">
        <x:v>34.45</x:v>
      </x:c>
      <x:c r="AL149" s="32" t="n">
        <x:v>56.11</x:v>
      </x:c>
      <x:c r="AM149" s="32" t="str">
        <x:v>#000000</x:v>
      </x:c>
      <x:c r="AN149" s="32" t="str">
        <x:v>Black</x:v>
      </x:c>
      <x:c r="AO149" s="32" t="n">
        <x:v>8.94</x:v>
      </x:c>
      <x:c r="AP149" s="32" t="n">
        <x:v>8.94</x:v>
      </x:c>
      <x:c r="AQ149" s="32" t="n">
        <x:v>2.35</x:v>
      </x:c>
      <x:c r="AR149" s="32" t="n">
        <x:v>0.396958</x:v>
      </x:c>
      <x:c r="AS149" t="str">
        <x:v>PASS</x:v>
      </x:c>
      <x:c r="AT149" t="str">
        <x:v>--cda-pab-030</x:v>
      </x:c>
      <x:c r="AU149" t="str">
        <x:v>var(--cda-pab-030)</x:v>
      </x:c>
      <x:c r="AV149" t="str">
        <x:v>Median RGB from official PDF swatch (screen reference only)</x:v>
      </x:c>
      <x:c r="AW149" t="str">
        <x:v>https://www.carandache.com/content_files/uploaded_doc/product/10469/Colour_Chart_Pablo.pdf</x:v>
      </x:c>
      <x:c r="AX149" t="n">
        <x:v>1</x:v>
      </x:c>
      <x:c r="AY149" t="str">
        <x:v>Official</x:v>
      </x:c>
      <x:c r="AZ149" t="str">
        <x:v>Official where available; curated Traditional Chinese/Japanese otherwise</x:v>
      </x:c>
      <x:c r="BA149" t="str">
        <x:v>Verified from official chart; digital HEX is approximate</x:v>
      </x:c>
      <x:c r="BB149" t="str">
        <x:v>Physical media appearance varies by paper, pressure, layering, water and scan/display profile.</x:v>
      </x:c>
    </x:row>
    <x:row r="150">
      <x:c r="A150" t="str">
        <x:f>G150&amp;"|"&amp;L150</x:f>
        <x:v>PAB|040</x:v>
      </x:c>
      <x:c r="B150" t="str">
        <x:v>c6dc5ee0-e45f-5a7c-bb1e-4a178eba47a0</x:v>
      </x:c>
      <x:c r="C150" t="str">
        <x:v>CDA-PAB-040</x:v>
      </x:c>
      <x:c r="D150" t="str">
        <x:v>c0d22832-3f13-580d-986f-0f285f98a6c1</x:v>
      </x:c>
      <x:c r="E150" t="str">
        <x:v>CDA-CODE-040</x:v>
      </x:c>
      <x:c r="F150" t="str">
        <x:v>Caran d’Ache</x:v>
      </x:c>
      <x:c r="G150" t="str">
        <x:v>PAB</x:v>
      </x:c>
      <x:c r="H150" t="str">
        <x:v>PABLO</x:v>
      </x:c>
      <x:c r="I150" t="str">
        <x:v>Permanent coloured pencil</x:v>
      </x:c>
      <x:c r="J150" t="str">
        <x:v>Artist</x:v>
      </x:c>
      <x:c r="K150" s="30" t="n">
        <x:v>49</x:v>
      </x:c>
      <x:c r="L150" s="30" t="str">
        <x:v>040</x:v>
      </x:c>
      <x:c r="M150" t="str">
        <x:v>Reddish yellow</x:v>
      </x:c>
      <x:c r="N150" t="str">
        <x:v>紅黃色</x:v>
      </x:c>
      <x:c r="O150" t="str">
        <x:v>レディッシュイエロー</x:v>
      </x:c>
      <x:c r="P150" t="str"/>
      <x:c r="Q150" t="str">
        <x:v>Rouge jaune</x:v>
      </x:c>
      <x:c r="R150" t="str">
        <x:v>Rotgelb</x:v>
      </x:c>
      <x:c r="S150" t="str">
        <x:v>Rosso giallo</x:v>
      </x:c>
      <x:c r="T150" t="str">
        <x:v>Rojo amarillo</x:v>
      </x:c>
      <x:c r="U150" t="str"/>
      <x:c r="V150" t="str"/>
      <x:c r="W150" t="str"/>
      <x:c r="X150" t="n">
        <x:f>IF(W150="",0,LEN(W150)-LEN(SUBSTITUTE(W150,"/",""))+1)</x:f>
        <x:v>0</x:v>
      </x:c>
      <x:c r="Y150" t="str">
        <x:v>H</x:v>
      </x:c>
      <x:c r="Z150" s="32" t="n">
        <x:v>1.67</x:v>
      </x:c>
      <x:c r="AA150" s="32" t="n">
        <x:v>3</x:v>
      </x:c>
      <x:c r="AB150" s="32" t="str">
        <x:v>Blue Wool Scale / UV 150h</x:v>
      </x:c>
      <x:c r="AC150" t="str">
        <x:v>#F6802E</x:v>
      </x:c>
      <x:c r="AD150" s="34" t="n">
        <x:v>246</x:v>
      </x:c>
      <x:c r="AE150" s="34" t="n">
        <x:v>128</x:v>
      </x:c>
      <x:c r="AF150" s="34" t="n">
        <x:v>46</x:v>
      </x:c>
      <x:c r="AG150" s="32" t="n">
        <x:v>24.6</x:v>
      </x:c>
      <x:c r="AH150" s="32" t="n">
        <x:v>91.74</x:v>
      </x:c>
      <x:c r="AI150" s="32" t="n">
        <x:v>57.25</x:v>
      </x:c>
      <x:c r="AJ150" s="32" t="n">
        <x:v>65.93</x:v>
      </x:c>
      <x:c r="AK150" s="32" t="n">
        <x:v>40.05</x:v>
      </x:c>
      <x:c r="AL150" s="32" t="n">
        <x:v>61.33</x:v>
      </x:c>
      <x:c r="AM150" s="32" t="str">
        <x:v>#000000</x:v>
      </x:c>
      <x:c r="AN150" s="32" t="str">
        <x:v>Black</x:v>
      </x:c>
      <x:c r="AO150" s="32" t="n">
        <x:v>8.05</x:v>
      </x:c>
      <x:c r="AP150" s="32" t="n">
        <x:v>8.05</x:v>
      </x:c>
      <x:c r="AQ150" s="32" t="n">
        <x:v>2.61</x:v>
      </x:c>
      <x:c r="AR150" s="32" t="n">
        <x:v>0.352284</x:v>
      </x:c>
      <x:c r="AS150" t="str">
        <x:v>PASS</x:v>
      </x:c>
      <x:c r="AT150" t="str">
        <x:v>--cda-pab-040</x:v>
      </x:c>
      <x:c r="AU150" t="str">
        <x:v>var(--cda-pab-040)</x:v>
      </x:c>
      <x:c r="AV150" t="str">
        <x:v>Median RGB from official PDF swatch (screen reference only)</x:v>
      </x:c>
      <x:c r="AW150" t="str">
        <x:v>https://www.carandache.com/content_files/uploaded_doc/product/10469/Colour_Chart_Pablo.pdf</x:v>
      </x:c>
      <x:c r="AX150" t="n">
        <x:v>1</x:v>
      </x:c>
      <x:c r="AY150" t="str">
        <x:v>Official</x:v>
      </x:c>
      <x:c r="AZ150" t="str">
        <x:v>Official where available; curated Traditional Chinese/Japanese otherwise</x:v>
      </x:c>
      <x:c r="BA150" t="str">
        <x:v>Verified from official chart; digital HEX is approximate</x:v>
      </x:c>
      <x:c r="BB150" t="str">
        <x:v>Physical media appearance varies by paper, pressure, layering, water and scan/display profile.</x:v>
      </x:c>
    </x:row>
    <x:row r="151">
      <x:c r="A151" t="str">
        <x:f>G151&amp;"|"&amp;L151</x:f>
        <x:v>PAB|050</x:v>
      </x:c>
      <x:c r="B151" t="str">
        <x:v>0e542ada-def2-5d8a-8da9-f2b525257918</x:v>
      </x:c>
      <x:c r="C151" t="str">
        <x:v>CDA-PAB-050</x:v>
      </x:c>
      <x:c r="D151" t="str">
        <x:v>b1fdf016-f65e-52a7-837f-bacfacf86acf</x:v>
      </x:c>
      <x:c r="E151" t="str">
        <x:v>CDA-CODE-050</x:v>
      </x:c>
      <x:c r="F151" t="str">
        <x:v>Caran d’Ache</x:v>
      </x:c>
      <x:c r="G151" t="str">
        <x:v>PAB</x:v>
      </x:c>
      <x:c r="H151" t="str">
        <x:v>PABLO</x:v>
      </x:c>
      <x:c r="I151" t="str">
        <x:v>Permanent coloured pencil</x:v>
      </x:c>
      <x:c r="J151" t="str">
        <x:v>Artist</x:v>
      </x:c>
      <x:c r="K151" s="30" t="n">
        <x:v>50</x:v>
      </x:c>
      <x:c r="L151" s="30" t="str">
        <x:v>050</x:v>
      </x:c>
      <x:c r="M151" t="str">
        <x:v>Flame red</x:v>
      </x:c>
      <x:c r="N151" t="str">
        <x:v>火焰紅</x:v>
      </x:c>
      <x:c r="O151" t="str">
        <x:v>フレームレッド</x:v>
      </x:c>
      <x:c r="P151" t="str"/>
      <x:c r="Q151" t="str">
        <x:v>Rouge orangé</x:v>
      </x:c>
      <x:c r="R151" t="str">
        <x:v>Rotorange</x:v>
      </x:c>
      <x:c r="S151" t="str">
        <x:v>Rosso arancio</x:v>
      </x:c>
      <x:c r="T151" t="str">
        <x:v>Rojo anaranjado</x:v>
      </x:c>
      <x:c r="U151" t="str"/>
      <x:c r="V151" t="str"/>
      <x:c r="W151" t="str"/>
      <x:c r="X151" t="n">
        <x:f>IF(W151="",0,LEN(W151)-LEN(SUBSTITUTE(W151,"/",""))+1)</x:f>
        <x:v>0</x:v>
      </x:c>
      <x:c r="Y151" t="str">
        <x:v>H</x:v>
      </x:c>
      <x:c r="Z151" s="32" t="n">
        <x:v>1.67</x:v>
      </x:c>
      <x:c r="AA151" s="32" t="n">
        <x:v>3</x:v>
      </x:c>
      <x:c r="AB151" s="32" t="str">
        <x:v>Blue Wool Scale / UV 150h</x:v>
      </x:c>
      <x:c r="AC151" t="str">
        <x:v>#F68023</x:v>
      </x:c>
      <x:c r="AD151" s="34" t="n">
        <x:v>246</x:v>
      </x:c>
      <x:c r="AE151" s="34" t="n">
        <x:v>128</x:v>
      </x:c>
      <x:c r="AF151" s="34" t="n">
        <x:v>35</x:v>
      </x:c>
      <x:c r="AG151" s="32" t="n">
        <x:v>26.45</x:v>
      </x:c>
      <x:c r="AH151" s="32" t="n">
        <x:v>92.14</x:v>
      </x:c>
      <x:c r="AI151" s="32" t="n">
        <x:v>55.1</x:v>
      </x:c>
      <x:c r="AJ151" s="32" t="n">
        <x:v>65.87</x:v>
      </x:c>
      <x:c r="AK151" s="32" t="n">
        <x:v>39.76</x:v>
      </x:c>
      <x:c r="AL151" s="32" t="n">
        <x:v>65.25</x:v>
      </x:c>
      <x:c r="AM151" s="32" t="str">
        <x:v>#000000</x:v>
      </x:c>
      <x:c r="AN151" s="32" t="str">
        <x:v>Black</x:v>
      </x:c>
      <x:c r="AO151" s="32" t="n">
        <x:v>8.03</x:v>
      </x:c>
      <x:c r="AP151" s="32" t="n">
        <x:v>8.03</x:v>
      </x:c>
      <x:c r="AQ151" s="32" t="n">
        <x:v>2.62</x:v>
      </x:c>
      <x:c r="AR151" s="32" t="n">
        <x:v>0.351525</x:v>
      </x:c>
      <x:c r="AS151" t="str">
        <x:v>PASS</x:v>
      </x:c>
      <x:c r="AT151" t="str">
        <x:v>--cda-pab-050</x:v>
      </x:c>
      <x:c r="AU151" t="str">
        <x:v>var(--cda-pab-050)</x:v>
      </x:c>
      <x:c r="AV151" t="str">
        <x:v>Median RGB from official PDF swatch (screen reference only)</x:v>
      </x:c>
      <x:c r="AW151" t="str">
        <x:v>https://www.carandache.com/content_files/uploaded_doc/product/10469/Colour_Chart_Pablo.pdf</x:v>
      </x:c>
      <x:c r="AX151" t="n">
        <x:v>1</x:v>
      </x:c>
      <x:c r="AY151" t="str">
        <x:v>Official</x:v>
      </x:c>
      <x:c r="AZ151" t="str">
        <x:v>Official where available; curated Traditional Chinese/Japanese otherwise</x:v>
      </x:c>
      <x:c r="BA151" t="str">
        <x:v>Verified from official chart; digital HEX is approximate</x:v>
      </x:c>
      <x:c r="BB151" t="str">
        <x:v>Physical media appearance varies by paper, pressure, layering, water and scan/display profile.</x:v>
      </x:c>
    </x:row>
    <x:row r="152">
      <x:c r="A152" t="str">
        <x:f>G152&amp;"|"&amp;L152</x:f>
        <x:v>PAB|060</x:v>
      </x:c>
      <x:c r="B152" t="str">
        <x:v>55808c48-f05b-5a58-8e6a-b191ca09272d</x:v>
      </x:c>
      <x:c r="C152" t="str">
        <x:v>CDA-PAB-060</x:v>
      </x:c>
      <x:c r="D152" t="str">
        <x:v>332db2c4-d0e9-5445-b3ee-924c107cece4</x:v>
      </x:c>
      <x:c r="E152" t="str">
        <x:v>CDA-CODE-060</x:v>
      </x:c>
      <x:c r="F152" t="str">
        <x:v>Caran d’Ache</x:v>
      </x:c>
      <x:c r="G152" t="str">
        <x:v>PAB</x:v>
      </x:c>
      <x:c r="H152" t="str">
        <x:v>PABLO</x:v>
      </x:c>
      <x:c r="I152" t="str">
        <x:v>Permanent coloured pencil</x:v>
      </x:c>
      <x:c r="J152" t="str">
        <x:v>Artist</x:v>
      </x:c>
      <x:c r="K152" s="30" t="n">
        <x:v>51</x:v>
      </x:c>
      <x:c r="L152" s="30" t="str">
        <x:v>060</x:v>
      </x:c>
      <x:c r="M152" t="str">
        <x:v>Vermilion</x:v>
      </x:c>
      <x:c r="N152" t="str">
        <x:v>朱紅</x:v>
      </x:c>
      <x:c r="O152" t="str">
        <x:v>バーミリオン</x:v>
      </x:c>
      <x:c r="P152" t="str"/>
      <x:c r="Q152" t="str">
        <x:v>Vermillon</x:v>
      </x:c>
      <x:c r="R152" t="str">
        <x:v>Zinnoberrot</x:v>
      </x:c>
      <x:c r="S152" t="str">
        <x:v>Vermiglione</x:v>
      </x:c>
      <x:c r="T152" t="str">
        <x:v>Bermellón</x:v>
      </x:c>
      <x:c r="U152" t="str"/>
      <x:c r="V152" t="str"/>
      <x:c r="W152" t="str"/>
      <x:c r="X152" t="n">
        <x:f>IF(W152="",0,LEN(W152)-LEN(SUBSTITUTE(W152,"/",""))+1)</x:f>
        <x:v>0</x:v>
      </x:c>
      <x:c r="Y152" t="str">
        <x:v>H</x:v>
      </x:c>
      <x:c r="Z152" s="32" t="n">
        <x:v>1.67</x:v>
      </x:c>
      <x:c r="AA152" s="32" t="n">
        <x:v>3</x:v>
      </x:c>
      <x:c r="AB152" s="32" t="str">
        <x:v>Blue Wool Scale / UV 150h</x:v>
      </x:c>
      <x:c r="AC152" t="str">
        <x:v>#EF5935</x:v>
      </x:c>
      <x:c r="AD152" s="34" t="n">
        <x:v>239</x:v>
      </x:c>
      <x:c r="AE152" s="34" t="n">
        <x:v>89</x:v>
      </x:c>
      <x:c r="AF152" s="34" t="n">
        <x:v>53</x:v>
      </x:c>
      <x:c r="AG152" s="32" t="n">
        <x:v>11.61</x:v>
      </x:c>
      <x:c r="AH152" s="32" t="n">
        <x:v>85.32</x:v>
      </x:c>
      <x:c r="AI152" s="32" t="n">
        <x:v>57.25</x:v>
      </x:c>
      <x:c r="AJ152" s="32" t="n">
        <x:v>57.81</x:v>
      </x:c>
      <x:c r="AK152" s="32" t="n">
        <x:v>55.99</x:v>
      </x:c>
      <x:c r="AL152" s="32" t="n">
        <x:v>50.13</x:v>
      </x:c>
      <x:c r="AM152" s="32" t="str">
        <x:v>#000000</x:v>
      </x:c>
      <x:c r="AN152" s="32" t="str">
        <x:v>Black</x:v>
      </x:c>
      <x:c r="AO152" s="32" t="n">
        <x:v>6.15</x:v>
      </x:c>
      <x:c r="AP152" s="32" t="n">
        <x:v>6.15</x:v>
      </x:c>
      <x:c r="AQ152" s="32" t="n">
        <x:v>3.41</x:v>
      </x:c>
      <x:c r="AR152" s="32" t="n">
        <x:v>0.257525</x:v>
      </x:c>
      <x:c r="AS152" t="str">
        <x:v>PASS</x:v>
      </x:c>
      <x:c r="AT152" t="str">
        <x:v>--cda-pab-060</x:v>
      </x:c>
      <x:c r="AU152" t="str">
        <x:v>var(--cda-pab-060)</x:v>
      </x:c>
      <x:c r="AV152" t="str">
        <x:v>Median RGB from official PDF swatch (screen reference only)</x:v>
      </x:c>
      <x:c r="AW152" t="str">
        <x:v>https://www.carandache.com/content_files/uploaded_doc/product/10469/Colour_Chart_Pablo.pdf</x:v>
      </x:c>
      <x:c r="AX152" t="n">
        <x:v>1</x:v>
      </x:c>
      <x:c r="AY152" t="str">
        <x:v>Official</x:v>
      </x:c>
      <x:c r="AZ152" t="str">
        <x:v>Official where available; curated Traditional Chinese/Japanese otherwise</x:v>
      </x:c>
      <x:c r="BA152" t="str">
        <x:v>Verified from official chart; digital HEX is approximate</x:v>
      </x:c>
      <x:c r="BB152" t="str">
        <x:v>Physical media appearance varies by paper, pressure, layering, water and scan/display profile.</x:v>
      </x:c>
    </x:row>
    <x:row r="153">
      <x:c r="A153" t="str">
        <x:f>G153&amp;"|"&amp;L153</x:f>
        <x:v>PAB|070</x:v>
      </x:c>
      <x:c r="B153" t="str">
        <x:v>f6d435b9-e2c5-5286-86a4-7d23fefc4c1b</x:v>
      </x:c>
      <x:c r="C153" t="str">
        <x:v>CDA-PAB-070</x:v>
      </x:c>
      <x:c r="D153" t="str">
        <x:v>2dcedd03-0d82-5dc4-a34e-7ed1c317e71e</x:v>
      </x:c>
      <x:c r="E153" t="str">
        <x:v>CDA-CODE-070</x:v>
      </x:c>
      <x:c r="F153" t="str">
        <x:v>Caran d’Ache</x:v>
      </x:c>
      <x:c r="G153" t="str">
        <x:v>PAB</x:v>
      </x:c>
      <x:c r="H153" t="str">
        <x:v>PABLO</x:v>
      </x:c>
      <x:c r="I153" t="str">
        <x:v>Permanent coloured pencil</x:v>
      </x:c>
      <x:c r="J153" t="str">
        <x:v>Artist</x:v>
      </x:c>
      <x:c r="K153" s="30" t="n">
        <x:v>52</x:v>
      </x:c>
      <x:c r="L153" s="30" t="str">
        <x:v>070</x:v>
      </x:c>
      <x:c r="M153" t="str">
        <x:v>Scarlet</x:v>
      </x:c>
      <x:c r="N153" t="str">
        <x:v>猩紅</x:v>
      </x:c>
      <x:c r="O153" t="str">
        <x:v>スカーレット</x:v>
      </x:c>
      <x:c r="P153" t="str"/>
      <x:c r="Q153" t="str">
        <x:v>Ecarlate</x:v>
      </x:c>
      <x:c r="R153" t="str">
        <x:v>Scharlachrot</x:v>
      </x:c>
      <x:c r="S153" t="str">
        <x:v>Scarlatto</x:v>
      </x:c>
      <x:c r="T153" t="str">
        <x:v>Escarlata</x:v>
      </x:c>
      <x:c r="U153" t="str"/>
      <x:c r="V153" t="str"/>
      <x:c r="W153" t="str"/>
      <x:c r="X153" t="n">
        <x:f>IF(W153="",0,LEN(W153)-LEN(SUBSTITUTE(W153,"/",""))+1)</x:f>
        <x:v>0</x:v>
      </x:c>
      <x:c r="Y153" t="str">
        <x:v>H</x:v>
      </x:c>
      <x:c r="Z153" s="32" t="n">
        <x:v>1.67</x:v>
      </x:c>
      <x:c r="AA153" s="32" t="n">
        <x:v>3</x:v>
      </x:c>
      <x:c r="AB153" s="32" t="str">
        <x:v>Blue Wool Scale / UV 150h</x:v>
      </x:c>
      <x:c r="AC153" t="str">
        <x:v>#DB4637</x:v>
      </x:c>
      <x:c r="AD153" s="34" t="n">
        <x:v>219</x:v>
      </x:c>
      <x:c r="AE153" s="34" t="n">
        <x:v>70</x:v>
      </x:c>
      <x:c r="AF153" s="34" t="n">
        <x:v>55</x:v>
      </x:c>
      <x:c r="AG153" s="32" t="n">
        <x:v>5.49</x:v>
      </x:c>
      <x:c r="AH153" s="32" t="n">
        <x:v>69.49</x:v>
      </x:c>
      <x:c r="AI153" s="32" t="n">
        <x:v>53.73</x:v>
      </x:c>
      <x:c r="AJ153" s="32" t="n">
        <x:v>51.52</x:v>
      </x:c>
      <x:c r="AK153" s="32" t="n">
        <x:v>57.15</x:v>
      </x:c>
      <x:c r="AL153" s="32" t="n">
        <x:v>41.47</x:v>
      </x:c>
      <x:c r="AM153" s="32" t="str">
        <x:v>#000000</x:v>
      </x:c>
      <x:c r="AN153" s="32" t="str">
        <x:v>Black</x:v>
      </x:c>
      <x:c r="AO153" s="32" t="n">
        <x:v>4.94</x:v>
      </x:c>
      <x:c r="AP153" s="32" t="n">
        <x:v>4.94</x:v>
      </x:c>
      <x:c r="AQ153" s="32" t="n">
        <x:v>4.25</x:v>
      </x:c>
      <x:c r="AR153" s="32" t="n">
        <x:v>0.197162</x:v>
      </x:c>
      <x:c r="AS153" t="str">
        <x:v>PASS</x:v>
      </x:c>
      <x:c r="AT153" t="str">
        <x:v>--cda-pab-070</x:v>
      </x:c>
      <x:c r="AU153" t="str">
        <x:v>var(--cda-pab-070)</x:v>
      </x:c>
      <x:c r="AV153" t="str">
        <x:v>Median RGB from official PDF swatch (screen reference only)</x:v>
      </x:c>
      <x:c r="AW153" t="str">
        <x:v>https://www.carandache.com/content_files/uploaded_doc/product/10469/Colour_Chart_Pablo.pdf</x:v>
      </x:c>
      <x:c r="AX153" t="n">
        <x:v>1</x:v>
      </x:c>
      <x:c r="AY153" t="str">
        <x:v>Official</x:v>
      </x:c>
      <x:c r="AZ153" t="str">
        <x:v>Official where available; curated Traditional Chinese/Japanese otherwise</x:v>
      </x:c>
      <x:c r="BA153" t="str">
        <x:v>Verified from official chart; digital HEX is approximate</x:v>
      </x:c>
      <x:c r="BB153" t="str">
        <x:v>Physical media appearance varies by paper, pressure, layering, water and scan/display profile.</x:v>
      </x:c>
    </x:row>
    <x:row r="154">
      <x:c r="A154" t="str">
        <x:f>G154&amp;"|"&amp;L154</x:f>
        <x:v>PAB|069</x:v>
      </x:c>
      <x:c r="B154" t="str">
        <x:v>4fae774e-31a8-585b-9315-288240180bae</x:v>
      </x:c>
      <x:c r="C154" t="str">
        <x:v>CDA-PAB-069</x:v>
      </x:c>
      <x:c r="D154" t="str">
        <x:v>cc93e1eb-34d0-5610-9562-5e234935f63d</x:v>
      </x:c>
      <x:c r="E154" t="str">
        <x:v>CDA-CODE-069</x:v>
      </x:c>
      <x:c r="F154" t="str">
        <x:v>Caran d’Ache</x:v>
      </x:c>
      <x:c r="G154" t="str">
        <x:v>PAB</x:v>
      </x:c>
      <x:c r="H154" t="str">
        <x:v>PABLO</x:v>
      </x:c>
      <x:c r="I154" t="str">
        <x:v>Permanent coloured pencil</x:v>
      </x:c>
      <x:c r="J154" t="str">
        <x:v>Artist</x:v>
      </x:c>
      <x:c r="K154" s="30" t="n">
        <x:v>53</x:v>
      </x:c>
      <x:c r="L154" s="30" t="str">
        <x:v>069</x:v>
      </x:c>
      <x:c r="M154" t="str">
        <x:v>Burnt Siena</x:v>
      </x:c>
      <x:c r="N154" t="str">
        <x:v>熟赭紅</x:v>
      </x:c>
      <x:c r="O154" t="str">
        <x:v>バーントシェンナ</x:v>
      </x:c>
      <x:c r="P154" t="str"/>
      <x:c r="Q154" t="str">
        <x:v>Sienne brûlée</x:v>
      </x:c>
      <x:c r="R154" t="str">
        <x:v>Siena gebrannt</x:v>
      </x:c>
      <x:c r="S154" t="str">
        <x:v>Siena bruciata</x:v>
      </x:c>
      <x:c r="T154" t="str">
        <x:v>Siena quemada</x:v>
      </x:c>
      <x:c r="U154" t="str"/>
      <x:c r="V154" t="str"/>
      <x:c r="W154" t="str"/>
      <x:c r="X154" t="n">
        <x:f>IF(W154="",0,LEN(W154)-LEN(SUBSTITUTE(W154,"/",""))+1)</x:f>
        <x:v>0</x:v>
      </x:c>
      <x:c r="Y154" t="str">
        <x:v>H</x:v>
      </x:c>
      <x:c r="Z154" s="32" t="n">
        <x:v>1.67</x:v>
      </x:c>
      <x:c r="AA154" s="32" t="n">
        <x:v>3</x:v>
      </x:c>
      <x:c r="AB154" s="32" t="str">
        <x:v>Blue Wool Scale / UV 150h</x:v>
      </x:c>
      <x:c r="AC154" t="str">
        <x:v>#954F43</x:v>
      </x:c>
      <x:c r="AD154" s="34" t="n">
        <x:v>149</x:v>
      </x:c>
      <x:c r="AE154" s="34" t="n">
        <x:v>79</x:v>
      </x:c>
      <x:c r="AF154" s="34" t="n">
        <x:v>67</x:v>
      </x:c>
      <x:c r="AG154" s="32" t="n">
        <x:v>8.78</x:v>
      </x:c>
      <x:c r="AH154" s="32" t="n">
        <x:v>37.96</x:v>
      </x:c>
      <x:c r="AI154" s="32" t="n">
        <x:v>42.35</x:v>
      </x:c>
      <x:c r="AJ154" s="32" t="n">
        <x:v>41.83</x:v>
      </x:c>
      <x:c r="AK154" s="32" t="n">
        <x:v>28</x:v>
      </x:c>
      <x:c r="AL154" s="32" t="n">
        <x:v>20.17</x:v>
      </x:c>
      <x:c r="AM154" s="32" t="str">
        <x:v>#FFFFFF</x:v>
      </x:c>
      <x:c r="AN154" s="32" t="str">
        <x:v>White</x:v>
      </x:c>
      <x:c r="AO154" s="32" t="n">
        <x:v>6.04</x:v>
      </x:c>
      <x:c r="AP154" s="32" t="n">
        <x:v>3.48</x:v>
      </x:c>
      <x:c r="AQ154" s="32" t="n">
        <x:v>6.04</x:v>
      </x:c>
      <x:c r="AR154" s="32" t="n">
        <x:v>0.123868</x:v>
      </x:c>
      <x:c r="AS154" t="str">
        <x:v>PASS</x:v>
      </x:c>
      <x:c r="AT154" t="str">
        <x:v>--cda-pab-069</x:v>
      </x:c>
      <x:c r="AU154" t="str">
        <x:v>var(--cda-pab-069)</x:v>
      </x:c>
      <x:c r="AV154" t="str">
        <x:v>Median RGB from official PDF swatch (screen reference only)</x:v>
      </x:c>
      <x:c r="AW154" t="str">
        <x:v>https://www.carandache.com/content_files/uploaded_doc/product/10469/Colour_Chart_Pablo.pdf</x:v>
      </x:c>
      <x:c r="AX154" t="n">
        <x:v>1</x:v>
      </x:c>
      <x:c r="AY154" t="str">
        <x:v>Official</x:v>
      </x:c>
      <x:c r="AZ154" t="str">
        <x:v>Official where available; curated Traditional Chinese/Japanese otherwise</x:v>
      </x:c>
      <x:c r="BA154" t="str">
        <x:v>Verified from official chart; digital HEX is approximate</x:v>
      </x:c>
      <x:c r="BB154" t="str">
        <x:v>Physical media appearance varies by paper, pressure, layering, water and scan/display profile.</x:v>
      </x:c>
    </x:row>
    <x:row r="155">
      <x:c r="A155" t="str">
        <x:f>G155&amp;"|"&amp;L155</x:f>
        <x:v>PAB|059</x:v>
      </x:c>
      <x:c r="B155" t="str">
        <x:v>f267ac3a-7e75-5fc6-a43c-130e03cfe51c</x:v>
      </x:c>
      <x:c r="C155" t="str">
        <x:v>CDA-PAB-059</x:v>
      </x:c>
      <x:c r="D155" t="str">
        <x:v>82af754c-0796-57d3-b910-c32329865240</x:v>
      </x:c>
      <x:c r="E155" t="str">
        <x:v>CDA-CODE-059</x:v>
      </x:c>
      <x:c r="F155" t="str">
        <x:v>Caran d’Ache</x:v>
      </x:c>
      <x:c r="G155" t="str">
        <x:v>PAB</x:v>
      </x:c>
      <x:c r="H155" t="str">
        <x:v>PABLO</x:v>
      </x:c>
      <x:c r="I155" t="str">
        <x:v>Permanent coloured pencil</x:v>
      </x:c>
      <x:c r="J155" t="str">
        <x:v>Artist</x:v>
      </x:c>
      <x:c r="K155" s="30" t="n">
        <x:v>54</x:v>
      </x:c>
      <x:c r="L155" s="30" t="str">
        <x:v>059</x:v>
      </x:c>
      <x:c r="M155" t="str">
        <x:v>Brown</x:v>
      </x:c>
      <x:c r="N155" t="str">
        <x:v>棕色</x:v>
      </x:c>
      <x:c r="O155" t="str">
        <x:v>ブラウン</x:v>
      </x:c>
      <x:c r="P155" t="str"/>
      <x:c r="Q155" t="str">
        <x:v>Brun</x:v>
      </x:c>
      <x:c r="R155" t="str">
        <x:v>Braun</x:v>
      </x:c>
      <x:c r="S155" t="str">
        <x:v>Marrone</x:v>
      </x:c>
      <x:c r="T155" t="str">
        <x:v>Marrón</x:v>
      </x:c>
      <x:c r="U155" t="str"/>
      <x:c r="V155" t="str"/>
      <x:c r="W155" t="str"/>
      <x:c r="X155" t="n">
        <x:f>IF(W155="",0,LEN(W155)-LEN(SUBSTITUTE(W155,"/",""))+1)</x:f>
        <x:v>0</x:v>
      </x:c>
      <x:c r="Y155" t="str">
        <x:v>H</x:v>
      </x:c>
      <x:c r="Z155" s="32" t="n">
        <x:v>1.67</x:v>
      </x:c>
      <x:c r="AA155" s="32" t="n">
        <x:v>3</x:v>
      </x:c>
      <x:c r="AB155" s="32" t="str">
        <x:v>Blue Wool Scale / UV 150h</x:v>
      </x:c>
      <x:c r="AC155" t="str">
        <x:v>#903C2C</x:v>
      </x:c>
      <x:c r="AD155" s="34" t="n">
        <x:v>144</x:v>
      </x:c>
      <x:c r="AE155" s="34" t="n">
        <x:v>60</x:v>
      </x:c>
      <x:c r="AF155" s="34" t="n">
        <x:v>44</x:v>
      </x:c>
      <x:c r="AG155" s="32" t="n">
        <x:v>9.6</x:v>
      </x:c>
      <x:c r="AH155" s="32" t="n">
        <x:v>53.19</x:v>
      </x:c>
      <x:c r="AI155" s="32" t="n">
        <x:v>36.86</x:v>
      </x:c>
      <x:c r="AJ155" s="32" t="n">
        <x:v>36.64</x:v>
      </x:c>
      <x:c r="AK155" s="32" t="n">
        <x:v>34.45</x:v>
      </x:c>
      <x:c r="AL155" s="32" t="n">
        <x:v>27.34</x:v>
      </x:c>
      <x:c r="AM155" s="32" t="str">
        <x:v>#FFFFFF</x:v>
      </x:c>
      <x:c r="AN155" s="32" t="str">
        <x:v>White</x:v>
      </x:c>
      <x:c r="AO155" s="32" t="n">
        <x:v>7.32</x:v>
      </x:c>
      <x:c r="AP155" s="32" t="n">
        <x:v>2.87</x:v>
      </x:c>
      <x:c r="AQ155" s="32" t="n">
        <x:v>7.32</x:v>
      </x:c>
      <x:c r="AR155" s="32" t="n">
        <x:v>0.093429</x:v>
      </x:c>
      <x:c r="AS155" t="str">
        <x:v>PASS</x:v>
      </x:c>
      <x:c r="AT155" t="str">
        <x:v>--cda-pab-059</x:v>
      </x:c>
      <x:c r="AU155" t="str">
        <x:v>var(--cda-pab-059)</x:v>
      </x:c>
      <x:c r="AV155" t="str">
        <x:v>Median RGB from official PDF swatch (screen reference only)</x:v>
      </x:c>
      <x:c r="AW155" t="str">
        <x:v>https://www.carandache.com/content_files/uploaded_doc/product/10469/Colour_Chart_Pablo.pdf</x:v>
      </x:c>
      <x:c r="AX155" t="n">
        <x:v>1</x:v>
      </x:c>
      <x:c r="AY155" t="str">
        <x:v>Official</x:v>
      </x:c>
      <x:c r="AZ155" t="str">
        <x:v>Official where available; curated Traditional Chinese/Japanese otherwise</x:v>
      </x:c>
      <x:c r="BA155" t="str">
        <x:v>Verified from official chart; digital HEX is approximate</x:v>
      </x:c>
      <x:c r="BB155" t="str">
        <x:v>Physical media appearance varies by paper, pressure, layering, water and scan/display profile.</x:v>
      </x:c>
    </x:row>
    <x:row r="156">
      <x:c r="A156" t="str">
        <x:f>G156&amp;"|"&amp;L156</x:f>
        <x:v>PAB|065</x:v>
      </x:c>
      <x:c r="B156" t="str">
        <x:v>ed4dbf45-5110-5165-b473-3aa1bd78193b</x:v>
      </x:c>
      <x:c r="C156" t="str">
        <x:v>CDA-PAB-065</x:v>
      </x:c>
      <x:c r="D156" t="str">
        <x:v>91a3d2cf-6d79-536f-9dd3-6acea80af176</x:v>
      </x:c>
      <x:c r="E156" t="str">
        <x:v>CDA-CODE-065</x:v>
      </x:c>
      <x:c r="F156" t="str">
        <x:v>Caran d’Ache</x:v>
      </x:c>
      <x:c r="G156" t="str">
        <x:v>PAB</x:v>
      </x:c>
      <x:c r="H156" t="str">
        <x:v>PABLO</x:v>
      </x:c>
      <x:c r="I156" t="str">
        <x:v>Permanent coloured pencil</x:v>
      </x:c>
      <x:c r="J156" t="str">
        <x:v>Artist</x:v>
      </x:c>
      <x:c r="K156" s="30" t="n">
        <x:v>55</x:v>
      </x:c>
      <x:c r="L156" s="30" t="str">
        <x:v>065</x:v>
      </x:c>
      <x:c r="M156" t="str">
        <x:v>Russet</x:v>
      </x:c>
      <x:c r="N156" t="str">
        <x:v>赤褐色</x:v>
      </x:c>
      <x:c r="O156" t="str">
        <x:v>ラセット</x:v>
      </x:c>
      <x:c r="P156" t="str"/>
      <x:c r="Q156" t="str">
        <x:v>Sanguine</x:v>
      </x:c>
      <x:c r="R156" t="str">
        <x:v>Rotbraun</x:v>
      </x:c>
      <x:c r="S156" t="str">
        <x:v>Sanguigna</x:v>
      </x:c>
      <x:c r="T156" t="str">
        <x:v>Sanguina</x:v>
      </x:c>
      <x:c r="U156" t="str"/>
      <x:c r="V156" t="str"/>
      <x:c r="W156" t="str"/>
      <x:c r="X156" t="n">
        <x:f>IF(W156="",0,LEN(W156)-LEN(SUBSTITUTE(W156,"/",""))+1)</x:f>
        <x:v>0</x:v>
      </x:c>
      <x:c r="Y156" t="str">
        <x:v>H</x:v>
      </x:c>
      <x:c r="Z156" s="32" t="n">
        <x:v>1.67</x:v>
      </x:c>
      <x:c r="AA156" s="32" t="n">
        <x:v>3</x:v>
      </x:c>
      <x:c r="AB156" s="32" t="str">
        <x:v>Blue Wool Scale / UV 150h</x:v>
      </x:c>
      <x:c r="AC156" t="str">
        <x:v>#D05F35</x:v>
      </x:c>
      <x:c r="AD156" s="34" t="n">
        <x:v>208</x:v>
      </x:c>
      <x:c r="AE156" s="34" t="n">
        <x:v>95</x:v>
      </x:c>
      <x:c r="AF156" s="34" t="n">
        <x:v>53</x:v>
      </x:c>
      <x:c r="AG156" s="32" t="n">
        <x:v>16.26</x:v>
      </x:c>
      <x:c r="AH156" s="32" t="n">
        <x:v>62.25</x:v>
      </x:c>
      <x:c r="AI156" s="32" t="n">
        <x:v>51.18</x:v>
      </x:c>
      <x:c r="AJ156" s="32" t="n">
        <x:v>53.87</x:v>
      </x:c>
      <x:c r="AK156" s="32" t="n">
        <x:v>42.07</x:v>
      </x:c>
      <x:c r="AL156" s="32" t="n">
        <x:v>44.5</x:v>
      </x:c>
      <x:c r="AM156" s="32" t="str">
        <x:v>#000000</x:v>
      </x:c>
      <x:c r="AN156" s="32" t="str">
        <x:v>Black</x:v>
      </x:c>
      <x:c r="AO156" s="32" t="n">
        <x:v>5.37</x:v>
      </x:c>
      <x:c r="AP156" s="32" t="n">
        <x:v>5.37</x:v>
      </x:c>
      <x:c r="AQ156" s="32" t="n">
        <x:v>3.91</x:v>
      </x:c>
      <x:c r="AR156" s="32" t="n">
        <x:v>0.218514</x:v>
      </x:c>
      <x:c r="AS156" t="str">
        <x:v>PASS</x:v>
      </x:c>
      <x:c r="AT156" t="str">
        <x:v>--cda-pab-065</x:v>
      </x:c>
      <x:c r="AU156" t="str">
        <x:v>var(--cda-pab-065)</x:v>
      </x:c>
      <x:c r="AV156" t="str">
        <x:v>Median RGB from official PDF swatch (screen reference only)</x:v>
      </x:c>
      <x:c r="AW156" t="str">
        <x:v>https://www.carandache.com/content_files/uploaded_doc/product/10469/Colour_Chart_Pablo.pdf</x:v>
      </x:c>
      <x:c r="AX156" t="n">
        <x:v>1</x:v>
      </x:c>
      <x:c r="AY156" t="str">
        <x:v>Official</x:v>
      </x:c>
      <x:c r="AZ156" t="str">
        <x:v>Official where available; curated Traditional Chinese/Japanese otherwise</x:v>
      </x:c>
      <x:c r="BA156" t="str">
        <x:v>Verified from official chart; digital HEX is approximate</x:v>
      </x:c>
      <x:c r="BB156" t="str">
        <x:v>Physical media appearance varies by paper, pressure, layering, water and scan/display profile.</x:v>
      </x:c>
    </x:row>
    <x:row r="157">
      <x:c r="A157" t="str">
        <x:f>G157&amp;"|"&amp;L157</x:f>
        <x:v>PAB|063</x:v>
      </x:c>
      <x:c r="B157" t="str">
        <x:v>6c6874b3-feb3-52f4-a9f3-3922d728cb44</x:v>
      </x:c>
      <x:c r="C157" t="str">
        <x:v>CDA-PAB-063</x:v>
      </x:c>
      <x:c r="D157" t="str">
        <x:v>b4ecc4a2-7b75-5baf-8139-3a399957d6ec</x:v>
      </x:c>
      <x:c r="E157" t="str">
        <x:v>CDA-CODE-063</x:v>
      </x:c>
      <x:c r="F157" t="str">
        <x:v>Caran d’Ache</x:v>
      </x:c>
      <x:c r="G157" t="str">
        <x:v>PAB</x:v>
      </x:c>
      <x:c r="H157" t="str">
        <x:v>PABLO</x:v>
      </x:c>
      <x:c r="I157" t="str">
        <x:v>Permanent coloured pencil</x:v>
      </x:c>
      <x:c r="J157" t="str">
        <x:v>Artist</x:v>
      </x:c>
      <x:c r="K157" s="30" t="n">
        <x:v>56</x:v>
      </x:c>
      <x:c r="L157" s="30" t="str">
        <x:v>063</x:v>
      </x:c>
      <x:c r="M157" t="str">
        <x:v>English red</x:v>
      </x:c>
      <x:c r="N157" t="str">
        <x:v>英國紅</x:v>
      </x:c>
      <x:c r="O157" t="str">
        <x:v>イングリッシュレッド</x:v>
      </x:c>
      <x:c r="P157" t="str"/>
      <x:c r="Q157" t="str">
        <x:v>Rouge anglais</x:v>
      </x:c>
      <x:c r="R157" t="str">
        <x:v>Englischrot</x:v>
      </x:c>
      <x:c r="S157" t="str">
        <x:v>Rosso inglese</x:v>
      </x:c>
      <x:c r="T157" t="str">
        <x:v>Rojo inglés</x:v>
      </x:c>
      <x:c r="U157" t="str"/>
      <x:c r="V157" t="str"/>
      <x:c r="W157" t="str"/>
      <x:c r="X157" t="n">
        <x:f>IF(W157="",0,LEN(W157)-LEN(SUBSTITUTE(W157,"/",""))+1)</x:f>
        <x:v>0</x:v>
      </x:c>
      <x:c r="Y157" t="str">
        <x:v>H</x:v>
      </x:c>
      <x:c r="Z157" s="32" t="n">
        <x:v>1.67</x:v>
      </x:c>
      <x:c r="AA157" s="32" t="n">
        <x:v>3</x:v>
      </x:c>
      <x:c r="AB157" s="32" t="str">
        <x:v>Blue Wool Scale / UV 150h</x:v>
      </x:c>
      <x:c r="AC157" t="str">
        <x:v>#DC6548</x:v>
      </x:c>
      <x:c r="AD157" s="34" t="n">
        <x:v>220</x:v>
      </x:c>
      <x:c r="AE157" s="34" t="n">
        <x:v>101</x:v>
      </x:c>
      <x:c r="AF157" s="34" t="n">
        <x:v>72</x:v>
      </x:c>
      <x:c r="AG157" s="32" t="n">
        <x:v>11.76</x:v>
      </x:c>
      <x:c r="AH157" s="32" t="n">
        <x:v>67.89</x:v>
      </x:c>
      <x:c r="AI157" s="32" t="n">
        <x:v>57.25</x:v>
      </x:c>
      <x:c r="AJ157" s="32" t="n">
        <x:v>57.07</x:v>
      </x:c>
      <x:c r="AK157" s="32" t="n">
        <x:v>44.58</x:v>
      </x:c>
      <x:c r="AL157" s="32" t="n">
        <x:v>38.56</x:v>
      </x:c>
      <x:c r="AM157" s="32" t="str">
        <x:v>#000000</x:v>
      </x:c>
      <x:c r="AN157" s="32" t="str">
        <x:v>Black</x:v>
      </x:c>
      <x:c r="AO157" s="32" t="n">
        <x:v>6</x:v>
      </x:c>
      <x:c r="AP157" s="32" t="n">
        <x:v>6</x:v>
      </x:c>
      <x:c r="AQ157" s="32" t="n">
        <x:v>3.5</x:v>
      </x:c>
      <x:c r="AR157" s="32" t="n">
        <x:v>0.249909</x:v>
      </x:c>
      <x:c r="AS157" t="str">
        <x:v>PASS</x:v>
      </x:c>
      <x:c r="AT157" t="str">
        <x:v>--cda-pab-063</x:v>
      </x:c>
      <x:c r="AU157" t="str">
        <x:v>var(--cda-pab-063)</x:v>
      </x:c>
      <x:c r="AV157" t="str">
        <x:v>Median RGB from official PDF swatch (screen reference only)</x:v>
      </x:c>
      <x:c r="AW157" t="str">
        <x:v>https://www.carandache.com/content_files/uploaded_doc/product/10469/Colour_Chart_Pablo.pdf</x:v>
      </x:c>
      <x:c r="AX157" t="n">
        <x:v>1</x:v>
      </x:c>
      <x:c r="AY157" t="str">
        <x:v>Official</x:v>
      </x:c>
      <x:c r="AZ157" t="str">
        <x:v>Official where available; curated Traditional Chinese/Japanese otherwise</x:v>
      </x:c>
      <x:c r="BA157" t="str">
        <x:v>Verified from official chart; digital HEX is approximate</x:v>
      </x:c>
      <x:c r="BB157" t="str">
        <x:v>Physical media appearance varies by paper, pressure, layering, water and scan/display profile.</x:v>
      </x:c>
    </x:row>
    <x:row r="158">
      <x:c r="A158" t="str">
        <x:f>G158&amp;"|"&amp;L158</x:f>
        <x:v>PAB|062</x:v>
      </x:c>
      <x:c r="B158" t="str">
        <x:v>323c6aa8-ddcd-5f06-b98f-d95fc8ec5b76</x:v>
      </x:c>
      <x:c r="C158" t="str">
        <x:v>CDA-PAB-062</x:v>
      </x:c>
      <x:c r="D158" t="str">
        <x:v>cee145ad-620f-5518-8857-cb4c0f17272c</x:v>
      </x:c>
      <x:c r="E158" t="str">
        <x:v>CDA-CODE-062</x:v>
      </x:c>
      <x:c r="F158" t="str">
        <x:v>Caran d’Ache</x:v>
      </x:c>
      <x:c r="G158" t="str">
        <x:v>PAB</x:v>
      </x:c>
      <x:c r="H158" t="str">
        <x:v>PABLO</x:v>
      </x:c>
      <x:c r="I158" t="str">
        <x:v>Permanent coloured pencil</x:v>
      </x:c>
      <x:c r="J158" t="str">
        <x:v>Artist</x:v>
      </x:c>
      <x:c r="K158" s="30" t="n">
        <x:v>57</x:v>
      </x:c>
      <x:c r="L158" s="30" t="str">
        <x:v>062</x:v>
      </x:c>
      <x:c r="M158" t="str">
        <x:v>Venetian red</x:v>
      </x:c>
      <x:c r="N158" t="str">
        <x:v>威尼斯紅</x:v>
      </x:c>
      <x:c r="O158" t="str">
        <x:v>ベネチアンレッド</x:v>
      </x:c>
      <x:c r="P158" t="str"/>
      <x:c r="Q158" t="str">
        <x:v>Rouge de Venise</x:v>
      </x:c>
      <x:c r="R158" t="str">
        <x:v>Venezianerrot</x:v>
      </x:c>
      <x:c r="S158" t="str">
        <x:v>Rosso Venezia</x:v>
      </x:c>
      <x:c r="T158" t="str">
        <x:v>Rojo de Venecia</x:v>
      </x:c>
      <x:c r="U158" t="str"/>
      <x:c r="V158" t="str"/>
      <x:c r="W158" t="str"/>
      <x:c r="X158" t="n">
        <x:f>IF(W158="",0,LEN(W158)-LEN(SUBSTITUTE(W158,"/",""))+1)</x:f>
        <x:v>0</x:v>
      </x:c>
      <x:c r="Y158" t="str">
        <x:v>H</x:v>
      </x:c>
      <x:c r="Z158" s="32" t="n">
        <x:v>1.67</x:v>
      </x:c>
      <x:c r="AA158" s="32" t="n">
        <x:v>3</x:v>
      </x:c>
      <x:c r="AB158" s="32" t="str">
        <x:v>Blue Wool Scale / UV 150h</x:v>
      </x:c>
      <x:c r="AC158" t="str">
        <x:v>#EC8055</x:v>
      </x:c>
      <x:c r="AD158" s="34" t="n">
        <x:v>236</x:v>
      </x:c>
      <x:c r="AE158" s="34" t="n">
        <x:v>128</x:v>
      </x:c>
      <x:c r="AF158" s="34" t="n">
        <x:v>85</x:v>
      </x:c>
      <x:c r="AG158" s="32" t="n">
        <x:v>17.09</x:v>
      </x:c>
      <x:c r="AH158" s="32" t="n">
        <x:v>79.89</x:v>
      </x:c>
      <x:c r="AI158" s="32" t="n">
        <x:v>62.94</x:v>
      </x:c>
      <x:c r="AJ158" s="32" t="n">
        <x:v>64.91</x:v>
      </x:c>
      <x:c r="AK158" s="32" t="n">
        <x:v>37.91</x:v>
      </x:c>
      <x:c r="AL158" s="32" t="n">
        <x:v>41.45</x:v>
      </x:c>
      <x:c r="AM158" s="32" t="str">
        <x:v>#000000</x:v>
      </x:c>
      <x:c r="AN158" s="32" t="str">
        <x:v>Black</x:v>
      </x:c>
      <x:c r="AO158" s="32" t="n">
        <x:v>7.79</x:v>
      </x:c>
      <x:c r="AP158" s="32" t="n">
        <x:v>7.79</x:v>
      </x:c>
      <x:c r="AQ158" s="32" t="n">
        <x:v>2.7</x:v>
      </x:c>
      <x:c r="AR158" s="32" t="n">
        <x:v>0.339271</x:v>
      </x:c>
      <x:c r="AS158" t="str">
        <x:v>PASS</x:v>
      </x:c>
      <x:c r="AT158" t="str">
        <x:v>--cda-pab-062</x:v>
      </x:c>
      <x:c r="AU158" t="str">
        <x:v>var(--cda-pab-062)</x:v>
      </x:c>
      <x:c r="AV158" t="str">
        <x:v>Median RGB from official PDF swatch (screen reference only)</x:v>
      </x:c>
      <x:c r="AW158" t="str">
        <x:v>https://www.carandache.com/content_files/uploaded_doc/product/10469/Colour_Chart_Pablo.pdf</x:v>
      </x:c>
      <x:c r="AX158" t="n">
        <x:v>1</x:v>
      </x:c>
      <x:c r="AY158" t="str">
        <x:v>Official</x:v>
      </x:c>
      <x:c r="AZ158" t="str">
        <x:v>Official where available; curated Traditional Chinese/Japanese otherwise</x:v>
      </x:c>
      <x:c r="BA158" t="str">
        <x:v>Verified from official chart; digital HEX is approximate</x:v>
      </x:c>
      <x:c r="BB158" t="str">
        <x:v>Physical media appearance varies by paper, pressure, layering, water and scan/display profile.</x:v>
      </x:c>
    </x:row>
    <x:row r="159">
      <x:c r="A159" t="str">
        <x:f>G159&amp;"|"&amp;L159</x:f>
        <x:v>PAB|053</x:v>
      </x:c>
      <x:c r="B159" t="str">
        <x:v>3d62387b-2e65-5269-99fa-2267a8558b56</x:v>
      </x:c>
      <x:c r="C159" t="str">
        <x:v>CDA-PAB-053</x:v>
      </x:c>
      <x:c r="D159" t="str">
        <x:v>3cc4e3a3-e432-5e8b-85f5-f35d40f449dc</x:v>
      </x:c>
      <x:c r="E159" t="str">
        <x:v>CDA-CODE-053</x:v>
      </x:c>
      <x:c r="F159" t="str">
        <x:v>Caran d’Ache</x:v>
      </x:c>
      <x:c r="G159" t="str">
        <x:v>PAB</x:v>
      </x:c>
      <x:c r="H159" t="str">
        <x:v>PABLO</x:v>
      </x:c>
      <x:c r="I159" t="str">
        <x:v>Permanent coloured pencil</x:v>
      </x:c>
      <x:c r="J159" t="str">
        <x:v>Artist</x:v>
      </x:c>
      <x:c r="K159" s="30" t="n">
        <x:v>58</x:v>
      </x:c>
      <x:c r="L159" s="30" t="str">
        <x:v>053</x:v>
      </x:c>
      <x:c r="M159" t="str">
        <x:v>Hazel</x:v>
      </x:c>
      <x:c r="N159" t="str">
        <x:v>榛果棕</x:v>
      </x:c>
      <x:c r="O159" t="str">
        <x:v>ヘーゼル</x:v>
      </x:c>
      <x:c r="P159" t="str"/>
      <x:c r="Q159" t="str">
        <x:v>Brun noisette</x:v>
      </x:c>
      <x:c r="R159" t="str">
        <x:v>Nussbraun</x:v>
      </x:c>
      <x:c r="S159" t="str">
        <x:v>Nocciola</x:v>
      </x:c>
      <x:c r="T159" t="str">
        <x:v>Avellana</x:v>
      </x:c>
      <x:c r="U159" t="str"/>
      <x:c r="V159" t="str"/>
      <x:c r="W159" t="str"/>
      <x:c r="X159" t="n">
        <x:f>IF(W159="",0,LEN(W159)-LEN(SUBSTITUTE(W159,"/",""))+1)</x:f>
        <x:v>0</x:v>
      </x:c>
      <x:c r="Y159" t="str">
        <x:v>H</x:v>
      </x:c>
      <x:c r="Z159" s="32" t="n">
        <x:v>1.67</x:v>
      </x:c>
      <x:c r="AA159" s="32" t="n">
        <x:v>3</x:v>
      </x:c>
      <x:c r="AB159" s="32" t="str">
        <x:v>Blue Wool Scale / UV 150h</x:v>
      </x:c>
      <x:c r="AC159" t="str">
        <x:v>#D97F4C</x:v>
      </x:c>
      <x:c r="AD159" s="34" t="n">
        <x:v>217</x:v>
      </x:c>
      <x:c r="AE159" s="34" t="n">
        <x:v>127</x:v>
      </x:c>
      <x:c r="AF159" s="34" t="n">
        <x:v>76</x:v>
      </x:c>
      <x:c r="AG159" s="32" t="n">
        <x:v>21.7</x:v>
      </x:c>
      <x:c r="AH159" s="32" t="n">
        <x:v>64.98</x:v>
      </x:c>
      <x:c r="AI159" s="32" t="n">
        <x:v>57.45</x:v>
      </x:c>
      <x:c r="AJ159" s="32" t="n">
        <x:v>62.05</x:v>
      </x:c>
      <x:c r="AK159" s="32" t="n">
        <x:v>30.35</x:v>
      </x:c>
      <x:c r="AL159" s="32" t="n">
        <x:v>42.16</x:v>
      </x:c>
      <x:c r="AM159" s="32" t="str">
        <x:v>#000000</x:v>
      </x:c>
      <x:c r="AN159" s="32" t="str">
        <x:v>Black</x:v>
      </x:c>
      <x:c r="AO159" s="32" t="n">
        <x:v>7.09</x:v>
      </x:c>
      <x:c r="AP159" s="32" t="n">
        <x:v>7.09</x:v>
      </x:c>
      <x:c r="AQ159" s="32" t="n">
        <x:v>2.96</x:v>
      </x:c>
      <x:c r="AR159" s="32" t="n">
        <x:v>0.304523</x:v>
      </x:c>
      <x:c r="AS159" t="str">
        <x:v>PASS</x:v>
      </x:c>
      <x:c r="AT159" t="str">
        <x:v>--cda-pab-053</x:v>
      </x:c>
      <x:c r="AU159" t="str">
        <x:v>var(--cda-pab-053)</x:v>
      </x:c>
      <x:c r="AV159" t="str">
        <x:v>Median RGB from official PDF swatch (screen reference only)</x:v>
      </x:c>
      <x:c r="AW159" t="str">
        <x:v>https://www.carandache.com/content_files/uploaded_doc/product/10469/Colour_Chart_Pablo.pdf</x:v>
      </x:c>
      <x:c r="AX159" t="n">
        <x:v>1</x:v>
      </x:c>
      <x:c r="AY159" t="str">
        <x:v>Official</x:v>
      </x:c>
      <x:c r="AZ159" t="str">
        <x:v>Official where available; curated Traditional Chinese/Japanese otherwise</x:v>
      </x:c>
      <x:c r="BA159" t="str">
        <x:v>Verified from official chart; digital HEX is approximate</x:v>
      </x:c>
      <x:c r="BB159" t="str">
        <x:v>Physical media appearance varies by paper, pressure, layering, water and scan/display profile.</x:v>
      </x:c>
    </x:row>
    <x:row r="160">
      <x:c r="A160" t="str">
        <x:f>G160&amp;"|"&amp;L160</x:f>
        <x:v>PAB|057</x:v>
      </x:c>
      <x:c r="B160" t="str">
        <x:v>29af743f-15ab-5c75-bf9a-255b01c4f9e9</x:v>
      </x:c>
      <x:c r="C160" t="str">
        <x:v>CDA-PAB-057</x:v>
      </x:c>
      <x:c r="D160" t="str">
        <x:v>ea39b452-023c-5e72-a7d0-684cd549a60a</x:v>
      </x:c>
      <x:c r="E160" t="str">
        <x:v>CDA-CODE-057</x:v>
      </x:c>
      <x:c r="F160" t="str">
        <x:v>Caran d’Ache</x:v>
      </x:c>
      <x:c r="G160" t="str">
        <x:v>PAB</x:v>
      </x:c>
      <x:c r="H160" t="str">
        <x:v>PABLO</x:v>
      </x:c>
      <x:c r="I160" t="str">
        <x:v>Permanent coloured pencil</x:v>
      </x:c>
      <x:c r="J160" t="str">
        <x:v>Artist</x:v>
      </x:c>
      <x:c r="K160" s="30" t="n">
        <x:v>59</x:v>
      </x:c>
      <x:c r="L160" s="30" t="str">
        <x:v>057</x:v>
      </x:c>
      <x:c r="M160" t="str">
        <x:v>Chestnut</x:v>
      </x:c>
      <x:c r="N160" t="str">
        <x:v>栗棕色</x:v>
      </x:c>
      <x:c r="O160" t="str">
        <x:v>チェスナット</x:v>
      </x:c>
      <x:c r="P160" t="str"/>
      <x:c r="Q160" t="str">
        <x:v>Brun châtaigne</x:v>
      </x:c>
      <x:c r="R160" t="str">
        <x:v>Kastanienbraun</x:v>
      </x:c>
      <x:c r="S160" t="str">
        <x:v>Castano</x:v>
      </x:c>
      <x:c r="T160" t="str">
        <x:v>Castaña</x:v>
      </x:c>
      <x:c r="U160" t="str"/>
      <x:c r="V160" t="str"/>
      <x:c r="W160" t="str"/>
      <x:c r="X160" t="n">
        <x:f>IF(W160="",0,LEN(W160)-LEN(SUBSTITUTE(W160,"/",""))+1)</x:f>
        <x:v>0</x:v>
      </x:c>
      <x:c r="Y160" t="str">
        <x:v>H</x:v>
      </x:c>
      <x:c r="Z160" s="32" t="n">
        <x:v>1.67</x:v>
      </x:c>
      <x:c r="AA160" s="32" t="n">
        <x:v>3</x:v>
      </x:c>
      <x:c r="AB160" s="32" t="str">
        <x:v>Blue Wool Scale / UV 150h</x:v>
      </x:c>
      <x:c r="AC160" t="str">
        <x:v>#864937</x:v>
      </x:c>
      <x:c r="AD160" s="34" t="n">
        <x:v>134</x:v>
      </x:c>
      <x:c r="AE160" s="34" t="n">
        <x:v>73</x:v>
      </x:c>
      <x:c r="AF160" s="34" t="n">
        <x:v>55</x:v>
      </x:c>
      <x:c r="AG160" s="32" t="n">
        <x:v>13.67</x:v>
      </x:c>
      <x:c r="AH160" s="32" t="n">
        <x:v>41.8</x:v>
      </x:c>
      <x:c r="AI160" s="32" t="n">
        <x:v>37.06</x:v>
      </x:c>
      <x:c r="AJ160" s="32" t="n">
        <x:v>38.04</x:v>
      </x:c>
      <x:c r="AK160" s="32" t="n">
        <x:v>24.05</x:v>
      </x:c>
      <x:c r="AL160" s="32" t="n">
        <x:v>22.1</x:v>
      </x:c>
      <x:c r="AM160" s="32" t="str">
        <x:v>#FFFFFF</x:v>
      </x:c>
      <x:c r="AN160" s="32" t="str">
        <x:v>White</x:v>
      </x:c>
      <x:c r="AO160" s="32" t="n">
        <x:v>6.95</x:v>
      </x:c>
      <x:c r="AP160" s="32" t="n">
        <x:v>3.02</x:v>
      </x:c>
      <x:c r="AQ160" s="32" t="n">
        <x:v>6.95</x:v>
      </x:c>
      <x:c r="AR160" s="32" t="n">
        <x:v>0.101093</x:v>
      </x:c>
      <x:c r="AS160" t="str">
        <x:v>PASS</x:v>
      </x:c>
      <x:c r="AT160" t="str">
        <x:v>--cda-pab-057</x:v>
      </x:c>
      <x:c r="AU160" t="str">
        <x:v>var(--cda-pab-057)</x:v>
      </x:c>
      <x:c r="AV160" t="str">
        <x:v>Median RGB from official PDF swatch (screen reference only)</x:v>
      </x:c>
      <x:c r="AW160" t="str">
        <x:v>https://www.carandache.com/content_files/uploaded_doc/product/10469/Colour_Chart_Pablo.pdf</x:v>
      </x:c>
      <x:c r="AX160" t="n">
        <x:v>1</x:v>
      </x:c>
      <x:c r="AY160" t="str">
        <x:v>Official</x:v>
      </x:c>
      <x:c r="AZ160" t="str">
        <x:v>Official where available; curated Traditional Chinese/Japanese otherwise</x:v>
      </x:c>
      <x:c r="BA160" t="str">
        <x:v>Verified from official chart; digital HEX is approximate</x:v>
      </x:c>
      <x:c r="BB160" t="str">
        <x:v>Physical media appearance varies by paper, pressure, layering, water and scan/display profile.</x:v>
      </x:c>
    </x:row>
    <x:row r="161">
      <x:c r="A161" t="str">
        <x:f>G161&amp;"|"&amp;L161</x:f>
        <x:v>PAB|055</x:v>
      </x:c>
      <x:c r="B161" t="str">
        <x:v>2d82e826-3b59-57ff-a795-04393af1f008</x:v>
      </x:c>
      <x:c r="C161" t="str">
        <x:v>CDA-PAB-055</x:v>
      </x:c>
      <x:c r="D161" t="str">
        <x:v>658096e9-f9b4-5937-8e83-5eee039511f9</x:v>
      </x:c>
      <x:c r="E161" t="str">
        <x:v>CDA-CODE-055</x:v>
      </x:c>
      <x:c r="F161" t="str">
        <x:v>Caran d’Ache</x:v>
      </x:c>
      <x:c r="G161" t="str">
        <x:v>PAB</x:v>
      </x:c>
      <x:c r="H161" t="str">
        <x:v>PABLO</x:v>
      </x:c>
      <x:c r="I161" t="str">
        <x:v>Permanent coloured pencil</x:v>
      </x:c>
      <x:c r="J161" t="str">
        <x:v>Artist</x:v>
      </x:c>
      <x:c r="K161" s="30" t="n">
        <x:v>60</x:v>
      </x:c>
      <x:c r="L161" s="30" t="str">
        <x:v>055</x:v>
      </x:c>
      <x:c r="M161" t="str">
        <x:v>Cinnamon</x:v>
      </x:c>
      <x:c r="N161" t="str">
        <x:v>肉桂色</x:v>
      </x:c>
      <x:c r="O161" t="str">
        <x:v>シナモン</x:v>
      </x:c>
      <x:c r="P161" t="str"/>
      <x:c r="Q161" t="str">
        <x:v>Cannelle</x:v>
      </x:c>
      <x:c r="R161" t="str">
        <x:v>Zimtbraun</x:v>
      </x:c>
      <x:c r="S161" t="str">
        <x:v>Cannella</x:v>
      </x:c>
      <x:c r="T161" t="str">
        <x:v>Canela</x:v>
      </x:c>
      <x:c r="U161" t="str"/>
      <x:c r="V161" t="str"/>
      <x:c r="W161" t="str"/>
      <x:c r="X161" t="n">
        <x:f>IF(W161="",0,LEN(W161)-LEN(SUBSTITUTE(W161,"/",""))+1)</x:f>
        <x:v>0</x:v>
      </x:c>
      <x:c r="Y161" t="str">
        <x:v>H</x:v>
      </x:c>
      <x:c r="Z161" s="32" t="n">
        <x:v>1.67</x:v>
      </x:c>
      <x:c r="AA161" s="32" t="n">
        <x:v>3</x:v>
      </x:c>
      <x:c r="AB161" s="32" t="str">
        <x:v>Blue Wool Scale / UV 150h</x:v>
      </x:c>
      <x:c r="AC161" t="str">
        <x:v>#AA5A33</x:v>
      </x:c>
      <x:c r="AD161" s="34" t="n">
        <x:v>170</x:v>
      </x:c>
      <x:c r="AE161" s="34" t="n">
        <x:v>90</x:v>
      </x:c>
      <x:c r="AF161" s="34" t="n">
        <x:v>51</x:v>
      </x:c>
      <x:c r="AG161" s="32" t="n">
        <x:v>19.66</x:v>
      </x:c>
      <x:c r="AH161" s="32" t="n">
        <x:v>53.85</x:v>
      </x:c>
      <x:c r="AI161" s="32" t="n">
        <x:v>43.33</x:v>
      </x:c>
      <x:c r="AJ161" s="32" t="n">
        <x:v>47.11</x:v>
      </x:c>
      <x:c r="AK161" s="32" t="n">
        <x:v>29.46</x:v>
      </x:c>
      <x:c r="AL161" s="32" t="n">
        <x:v>36.51</x:v>
      </x:c>
      <x:c r="AM161" s="32" t="str">
        <x:v>#FFFFFF</x:v>
      </x:c>
      <x:c r="AN161" s="32" t="str">
        <x:v>White</x:v>
      </x:c>
      <x:c r="AO161" s="32" t="n">
        <x:v>4.98</x:v>
      </x:c>
      <x:c r="AP161" s="32" t="n">
        <x:v>4.22</x:v>
      </x:c>
      <x:c r="AQ161" s="32" t="n">
        <x:v>4.98</x:v>
      </x:c>
      <x:c r="AR161" s="32" t="n">
        <x:v>0.160974</x:v>
      </x:c>
      <x:c r="AS161" t="str">
        <x:v>PASS</x:v>
      </x:c>
      <x:c r="AT161" t="str">
        <x:v>--cda-pab-055</x:v>
      </x:c>
      <x:c r="AU161" t="str">
        <x:v>var(--cda-pab-055)</x:v>
      </x:c>
      <x:c r="AV161" t="str">
        <x:v>Median RGB from official PDF swatch (screen reference only)</x:v>
      </x:c>
      <x:c r="AW161" t="str">
        <x:v>https://www.carandache.com/content_files/uploaded_doc/product/10469/Colour_Chart_Pablo.pdf</x:v>
      </x:c>
      <x:c r="AX161" t="n">
        <x:v>1</x:v>
      </x:c>
      <x:c r="AY161" t="str">
        <x:v>Official</x:v>
      </x:c>
      <x:c r="AZ161" t="str">
        <x:v>Official where available; curated Traditional Chinese/Japanese otherwise</x:v>
      </x:c>
      <x:c r="BA161" t="str">
        <x:v>Verified from official chart; digital HEX is approximate</x:v>
      </x:c>
      <x:c r="BB161" t="str">
        <x:v>Physical media appearance varies by paper, pressure, layering, water and scan/display profile.</x:v>
      </x:c>
    </x:row>
    <x:row r="162">
      <x:c r="A162" t="str">
        <x:f>G162&amp;"|"&amp;L162</x:f>
        <x:v>PAB|037</x:v>
      </x:c>
      <x:c r="B162" t="str">
        <x:v>cd697653-0ea3-5ad0-a750-c0ba54585d18</x:v>
      </x:c>
      <x:c r="C162" t="str">
        <x:v>CDA-PAB-037</x:v>
      </x:c>
      <x:c r="D162" t="str">
        <x:v>59b41d64-1bde-519b-97de-9680e20c652e</x:v>
      </x:c>
      <x:c r="E162" t="str">
        <x:v>CDA-CODE-037</x:v>
      </x:c>
      <x:c r="F162" t="str">
        <x:v>Caran d’Ache</x:v>
      </x:c>
      <x:c r="G162" t="str">
        <x:v>PAB</x:v>
      </x:c>
      <x:c r="H162" t="str">
        <x:v>PABLO</x:v>
      </x:c>
      <x:c r="I162" t="str">
        <x:v>Permanent coloured pencil</x:v>
      </x:c>
      <x:c r="J162" t="str">
        <x:v>Artist</x:v>
      </x:c>
      <x:c r="K162" s="30" t="n">
        <x:v>61</x:v>
      </x:c>
      <x:c r="L162" s="30" t="str">
        <x:v>037</x:v>
      </x:c>
      <x:c r="M162" t="str">
        <x:v>Brown ochre</x:v>
      </x:c>
      <x:c r="N162" t="str">
        <x:v>棕赭色</x:v>
      </x:c>
      <x:c r="O162" t="str">
        <x:v>ブラウンオーカー</x:v>
      </x:c>
      <x:c r="P162" t="str"/>
      <x:c r="Q162" t="str">
        <x:v>Ocre brun</x:v>
      </x:c>
      <x:c r="R162" t="str">
        <x:v>Braunocker</x:v>
      </x:c>
      <x:c r="S162" t="str">
        <x:v>Ocra bruna</x:v>
      </x:c>
      <x:c r="T162" t="str">
        <x:v>Ocre pardo</x:v>
      </x:c>
      <x:c r="U162" t="str"/>
      <x:c r="V162" t="str"/>
      <x:c r="W162" t="str"/>
      <x:c r="X162" t="n">
        <x:f>IF(W162="",0,LEN(W162)-LEN(SUBSTITUTE(W162,"/",""))+1)</x:f>
        <x:v>0</x:v>
      </x:c>
      <x:c r="Y162" t="str">
        <x:v>H</x:v>
      </x:c>
      <x:c r="Z162" s="32" t="n">
        <x:v>1.67</x:v>
      </x:c>
      <x:c r="AA162" s="32" t="n">
        <x:v>3</x:v>
      </x:c>
      <x:c r="AB162" s="32" t="str">
        <x:v>Blue Wool Scale / UV 150h</x:v>
      </x:c>
      <x:c r="AC162" t="str">
        <x:v>#AF7449</x:v>
      </x:c>
      <x:c r="AD162" s="34" t="n">
        <x:v>175</x:v>
      </x:c>
      <x:c r="AE162" s="34" t="n">
        <x:v>116</x:v>
      </x:c>
      <x:c r="AF162" s="34" t="n">
        <x:v>73</x:v>
      </x:c>
      <x:c r="AG162" s="32" t="n">
        <x:v>25.29</x:v>
      </x:c>
      <x:c r="AH162" s="32" t="n">
        <x:v>41.13</x:v>
      </x:c>
      <x:c r="AI162" s="32" t="n">
        <x:v>48.63</x:v>
      </x:c>
      <x:c r="AJ162" s="32" t="n">
        <x:v>54.12</x:v>
      </x:c>
      <x:c r="AK162" s="32" t="n">
        <x:v>18.67</x:v>
      </x:c>
      <x:c r="AL162" s="32" t="n">
        <x:v>33</x:v>
      </x:c>
      <x:c r="AM162" s="32" t="str">
        <x:v>#000000</x:v>
      </x:c>
      <x:c r="AN162" s="32" t="str">
        <x:v>Black</x:v>
      </x:c>
      <x:c r="AO162" s="32" t="n">
        <x:v>5.42</x:v>
      </x:c>
      <x:c r="AP162" s="32" t="n">
        <x:v>5.42</x:v>
      </x:c>
      <x:c r="AQ162" s="32" t="n">
        <x:v>3.88</x:v>
      </x:c>
      <x:c r="AR162" s="32" t="n">
        <x:v>0.220858</x:v>
      </x:c>
      <x:c r="AS162" t="str">
        <x:v>PASS</x:v>
      </x:c>
      <x:c r="AT162" t="str">
        <x:v>--cda-pab-037</x:v>
      </x:c>
      <x:c r="AU162" t="str">
        <x:v>var(--cda-pab-037)</x:v>
      </x:c>
      <x:c r="AV162" t="str">
        <x:v>Median RGB from official PDF swatch (screen reference only)</x:v>
      </x:c>
      <x:c r="AW162" t="str">
        <x:v>https://www.carandache.com/content_files/uploaded_doc/product/10469/Colour_Chart_Pablo.pdf</x:v>
      </x:c>
      <x:c r="AX162" t="n">
        <x:v>1</x:v>
      </x:c>
      <x:c r="AY162" t="str">
        <x:v>Official</x:v>
      </x:c>
      <x:c r="AZ162" t="str">
        <x:v>Official where available; curated Traditional Chinese/Japanese otherwise</x:v>
      </x:c>
      <x:c r="BA162" t="str">
        <x:v>Verified from official chart; digital HEX is approximate</x:v>
      </x:c>
      <x:c r="BB162" t="str">
        <x:v>Physical media appearance varies by paper, pressure, layering, water and scan/display profile.</x:v>
      </x:c>
    </x:row>
    <x:row r="163">
      <x:c r="A163" t="str">
        <x:f>G163&amp;"|"&amp;L163</x:f>
        <x:v>PAB|035</x:v>
      </x:c>
      <x:c r="B163" t="str">
        <x:v>3bf3adf6-7987-5986-a7f1-dbe74020a95a</x:v>
      </x:c>
      <x:c r="C163" t="str">
        <x:v>CDA-PAB-035</x:v>
      </x:c>
      <x:c r="D163" t="str">
        <x:v>e6cc537a-bb6e-50c6-99e9-ab46db58910a</x:v>
      </x:c>
      <x:c r="E163" t="str">
        <x:v>CDA-CODE-035</x:v>
      </x:c>
      <x:c r="F163" t="str">
        <x:v>Caran d’Ache</x:v>
      </x:c>
      <x:c r="G163" t="str">
        <x:v>PAB</x:v>
      </x:c>
      <x:c r="H163" t="str">
        <x:v>PABLO</x:v>
      </x:c>
      <x:c r="I163" t="str">
        <x:v>Permanent coloured pencil</x:v>
      </x:c>
      <x:c r="J163" t="str">
        <x:v>Artist</x:v>
      </x:c>
      <x:c r="K163" s="30" t="n">
        <x:v>62</x:v>
      </x:c>
      <x:c r="L163" s="30" t="str">
        <x:v>035</x:v>
      </x:c>
      <x:c r="M163" t="str">
        <x:v>Ochre</x:v>
      </x:c>
      <x:c r="N163" t="str">
        <x:v>赭色</x:v>
      </x:c>
      <x:c r="O163" t="str">
        <x:v>オーカー</x:v>
      </x:c>
      <x:c r="P163" t="str"/>
      <x:c r="Q163" t="str">
        <x:v>Ocre</x:v>
      </x:c>
      <x:c r="R163" t="str">
        <x:v>Ocker</x:v>
      </x:c>
      <x:c r="S163" t="str">
        <x:v>Ocra</x:v>
      </x:c>
      <x:c r="T163" t="str">
        <x:v>Ocre</x:v>
      </x:c>
      <x:c r="U163" t="str"/>
      <x:c r="V163" t="str"/>
      <x:c r="W163" t="str"/>
      <x:c r="X163" t="n">
        <x:f>IF(W163="",0,LEN(W163)-LEN(SUBSTITUTE(W163,"/",""))+1)</x:f>
        <x:v>0</x:v>
      </x:c>
      <x:c r="Y163" t="str">
        <x:v>H</x:v>
      </x:c>
      <x:c r="Z163" s="32" t="n">
        <x:v>1.67</x:v>
      </x:c>
      <x:c r="AA163" s="32" t="n">
        <x:v>3</x:v>
      </x:c>
      <x:c r="AB163" s="32" t="str">
        <x:v>Blue Wool Scale / UV 150h</x:v>
      </x:c>
      <x:c r="AC163" t="str">
        <x:v>#E09B51</x:v>
      </x:c>
      <x:c r="AD163" s="34" t="n">
        <x:v>224</x:v>
      </x:c>
      <x:c r="AE163" s="34" t="n">
        <x:v>155</x:v>
      </x:c>
      <x:c r="AF163" s="34" t="n">
        <x:v>81</x:v>
      </x:c>
      <x:c r="AG163" s="32" t="n">
        <x:v>31.05</x:v>
      </x:c>
      <x:c r="AH163" s="32" t="n">
        <x:v>69.76</x:v>
      </x:c>
      <x:c r="AI163" s="32" t="n">
        <x:v>59.8</x:v>
      </x:c>
      <x:c r="AJ163" s="32" t="n">
        <x:v>69.39</x:v>
      </x:c>
      <x:c r="AK163" s="32" t="n">
        <x:v>18.58</x:v>
      </x:c>
      <x:c r="AL163" s="32" t="n">
        <x:v>48.32</x:v>
      </x:c>
      <x:c r="AM163" s="32" t="str">
        <x:v>#000000</x:v>
      </x:c>
      <x:c r="AN163" s="32" t="str">
        <x:v>Black</x:v>
      </x:c>
      <x:c r="AO163" s="32" t="n">
        <x:v>8.98</x:v>
      </x:c>
      <x:c r="AP163" s="32" t="n">
        <x:v>8.98</x:v>
      </x:c>
      <x:c r="AQ163" s="32" t="n">
        <x:v>2.34</x:v>
      </x:c>
      <x:c r="AR163" s="32" t="n">
        <x:v>0.398841</x:v>
      </x:c>
      <x:c r="AS163" t="str">
        <x:v>PASS</x:v>
      </x:c>
      <x:c r="AT163" t="str">
        <x:v>--cda-pab-035</x:v>
      </x:c>
      <x:c r="AU163" t="str">
        <x:v>var(--cda-pab-035)</x:v>
      </x:c>
      <x:c r="AV163" t="str">
        <x:v>Median RGB from official PDF swatch (screen reference only)</x:v>
      </x:c>
      <x:c r="AW163" t="str">
        <x:v>https://www.carandache.com/content_files/uploaded_doc/product/10469/Colour_Chart_Pablo.pdf</x:v>
      </x:c>
      <x:c r="AX163" t="n">
        <x:v>1</x:v>
      </x:c>
      <x:c r="AY163" t="str">
        <x:v>Official</x:v>
      </x:c>
      <x:c r="AZ163" t="str">
        <x:v>Official where available; curated Traditional Chinese/Japanese otherwise</x:v>
      </x:c>
      <x:c r="BA163" t="str">
        <x:v>Verified from official chart; digital HEX is approximate</x:v>
      </x:c>
      <x:c r="BB163" t="str">
        <x:v>Physical media appearance varies by paper, pressure, layering, water and scan/display profile.</x:v>
      </x:c>
    </x:row>
    <x:row r="164">
      <x:c r="A164" t="str">
        <x:f>G164&amp;"|"&amp;L164</x:f>
        <x:v>PAB|033</x:v>
      </x:c>
      <x:c r="B164" t="str">
        <x:v>c629c19d-1295-55e9-be71-5fbadb23f044</x:v>
      </x:c>
      <x:c r="C164" t="str">
        <x:v>CDA-PAB-033</x:v>
      </x:c>
      <x:c r="D164" t="str">
        <x:v>167a875a-a8c7-5497-a065-fd7076f6139c</x:v>
      </x:c>
      <x:c r="E164" t="str">
        <x:v>CDA-CODE-033</x:v>
      </x:c>
      <x:c r="F164" t="str">
        <x:v>Caran d’Ache</x:v>
      </x:c>
      <x:c r="G164" t="str">
        <x:v>PAB</x:v>
      </x:c>
      <x:c r="H164" t="str">
        <x:v>PABLO</x:v>
      </x:c>
      <x:c r="I164" t="str">
        <x:v>Permanent coloured pencil</x:v>
      </x:c>
      <x:c r="J164" t="str">
        <x:v>Artist</x:v>
      </x:c>
      <x:c r="K164" s="30" t="n">
        <x:v>63</x:v>
      </x:c>
      <x:c r="L164" s="30" t="str">
        <x:v>033</x:v>
      </x:c>
      <x:c r="M164" t="str">
        <x:v>Golden ochre</x:v>
      </x:c>
      <x:c r="N164" t="str">
        <x:v>金赭色</x:v>
      </x:c>
      <x:c r="O164" t="str">
        <x:v>ゴールデンオーカー</x:v>
      </x:c>
      <x:c r="P164" t="str"/>
      <x:c r="Q164" t="str">
        <x:v>Ocre d’or</x:v>
      </x:c>
      <x:c r="R164" t="str">
        <x:v>Goldocker</x:v>
      </x:c>
      <x:c r="S164" t="str">
        <x:v>Ocra d’oro</x:v>
      </x:c>
      <x:c r="T164" t="str">
        <x:v>Ocre oro</x:v>
      </x:c>
      <x:c r="U164" t="str"/>
      <x:c r="V164" t="str"/>
      <x:c r="W164" t="str"/>
      <x:c r="X164" t="n">
        <x:f>IF(W164="",0,LEN(W164)-LEN(SUBSTITUTE(W164,"/",""))+1)</x:f>
        <x:v>0</x:v>
      </x:c>
      <x:c r="Y164" t="str">
        <x:v>H</x:v>
      </x:c>
      <x:c r="Z164" s="32" t="n">
        <x:v>1.67</x:v>
      </x:c>
      <x:c r="AA164" s="32" t="n">
        <x:v>3</x:v>
      </x:c>
      <x:c r="AB164" s="32" t="str">
        <x:v>Blue Wool Scale / UV 150h</x:v>
      </x:c>
      <x:c r="AC164" t="str">
        <x:v>#F2B350</x:v>
      </x:c>
      <x:c r="AD164" s="34" t="n">
        <x:v>242</x:v>
      </x:c>
      <x:c r="AE164" s="34" t="n">
        <x:v>179</x:v>
      </x:c>
      <x:c r="AF164" s="34" t="n">
        <x:v>80</x:v>
      </x:c>
      <x:c r="AG164" s="32" t="n">
        <x:v>36.67</x:v>
      </x:c>
      <x:c r="AH164" s="32" t="n">
        <x:v>86.17</x:v>
      </x:c>
      <x:c r="AI164" s="32" t="n">
        <x:v>63.14</x:v>
      </x:c>
      <x:c r="AJ164" s="32" t="n">
        <x:v>77.1</x:v>
      </x:c>
      <x:c r="AK164" s="32" t="n">
        <x:v>13.3</x:v>
      </x:c>
      <x:c r="AL164" s="32" t="n">
        <x:v>57.89</x:v>
      </x:c>
      <x:c r="AM164" s="32" t="str">
        <x:v>#000000</x:v>
      </x:c>
      <x:c r="AN164" s="32" t="str">
        <x:v>Black</x:v>
      </x:c>
      <x:c r="AO164" s="32" t="n">
        <x:v>11.34</x:v>
      </x:c>
      <x:c r="AP164" s="32" t="n">
        <x:v>11.34</x:v>
      </x:c>
      <x:c r="AQ164" s="32" t="n">
        <x:v>1.85</x:v>
      </x:c>
      <x:c r="AR164" s="32" t="n">
        <x:v>0.516966</x:v>
      </x:c>
      <x:c r="AS164" t="str">
        <x:v>PASS</x:v>
      </x:c>
      <x:c r="AT164" t="str">
        <x:v>--cda-pab-033</x:v>
      </x:c>
      <x:c r="AU164" t="str">
        <x:v>var(--cda-pab-033)</x:v>
      </x:c>
      <x:c r="AV164" t="str">
        <x:v>Median RGB from official PDF swatch (screen reference only)</x:v>
      </x:c>
      <x:c r="AW164" t="str">
        <x:v>https://www.carandache.com/content_files/uploaded_doc/product/10469/Colour_Chart_Pablo.pdf</x:v>
      </x:c>
      <x:c r="AX164" t="n">
        <x:v>1</x:v>
      </x:c>
      <x:c r="AY164" t="str">
        <x:v>Official</x:v>
      </x:c>
      <x:c r="AZ164" t="str">
        <x:v>Official where available; curated Traditional Chinese/Japanese otherwise</x:v>
      </x:c>
      <x:c r="BA164" t="str">
        <x:v>Verified from official chart; digital HEX is approximate</x:v>
      </x:c>
      <x:c r="BB164" t="str">
        <x:v>Physical media appearance varies by paper, pressure, layering, water and scan/display profile.</x:v>
      </x:c>
    </x:row>
    <x:row r="165">
      <x:c r="A165" t="str">
        <x:f>G165&amp;"|"&amp;L165</x:f>
        <x:v>PAB|032</x:v>
      </x:c>
      <x:c r="B165" t="str">
        <x:v>2709f158-52c3-5721-ab64-0660f6fe4c38</x:v>
      </x:c>
      <x:c r="C165" t="str">
        <x:v>CDA-PAB-032</x:v>
      </x:c>
      <x:c r="D165" t="str">
        <x:v>cf31a5ec-c7d9-568a-8f36-596b3b0b552c</x:v>
      </x:c>
      <x:c r="E165" t="str">
        <x:v>CDA-CODE-032</x:v>
      </x:c>
      <x:c r="F165" t="str">
        <x:v>Caran d’Ache</x:v>
      </x:c>
      <x:c r="G165" t="str">
        <x:v>PAB</x:v>
      </x:c>
      <x:c r="H165" t="str">
        <x:v>PABLO</x:v>
      </x:c>
      <x:c r="I165" t="str">
        <x:v>Permanent coloured pencil</x:v>
      </x:c>
      <x:c r="J165" t="str">
        <x:v>Artist</x:v>
      </x:c>
      <x:c r="K165" s="30" t="n">
        <x:v>64</x:v>
      </x:c>
      <x:c r="L165" s="30" t="str">
        <x:v>032</x:v>
      </x:c>
      <x:c r="M165" t="str">
        <x:v>Light ochre</x:v>
      </x:c>
      <x:c r="N165" t="str">
        <x:v>淺赭色</x:v>
      </x:c>
      <x:c r="O165" t="str">
        <x:v>ライトオーカー</x:v>
      </x:c>
      <x:c r="P165" t="str"/>
      <x:c r="Q165" t="str">
        <x:v>Ocre lumière</x:v>
      </x:c>
      <x:c r="R165" t="str">
        <x:v>Lichtocker</x:v>
      </x:c>
      <x:c r="S165" t="str">
        <x:v>Ocra chiaro</x:v>
      </x:c>
      <x:c r="T165" t="str">
        <x:v>Ocre luminoso</x:v>
      </x:c>
      <x:c r="U165" t="str"/>
      <x:c r="V165" t="str"/>
      <x:c r="W165" t="str"/>
      <x:c r="X165" t="n">
        <x:f>IF(W165="",0,LEN(W165)-LEN(SUBSTITUTE(W165,"/",""))+1)</x:f>
        <x:v>0</x:v>
      </x:c>
      <x:c r="Y165" t="str">
        <x:v>H</x:v>
      </x:c>
      <x:c r="Z165" s="32" t="n">
        <x:v>1.67</x:v>
      </x:c>
      <x:c r="AA165" s="32" t="n">
        <x:v>3</x:v>
      </x:c>
      <x:c r="AB165" s="32" t="str">
        <x:v>Blue Wool Scale / UV 150h</x:v>
      </x:c>
      <x:c r="AC165" t="str">
        <x:v>#F3B666</x:v>
      </x:c>
      <x:c r="AD165" s="34" t="n">
        <x:v>243</x:v>
      </x:c>
      <x:c r="AE165" s="34" t="n">
        <x:v>182</x:v>
      </x:c>
      <x:c r="AF165" s="34" t="n">
        <x:v>102</x:v>
      </x:c>
      <x:c r="AG165" s="32" t="n">
        <x:v>34.04</x:v>
      </x:c>
      <x:c r="AH165" s="32" t="n">
        <x:v>85.45</x:v>
      </x:c>
      <x:c r="AI165" s="32" t="n">
        <x:v>67.65</x:v>
      </x:c>
      <x:c r="AJ165" s="32" t="n">
        <x:v>78.15</x:v>
      </x:c>
      <x:c r="AK165" s="32" t="n">
        <x:v>13.56</x:v>
      </x:c>
      <x:c r="AL165" s="32" t="n">
        <x:v>48.77</x:v>
      </x:c>
      <x:c r="AM165" s="32" t="str">
        <x:v>#000000</x:v>
      </x:c>
      <x:c r="AN165" s="32" t="str">
        <x:v>Black</x:v>
      </x:c>
      <x:c r="AO165" s="32" t="n">
        <x:v>11.69</x:v>
      </x:c>
      <x:c r="AP165" s="32" t="n">
        <x:v>11.69</x:v>
      </x:c>
      <x:c r="AQ165" s="32" t="n">
        <x:v>1.8</x:v>
      </x:c>
      <x:c r="AR165" s="32" t="n">
        <x:v>0.534699</x:v>
      </x:c>
      <x:c r="AS165" t="str">
        <x:v>PASS</x:v>
      </x:c>
      <x:c r="AT165" t="str">
        <x:v>--cda-pab-032</x:v>
      </x:c>
      <x:c r="AU165" t="str">
        <x:v>var(--cda-pab-032)</x:v>
      </x:c>
      <x:c r="AV165" t="str">
        <x:v>Median RGB from official PDF swatch (screen reference only)</x:v>
      </x:c>
      <x:c r="AW165" t="str">
        <x:v>https://www.carandache.com/content_files/uploaded_doc/product/10469/Colour_Chart_Pablo.pdf</x:v>
      </x:c>
      <x:c r="AX165" t="n">
        <x:v>1</x:v>
      </x:c>
      <x:c r="AY165" t="str">
        <x:v>Official</x:v>
      </x:c>
      <x:c r="AZ165" t="str">
        <x:v>Official where available; curated Traditional Chinese/Japanese otherwise</x:v>
      </x:c>
      <x:c r="BA165" t="str">
        <x:v>Verified from official chart; digital HEX is approximate</x:v>
      </x:c>
      <x:c r="BB165" t="str">
        <x:v>Physical media appearance varies by paper, pressure, layering, water and scan/display profile.</x:v>
      </x:c>
    </x:row>
    <x:row r="166">
      <x:c r="A166" t="str">
        <x:f>G166&amp;"|"&amp;L166</x:f>
        <x:v>PAB|031</x:v>
      </x:c>
      <x:c r="B166" t="str">
        <x:v>de4bbd19-63d0-58fa-b11f-41841cb06bb0</x:v>
      </x:c>
      <x:c r="C166" t="str">
        <x:v>CDA-PAB-031</x:v>
      </x:c>
      <x:c r="D166" t="str">
        <x:v>f7a139ed-9b9b-504e-8c44-0aed7906baf0</x:v>
      </x:c>
      <x:c r="E166" t="str">
        <x:v>CDA-CODE-031</x:v>
      </x:c>
      <x:c r="F166" t="str">
        <x:v>Caran d’Ache</x:v>
      </x:c>
      <x:c r="G166" t="str">
        <x:v>PAB</x:v>
      </x:c>
      <x:c r="H166" t="str">
        <x:v>PABLO</x:v>
      </x:c>
      <x:c r="I166" t="str">
        <x:v>Permanent coloured pencil</x:v>
      </x:c>
      <x:c r="J166" t="str">
        <x:v>Artist</x:v>
      </x:c>
      <x:c r="K166" s="30" t="n">
        <x:v>65</x:v>
      </x:c>
      <x:c r="L166" s="30" t="str">
        <x:v>031</x:v>
      </x:c>
      <x:c r="M166" t="str">
        <x:v>Orangish yellow</x:v>
      </x:c>
      <x:c r="N166" t="str">
        <x:v>橙黃色</x:v>
      </x:c>
      <x:c r="O166" t="str">
        <x:v>オレンジイエロー</x:v>
      </x:c>
      <x:c r="P166" t="str"/>
      <x:c r="Q166" t="str">
        <x:v>Jaune paille</x:v>
      </x:c>
      <x:c r="R166" t="str">
        <x:v>Hellorange</x:v>
      </x:c>
      <x:c r="S166" t="str">
        <x:v>Giallo paglia</x:v>
      </x:c>
      <x:c r="T166" t="str">
        <x:v>Amarillo paja</x:v>
      </x:c>
      <x:c r="U166" t="str"/>
      <x:c r="V166" t="str"/>
      <x:c r="W166" t="str"/>
      <x:c r="X166" t="n">
        <x:f>IF(W166="",0,LEN(W166)-LEN(SUBSTITUTE(W166,"/",""))+1)</x:f>
        <x:v>0</x:v>
      </x:c>
      <x:c r="Y166" t="str">
        <x:v>H</x:v>
      </x:c>
      <x:c r="Z166" s="32" t="n">
        <x:v>1.67</x:v>
      </x:c>
      <x:c r="AA166" s="32" t="n">
        <x:v>3</x:v>
      </x:c>
      <x:c r="AB166" s="32" t="str">
        <x:v>Blue Wool Scale / UV 150h</x:v>
      </x:c>
      <x:c r="AC166" t="str">
        <x:v>#FEC35E</x:v>
      </x:c>
      <x:c r="AD166" s="34" t="n">
        <x:v>254</x:v>
      </x:c>
      <x:c r="AE166" s="34" t="n">
        <x:v>195</x:v>
      </x:c>
      <x:c r="AF166" s="34" t="n">
        <x:v>94</x:v>
      </x:c>
      <x:c r="AG166" s="32" t="n">
        <x:v>37.87</x:v>
      </x:c>
      <x:c r="AH166" s="32" t="n">
        <x:v>98.77</x:v>
      </x:c>
      <x:c r="AI166" s="32" t="n">
        <x:v>68.24</x:v>
      </x:c>
      <x:c r="AJ166" s="32" t="n">
        <x:v>82.33</x:v>
      </x:c>
      <x:c r="AK166" s="32" t="n">
        <x:v>10.74</x:v>
      </x:c>
      <x:c r="AL166" s="32" t="n">
        <x:v>57.66</x:v>
      </x:c>
      <x:c r="AM166" s="32" t="str">
        <x:v>#000000</x:v>
      </x:c>
      <x:c r="AN166" s="32" t="str">
        <x:v>Black</x:v>
      </x:c>
      <x:c r="AO166" s="32" t="n">
        <x:v>13.18</x:v>
      </x:c>
      <x:c r="AP166" s="32" t="n">
        <x:v>13.18</x:v>
      </x:c>
      <x:c r="AQ166" s="32" t="n">
        <x:v>1.59</x:v>
      </x:c>
      <x:c r="AR166" s="32" t="n">
        <x:v>0.609092</x:v>
      </x:c>
      <x:c r="AS166" t="str">
        <x:v>PASS</x:v>
      </x:c>
      <x:c r="AT166" t="str">
        <x:v>--cda-pab-031</x:v>
      </x:c>
      <x:c r="AU166" t="str">
        <x:v>var(--cda-pab-031)</x:v>
      </x:c>
      <x:c r="AV166" t="str">
        <x:v>Median RGB from official PDF swatch (screen reference only)</x:v>
      </x:c>
      <x:c r="AW166" t="str">
        <x:v>https://www.carandache.com/content_files/uploaded_doc/product/10469/Colour_Chart_Pablo.pdf</x:v>
      </x:c>
      <x:c r="AX166" t="n">
        <x:v>1</x:v>
      </x:c>
      <x:c r="AY166" t="str">
        <x:v>Official</x:v>
      </x:c>
      <x:c r="AZ166" t="str">
        <x:v>Official where available; curated Traditional Chinese/Japanese otherwise</x:v>
      </x:c>
      <x:c r="BA166" t="str">
        <x:v>Verified from official chart; digital HEX is approximate</x:v>
      </x:c>
      <x:c r="BB166" t="str">
        <x:v>Physical media appearance varies by paper, pressure, layering, water and scan/display profile.</x:v>
      </x:c>
    </x:row>
    <x:row r="167">
      <x:c r="A167" t="str">
        <x:f>G167&amp;"|"&amp;L167</x:f>
        <x:v>PAB|491</x:v>
      </x:c>
      <x:c r="B167" t="str">
        <x:v>70e11563-b8ac-5515-8f4a-4a4b76ff28d1</x:v>
      </x:c>
      <x:c r="C167" t="str">
        <x:v>CDA-PAB-491</x:v>
      </x:c>
      <x:c r="D167" t="str">
        <x:v>2677a322-c649-5014-8cdd-4123960858a3</x:v>
      </x:c>
      <x:c r="E167" t="str">
        <x:v>CDA-CODE-491</x:v>
      </x:c>
      <x:c r="F167" t="str">
        <x:v>Caran d’Ache</x:v>
      </x:c>
      <x:c r="G167" t="str">
        <x:v>PAB</x:v>
      </x:c>
      <x:c r="H167" t="str">
        <x:v>PABLO</x:v>
      </x:c>
      <x:c r="I167" t="str">
        <x:v>Permanent coloured pencil</x:v>
      </x:c>
      <x:c r="J167" t="str">
        <x:v>Artist</x:v>
      </x:c>
      <x:c r="K167" s="30" t="n">
        <x:v>66</x:v>
      </x:c>
      <x:c r="L167" s="30" t="str">
        <x:v>491</x:v>
      </x:c>
      <x:c r="M167" t="str">
        <x:v>Cream</x:v>
      </x:c>
      <x:c r="N167" t="str">
        <x:v>奶油色</x:v>
      </x:c>
      <x:c r="O167" t="str">
        <x:v>クリーム</x:v>
      </x:c>
      <x:c r="P167" t="str"/>
      <x:c r="Q167" t="str">
        <x:v>Crème</x:v>
      </x:c>
      <x:c r="R167" t="str">
        <x:v>Creme</x:v>
      </x:c>
      <x:c r="S167" t="str">
        <x:v>Crema</x:v>
      </x:c>
      <x:c r="T167" t="str">
        <x:v>Crema</x:v>
      </x:c>
      <x:c r="U167" t="str"/>
      <x:c r="V167" t="str"/>
      <x:c r="W167" t="str"/>
      <x:c r="X167" t="n">
        <x:f>IF(W167="",0,LEN(W167)-LEN(SUBSTITUTE(W167,"/",""))+1)</x:f>
        <x:v>0</x:v>
      </x:c>
      <x:c r="Y167" t="str">
        <x:v>H</x:v>
      </x:c>
      <x:c r="Z167" s="32" t="n">
        <x:v>1.67</x:v>
      </x:c>
      <x:c r="AA167" s="32" t="n">
        <x:v>3</x:v>
      </x:c>
      <x:c r="AB167" s="32" t="str">
        <x:v>Blue Wool Scale / UV 150h</x:v>
      </x:c>
      <x:c r="AC167" t="str">
        <x:v>#FEEDD2</x:v>
      </x:c>
      <x:c r="AD167" s="34" t="n">
        <x:v>254</x:v>
      </x:c>
      <x:c r="AE167" s="34" t="n">
        <x:v>237</x:v>
      </x:c>
      <x:c r="AF167" s="34" t="n">
        <x:v>210</x:v>
      </x:c>
      <x:c r="AG167" s="32" t="n">
        <x:v>36.82</x:v>
      </x:c>
      <x:c r="AH167" s="32" t="n">
        <x:v>95.65</x:v>
      </x:c>
      <x:c r="AI167" s="32" t="n">
        <x:v>90.98</x:v>
      </x:c>
      <x:c r="AJ167" s="32" t="n">
        <x:v>94.44</x:v>
      </x:c>
      <x:c r="AK167" s="32" t="n">
        <x:v>1.48</x:v>
      </x:c>
      <x:c r="AL167" s="32" t="n">
        <x:v>15.16</x:v>
      </x:c>
      <x:c r="AM167" s="32" t="str">
        <x:v>#000000</x:v>
      </x:c>
      <x:c r="AN167" s="32" t="str">
        <x:v>Black</x:v>
      </x:c>
      <x:c r="AO167" s="32" t="n">
        <x:v>18.26</x:v>
      </x:c>
      <x:c r="AP167" s="32" t="n">
        <x:v>18.26</x:v>
      </x:c>
      <x:c r="AQ167" s="32" t="n">
        <x:v>1.15</x:v>
      </x:c>
      <x:c r="AR167" s="32" t="n">
        <x:v>0.862923</x:v>
      </x:c>
      <x:c r="AS167" t="str">
        <x:v>PASS</x:v>
      </x:c>
      <x:c r="AT167" t="str">
        <x:v>--cda-pab-491</x:v>
      </x:c>
      <x:c r="AU167" t="str">
        <x:v>var(--cda-pab-491)</x:v>
      </x:c>
      <x:c r="AV167" t="str">
        <x:v>Median RGB from official PDF swatch (screen reference only)</x:v>
      </x:c>
      <x:c r="AW167" t="str">
        <x:v>https://www.carandache.com/content_files/uploaded_doc/product/10469/Colour_Chart_Pablo.pdf</x:v>
      </x:c>
      <x:c r="AX167" t="n">
        <x:v>1</x:v>
      </x:c>
      <x:c r="AY167" t="str">
        <x:v>Official</x:v>
      </x:c>
      <x:c r="AZ167" t="str">
        <x:v>Official where available; curated Traditional Chinese/Japanese otherwise</x:v>
      </x:c>
      <x:c r="BA167" t="str">
        <x:v>Verified from official chart; digital HEX is approximate</x:v>
      </x:c>
      <x:c r="BB167" t="str">
        <x:v>Physical media appearance varies by paper, pressure, layering, water and scan/display profile.</x:v>
      </x:c>
    </x:row>
    <x:row r="168">
      <x:c r="A168" t="str">
        <x:f>G168&amp;"|"&amp;L168</x:f>
        <x:v>PAB|371</x:v>
      </x:c>
      <x:c r="B168" t="str">
        <x:v>f941b145-58a9-526d-a8a7-894bf2b6047c</x:v>
      </x:c>
      <x:c r="C168" t="str">
        <x:v>CDA-PAB-371</x:v>
      </x:c>
      <x:c r="D168" t="str">
        <x:v>bed30998-0793-53b4-9881-02cd79e5aff0</x:v>
      </x:c>
      <x:c r="E168" t="str">
        <x:v>CDA-CODE-371</x:v>
      </x:c>
      <x:c r="F168" t="str">
        <x:v>Caran d’Ache</x:v>
      </x:c>
      <x:c r="G168" t="str">
        <x:v>PAB</x:v>
      </x:c>
      <x:c r="H168" t="str">
        <x:v>PABLO</x:v>
      </x:c>
      <x:c r="I168" t="str">
        <x:v>Permanent coloured pencil</x:v>
      </x:c>
      <x:c r="J168" t="str">
        <x:v>Artist</x:v>
      </x:c>
      <x:c r="K168" s="30" t="n">
        <x:v>67</x:v>
      </x:c>
      <x:c r="L168" s="30" t="str">
        <x:v>371</x:v>
      </x:c>
      <x:c r="M168" t="str">
        <x:v>Bluish pale</x:v>
      </x:c>
      <x:c r="N168" t="str">
        <x:v>淡藍色</x:v>
      </x:c>
      <x:c r="O168" t="str">
        <x:v>ペールブルー</x:v>
      </x:c>
      <x:c r="P168" t="str"/>
      <x:c r="Q168" t="str">
        <x:v>Bleu pâle</x:v>
      </x:c>
      <x:c r="R168" t="str">
        <x:v>Blassblau</x:v>
      </x:c>
      <x:c r="S168" t="str">
        <x:v>Blu palido</x:v>
      </x:c>
      <x:c r="T168" t="str">
        <x:v>Azul pálido</x:v>
      </x:c>
      <x:c r="U168" t="str"/>
      <x:c r="V168" t="str"/>
      <x:c r="W168" t="str"/>
      <x:c r="X168" t="n">
        <x:f>IF(W168="",0,LEN(W168)-LEN(SUBSTITUTE(W168,"/",""))+1)</x:f>
        <x:v>0</x:v>
      </x:c>
      <x:c r="Y168" t="str">
        <x:v>H</x:v>
      </x:c>
      <x:c r="Z168" s="32" t="n">
        <x:v>1.67</x:v>
      </x:c>
      <x:c r="AA168" s="32" t="n">
        <x:v>3</x:v>
      </x:c>
      <x:c r="AB168" s="32" t="str">
        <x:v>Blue Wool Scale / UV 150h</x:v>
      </x:c>
      <x:c r="AC168" t="str">
        <x:v>#BCDCE1</x:v>
      </x:c>
      <x:c r="AD168" s="34" t="n">
        <x:v>188</x:v>
      </x:c>
      <x:c r="AE168" s="34" t="n">
        <x:v>220</x:v>
      </x:c>
      <x:c r="AF168" s="34" t="n">
        <x:v>225</x:v>
      </x:c>
      <x:c r="AG168" s="32" t="n">
        <x:v>188.11</x:v>
      </x:c>
      <x:c r="AH168" s="32" t="n">
        <x:v>38.14</x:v>
      </x:c>
      <x:c r="AI168" s="32" t="n">
        <x:v>80.98</x:v>
      </x:c>
      <x:c r="AJ168" s="32" t="n">
        <x:v>85.66</x:v>
      </x:c>
      <x:c r="AK168" s="32" t="n">
        <x:v>-9.47</x:v>
      </x:c>
      <x:c r="AL168" s="32" t="n">
        <x:v>-5.98</x:v>
      </x:c>
      <x:c r="AM168" s="32" t="str">
        <x:v>#000000</x:v>
      </x:c>
      <x:c r="AN168" s="32" t="str">
        <x:v>Black</x:v>
      </x:c>
      <x:c r="AO168" s="32" t="n">
        <x:v>14.46</x:v>
      </x:c>
      <x:c r="AP168" s="32" t="n">
        <x:v>14.46</x:v>
      </x:c>
      <x:c r="AQ168" s="32" t="n">
        <x:v>1.45</x:v>
      </x:c>
      <x:c r="AR168" s="32" t="n">
        <x:v>0.67314</x:v>
      </x:c>
      <x:c r="AS168" t="str">
        <x:v>PASS</x:v>
      </x:c>
      <x:c r="AT168" t="str">
        <x:v>--cda-pab-371</x:v>
      </x:c>
      <x:c r="AU168" t="str">
        <x:v>var(--cda-pab-371)</x:v>
      </x:c>
      <x:c r="AV168" t="str">
        <x:v>Median RGB from official PDF swatch (screen reference only)</x:v>
      </x:c>
      <x:c r="AW168" t="str">
        <x:v>https://www.carandache.com/content_files/uploaded_doc/product/10469/Colour_Chart_Pablo.pdf</x:v>
      </x:c>
      <x:c r="AX168" t="n">
        <x:v>1</x:v>
      </x:c>
      <x:c r="AY168" t="str">
        <x:v>Official</x:v>
      </x:c>
      <x:c r="AZ168" t="str">
        <x:v>Official where available; curated Traditional Chinese/Japanese otherwise</x:v>
      </x:c>
      <x:c r="BA168" t="str">
        <x:v>Verified from official chart; digital HEX is approximate</x:v>
      </x:c>
      <x:c r="BB168" t="str">
        <x:v>Physical media appearance varies by paper, pressure, layering, water and scan/display profile.</x:v>
      </x:c>
    </x:row>
    <x:row r="169">
      <x:c r="A169" t="str">
        <x:f>G169&amp;"|"&amp;L169</x:f>
        <x:v>PAB|002</x:v>
      </x:c>
      <x:c r="B169" t="str">
        <x:v>534a6d6c-16a6-5c74-b815-73eedbcb3eaa</x:v>
      </x:c>
      <x:c r="C169" t="str">
        <x:v>CDA-PAB-002</x:v>
      </x:c>
      <x:c r="D169" t="str">
        <x:v>5bb6a1fa-d374-5bae-b129-520775dd165f</x:v>
      </x:c>
      <x:c r="E169" t="str">
        <x:v>CDA-CODE-002</x:v>
      </x:c>
      <x:c r="F169" t="str">
        <x:v>Caran d’Ache</x:v>
      </x:c>
      <x:c r="G169" t="str">
        <x:v>PAB</x:v>
      </x:c>
      <x:c r="H169" t="str">
        <x:v>PABLO</x:v>
      </x:c>
      <x:c r="I169" t="str">
        <x:v>Permanent coloured pencil</x:v>
      </x:c>
      <x:c r="J169" t="str">
        <x:v>Artist</x:v>
      </x:c>
      <x:c r="K169" s="30" t="n">
        <x:v>68</x:v>
      </x:c>
      <x:c r="L169" s="30" t="str">
        <x:v>002</x:v>
      </x:c>
      <x:c r="M169" t="str">
        <x:v>Silver grey</x:v>
      </x:c>
      <x:c r="N169" t="str">
        <x:v>銀灰色</x:v>
      </x:c>
      <x:c r="O169" t="str">
        <x:v>シルバーグレー</x:v>
      </x:c>
      <x:c r="P169" t="str"/>
      <x:c r="Q169" t="str">
        <x:v>Gris argenté</x:v>
      </x:c>
      <x:c r="R169" t="str">
        <x:v>Silbergrau</x:v>
      </x:c>
      <x:c r="S169" t="str">
        <x:v>Grigio argento</x:v>
      </x:c>
      <x:c r="T169" t="str">
        <x:v>Gris plateado</x:v>
      </x:c>
      <x:c r="U169" t="str"/>
      <x:c r="V169" t="str"/>
      <x:c r="W169" t="str"/>
      <x:c r="X169" t="n">
        <x:f>IF(W169="",0,LEN(W169)-LEN(SUBSTITUTE(W169,"/",""))+1)</x:f>
        <x:v>0</x:v>
      </x:c>
      <x:c r="Y169" t="str">
        <x:v>H</x:v>
      </x:c>
      <x:c r="Z169" s="32" t="n">
        <x:v>1.67</x:v>
      </x:c>
      <x:c r="AA169" s="32" t="n">
        <x:v>3</x:v>
      </x:c>
      <x:c r="AB169" s="32" t="str">
        <x:v>Blue Wool Scale / UV 150h</x:v>
      </x:c>
      <x:c r="AC169" t="str">
        <x:v>#E6E2DA</x:v>
      </x:c>
      <x:c r="AD169" s="34" t="n">
        <x:v>230</x:v>
      </x:c>
      <x:c r="AE169" s="34" t="n">
        <x:v>226</x:v>
      </x:c>
      <x:c r="AF169" s="34" t="n">
        <x:v>218</x:v>
      </x:c>
      <x:c r="AG169" s="32" t="n">
        <x:v>40</x:v>
      </x:c>
      <x:c r="AH169" s="32" t="n">
        <x:v>19.35</x:v>
      </x:c>
      <x:c r="AI169" s="32" t="n">
        <x:v>87.84</x:v>
      </x:c>
      <x:c r="AJ169" s="32" t="n">
        <x:v>89.99</x:v>
      </x:c>
      <x:c r="AK169" s="32" t="n">
        <x:v>-0.04</x:v>
      </x:c>
      <x:c r="AL169" s="32" t="n">
        <x:v>4.38</x:v>
      </x:c>
      <x:c r="AM169" s="32" t="str">
        <x:v>#000000</x:v>
      </x:c>
      <x:c r="AN169" s="32" t="str">
        <x:v>Black</x:v>
      </x:c>
      <x:c r="AO169" s="32" t="n">
        <x:v>16.26</x:v>
      </x:c>
      <x:c r="AP169" s="32" t="n">
        <x:v>16.26</x:v>
      </x:c>
      <x:c r="AQ169" s="32" t="n">
        <x:v>1.29</x:v>
      </x:c>
      <x:c r="AR169" s="32" t="n">
        <x:v>0.762777</x:v>
      </x:c>
      <x:c r="AS169" t="str">
        <x:v>PASS</x:v>
      </x:c>
      <x:c r="AT169" t="str">
        <x:v>--cda-pab-002</x:v>
      </x:c>
      <x:c r="AU169" t="str">
        <x:v>var(--cda-pab-002)</x:v>
      </x:c>
      <x:c r="AV169" t="str">
        <x:v>Median RGB from official PDF swatch (screen reference only)</x:v>
      </x:c>
      <x:c r="AW169" t="str">
        <x:v>https://www.carandache.com/content_files/uploaded_doc/product/10469/Colour_Chart_Pablo.pdf</x:v>
      </x:c>
      <x:c r="AX169" t="n">
        <x:v>1</x:v>
      </x:c>
      <x:c r="AY169" t="str">
        <x:v>Official</x:v>
      </x:c>
      <x:c r="AZ169" t="str">
        <x:v>Official where available; curated Traditional Chinese/Japanese otherwise</x:v>
      </x:c>
      <x:c r="BA169" t="str">
        <x:v>Verified from official chart; digital HEX is approximate</x:v>
      </x:c>
      <x:c r="BB169" t="str">
        <x:v>Physical media appearance varies by paper, pressure, layering, water and scan/display profile.</x:v>
      </x:c>
    </x:row>
    <x:row r="170">
      <x:c r="A170" t="str">
        <x:f>G170&amp;"|"&amp;L170</x:f>
        <x:v>PAB|003</x:v>
      </x:c>
      <x:c r="B170" t="str">
        <x:v>ed76e728-190a-545c-921e-e802d87cec0e</x:v>
      </x:c>
      <x:c r="C170" t="str">
        <x:v>CDA-PAB-003</x:v>
      </x:c>
      <x:c r="D170" t="str">
        <x:v>0babc0cb-de09-5293-abe4-84adda5ee171</x:v>
      </x:c>
      <x:c r="E170" t="str">
        <x:v>CDA-CODE-003</x:v>
      </x:c>
      <x:c r="F170" t="str">
        <x:v>Caran d’Ache</x:v>
      </x:c>
      <x:c r="G170" t="str">
        <x:v>PAB</x:v>
      </x:c>
      <x:c r="H170" t="str">
        <x:v>PABLO</x:v>
      </x:c>
      <x:c r="I170" t="str">
        <x:v>Permanent coloured pencil</x:v>
      </x:c>
      <x:c r="J170" t="str">
        <x:v>Artist</x:v>
      </x:c>
      <x:c r="K170" s="30" t="n">
        <x:v>69</x:v>
      </x:c>
      <x:c r="L170" s="30" t="str">
        <x:v>003</x:v>
      </x:c>
      <x:c r="M170" t="str">
        <x:v>Light grey</x:v>
      </x:c>
      <x:c r="N170" t="str">
        <x:v>淺灰色</x:v>
      </x:c>
      <x:c r="O170" t="str">
        <x:v>ライトグレー</x:v>
      </x:c>
      <x:c r="P170" t="str"/>
      <x:c r="Q170" t="str">
        <x:v>Gris clair</x:v>
      </x:c>
      <x:c r="R170" t="str">
        <x:v>Hellgrau</x:v>
      </x:c>
      <x:c r="S170" t="str">
        <x:v>Grigio chiaro</x:v>
      </x:c>
      <x:c r="T170" t="str">
        <x:v>Gris claro</x:v>
      </x:c>
      <x:c r="U170" t="str"/>
      <x:c r="V170" t="str"/>
      <x:c r="W170" t="str"/>
      <x:c r="X170" t="n">
        <x:f>IF(W170="",0,LEN(W170)-LEN(SUBSTITUTE(W170,"/",""))+1)</x:f>
        <x:v>0</x:v>
      </x:c>
      <x:c r="Y170" t="str">
        <x:v>H</x:v>
      </x:c>
      <x:c r="Z170" s="32" t="n">
        <x:v>1.67</x:v>
      </x:c>
      <x:c r="AA170" s="32" t="n">
        <x:v>3</x:v>
      </x:c>
      <x:c r="AB170" s="32" t="str">
        <x:v>Blue Wool Scale / UV 150h</x:v>
      </x:c>
      <x:c r="AC170" t="str">
        <x:v>#DCDDD8</x:v>
      </x:c>
      <x:c r="AD170" s="34" t="n">
        <x:v>220</x:v>
      </x:c>
      <x:c r="AE170" s="34" t="n">
        <x:v>221</x:v>
      </x:c>
      <x:c r="AF170" s="34" t="n">
        <x:v>216</x:v>
      </x:c>
      <x:c r="AG170" s="32" t="n">
        <x:v>72</x:v>
      </x:c>
      <x:c r="AH170" s="32" t="n">
        <x:v>6.85</x:v>
      </x:c>
      <x:c r="AI170" s="32" t="n">
        <x:v>85.69</x:v>
      </x:c>
      <x:c r="AJ170" s="32" t="n">
        <x:v>87.91</x:v>
      </x:c>
      <x:c r="AK170" s="32" t="n">
        <x:v>-1.23</x:v>
      </x:c>
      <x:c r="AL170" s="32" t="n">
        <x:v>2.33</x:v>
      </x:c>
      <x:c r="AM170" s="32" t="str">
        <x:v>#000000</x:v>
      </x:c>
      <x:c r="AN170" s="32" t="str">
        <x:v>Black</x:v>
      </x:c>
      <x:c r="AO170" s="32" t="n">
        <x:v>15.38</x:v>
      </x:c>
      <x:c r="AP170" s="32" t="n">
        <x:v>15.38</x:v>
      </x:c>
      <x:c r="AQ170" s="32" t="n">
        <x:v>1.37</x:v>
      </x:c>
      <x:c r="AR170" s="32" t="n">
        <x:v>0.718864</x:v>
      </x:c>
      <x:c r="AS170" t="str">
        <x:v>PASS</x:v>
      </x:c>
      <x:c r="AT170" t="str">
        <x:v>--cda-pab-003</x:v>
      </x:c>
      <x:c r="AU170" t="str">
        <x:v>var(--cda-pab-003)</x:v>
      </x:c>
      <x:c r="AV170" t="str">
        <x:v>Median RGB from official PDF swatch (screen reference only)</x:v>
      </x:c>
      <x:c r="AW170" t="str">
        <x:v>https://www.carandache.com/content_files/uploaded_doc/product/10469/Colour_Chart_Pablo.pdf</x:v>
      </x:c>
      <x:c r="AX170" t="n">
        <x:v>1</x:v>
      </x:c>
      <x:c r="AY170" t="str">
        <x:v>Official</x:v>
      </x:c>
      <x:c r="AZ170" t="str">
        <x:v>Official where available; curated Traditional Chinese/Japanese otherwise</x:v>
      </x:c>
      <x:c r="BA170" t="str">
        <x:v>Verified from official chart; digital HEX is approximate</x:v>
      </x:c>
      <x:c r="BB170" t="str">
        <x:v>Physical media appearance varies by paper, pressure, layering, water and scan/display profile.</x:v>
      </x:c>
    </x:row>
    <x:row r="171">
      <x:c r="A171" t="str">
        <x:f>G171&amp;"|"&amp;L171</x:f>
        <x:v>PAB|004</x:v>
      </x:c>
      <x:c r="B171" t="str">
        <x:v>29b0742a-042a-5736-baac-3518be33efda</x:v>
      </x:c>
      <x:c r="C171" t="str">
        <x:v>CDA-PAB-004</x:v>
      </x:c>
      <x:c r="D171" t="str">
        <x:v>de4df521-dec4-520d-ab19-51053b9c58ea</x:v>
      </x:c>
      <x:c r="E171" t="str">
        <x:v>CDA-CODE-004</x:v>
      </x:c>
      <x:c r="F171" t="str">
        <x:v>Caran d’Ache</x:v>
      </x:c>
      <x:c r="G171" t="str">
        <x:v>PAB</x:v>
      </x:c>
      <x:c r="H171" t="str">
        <x:v>PABLO</x:v>
      </x:c>
      <x:c r="I171" t="str">
        <x:v>Permanent coloured pencil</x:v>
      </x:c>
      <x:c r="J171" t="str">
        <x:v>Artist</x:v>
      </x:c>
      <x:c r="K171" s="30" t="n">
        <x:v>70</x:v>
      </x:c>
      <x:c r="L171" s="30" t="str">
        <x:v>004</x:v>
      </x:c>
      <x:c r="M171" t="str">
        <x:v>Steel grey</x:v>
      </x:c>
      <x:c r="N171" t="str">
        <x:v>鋼灰色</x:v>
      </x:c>
      <x:c r="O171" t="str">
        <x:v>スチールグレー</x:v>
      </x:c>
      <x:c r="P171" t="str"/>
      <x:c r="Q171" t="str">
        <x:v>Gris acier</x:v>
      </x:c>
      <x:c r="R171" t="str">
        <x:v>Stahlgrau</x:v>
      </x:c>
      <x:c r="S171" t="str">
        <x:v>Grigio acciaio</x:v>
      </x:c>
      <x:c r="T171" t="str">
        <x:v>Gris acero</x:v>
      </x:c>
      <x:c r="U171" t="str"/>
      <x:c r="V171" t="str"/>
      <x:c r="W171" t="str"/>
      <x:c r="X171" t="n">
        <x:f>IF(W171="",0,LEN(W171)-LEN(SUBSTITUTE(W171,"/",""))+1)</x:f>
        <x:v>0</x:v>
      </x:c>
      <x:c r="Y171" t="str">
        <x:v>H</x:v>
      </x:c>
      <x:c r="Z171" s="32" t="n">
        <x:v>1.67</x:v>
      </x:c>
      <x:c r="AA171" s="32" t="n">
        <x:v>3</x:v>
      </x:c>
      <x:c r="AB171" s="32" t="str">
        <x:v>Blue Wool Scale / UV 150h</x:v>
      </x:c>
      <x:c r="AC171" t="str">
        <x:v>#C3C9C4</x:v>
      </x:c>
      <x:c r="AD171" s="34" t="n">
        <x:v>195</x:v>
      </x:c>
      <x:c r="AE171" s="34" t="n">
        <x:v>201</x:v>
      </x:c>
      <x:c r="AF171" s="34" t="n">
        <x:v>196</x:v>
      </x:c>
      <x:c r="AG171" s="32" t="n">
        <x:v>130</x:v>
      </x:c>
      <x:c r="AH171" s="32" t="n">
        <x:v>5.26</x:v>
      </x:c>
      <x:c r="AI171" s="32" t="n">
        <x:v>77.65</x:v>
      </x:c>
      <x:c r="AJ171" s="32" t="n">
        <x:v>80.38</x:v>
      </x:c>
      <x:c r="AK171" s="32" t="n">
        <x:v>-2.98</x:v>
      </x:c>
      <x:c r="AL171" s="32" t="n">
        <x:v>1.78</x:v>
      </x:c>
      <x:c r="AM171" s="32" t="str">
        <x:v>#000000</x:v>
      </x:c>
      <x:c r="AN171" s="32" t="str">
        <x:v>Black</x:v>
      </x:c>
      <x:c r="AO171" s="32" t="n">
        <x:v>12.47</x:v>
      </x:c>
      <x:c r="AP171" s="32" t="n">
        <x:v>12.47</x:v>
      </x:c>
      <x:c r="AQ171" s="32" t="n">
        <x:v>1.68</x:v>
      </x:c>
      <x:c r="AR171" s="32" t="n">
        <x:v>0.573609</x:v>
      </x:c>
      <x:c r="AS171" t="str">
        <x:v>PASS</x:v>
      </x:c>
      <x:c r="AT171" t="str">
        <x:v>--cda-pab-004</x:v>
      </x:c>
      <x:c r="AU171" t="str">
        <x:v>var(--cda-pab-004)</x:v>
      </x:c>
      <x:c r="AV171" t="str">
        <x:v>Median RGB from official PDF swatch (screen reference only)</x:v>
      </x:c>
      <x:c r="AW171" t="str">
        <x:v>https://www.carandache.com/content_files/uploaded_doc/product/10469/Colour_Chart_Pablo.pdf</x:v>
      </x:c>
      <x:c r="AX171" t="n">
        <x:v>1</x:v>
      </x:c>
      <x:c r="AY171" t="str">
        <x:v>Official</x:v>
      </x:c>
      <x:c r="AZ171" t="str">
        <x:v>Official where available; curated Traditional Chinese/Japanese otherwise</x:v>
      </x:c>
      <x:c r="BA171" t="str">
        <x:v>Verified from official chart; digital HEX is approximate</x:v>
      </x:c>
      <x:c r="BB171" t="str">
        <x:v>Physical media appearance varies by paper, pressure, layering, water and scan/display profile.</x:v>
      </x:c>
    </x:row>
    <x:row r="172">
      <x:c r="A172" t="str">
        <x:f>G172&amp;"|"&amp;L172</x:f>
        <x:v>PAB|006</x:v>
      </x:c>
      <x:c r="B172" t="str">
        <x:v>82b75b1b-8adc-5573-af45-e268fcb418a8</x:v>
      </x:c>
      <x:c r="C172" t="str">
        <x:v>CDA-PAB-006</x:v>
      </x:c>
      <x:c r="D172" t="str">
        <x:v>e1914c16-2ec2-5172-90dc-7bb50574eff7</x:v>
      </x:c>
      <x:c r="E172" t="str">
        <x:v>CDA-CODE-006</x:v>
      </x:c>
      <x:c r="F172" t="str">
        <x:v>Caran d’Ache</x:v>
      </x:c>
      <x:c r="G172" t="str">
        <x:v>PAB</x:v>
      </x:c>
      <x:c r="H172" t="str">
        <x:v>PABLO</x:v>
      </x:c>
      <x:c r="I172" t="str">
        <x:v>Permanent coloured pencil</x:v>
      </x:c>
      <x:c r="J172" t="str">
        <x:v>Artist</x:v>
      </x:c>
      <x:c r="K172" s="30" t="n">
        <x:v>71</x:v>
      </x:c>
      <x:c r="L172" s="30" t="str">
        <x:v>006</x:v>
      </x:c>
      <x:c r="M172" t="str">
        <x:v>Mouse grey</x:v>
      </x:c>
      <x:c r="N172" t="str">
        <x:v>鼠灰色</x:v>
      </x:c>
      <x:c r="O172" t="str">
        <x:v>マウスグレー</x:v>
      </x:c>
      <x:c r="P172" t="str"/>
      <x:c r="Q172" t="str">
        <x:v>Gris souris</x:v>
      </x:c>
      <x:c r="R172" t="str">
        <x:v>Mausgrau</x:v>
      </x:c>
      <x:c r="S172" t="str">
        <x:v>Grigio topo</x:v>
      </x:c>
      <x:c r="T172" t="str">
        <x:v>Gris rata</x:v>
      </x:c>
      <x:c r="U172" t="str"/>
      <x:c r="V172" t="str"/>
      <x:c r="W172" t="str"/>
      <x:c r="X172" t="n">
        <x:f>IF(W172="",0,LEN(W172)-LEN(SUBSTITUTE(W172,"/",""))+1)</x:f>
        <x:v>0</x:v>
      </x:c>
      <x:c r="Y172" t="str">
        <x:v>H</x:v>
      </x:c>
      <x:c r="Z172" s="32" t="n">
        <x:v>1.67</x:v>
      </x:c>
      <x:c r="AA172" s="32" t="n">
        <x:v>3</x:v>
      </x:c>
      <x:c r="AB172" s="32" t="str">
        <x:v>Blue Wool Scale / UV 150h</x:v>
      </x:c>
      <x:c r="AC172" t="str">
        <x:v>#707C7E</x:v>
      </x:c>
      <x:c r="AD172" s="34" t="n">
        <x:v>112</x:v>
      </x:c>
      <x:c r="AE172" s="34" t="n">
        <x:v>124</x:v>
      </x:c>
      <x:c r="AF172" s="34" t="n">
        <x:v>126</x:v>
      </x:c>
      <x:c r="AG172" s="32" t="n">
        <x:v>188.57</x:v>
      </x:c>
      <x:c r="AH172" s="32" t="n">
        <x:v>5.88</x:v>
      </x:c>
      <x:c r="AI172" s="32" t="n">
        <x:v>46.67</x:v>
      </x:c>
      <x:c r="AJ172" s="32" t="n">
        <x:v>51.11</x:v>
      </x:c>
      <x:c r="AK172" s="32" t="n">
        <x:v>-4</x:v>
      </x:c>
      <x:c r="AL172" s="32" t="n">
        <x:v>-2.6</x:v>
      </x:c>
      <x:c r="AM172" s="32" t="str">
        <x:v>#000000</x:v>
      </x:c>
      <x:c r="AN172" s="32" t="str">
        <x:v>Black</x:v>
      </x:c>
      <x:c r="AO172" s="32" t="n">
        <x:v>4.87</x:v>
      </x:c>
      <x:c r="AP172" s="32" t="n">
        <x:v>4.87</x:v>
      </x:c>
      <x:c r="AQ172" s="32" t="n">
        <x:v>4.31</x:v>
      </x:c>
      <x:c r="AR172" s="32" t="n">
        <x:v>0.193664</x:v>
      </x:c>
      <x:c r="AS172" t="str">
        <x:v>PASS</x:v>
      </x:c>
      <x:c r="AT172" t="str">
        <x:v>--cda-pab-006</x:v>
      </x:c>
      <x:c r="AU172" t="str">
        <x:v>var(--cda-pab-006)</x:v>
      </x:c>
      <x:c r="AV172" t="str">
        <x:v>Median RGB from official PDF swatch (screen reference only)</x:v>
      </x:c>
      <x:c r="AW172" t="str">
        <x:v>https://www.carandache.com/content_files/uploaded_doc/product/10469/Colour_Chart_Pablo.pdf</x:v>
      </x:c>
      <x:c r="AX172" t="n">
        <x:v>1</x:v>
      </x:c>
      <x:c r="AY172" t="str">
        <x:v>Official</x:v>
      </x:c>
      <x:c r="AZ172" t="str">
        <x:v>Official where available; curated Traditional Chinese/Japanese otherwise</x:v>
      </x:c>
      <x:c r="BA172" t="str">
        <x:v>Verified from official chart; digital HEX is approximate</x:v>
      </x:c>
      <x:c r="BB172" t="str">
        <x:v>Physical media appearance varies by paper, pressure, layering, water and scan/display profile.</x:v>
      </x:c>
    </x:row>
    <x:row r="173">
      <x:c r="A173" t="str">
        <x:f>G173&amp;"|"&amp;L173</x:f>
        <x:v>PAB|005</x:v>
      </x:c>
      <x:c r="B173" t="str">
        <x:v>a5806b0a-1119-5b65-a9b5-2c13e7878c8b</x:v>
      </x:c>
      <x:c r="C173" t="str">
        <x:v>CDA-PAB-005</x:v>
      </x:c>
      <x:c r="D173" t="str">
        <x:v>5e94186d-04b3-5522-b27d-8725960264c8</x:v>
      </x:c>
      <x:c r="E173" t="str">
        <x:v>CDA-CODE-005</x:v>
      </x:c>
      <x:c r="F173" t="str">
        <x:v>Caran d’Ache</x:v>
      </x:c>
      <x:c r="G173" t="str">
        <x:v>PAB</x:v>
      </x:c>
      <x:c r="H173" t="str">
        <x:v>PABLO</x:v>
      </x:c>
      <x:c r="I173" t="str">
        <x:v>Permanent coloured pencil</x:v>
      </x:c>
      <x:c r="J173" t="str">
        <x:v>Artist</x:v>
      </x:c>
      <x:c r="K173" s="30" t="n">
        <x:v>72</x:v>
      </x:c>
      <x:c r="L173" s="30" t="str">
        <x:v>005</x:v>
      </x:c>
      <x:c r="M173" t="str">
        <x:v>Grey</x:v>
      </x:c>
      <x:c r="N173" t="str">
        <x:v>灰色</x:v>
      </x:c>
      <x:c r="O173" t="str">
        <x:v>グレー</x:v>
      </x:c>
      <x:c r="P173" t="str"/>
      <x:c r="Q173" t="str">
        <x:v>Gris</x:v>
      </x:c>
      <x:c r="R173" t="str">
        <x:v>Grau</x:v>
      </x:c>
      <x:c r="S173" t="str">
        <x:v>Grigio</x:v>
      </x:c>
      <x:c r="T173" t="str">
        <x:v>Gris</x:v>
      </x:c>
      <x:c r="U173" t="str"/>
      <x:c r="V173" t="str"/>
      <x:c r="W173" t="str"/>
      <x:c r="X173" t="n">
        <x:f>IF(W173="",0,LEN(W173)-LEN(SUBSTITUTE(W173,"/",""))+1)</x:f>
        <x:v>0</x:v>
      </x:c>
      <x:c r="Y173" t="str">
        <x:v>H</x:v>
      </x:c>
      <x:c r="Z173" s="32" t="n">
        <x:v>1.67</x:v>
      </x:c>
      <x:c r="AA173" s="32" t="n">
        <x:v>3</x:v>
      </x:c>
      <x:c r="AB173" s="32" t="str">
        <x:v>Blue Wool Scale / UV 150h</x:v>
      </x:c>
      <x:c r="AC173" t="str">
        <x:v>#83969C</x:v>
      </x:c>
      <x:c r="AD173" s="34" t="n">
        <x:v>131</x:v>
      </x:c>
      <x:c r="AE173" s="34" t="n">
        <x:v>150</x:v>
      </x:c>
      <x:c r="AF173" s="34" t="n">
        <x:v>156</x:v>
      </x:c>
      <x:c r="AG173" s="32" t="n">
        <x:v>194.4</x:v>
      </x:c>
      <x:c r="AH173" s="32" t="n">
        <x:v>11.21</x:v>
      </x:c>
      <x:c r="AI173" s="32" t="n">
        <x:v>56.27</x:v>
      </x:c>
      <x:c r="AJ173" s="32" t="n">
        <x:v>60.81</x:v>
      </x:c>
      <x:c r="AK173" s="32" t="n">
        <x:v>-5.42</x:v>
      </x:c>
      <x:c r="AL173" s="32" t="n">
        <x:v>-5.43</x:v>
      </x:c>
      <x:c r="AM173" s="32" t="str">
        <x:v>#000000</x:v>
      </x:c>
      <x:c r="AN173" s="32" t="str">
        <x:v>Black</x:v>
      </x:c>
      <x:c r="AO173" s="32" t="n">
        <x:v>6.81</x:v>
      </x:c>
      <x:c r="AP173" s="32" t="n">
        <x:v>6.81</x:v>
      </x:c>
      <x:c r="AQ173" s="32" t="n">
        <x:v>3.08</x:v>
      </x:c>
      <x:c r="AR173" s="32" t="n">
        <x:v>0.290383</x:v>
      </x:c>
      <x:c r="AS173" t="str">
        <x:v>PASS</x:v>
      </x:c>
      <x:c r="AT173" t="str">
        <x:v>--cda-pab-005</x:v>
      </x:c>
      <x:c r="AU173" t="str">
        <x:v>var(--cda-pab-005)</x:v>
      </x:c>
      <x:c r="AV173" t="str">
        <x:v>Median RGB from official PDF swatch (screen reference only)</x:v>
      </x:c>
      <x:c r="AW173" t="str">
        <x:v>https://www.carandache.com/content_files/uploaded_doc/product/10469/Colour_Chart_Pablo.pdf</x:v>
      </x:c>
      <x:c r="AX173" t="n">
        <x:v>1</x:v>
      </x:c>
      <x:c r="AY173" t="str">
        <x:v>Official</x:v>
      </x:c>
      <x:c r="AZ173" t="str">
        <x:v>Official where available; curated Traditional Chinese/Japanese otherwise</x:v>
      </x:c>
      <x:c r="BA173" t="str">
        <x:v>Verified from official chart; digital HEX is approximate</x:v>
      </x:c>
      <x:c r="BB173" t="str">
        <x:v>Physical media appearance varies by paper, pressure, layering, water and scan/display profile.</x:v>
      </x:c>
    </x:row>
    <x:row r="174">
      <x:c r="A174" t="str">
        <x:f>G174&amp;"|"&amp;L174</x:f>
        <x:v>PAB|007</x:v>
      </x:c>
      <x:c r="B174" t="str">
        <x:v>e87d4cd2-2b4a-5c8f-834f-7e47398dee63</x:v>
      </x:c>
      <x:c r="C174" t="str">
        <x:v>CDA-PAB-007</x:v>
      </x:c>
      <x:c r="D174" t="str">
        <x:v>1dcc31e4-efb4-58e7-87c9-bfd669318b14</x:v>
      </x:c>
      <x:c r="E174" t="str">
        <x:v>CDA-CODE-007</x:v>
      </x:c>
      <x:c r="F174" t="str">
        <x:v>Caran d’Ache</x:v>
      </x:c>
      <x:c r="G174" t="str">
        <x:v>PAB</x:v>
      </x:c>
      <x:c r="H174" t="str">
        <x:v>PABLO</x:v>
      </x:c>
      <x:c r="I174" t="str">
        <x:v>Permanent coloured pencil</x:v>
      </x:c>
      <x:c r="J174" t="str">
        <x:v>Artist</x:v>
      </x:c>
      <x:c r="K174" s="30" t="n">
        <x:v>73</x:v>
      </x:c>
      <x:c r="L174" s="30" t="str">
        <x:v>007</x:v>
      </x:c>
      <x:c r="M174" t="str">
        <x:v>Dark grey</x:v>
      </x:c>
      <x:c r="N174" t="str">
        <x:v>深灰色</x:v>
      </x:c>
      <x:c r="O174" t="str">
        <x:v>ダークグレー</x:v>
      </x:c>
      <x:c r="P174" t="str"/>
      <x:c r="Q174" t="str">
        <x:v>Gris foncé</x:v>
      </x:c>
      <x:c r="R174" t="str">
        <x:v>Dunkelgrau</x:v>
      </x:c>
      <x:c r="S174" t="str">
        <x:v>Grigio scuro</x:v>
      </x:c>
      <x:c r="T174" t="str">
        <x:v>Gris oscuro</x:v>
      </x:c>
      <x:c r="U174" t="str"/>
      <x:c r="V174" t="str"/>
      <x:c r="W174" t="str"/>
      <x:c r="X174" t="n">
        <x:f>IF(W174="",0,LEN(W174)-LEN(SUBSTITUTE(W174,"/",""))+1)</x:f>
        <x:v>0</x:v>
      </x:c>
      <x:c r="Y174" t="str">
        <x:v>H</x:v>
      </x:c>
      <x:c r="Z174" s="32" t="n">
        <x:v>1.67</x:v>
      </x:c>
      <x:c r="AA174" s="32" t="n">
        <x:v>3</x:v>
      </x:c>
      <x:c r="AB174" s="32" t="str">
        <x:v>Blue Wool Scale / UV 150h</x:v>
      </x:c>
      <x:c r="AC174" t="str">
        <x:v>#687173</x:v>
      </x:c>
      <x:c r="AD174" s="34" t="n">
        <x:v>104</x:v>
      </x:c>
      <x:c r="AE174" s="34" t="n">
        <x:v>113</x:v>
      </x:c>
      <x:c r="AF174" s="34" t="n">
        <x:v>115</x:v>
      </x:c>
      <x:c r="AG174" s="32" t="n">
        <x:v>190.91</x:v>
      </x:c>
      <x:c r="AH174" s="32" t="n">
        <x:v>5.02</x:v>
      </x:c>
      <x:c r="AI174" s="32" t="n">
        <x:v>42.94</x:v>
      </x:c>
      <x:c r="AJ174" s="32" t="n">
        <x:v>46.96</x:v>
      </x:c>
      <x:c r="AK174" s="32" t="n">
        <x:v>-2.95</x:v>
      </x:c>
      <x:c r="AL174" s="32" t="n">
        <x:v>-2.27</x:v>
      </x:c>
      <x:c r="AM174" s="32" t="str">
        <x:v>#FFFFFF</x:v>
      </x:c>
      <x:c r="AN174" s="32" t="str">
        <x:v>White</x:v>
      </x:c>
      <x:c r="AO174" s="32" t="n">
        <x:v>5</x:v>
      </x:c>
      <x:c r="AP174" s="32" t="n">
        <x:v>4.2</x:v>
      </x:c>
      <x:c r="AQ174" s="32" t="n">
        <x:v>5</x:v>
      </x:c>
      <x:c r="AR174" s="32" t="n">
        <x:v>0.159911</x:v>
      </x:c>
      <x:c r="AS174" t="str">
        <x:v>PASS</x:v>
      </x:c>
      <x:c r="AT174" t="str">
        <x:v>--cda-pab-007</x:v>
      </x:c>
      <x:c r="AU174" t="str">
        <x:v>var(--cda-pab-007)</x:v>
      </x:c>
      <x:c r="AV174" t="str">
        <x:v>Median RGB from official PDF swatch (screen reference only)</x:v>
      </x:c>
      <x:c r="AW174" t="str">
        <x:v>https://www.carandache.com/content_files/uploaded_doc/product/10469/Colour_Chart_Pablo.pdf</x:v>
      </x:c>
      <x:c r="AX174" t="n">
        <x:v>1</x:v>
      </x:c>
      <x:c r="AY174" t="str">
        <x:v>Official</x:v>
      </x:c>
      <x:c r="AZ174" t="str">
        <x:v>Official where available; curated Traditional Chinese/Japanese otherwise</x:v>
      </x:c>
      <x:c r="BA174" t="str">
        <x:v>Verified from official chart; digital HEX is approximate</x:v>
      </x:c>
      <x:c r="BB174" t="str">
        <x:v>Physical media appearance varies by paper, pressure, layering, water and scan/display profile.</x:v>
      </x:c>
    </x:row>
    <x:row r="175">
      <x:c r="A175" t="str">
        <x:f>G175&amp;"|"&amp;L175</x:f>
        <x:v>PAB|008</x:v>
      </x:c>
      <x:c r="B175" t="str">
        <x:v>ec591770-eee1-5c06-8952-b1078ee31760</x:v>
      </x:c>
      <x:c r="C175" t="str">
        <x:v>CDA-PAB-008</x:v>
      </x:c>
      <x:c r="D175" t="str">
        <x:v>062a6ddd-d99c-52e4-9ee7-c99c9dc90fe3</x:v>
      </x:c>
      <x:c r="E175" t="str">
        <x:v>CDA-CODE-008</x:v>
      </x:c>
      <x:c r="F175" t="str">
        <x:v>Caran d’Ache</x:v>
      </x:c>
      <x:c r="G175" t="str">
        <x:v>PAB</x:v>
      </x:c>
      <x:c r="H175" t="str">
        <x:v>PABLO</x:v>
      </x:c>
      <x:c r="I175" t="str">
        <x:v>Permanent coloured pencil</x:v>
      </x:c>
      <x:c r="J175" t="str">
        <x:v>Artist</x:v>
      </x:c>
      <x:c r="K175" s="30" t="n">
        <x:v>74</x:v>
      </x:c>
      <x:c r="L175" s="30" t="str">
        <x:v>008</x:v>
      </x:c>
      <x:c r="M175" t="str">
        <x:v>Greyish black</x:v>
      </x:c>
      <x:c r="N175" t="str">
        <x:v>灰黑色</x:v>
      </x:c>
      <x:c r="O175" t="str">
        <x:v>グレイッシュブラック</x:v>
      </x:c>
      <x:c r="P175" t="str"/>
      <x:c r="Q175" t="str">
        <x:v>Gris noir</x:v>
      </x:c>
      <x:c r="R175" t="str">
        <x:v>Grauschwarz</x:v>
      </x:c>
      <x:c r="S175" t="str">
        <x:v>Grigio nero</x:v>
      </x:c>
      <x:c r="T175" t="str">
        <x:v>Gris negro</x:v>
      </x:c>
      <x:c r="U175" t="str"/>
      <x:c r="V175" t="str"/>
      <x:c r="W175" t="str"/>
      <x:c r="X175" t="n">
        <x:f>IF(W175="",0,LEN(W175)-LEN(SUBSTITUTE(W175,"/",""))+1)</x:f>
        <x:v>0</x:v>
      </x:c>
      <x:c r="Y175" t="str">
        <x:v>H</x:v>
      </x:c>
      <x:c r="Z175" s="32" t="n">
        <x:v>1.67</x:v>
      </x:c>
      <x:c r="AA175" s="32" t="n">
        <x:v>3</x:v>
      </x:c>
      <x:c r="AB175" s="32" t="str">
        <x:v>Blue Wool Scale / UV 150h</x:v>
      </x:c>
      <x:c r="AC175" t="str">
        <x:v>#4E565D</x:v>
      </x:c>
      <x:c r="AD175" s="34" t="n">
        <x:v>78</x:v>
      </x:c>
      <x:c r="AE175" s="34" t="n">
        <x:v>86</x:v>
      </x:c>
      <x:c r="AF175" s="34" t="n">
        <x:v>93</x:v>
      </x:c>
      <x:c r="AG175" s="32" t="n">
        <x:v>208</x:v>
      </x:c>
      <x:c r="AH175" s="32" t="n">
        <x:v>8.77</x:v>
      </x:c>
      <x:c r="AI175" s="32" t="n">
        <x:v>33.53</x:v>
      </x:c>
      <x:c r="AJ175" s="32" t="n">
        <x:v>36.11</x:v>
      </x:c>
      <x:c r="AK175" s="32" t="n">
        <x:v>-1.5</x:v>
      </x:c>
      <x:c r="AL175" s="32" t="n">
        <x:v>-5.13</x:v>
      </x:c>
      <x:c r="AM175" s="32" t="str">
        <x:v>#FFFFFF</x:v>
      </x:c>
      <x:c r="AN175" s="32" t="str">
        <x:v>White</x:v>
      </x:c>
      <x:c r="AO175" s="32" t="n">
        <x:v>7.47</x:v>
      </x:c>
      <x:c r="AP175" s="32" t="n">
        <x:v>2.81</x:v>
      </x:c>
      <x:c r="AQ175" s="32" t="n">
        <x:v>7.47</x:v>
      </x:c>
      <x:c r="AR175" s="32" t="n">
        <x:v>0.090656</x:v>
      </x:c>
      <x:c r="AS175" t="str">
        <x:v>PASS</x:v>
      </x:c>
      <x:c r="AT175" t="str">
        <x:v>--cda-pab-008</x:v>
      </x:c>
      <x:c r="AU175" t="str">
        <x:v>var(--cda-pab-008)</x:v>
      </x:c>
      <x:c r="AV175" t="str">
        <x:v>Median RGB from official PDF swatch (screen reference only)</x:v>
      </x:c>
      <x:c r="AW175" t="str">
        <x:v>https://www.carandache.com/content_files/uploaded_doc/product/10469/Colour_Chart_Pablo.pdf</x:v>
      </x:c>
      <x:c r="AX175" t="n">
        <x:v>1</x:v>
      </x:c>
      <x:c r="AY175" t="str">
        <x:v>Official</x:v>
      </x:c>
      <x:c r="AZ175" t="str">
        <x:v>Official where available; curated Traditional Chinese/Japanese otherwise</x:v>
      </x:c>
      <x:c r="BA175" t="str">
        <x:v>Verified from official chart; digital HEX is approximate</x:v>
      </x:c>
      <x:c r="BB175" t="str">
        <x:v>Physical media appearance varies by paper, pressure, layering, water and scan/display profile.</x:v>
      </x:c>
    </x:row>
    <x:row r="176">
      <x:c r="A176" t="str">
        <x:f>G176&amp;"|"&amp;L176</x:f>
        <x:v>PAB|495</x:v>
      </x:c>
      <x:c r="B176" t="str">
        <x:v>54e02d04-2419-536a-afed-d1bc3bf6c2bc</x:v>
      </x:c>
      <x:c r="C176" t="str">
        <x:v>CDA-PAB-495</x:v>
      </x:c>
      <x:c r="D176" t="str">
        <x:v>2389d9d0-ecac-5dc3-922c-5004968271df</x:v>
      </x:c>
      <x:c r="E176" t="str">
        <x:v>CDA-CODE-495</x:v>
      </x:c>
      <x:c r="F176" t="str">
        <x:v>Caran d’Ache</x:v>
      </x:c>
      <x:c r="G176" t="str">
        <x:v>PAB</x:v>
      </x:c>
      <x:c r="H176" t="str">
        <x:v>PABLO</x:v>
      </x:c>
      <x:c r="I176" t="str">
        <x:v>Permanent coloured pencil</x:v>
      </x:c>
      <x:c r="J176" t="str">
        <x:v>Artist</x:v>
      </x:c>
      <x:c r="K176" s="30" t="n">
        <x:v>75</x:v>
      </x:c>
      <x:c r="L176" s="30" t="str">
        <x:v>495</x:v>
      </x:c>
      <x:c r="M176" t="str">
        <x:v>Slate grey</x:v>
      </x:c>
      <x:c r="N176" t="str">
        <x:v>板岩灰</x:v>
      </x:c>
      <x:c r="O176" t="str">
        <x:v>スレートグレー</x:v>
      </x:c>
      <x:c r="P176" t="str"/>
      <x:c r="Q176" t="str">
        <x:v>Gris ardoise</x:v>
      </x:c>
      <x:c r="R176" t="str">
        <x:v>Schiefergrau</x:v>
      </x:c>
      <x:c r="S176" t="str">
        <x:v>Grigio ardesia</x:v>
      </x:c>
      <x:c r="T176" t="str">
        <x:v>Gris pizarra</x:v>
      </x:c>
      <x:c r="U176" t="str"/>
      <x:c r="V176" t="str"/>
      <x:c r="W176" t="str"/>
      <x:c r="X176" t="n">
        <x:f>IF(W176="",0,LEN(W176)-LEN(SUBSTITUTE(W176,"/",""))+1)</x:f>
        <x:v>0</x:v>
      </x:c>
      <x:c r="Y176" t="str">
        <x:v>H</x:v>
      </x:c>
      <x:c r="Z176" s="32" t="n">
        <x:v>1.67</x:v>
      </x:c>
      <x:c r="AA176" s="32" t="n">
        <x:v>3</x:v>
      </x:c>
      <x:c r="AB176" s="32" t="str">
        <x:v>Blue Wool Scale / UV 150h</x:v>
      </x:c>
      <x:c r="AC176" t="str">
        <x:v>#474A4B</x:v>
      </x:c>
      <x:c r="AD176" s="34" t="n">
        <x:v>71</x:v>
      </x:c>
      <x:c r="AE176" s="34" t="n">
        <x:v>74</x:v>
      </x:c>
      <x:c r="AF176" s="34" t="n">
        <x:v>75</x:v>
      </x:c>
      <x:c r="AG176" s="32" t="n">
        <x:v>195</x:v>
      </x:c>
      <x:c r="AH176" s="32" t="n">
        <x:v>2.74</x:v>
      </x:c>
      <x:c r="AI176" s="32" t="n">
        <x:v>28.63</x:v>
      </x:c>
      <x:c r="AJ176" s="32" t="n">
        <x:v>31.22</x:v>
      </x:c>
      <x:c r="AK176" s="32" t="n">
        <x:v>-1</x:v>
      </x:c>
      <x:c r="AL176" s="32" t="n">
        <x:v>-1.02</x:v>
      </x:c>
      <x:c r="AM176" s="32" t="str">
        <x:v>#FFFFFF</x:v>
      </x:c>
      <x:c r="AN176" s="32" t="str">
        <x:v>White</x:v>
      </x:c>
      <x:c r="AO176" s="32" t="n">
        <x:v>8.94</x:v>
      </x:c>
      <x:c r="AP176" s="32" t="n">
        <x:v>2.35</x:v>
      </x:c>
      <x:c r="AQ176" s="32" t="n">
        <x:v>8.94</x:v>
      </x:c>
      <x:c r="AR176" s="32" t="n">
        <x:v>0.067452</x:v>
      </x:c>
      <x:c r="AS176" t="str">
        <x:v>PASS</x:v>
      </x:c>
      <x:c r="AT176" t="str">
        <x:v>--cda-pab-495</x:v>
      </x:c>
      <x:c r="AU176" t="str">
        <x:v>var(--cda-pab-495)</x:v>
      </x:c>
      <x:c r="AV176" t="str">
        <x:v>Median RGB from official PDF swatch (screen reference only)</x:v>
      </x:c>
      <x:c r="AW176" t="str">
        <x:v>https://www.carandache.com/content_files/uploaded_doc/product/10469/Colour_Chart_Pablo.pdf</x:v>
      </x:c>
      <x:c r="AX176" t="n">
        <x:v>1</x:v>
      </x:c>
      <x:c r="AY176" t="str">
        <x:v>Official</x:v>
      </x:c>
      <x:c r="AZ176" t="str">
        <x:v>Official where available; curated Traditional Chinese/Japanese otherwise</x:v>
      </x:c>
      <x:c r="BA176" t="str">
        <x:v>Verified from official chart; digital HEX is approximate</x:v>
      </x:c>
      <x:c r="BB176" t="str">
        <x:v>Physical media appearance varies by paper, pressure, layering, water and scan/display profile.</x:v>
      </x:c>
    </x:row>
    <x:row r="177">
      <x:c r="A177" t="str">
        <x:f>G177&amp;"|"&amp;L177</x:f>
        <x:v>PAB|496</x:v>
      </x:c>
      <x:c r="B177" t="str">
        <x:v>caae694f-e920-58c7-8dbf-510eda57f792</x:v>
      </x:c>
      <x:c r="C177" t="str">
        <x:v>CDA-PAB-496</x:v>
      </x:c>
      <x:c r="D177" t="str">
        <x:v>91d57ab5-52d4-5164-8f15-564f1470e385</x:v>
      </x:c>
      <x:c r="E177" t="str">
        <x:v>CDA-CODE-496</x:v>
      </x:c>
      <x:c r="F177" t="str">
        <x:v>Caran d’Ache</x:v>
      </x:c>
      <x:c r="G177" t="str">
        <x:v>PAB</x:v>
      </x:c>
      <x:c r="H177" t="str">
        <x:v>PABLO</x:v>
      </x:c>
      <x:c r="I177" t="str">
        <x:v>Permanent coloured pencil</x:v>
      </x:c>
      <x:c r="J177" t="str">
        <x:v>Artist</x:v>
      </x:c>
      <x:c r="K177" s="30" t="n">
        <x:v>76</x:v>
      </x:c>
      <x:c r="L177" s="30" t="str">
        <x:v>496</x:v>
      </x:c>
      <x:c r="M177" t="str">
        <x:v>Ivory black</x:v>
      </x:c>
      <x:c r="N177" t="str">
        <x:v>象牙黑</x:v>
      </x:c>
      <x:c r="O177" t="str">
        <x:v>アイボリーブラック</x:v>
      </x:c>
      <x:c r="P177" t="str"/>
      <x:c r="Q177" t="str">
        <x:v>Noir d’ivoire</x:v>
      </x:c>
      <x:c r="R177" t="str">
        <x:v>Elfenbeinschwarz</x:v>
      </x:c>
      <x:c r="S177" t="str">
        <x:v>Nero d’avorio</x:v>
      </x:c>
      <x:c r="T177" t="str">
        <x:v>Negro marfil</x:v>
      </x:c>
      <x:c r="U177" t="str"/>
      <x:c r="V177" t="str"/>
      <x:c r="W177" t="str"/>
      <x:c r="X177" t="n">
        <x:f>IF(W177="",0,LEN(W177)-LEN(SUBSTITUTE(W177,"/",""))+1)</x:f>
        <x:v>0</x:v>
      </x:c>
      <x:c r="Y177" t="str">
        <x:v>H</x:v>
      </x:c>
      <x:c r="Z177" s="32" t="n">
        <x:v>1.67</x:v>
      </x:c>
      <x:c r="AA177" s="32" t="n">
        <x:v>3</x:v>
      </x:c>
      <x:c r="AB177" s="32" t="str">
        <x:v>Blue Wool Scale / UV 150h</x:v>
      </x:c>
      <x:c r="AC177" t="str">
        <x:v>#3D3C38</x:v>
      </x:c>
      <x:c r="AD177" s="34" t="n">
        <x:v>61</x:v>
      </x:c>
      <x:c r="AE177" s="34" t="n">
        <x:v>60</x:v>
      </x:c>
      <x:c r="AF177" s="34" t="n">
        <x:v>56</x:v>
      </x:c>
      <x:c r="AG177" s="32" t="n">
        <x:v>48</x:v>
      </x:c>
      <x:c r="AH177" s="32" t="n">
        <x:v>4.27</x:v>
      </x:c>
      <x:c r="AI177" s="32" t="n">
        <x:v>22.94</x:v>
      </x:c>
      <x:c r="AJ177" s="32" t="n">
        <x:v>25.29</x:v>
      </x:c>
      <x:c r="AK177" s="32" t="n">
        <x:v>-0.44</x:v>
      </x:c>
      <x:c r="AL177" s="32" t="n">
        <x:v>2.62</x:v>
      </x:c>
      <x:c r="AM177" s="32" t="str">
        <x:v>#FFFFFF</x:v>
      </x:c>
      <x:c r="AN177" s="32" t="str">
        <x:v>White</x:v>
      </x:c>
      <x:c r="AO177" s="32" t="n">
        <x:v>11.04</x:v>
      </x:c>
      <x:c r="AP177" s="32" t="n">
        <x:v>1.9</x:v>
      </x:c>
      <x:c r="AQ177" s="32" t="n">
        <x:v>11.04</x:v>
      </x:c>
      <x:c r="AR177" s="32" t="n">
        <x:v>0.045093</x:v>
      </x:c>
      <x:c r="AS177" t="str">
        <x:v>PASS</x:v>
      </x:c>
      <x:c r="AT177" t="str">
        <x:v>--cda-pab-496</x:v>
      </x:c>
      <x:c r="AU177" t="str">
        <x:v>var(--cda-pab-496)</x:v>
      </x:c>
      <x:c r="AV177" t="str">
        <x:v>Median RGB from official PDF swatch (screen reference only)</x:v>
      </x:c>
      <x:c r="AW177" t="str">
        <x:v>https://www.carandache.com/content_files/uploaded_doc/product/10469/Colour_Chart_Pablo.pdf</x:v>
      </x:c>
      <x:c r="AX177" t="n">
        <x:v>1</x:v>
      </x:c>
      <x:c r="AY177" t="str">
        <x:v>Official</x:v>
      </x:c>
      <x:c r="AZ177" t="str">
        <x:v>Official where available; curated Traditional Chinese/Japanese otherwise</x:v>
      </x:c>
      <x:c r="BA177" t="str">
        <x:v>Verified from official chart; digital HEX is approximate</x:v>
      </x:c>
      <x:c r="BB177" t="str">
        <x:v>Physical media appearance varies by paper, pressure, layering, water and scan/display profile.</x:v>
      </x:c>
    </x:row>
    <x:row r="178">
      <x:c r="A178" t="str">
        <x:f>G178&amp;"|"&amp;L178</x:f>
        <x:v>PAB|409</x:v>
      </x:c>
      <x:c r="B178" t="str">
        <x:v>100d70ab-6add-5756-8f1d-22cbe31fac70</x:v>
      </x:c>
      <x:c r="C178" t="str">
        <x:v>CDA-PAB-409</x:v>
      </x:c>
      <x:c r="D178" t="str">
        <x:v>41364623-e3c2-523d-9478-e65b4eedf55e</x:v>
      </x:c>
      <x:c r="E178" t="str">
        <x:v>CDA-CODE-409</x:v>
      </x:c>
      <x:c r="F178" t="str">
        <x:v>Caran d’Ache</x:v>
      </x:c>
      <x:c r="G178" t="str">
        <x:v>PAB</x:v>
      </x:c>
      <x:c r="H178" t="str">
        <x:v>PABLO</x:v>
      </x:c>
      <x:c r="I178" t="str">
        <x:v>Permanent coloured pencil</x:v>
      </x:c>
      <x:c r="J178" t="str">
        <x:v>Artist</x:v>
      </x:c>
      <x:c r="K178" s="30" t="n">
        <x:v>77</x:v>
      </x:c>
      <x:c r="L178" s="30" t="str">
        <x:v>409</x:v>
      </x:c>
      <x:c r="M178" t="str">
        <x:v>Charcoal grey</x:v>
      </x:c>
      <x:c r="N178" t="str">
        <x:v>炭灰色</x:v>
      </x:c>
      <x:c r="O178" t="str">
        <x:v>チャコールグレー</x:v>
      </x:c>
      <x:c r="P178" t="str"/>
      <x:c r="Q178" t="str">
        <x:v>Anthracite</x:v>
      </x:c>
      <x:c r="R178" t="str">
        <x:v>Anthrazit</x:v>
      </x:c>
      <x:c r="S178" t="str">
        <x:v>Antracite</x:v>
      </x:c>
      <x:c r="T178" t="str">
        <x:v>Antracita</x:v>
      </x:c>
      <x:c r="U178" t="str"/>
      <x:c r="V178" t="str"/>
      <x:c r="W178" t="str"/>
      <x:c r="X178" t="n">
        <x:f>IF(W178="",0,LEN(W178)-LEN(SUBSTITUTE(W178,"/",""))+1)</x:f>
        <x:v>0</x:v>
      </x:c>
      <x:c r="Y178" t="str">
        <x:v>H</x:v>
      </x:c>
      <x:c r="Z178" s="32" t="n">
        <x:v>1.67</x:v>
      </x:c>
      <x:c r="AA178" s="32" t="n">
        <x:v>3</x:v>
      </x:c>
      <x:c r="AB178" s="32" t="str">
        <x:v>Blue Wool Scale / UV 150h</x:v>
      </x:c>
      <x:c r="AC178" t="str">
        <x:v>#544B46</x:v>
      </x:c>
      <x:c r="AD178" s="34" t="n">
        <x:v>84</x:v>
      </x:c>
      <x:c r="AE178" s="34" t="n">
        <x:v>75</x:v>
      </x:c>
      <x:c r="AF178" s="34" t="n">
        <x:v>70</x:v>
      </x:c>
      <x:c r="AG178" s="32" t="n">
        <x:v>21.43</x:v>
      </x:c>
      <x:c r="AH178" s="32" t="n">
        <x:v>9.09</x:v>
      </x:c>
      <x:c r="AI178" s="32" t="n">
        <x:v>30.2</x:v>
      </x:c>
      <x:c r="AJ178" s="32" t="n">
        <x:v>32.61</x:v>
      </x:c>
      <x:c r="AK178" s="32" t="n">
        <x:v>2.79</x:v>
      </x:c>
      <x:c r="AL178" s="32" t="n">
        <x:v>4.35</x:v>
      </x:c>
      <x:c r="AM178" s="32" t="str">
        <x:v>#FFFFFF</x:v>
      </x:c>
      <x:c r="AN178" s="32" t="str">
        <x:v>White</x:v>
      </x:c>
      <x:c r="AO178" s="32" t="n">
        <x:v>8.5</x:v>
      </x:c>
      <x:c r="AP178" s="32" t="n">
        <x:v>2.47</x:v>
      </x:c>
      <x:c r="AQ178" s="32" t="n">
        <x:v>8.5</x:v>
      </x:c>
      <x:c r="AR178" s="32" t="n">
        <x:v>0.073592</x:v>
      </x:c>
      <x:c r="AS178" t="str">
        <x:v>PASS</x:v>
      </x:c>
      <x:c r="AT178" t="str">
        <x:v>--cda-pab-409</x:v>
      </x:c>
      <x:c r="AU178" t="str">
        <x:v>var(--cda-pab-409)</x:v>
      </x:c>
      <x:c r="AV178" t="str">
        <x:v>Median RGB from official PDF swatch (screen reference only)</x:v>
      </x:c>
      <x:c r="AW178" t="str">
        <x:v>https://www.carandache.com/content_files/uploaded_doc/product/10469/Colour_Chart_Pablo.pdf</x:v>
      </x:c>
      <x:c r="AX178" t="n">
        <x:v>1</x:v>
      </x:c>
      <x:c r="AY178" t="str">
        <x:v>Official</x:v>
      </x:c>
      <x:c r="AZ178" t="str">
        <x:v>Official where available; curated Traditional Chinese/Japanese otherwise</x:v>
      </x:c>
      <x:c r="BA178" t="str">
        <x:v>Verified from official chart; digital HEX is approximate</x:v>
      </x:c>
      <x:c r="BB178" t="str">
        <x:v>Physical media appearance varies by paper, pressure, layering, water and scan/display profile.</x:v>
      </x:c>
    </x:row>
    <x:row r="179">
      <x:c r="A179" t="str">
        <x:f>G179&amp;"|"&amp;L179</x:f>
        <x:v>PAB|407</x:v>
      </x:c>
      <x:c r="B179" t="str">
        <x:v>e26ba9f4-6ffd-5e76-bbc5-bec49b69abb1</x:v>
      </x:c>
      <x:c r="C179" t="str">
        <x:v>CDA-PAB-407</x:v>
      </x:c>
      <x:c r="D179" t="str">
        <x:v>031b6d1b-99f0-5097-97b4-5f2daeaf1a50</x:v>
      </x:c>
      <x:c r="E179" t="str">
        <x:v>CDA-CODE-407</x:v>
      </x:c>
      <x:c r="F179" t="str">
        <x:v>Caran d’Ache</x:v>
      </x:c>
      <x:c r="G179" t="str">
        <x:v>PAB</x:v>
      </x:c>
      <x:c r="H179" t="str">
        <x:v>PABLO</x:v>
      </x:c>
      <x:c r="I179" t="str">
        <x:v>Permanent coloured pencil</x:v>
      </x:c>
      <x:c r="J179" t="str">
        <x:v>Artist</x:v>
      </x:c>
      <x:c r="K179" s="30" t="n">
        <x:v>78</x:v>
      </x:c>
      <x:c r="L179" s="30" t="str">
        <x:v>407</x:v>
      </x:c>
      <x:c r="M179" t="str">
        <x:v>Sepia</x:v>
      </x:c>
      <x:c r="N179" t="str">
        <x:v>深褐色</x:v>
      </x:c>
      <x:c r="O179" t="str">
        <x:v>セピア</x:v>
      </x:c>
      <x:c r="P179" t="str"/>
      <x:c r="Q179" t="str">
        <x:v>Sépia</x:v>
      </x:c>
      <x:c r="R179" t="str">
        <x:v>Sepia</x:v>
      </x:c>
      <x:c r="S179" t="str">
        <x:v>Seppia</x:v>
      </x:c>
      <x:c r="T179" t="str">
        <x:v>Sepia</x:v>
      </x:c>
      <x:c r="U179" t="str"/>
      <x:c r="V179" t="str"/>
      <x:c r="W179" t="str"/>
      <x:c r="X179" t="n">
        <x:f>IF(W179="",0,LEN(W179)-LEN(SUBSTITUTE(W179,"/",""))+1)</x:f>
        <x:v>0</x:v>
      </x:c>
      <x:c r="Y179" t="str">
        <x:v>H</x:v>
      </x:c>
      <x:c r="Z179" s="32" t="n">
        <x:v>1.67</x:v>
      </x:c>
      <x:c r="AA179" s="32" t="n">
        <x:v>3</x:v>
      </x:c>
      <x:c r="AB179" s="32" t="str">
        <x:v>Blue Wool Scale / UV 150h</x:v>
      </x:c>
      <x:c r="AC179" t="str">
        <x:v>#63524C</x:v>
      </x:c>
      <x:c r="AD179" s="34" t="n">
        <x:v>99</x:v>
      </x:c>
      <x:c r="AE179" s="34" t="n">
        <x:v>82</x:v>
      </x:c>
      <x:c r="AF179" s="34" t="n">
        <x:v>76</x:v>
      </x:c>
      <x:c r="AG179" s="32" t="n">
        <x:v>15.65</x:v>
      </x:c>
      <x:c r="AH179" s="32" t="n">
        <x:v>13.14</x:v>
      </x:c>
      <x:c r="AI179" s="32" t="n">
        <x:v>34.31</x:v>
      </x:c>
      <x:c r="AJ179" s="32" t="n">
        <x:v>36.38</x:v>
      </x:c>
      <x:c r="AK179" s="32" t="n">
        <x:v>5.98</x:v>
      </x:c>
      <x:c r="AL179" s="32" t="n">
        <x:v>6.15</x:v>
      </x:c>
      <x:c r="AM179" s="32" t="str">
        <x:v>#FFFFFF</x:v>
      </x:c>
      <x:c r="AN179" s="32" t="str">
        <x:v>White</x:v>
      </x:c>
      <x:c r="AO179" s="32" t="n">
        <x:v>7.39</x:v>
      </x:c>
      <x:c r="AP179" s="32" t="n">
        <x:v>2.84</x:v>
      </x:c>
      <x:c r="AQ179" s="32" t="n">
        <x:v>7.39</x:v>
      </x:c>
      <x:c r="AR179" s="32" t="n">
        <x:v>0.09209</x:v>
      </x:c>
      <x:c r="AS179" t="str">
        <x:v>PASS</x:v>
      </x:c>
      <x:c r="AT179" t="str">
        <x:v>--cda-pab-407</x:v>
      </x:c>
      <x:c r="AU179" t="str">
        <x:v>var(--cda-pab-407)</x:v>
      </x:c>
      <x:c r="AV179" t="str">
        <x:v>Median RGB from official PDF swatch (screen reference only)</x:v>
      </x:c>
      <x:c r="AW179" t="str">
        <x:v>https://www.carandache.com/content_files/uploaded_doc/product/10469/Colour_Chart_Pablo.pdf</x:v>
      </x:c>
      <x:c r="AX179" t="n">
        <x:v>1</x:v>
      </x:c>
      <x:c r="AY179" t="str">
        <x:v>Official</x:v>
      </x:c>
      <x:c r="AZ179" t="str">
        <x:v>Official where available; curated Traditional Chinese/Japanese otherwise</x:v>
      </x:c>
      <x:c r="BA179" t="str">
        <x:v>Verified from official chart; digital HEX is approximate</x:v>
      </x:c>
      <x:c r="BB179" t="str">
        <x:v>Physical media appearance varies by paper, pressure, layering, water and scan/display profile.</x:v>
      </x:c>
    </x:row>
    <x:row r="180">
      <x:c r="A180" t="str">
        <x:f>G180&amp;"|"&amp;L180</x:f>
        <x:v>PAB|047</x:v>
      </x:c>
      <x:c r="B180" t="str">
        <x:v>dff67d4e-8707-5c13-9502-dca93a38b558</x:v>
      </x:c>
      <x:c r="C180" t="str">
        <x:v>CDA-PAB-047</x:v>
      </x:c>
      <x:c r="D180" t="str">
        <x:v>6cac1bff-68a3-5a47-a94c-682a0339a8d5</x:v>
      </x:c>
      <x:c r="E180" t="str">
        <x:v>CDA-CODE-047</x:v>
      </x:c>
      <x:c r="F180" t="str">
        <x:v>Caran d’Ache</x:v>
      </x:c>
      <x:c r="G180" t="str">
        <x:v>PAB</x:v>
      </x:c>
      <x:c r="H180" t="str">
        <x:v>PABLO</x:v>
      </x:c>
      <x:c r="I180" t="str">
        <x:v>Permanent coloured pencil</x:v>
      </x:c>
      <x:c r="J180" t="str">
        <x:v>Artist</x:v>
      </x:c>
      <x:c r="K180" s="30" t="n">
        <x:v>79</x:v>
      </x:c>
      <x:c r="L180" s="30" t="str">
        <x:v>047</x:v>
      </x:c>
      <x:c r="M180" t="str">
        <x:v>Bistre</x:v>
      </x:c>
      <x:c r="N180" t="str">
        <x:v>煙褐色</x:v>
      </x:c>
      <x:c r="O180" t="str">
        <x:v>ビスター</x:v>
      </x:c>
      <x:c r="P180" t="str"/>
      <x:c r="Q180" t="str">
        <x:v>Bistre</x:v>
      </x:c>
      <x:c r="R180" t="str">
        <x:v>Bister</x:v>
      </x:c>
      <x:c r="S180" t="str">
        <x:v>Bistro</x:v>
      </x:c>
      <x:c r="T180" t="str">
        <x:v>Bistre</x:v>
      </x:c>
      <x:c r="U180" t="str"/>
      <x:c r="V180" t="str"/>
      <x:c r="W180" t="str"/>
      <x:c r="X180" t="n">
        <x:f>IF(W180="",0,LEN(W180)-LEN(SUBSTITUTE(W180,"/",""))+1)</x:f>
        <x:v>0</x:v>
      </x:c>
      <x:c r="Y180" t="str">
        <x:v>H</x:v>
      </x:c>
      <x:c r="Z180" s="32" t="n">
        <x:v>1.67</x:v>
      </x:c>
      <x:c r="AA180" s="32" t="n">
        <x:v>3</x:v>
      </x:c>
      <x:c r="AB180" s="32" t="str">
        <x:v>Blue Wool Scale / UV 150h</x:v>
      </x:c>
      <x:c r="AC180" t="str">
        <x:v>#674B44</x:v>
      </x:c>
      <x:c r="AD180" s="34" t="n">
        <x:v>103</x:v>
      </x:c>
      <x:c r="AE180" s="34" t="n">
        <x:v>75</x:v>
      </x:c>
      <x:c r="AF180" s="34" t="n">
        <x:v>68</x:v>
      </x:c>
      <x:c r="AG180" s="32" t="n">
        <x:v>12</x:v>
      </x:c>
      <x:c r="AH180" s="32" t="n">
        <x:v>20.47</x:v>
      </x:c>
      <x:c r="AI180" s="32" t="n">
        <x:v>33.53</x:v>
      </x:c>
      <x:c r="AJ180" s="32" t="n">
        <x:v>34.67</x:v>
      </x:c>
      <x:c r="AK180" s="32" t="n">
        <x:v>10.79</x:v>
      </x:c>
      <x:c r="AL180" s="32" t="n">
        <x:v>8.82</x:v>
      </x:c>
      <x:c r="AM180" s="32" t="str">
        <x:v>#FFFFFF</x:v>
      </x:c>
      <x:c r="AN180" s="32" t="str">
        <x:v>White</x:v>
      </x:c>
      <x:c r="AO180" s="32" t="n">
        <x:v>7.88</x:v>
      </x:c>
      <x:c r="AP180" s="32" t="n">
        <x:v>2.67</x:v>
      </x:c>
      <x:c r="AQ180" s="32" t="n">
        <x:v>7.88</x:v>
      </x:c>
      <x:c r="AR180" s="32" t="n">
        <x:v>0.083331</x:v>
      </x:c>
      <x:c r="AS180" t="str">
        <x:v>PASS</x:v>
      </x:c>
      <x:c r="AT180" t="str">
        <x:v>--cda-pab-047</x:v>
      </x:c>
      <x:c r="AU180" t="str">
        <x:v>var(--cda-pab-047)</x:v>
      </x:c>
      <x:c r="AV180" t="str">
        <x:v>Median RGB from official PDF swatch (screen reference only)</x:v>
      </x:c>
      <x:c r="AW180" t="str">
        <x:v>https://www.carandache.com/content_files/uploaded_doc/product/10469/Colour_Chart_Pablo.pdf</x:v>
      </x:c>
      <x:c r="AX180" t="n">
        <x:v>1</x:v>
      </x:c>
      <x:c r="AY180" t="str">
        <x:v>Official</x:v>
      </x:c>
      <x:c r="AZ180" t="str">
        <x:v>Official where available; curated Traditional Chinese/Japanese otherwise</x:v>
      </x:c>
      <x:c r="BA180" t="str">
        <x:v>Verified from official chart; digital HEX is approximate</x:v>
      </x:c>
      <x:c r="BB180" t="str">
        <x:v>Physical media appearance varies by paper, pressure, layering, water and scan/display profile.</x:v>
      </x:c>
    </x:row>
    <x:row r="181">
      <x:c r="A181" t="str">
        <x:f>G181&amp;"|"&amp;L181</x:f>
        <x:v>PAB|405</x:v>
      </x:c>
      <x:c r="B181" t="str">
        <x:v>cb63e1ee-cf8f-5603-b9fd-a9d469fe7907</x:v>
      </x:c>
      <x:c r="C181" t="str">
        <x:v>CDA-PAB-405</x:v>
      </x:c>
      <x:c r="D181" t="str">
        <x:v>6e05dd60-a9ff-5683-a982-bbf95922269e</x:v>
      </x:c>
      <x:c r="E181" t="str">
        <x:v>CDA-CODE-405</x:v>
      </x:c>
      <x:c r="F181" t="str">
        <x:v>Caran d’Ache</x:v>
      </x:c>
      <x:c r="G181" t="str">
        <x:v>PAB</x:v>
      </x:c>
      <x:c r="H181" t="str">
        <x:v>PABLO</x:v>
      </x:c>
      <x:c r="I181" t="str">
        <x:v>Permanent coloured pencil</x:v>
      </x:c>
      <x:c r="J181" t="str">
        <x:v>Artist</x:v>
      </x:c>
      <x:c r="K181" s="30" t="n">
        <x:v>80</x:v>
      </x:c>
      <x:c r="L181" s="30" t="str">
        <x:v>405</x:v>
      </x:c>
      <x:c r="M181" t="str">
        <x:v>Cocoa</x:v>
      </x:c>
      <x:c r="N181" t="str">
        <x:v>可可棕</x:v>
      </x:c>
      <x:c r="O181" t="str">
        <x:v>ココア</x:v>
      </x:c>
      <x:c r="P181" t="str"/>
      <x:c r="Q181" t="str">
        <x:v>Beige foncé</x:v>
      </x:c>
      <x:c r="R181" t="str">
        <x:v>Dunkelbeige</x:v>
      </x:c>
      <x:c r="S181" t="str">
        <x:v>Beige scuro</x:v>
      </x:c>
      <x:c r="T181" t="str">
        <x:v>Beige oscuro</x:v>
      </x:c>
      <x:c r="U181" t="str"/>
      <x:c r="V181" t="str"/>
      <x:c r="W181" t="str"/>
      <x:c r="X181" t="n">
        <x:f>IF(W181="",0,LEN(W181)-LEN(SUBSTITUTE(W181,"/",""))+1)</x:f>
        <x:v>0</x:v>
      </x:c>
      <x:c r="Y181" t="str">
        <x:v>H</x:v>
      </x:c>
      <x:c r="Z181" s="32" t="n">
        <x:v>1.67</x:v>
      </x:c>
      <x:c r="AA181" s="32" t="n">
        <x:v>3</x:v>
      </x:c>
      <x:c r="AB181" s="32" t="str">
        <x:v>Blue Wool Scale / UV 150h</x:v>
      </x:c>
      <x:c r="AC181" t="str">
        <x:v>#7E695E</x:v>
      </x:c>
      <x:c r="AD181" s="34" t="n">
        <x:v>126</x:v>
      </x:c>
      <x:c r="AE181" s="34" t="n">
        <x:v>105</x:v>
      </x:c>
      <x:c r="AF181" s="34" t="n">
        <x:v>94</x:v>
      </x:c>
      <x:c r="AG181" s="32" t="n">
        <x:v>20.62</x:v>
      </x:c>
      <x:c r="AH181" s="32" t="n">
        <x:v>14.55</x:v>
      </x:c>
      <x:c r="AI181" s="32" t="n">
        <x:v>43.14</x:v>
      </x:c>
      <x:c r="AJ181" s="32" t="n">
        <x:v>46.11</x:v>
      </x:c>
      <x:c r="AK181" s="32" t="n">
        <x:v>6.5</x:v>
      </x:c>
      <x:c r="AL181" s="32" t="n">
        <x:v>9.3</x:v>
      </x:c>
      <x:c r="AM181" s="32" t="str">
        <x:v>#FFFFFF</x:v>
      </x:c>
      <x:c r="AN181" s="32" t="str">
        <x:v>White</x:v>
      </x:c>
      <x:c r="AO181" s="32" t="n">
        <x:v>5.16</x:v>
      </x:c>
      <x:c r="AP181" s="32" t="n">
        <x:v>4.07</x:v>
      </x:c>
      <x:c r="AQ181" s="32" t="n">
        <x:v>5.16</x:v>
      </x:c>
      <x:c r="AR181" s="32" t="n">
        <x:v>0.153469</x:v>
      </x:c>
      <x:c r="AS181" t="str">
        <x:v>PASS</x:v>
      </x:c>
      <x:c r="AT181" t="str">
        <x:v>--cda-pab-405</x:v>
      </x:c>
      <x:c r="AU181" t="str">
        <x:v>var(--cda-pab-405)</x:v>
      </x:c>
      <x:c r="AV181" t="str">
        <x:v>Median RGB from official PDF swatch (screen reference only)</x:v>
      </x:c>
      <x:c r="AW181" t="str">
        <x:v>https://www.carandache.com/content_files/uploaded_doc/product/10469/Colour_Chart_Pablo.pdf</x:v>
      </x:c>
      <x:c r="AX181" t="n">
        <x:v>1</x:v>
      </x:c>
      <x:c r="AY181" t="str">
        <x:v>Official</x:v>
      </x:c>
      <x:c r="AZ181" t="str">
        <x:v>Official where available; curated Traditional Chinese/Japanese otherwise</x:v>
      </x:c>
      <x:c r="BA181" t="str">
        <x:v>Verified from official chart; digital HEX is approximate</x:v>
      </x:c>
      <x:c r="BB181" t="str">
        <x:v>Physical media appearance varies by paper, pressure, layering, water and scan/display profile.</x:v>
      </x:c>
    </x:row>
    <x:row r="182">
      <x:c r="A182" t="str">
        <x:f>G182&amp;"|"&amp;L182</x:f>
        <x:v>PAB|160</x:v>
      </x:c>
      <x:c r="B182" t="str">
        <x:v>8139ba42-af49-5fda-9059-92a1f8181bc1</x:v>
      </x:c>
      <x:c r="C182" t="str">
        <x:v>CDA-PAB-160</x:v>
      </x:c>
      <x:c r="D182" t="str">
        <x:v>c7d32486-36fc-53aa-995f-bd6f486d3f37</x:v>
      </x:c>
      <x:c r="E182" t="str">
        <x:v>CDA-CODE-160</x:v>
      </x:c>
      <x:c r="F182" t="str">
        <x:v>Caran d’Ache</x:v>
      </x:c>
      <x:c r="G182" t="str">
        <x:v>PAB</x:v>
      </x:c>
      <x:c r="H182" t="str">
        <x:v>PABLO</x:v>
      </x:c>
      <x:c r="I182" t="str">
        <x:v>Permanent coloured pencil</x:v>
      </x:c>
      <x:c r="J182" t="str">
        <x:v>Artist</x:v>
      </x:c>
      <x:c r="K182" s="30" t="n">
        <x:v>81</x:v>
      </x:c>
      <x:c r="L182" s="30" t="str">
        <x:v>160</x:v>
      </x:c>
      <x:c r="M182" t="str">
        <x:v>Cobalt blue (hue)</x:v>
      </x:c>
      <x:c r="N182" t="str">
        <x:v>鈷藍（色相）</x:v>
      </x:c>
      <x:c r="O182" t="str">
        <x:v>コバルトブルー（ヒュー）</x:v>
      </x:c>
      <x:c r="P182" t="str"/>
      <x:c r="Q182" t="str">
        <x:v>Bleu de cobalt (imit.)</x:v>
      </x:c>
      <x:c r="R182" t="str">
        <x:v>Kobaltblau (sub)</x:v>
      </x:c>
      <x:c r="S182" t="str">
        <x:v>Blu cobalto</x:v>
      </x:c>
      <x:c r="T182" t="str">
        <x:v>Azul cobalto</x:v>
      </x:c>
      <x:c r="U182" t="str"/>
      <x:c r="V182" t="str"/>
      <x:c r="W182" t="str"/>
      <x:c r="X182" t="n">
        <x:f>IF(W182="",0,LEN(W182)-LEN(SUBSTITUTE(W182,"/",""))+1)</x:f>
        <x:v>0</x:v>
      </x:c>
      <x:c r="Y182" t="str">
        <x:v>H</x:v>
      </x:c>
      <x:c r="Z182" s="32" t="n">
        <x:v>1.67</x:v>
      </x:c>
      <x:c r="AA182" s="32" t="n">
        <x:v>3</x:v>
      </x:c>
      <x:c r="AB182" s="32" t="str">
        <x:v>Blue Wool Scale / UV 150h</x:v>
      </x:c>
      <x:c r="AC182" t="str">
        <x:v>#0384B1</x:v>
      </x:c>
      <x:c r="AD182" s="34" t="n">
        <x:v>3</x:v>
      </x:c>
      <x:c r="AE182" s="34" t="n">
        <x:v>132</x:v>
      </x:c>
      <x:c r="AF182" s="34" t="n">
        <x:v>177</x:v>
      </x:c>
      <x:c r="AG182" s="32" t="n">
        <x:v>195.52</x:v>
      </x:c>
      <x:c r="AH182" s="32" t="n">
        <x:v>96.67</x:v>
      </x:c>
      <x:c r="AI182" s="32" t="n">
        <x:v>35.29</x:v>
      </x:c>
      <x:c r="AJ182" s="32" t="n">
        <x:v>51.49</x:v>
      </x:c>
      <x:c r="AK182" s="32" t="n">
        <x:v>-13.56</x:v>
      </x:c>
      <x:c r="AL182" s="32" t="n">
        <x:v>-32.1</x:v>
      </x:c>
      <x:c r="AM182" s="32" t="str">
        <x:v>#000000</x:v>
      </x:c>
      <x:c r="AN182" s="32" t="str">
        <x:v>Black</x:v>
      </x:c>
      <x:c r="AO182" s="32" t="n">
        <x:v>4.94</x:v>
      </x:c>
      <x:c r="AP182" s="32" t="n">
        <x:v>4.94</x:v>
      </x:c>
      <x:c r="AQ182" s="32" t="n">
        <x:v>4.25</x:v>
      </x:c>
      <x:c r="AR182" s="32" t="n">
        <x:v>0.196962</x:v>
      </x:c>
      <x:c r="AS182" t="str">
        <x:v>PASS</x:v>
      </x:c>
      <x:c r="AT182" t="str">
        <x:v>--cda-pab-160</x:v>
      </x:c>
      <x:c r="AU182" t="str">
        <x:v>var(--cda-pab-160)</x:v>
      </x:c>
      <x:c r="AV182" t="str">
        <x:v>Median RGB from official PDF swatch (screen reference only)</x:v>
      </x:c>
      <x:c r="AW182" t="str">
        <x:v>https://www.carandache.com/content_files/uploaded_doc/product/10469/Colour_Chart_Pablo.pdf</x:v>
      </x:c>
      <x:c r="AX182" t="n">
        <x:v>1</x:v>
      </x:c>
      <x:c r="AY182" t="str">
        <x:v>Official</x:v>
      </x:c>
      <x:c r="AZ182" t="str">
        <x:v>Official where available; curated Traditional Chinese/Japanese otherwise</x:v>
      </x:c>
      <x:c r="BA182" t="str">
        <x:v>Verified from official chart; digital HEX is approximate</x:v>
      </x:c>
      <x:c r="BB182" t="str">
        <x:v>Physical media appearance varies by paper, pressure, layering, water and scan/display profile.</x:v>
      </x:c>
    </x:row>
    <x:row r="183">
      <x:c r="A183" t="str">
        <x:f>G183&amp;"|"&amp;L183</x:f>
        <x:v>PAB|170</x:v>
      </x:c>
      <x:c r="B183" t="str">
        <x:v>fb66d4a8-961e-5990-941e-63df5b14995e</x:v>
      </x:c>
      <x:c r="C183" t="str">
        <x:v>CDA-PAB-170</x:v>
      </x:c>
      <x:c r="D183" t="str">
        <x:v>60cfb7af-26b5-51df-845a-1aedc11011c5</x:v>
      </x:c>
      <x:c r="E183" t="str">
        <x:v>CDA-CODE-170</x:v>
      </x:c>
      <x:c r="F183" t="str">
        <x:v>Caran d’Ache</x:v>
      </x:c>
      <x:c r="G183" t="str">
        <x:v>PAB</x:v>
      </x:c>
      <x:c r="H183" t="str">
        <x:v>PABLO</x:v>
      </x:c>
      <x:c r="I183" t="str">
        <x:v>Permanent coloured pencil</x:v>
      </x:c>
      <x:c r="J183" t="str">
        <x:v>Artist</x:v>
      </x:c>
      <x:c r="K183" s="30" t="n">
        <x:v>82</x:v>
      </x:c>
      <x:c r="L183" s="30" t="str">
        <x:v>170</x:v>
      </x:c>
      <x:c r="M183" t="str">
        <x:v>Azurite blue</x:v>
      </x:c>
      <x:c r="N183" t="str">
        <x:v>藍銅礦藍</x:v>
      </x:c>
      <x:c r="O183" t="str">
        <x:v>アズライトブルー</x:v>
      </x:c>
      <x:c r="P183" t="str"/>
      <x:c r="Q183" t="str">
        <x:v>Bleu azur</x:v>
      </x:c>
      <x:c r="R183" t="str">
        <x:v>Azurblau</x:v>
      </x:c>
      <x:c r="S183" t="str">
        <x:v>Azzurro cyan</x:v>
      </x:c>
      <x:c r="T183" t="str">
        <x:v>Azur</x:v>
      </x:c>
      <x:c r="U183" t="str"/>
      <x:c r="V183" t="str"/>
      <x:c r="W183" t="str"/>
      <x:c r="X183" t="n">
        <x:f>IF(W183="",0,LEN(W183)-LEN(SUBSTITUTE(W183,"/",""))+1)</x:f>
        <x:v>0</x:v>
      </x:c>
      <x:c r="Y183" t="str">
        <x:v>H</x:v>
      </x:c>
      <x:c r="Z183" s="32" t="n">
        <x:v>1.67</x:v>
      </x:c>
      <x:c r="AA183" s="32" t="n">
        <x:v>3</x:v>
      </x:c>
      <x:c r="AB183" s="32" t="str">
        <x:v>Blue Wool Scale / UV 150h</x:v>
      </x:c>
      <x:c r="AC183" t="str">
        <x:v>#0390A4</x:v>
      </x:c>
      <x:c r="AD183" s="34" t="n">
        <x:v>3</x:v>
      </x:c>
      <x:c r="AE183" s="34" t="n">
        <x:v>144</x:v>
      </x:c>
      <x:c r="AF183" s="34" t="n">
        <x:v>164</x:v>
      </x:c>
      <x:c r="AG183" s="32" t="n">
        <x:v>187.45</x:v>
      </x:c>
      <x:c r="AH183" s="32" t="n">
        <x:v>96.41</x:v>
      </x:c>
      <x:c r="AI183" s="32" t="n">
        <x:v>32.75</x:v>
      </x:c>
      <x:c r="AJ183" s="32" t="n">
        <x:v>54.7</x:v>
      </x:c>
      <x:c r="AK183" s="32" t="n">
        <x:v>-24.66</x:v>
      </x:c>
      <x:c r="AL183" s="32" t="n">
        <x:v>-19.65</x:v>
      </x:c>
      <x:c r="AM183" s="32" t="str">
        <x:v>#000000</x:v>
      </x:c>
      <x:c r="AN183" s="32" t="str">
        <x:v>Black</x:v>
      </x:c>
      <x:c r="AO183" s="32" t="n">
        <x:v>5.53</x:v>
      </x:c>
      <x:c r="AP183" s="32" t="n">
        <x:v>5.53</x:v>
      </x:c>
      <x:c r="AQ183" s="32" t="n">
        <x:v>3.8</x:v>
      </x:c>
      <x:c r="AR183" s="32" t="n">
        <x:v>0.226462</x:v>
      </x:c>
      <x:c r="AS183" t="str">
        <x:v>PASS</x:v>
      </x:c>
      <x:c r="AT183" t="str">
        <x:v>--cda-pab-170</x:v>
      </x:c>
      <x:c r="AU183" t="str">
        <x:v>var(--cda-pab-170)</x:v>
      </x:c>
      <x:c r="AV183" t="str">
        <x:v>Median RGB from official PDF swatch (screen reference only)</x:v>
      </x:c>
      <x:c r="AW183" t="str">
        <x:v>https://www.carandache.com/content_files/uploaded_doc/product/10469/Colour_Chart_Pablo.pdf</x:v>
      </x:c>
      <x:c r="AX183" t="n">
        <x:v>1</x:v>
      </x:c>
      <x:c r="AY183" t="str">
        <x:v>Official</x:v>
      </x:c>
      <x:c r="AZ183" t="str">
        <x:v>Official where available; curated Traditional Chinese/Japanese otherwise</x:v>
      </x:c>
      <x:c r="BA183" t="str">
        <x:v>Verified from official chart; digital HEX is approximate</x:v>
      </x:c>
      <x:c r="BB183" t="str">
        <x:v>Physical media appearance varies by paper, pressure, layering, water and scan/display profile.</x:v>
      </x:c>
    </x:row>
    <x:row r="184">
      <x:c r="A184" t="str">
        <x:f>G184&amp;"|"&amp;L184</x:f>
        <x:v>PAB|180</x:v>
      </x:c>
      <x:c r="B184" t="str">
        <x:v>cbb7ef0e-7bbe-50ec-a4b4-78b3dfb0154b</x:v>
      </x:c>
      <x:c r="C184" t="str">
        <x:v>CDA-PAB-180</x:v>
      </x:c>
      <x:c r="D184" t="str">
        <x:v>4231c496-9609-55e3-b7b2-f62a8cae5f25</x:v>
      </x:c>
      <x:c r="E184" t="str">
        <x:v>CDA-CODE-180</x:v>
      </x:c>
      <x:c r="F184" t="str">
        <x:v>Caran d’Ache</x:v>
      </x:c>
      <x:c r="G184" t="str">
        <x:v>PAB</x:v>
      </x:c>
      <x:c r="H184" t="str">
        <x:v>PABLO</x:v>
      </x:c>
      <x:c r="I184" t="str">
        <x:v>Permanent coloured pencil</x:v>
      </x:c>
      <x:c r="J184" t="str">
        <x:v>Artist</x:v>
      </x:c>
      <x:c r="K184" s="30" t="n">
        <x:v>83</x:v>
      </x:c>
      <x:c r="L184" s="30" t="str">
        <x:v>180</x:v>
      </x:c>
      <x:c r="M184" t="str">
        <x:v>Malachite green</x:v>
      </x:c>
      <x:c r="N184" t="str">
        <x:v>孔雀石綠</x:v>
      </x:c>
      <x:c r="O184" t="str">
        <x:v>マラカイトグリーン</x:v>
      </x:c>
      <x:c r="P184" t="str"/>
      <x:c r="Q184" t="str">
        <x:v>Vert malachite</x:v>
      </x:c>
      <x:c r="R184" t="str">
        <x:v>Malachitgrün</x:v>
      </x:c>
      <x:c r="S184" t="str">
        <x:v>Verde malachite</x:v>
      </x:c>
      <x:c r="T184" t="str">
        <x:v>Verde malaquita</x:v>
      </x:c>
      <x:c r="U184" t="str"/>
      <x:c r="V184" t="str"/>
      <x:c r="W184" t="str"/>
      <x:c r="X184" t="n">
        <x:f>IF(W184="",0,LEN(W184)-LEN(SUBSTITUTE(W184,"/",""))+1)</x:f>
        <x:v>0</x:v>
      </x:c>
      <x:c r="Y184" t="str">
        <x:v>H</x:v>
      </x:c>
      <x:c r="Z184" s="32" t="n">
        <x:v>1.67</x:v>
      </x:c>
      <x:c r="AA184" s="32" t="n">
        <x:v>3</x:v>
      </x:c>
      <x:c r="AB184" s="32" t="str">
        <x:v>Blue Wool Scale / UV 150h</x:v>
      </x:c>
      <x:c r="AC184" t="str">
        <x:v>#058B9B</x:v>
      </x:c>
      <x:c r="AD184" s="34" t="n">
        <x:v>5</x:v>
      </x:c>
      <x:c r="AE184" s="34" t="n">
        <x:v>139</x:v>
      </x:c>
      <x:c r="AF184" s="34" t="n">
        <x:v>155</x:v>
      </x:c>
      <x:c r="AG184" s="32" t="n">
        <x:v>186.4</x:v>
      </x:c>
      <x:c r="AH184" s="32" t="n">
        <x:v>93.75</x:v>
      </x:c>
      <x:c r="AI184" s="32" t="n">
        <x:v>31.37</x:v>
      </x:c>
      <x:c r="AJ184" s="32" t="n">
        <x:v>52.8</x:v>
      </x:c>
      <x:c r="AK184" s="32" t="n">
        <x:v>-25.09</x:v>
      </x:c>
      <x:c r="AL184" s="32" t="n">
        <x:v>-17.37</x:v>
      </x:c>
      <x:c r="AM184" s="32" t="str">
        <x:v>#000000</x:v>
      </x:c>
      <x:c r="AN184" s="32" t="str">
        <x:v>Black</x:v>
      </x:c>
      <x:c r="AO184" s="32" t="n">
        <x:v>5.17</x:v>
      </x:c>
      <x:c r="AP184" s="32" t="n">
        <x:v>5.17</x:v>
      </x:c>
      <x:c r="AQ184" s="32" t="n">
        <x:v>4.06</x:v>
      </x:c>
      <x:c r="AR184" s="32" t="n">
        <x:v>0.208641</x:v>
      </x:c>
      <x:c r="AS184" t="str">
        <x:v>PASS</x:v>
      </x:c>
      <x:c r="AT184" t="str">
        <x:v>--cda-pab-180</x:v>
      </x:c>
      <x:c r="AU184" t="str">
        <x:v>var(--cda-pab-180)</x:v>
      </x:c>
      <x:c r="AV184" t="str">
        <x:v>Median RGB from official PDF swatch (screen reference only)</x:v>
      </x:c>
      <x:c r="AW184" t="str">
        <x:v>https://www.carandache.com/content_files/uploaded_doc/product/10469/Colour_Chart_Pablo.pdf</x:v>
      </x:c>
      <x:c r="AX184" t="n">
        <x:v>1</x:v>
      </x:c>
      <x:c r="AY184" t="str">
        <x:v>Official</x:v>
      </x:c>
      <x:c r="AZ184" t="str">
        <x:v>Official where available; curated Traditional Chinese/Japanese otherwise</x:v>
      </x:c>
      <x:c r="BA184" t="str">
        <x:v>Verified from official chart; digital HEX is approximate</x:v>
      </x:c>
      <x:c r="BB184" t="str">
        <x:v>Physical media appearance varies by paper, pressure, layering, water and scan/display profile.</x:v>
      </x:c>
    </x:row>
    <x:row r="185">
      <x:c r="A185" t="str">
        <x:f>G185&amp;"|"&amp;L185</x:f>
        <x:v>PAB|190</x:v>
      </x:c>
      <x:c r="B185" t="str">
        <x:v>f4328feb-e7dd-5a61-a110-813b621551a4</x:v>
      </x:c>
      <x:c r="C185" t="str">
        <x:v>CDA-PAB-190</x:v>
      </x:c>
      <x:c r="D185" t="str">
        <x:v>d91a39dc-f93b-5b8b-a953-a353d4f54b4e</x:v>
      </x:c>
      <x:c r="E185" t="str">
        <x:v>CDA-CODE-190</x:v>
      </x:c>
      <x:c r="F185" t="str">
        <x:v>Caran d’Ache</x:v>
      </x:c>
      <x:c r="G185" t="str">
        <x:v>PAB</x:v>
      </x:c>
      <x:c r="H185" t="str">
        <x:v>PABLO</x:v>
      </x:c>
      <x:c r="I185" t="str">
        <x:v>Permanent coloured pencil</x:v>
      </x:c>
      <x:c r="J185" t="str">
        <x:v>Artist</x:v>
      </x:c>
      <x:c r="K185" s="30" t="n">
        <x:v>84</x:v>
      </x:c>
      <x:c r="L185" s="30" t="str">
        <x:v>190</x:v>
      </x:c>
      <x:c r="M185" t="str">
        <x:v>Greenish blue</x:v>
      </x:c>
      <x:c r="N185" t="str">
        <x:v>綠藍色</x:v>
      </x:c>
      <x:c r="O185" t="str">
        <x:v>グリーニッシュブルー</x:v>
      </x:c>
      <x:c r="P185" t="str"/>
      <x:c r="Q185" t="str">
        <x:v>Bleu verdâtre</x:v>
      </x:c>
      <x:c r="R185" t="str">
        <x:v>Grünblau</x:v>
      </x:c>
      <x:c r="S185" t="str">
        <x:v>Blu verdastro</x:v>
      </x:c>
      <x:c r="T185" t="str">
        <x:v>Azul verdoso</x:v>
      </x:c>
      <x:c r="U185" t="str"/>
      <x:c r="V185" t="str"/>
      <x:c r="W185" t="str"/>
      <x:c r="X185" t="n">
        <x:f>IF(W185="",0,LEN(W185)-LEN(SUBSTITUTE(W185,"/",""))+1)</x:f>
        <x:v>0</x:v>
      </x:c>
      <x:c r="Y185" t="str">
        <x:v>H</x:v>
      </x:c>
      <x:c r="Z185" s="32" t="n">
        <x:v>1.67</x:v>
      </x:c>
      <x:c r="AA185" s="32" t="n">
        <x:v>3</x:v>
      </x:c>
      <x:c r="AB185" s="32" t="str">
        <x:v>Blue Wool Scale / UV 150h</x:v>
      </x:c>
      <x:c r="AC185" t="str">
        <x:v>#037F7D</x:v>
      </x:c>
      <x:c r="AD185" s="34" t="n">
        <x:v>3</x:v>
      </x:c>
      <x:c r="AE185" s="34" t="n">
        <x:v>127</x:v>
      </x:c>
      <x:c r="AF185" s="34" t="n">
        <x:v>125</x:v>
      </x:c>
      <x:c r="AG185" s="32" t="n">
        <x:v>179.03</x:v>
      </x:c>
      <x:c r="AH185" s="32" t="n">
        <x:v>95.38</x:v>
      </x:c>
      <x:c r="AI185" s="32" t="n">
        <x:v>25.49</x:v>
      </x:c>
      <x:c r="AJ185" s="32" t="n">
        <x:v>47.85</x:v>
      </x:c>
      <x:c r="AK185" s="32" t="n">
        <x:v>-29.17</x:v>
      </x:c>
      <x:c r="AL185" s="32" t="n">
        <x:v>-7.31</x:v>
      </x:c>
      <x:c r="AM185" s="32" t="str">
        <x:v>#FFFFFF</x:v>
      </x:c>
      <x:c r="AN185" s="32" t="str">
        <x:v>White</x:v>
      </x:c>
      <x:c r="AO185" s="32" t="n">
        <x:v>4.84</x:v>
      </x:c>
      <x:c r="AP185" s="32" t="n">
        <x:v>4.34</x:v>
      </x:c>
      <x:c r="AQ185" s="32" t="n">
        <x:v>4.84</x:v>
      </x:c>
      <x:c r="AR185" s="32" t="n">
        <x:v>0.166788</x:v>
      </x:c>
      <x:c r="AS185" t="str">
        <x:v>PASS</x:v>
      </x:c>
      <x:c r="AT185" t="str">
        <x:v>--cda-pab-190</x:v>
      </x:c>
      <x:c r="AU185" t="str">
        <x:v>var(--cda-pab-190)</x:v>
      </x:c>
      <x:c r="AV185" t="str">
        <x:v>Median RGB from official PDF swatch (screen reference only)</x:v>
      </x:c>
      <x:c r="AW185" t="str">
        <x:v>https://www.carandache.com/content_files/uploaded_doc/product/10469/Colour_Chart_Pablo.pdf</x:v>
      </x:c>
      <x:c r="AX185" t="n">
        <x:v>1</x:v>
      </x:c>
      <x:c r="AY185" t="str">
        <x:v>Official</x:v>
      </x:c>
      <x:c r="AZ185" t="str">
        <x:v>Official where available; curated Traditional Chinese/Japanese otherwise</x:v>
      </x:c>
      <x:c r="BA185" t="str">
        <x:v>Verified from official chart; digital HEX is approximate</x:v>
      </x:c>
      <x:c r="BB185" t="str">
        <x:v>Physical media appearance varies by paper, pressure, layering, water and scan/display profile.</x:v>
      </x:c>
    </x:row>
    <x:row r="186">
      <x:c r="A186" t="str">
        <x:f>G186&amp;"|"&amp;L186</x:f>
        <x:v>PAB|195</x:v>
      </x:c>
      <x:c r="B186" t="str">
        <x:v>93d1874a-dd76-57b9-9e61-a3b1bb01ca4a</x:v>
      </x:c>
      <x:c r="C186" t="str">
        <x:v>CDA-PAB-195</x:v>
      </x:c>
      <x:c r="D186" t="str">
        <x:v>9d26ba70-2933-5d48-92be-1fd1287b451c</x:v>
      </x:c>
      <x:c r="E186" t="str">
        <x:v>CDA-CODE-195</x:v>
      </x:c>
      <x:c r="F186" t="str">
        <x:v>Caran d’Ache</x:v>
      </x:c>
      <x:c r="G186" t="str">
        <x:v>PAB</x:v>
      </x:c>
      <x:c r="H186" t="str">
        <x:v>PABLO</x:v>
      </x:c>
      <x:c r="I186" t="str">
        <x:v>Permanent coloured pencil</x:v>
      </x:c>
      <x:c r="J186" t="str">
        <x:v>Artist</x:v>
      </x:c>
      <x:c r="K186" s="30" t="n">
        <x:v>85</x:v>
      </x:c>
      <x:c r="L186" s="30" t="str">
        <x:v>195</x:v>
      </x:c>
      <x:c r="M186" t="str">
        <x:v>Opaline green</x:v>
      </x:c>
      <x:c r="N186" t="str">
        <x:v>乳白綠</x:v>
      </x:c>
      <x:c r="O186" t="str">
        <x:v>オパリングリーン</x:v>
      </x:c>
      <x:c r="P186" t="str"/>
      <x:c r="Q186" t="str">
        <x:v>Vert opale</x:v>
      </x:c>
      <x:c r="R186" t="str">
        <x:v>Opalgrün</x:v>
      </x:c>
      <x:c r="S186" t="str">
        <x:v>Verde opalino</x:v>
      </x:c>
      <x:c r="T186" t="str">
        <x:v>Verde opalino</x:v>
      </x:c>
      <x:c r="U186" t="str"/>
      <x:c r="V186" t="str"/>
      <x:c r="W186" t="str"/>
      <x:c r="X186" t="n">
        <x:f>IF(W186="",0,LEN(W186)-LEN(SUBSTITUTE(W186,"/",""))+1)</x:f>
        <x:v>0</x:v>
      </x:c>
      <x:c r="Y186" t="str">
        <x:v>H</x:v>
      </x:c>
      <x:c r="Z186" s="32" t="n">
        <x:v>1.67</x:v>
      </x:c>
      <x:c r="AA186" s="32" t="n">
        <x:v>3</x:v>
      </x:c>
      <x:c r="AB186" s="32" t="str">
        <x:v>Blue Wool Scale / UV 150h</x:v>
      </x:c>
      <x:c r="AC186" t="str">
        <x:v>#049C99</x:v>
      </x:c>
      <x:c r="AD186" s="34" t="n">
        <x:v>4</x:v>
      </x:c>
      <x:c r="AE186" s="34" t="n">
        <x:v>156</x:v>
      </x:c>
      <x:c r="AF186" s="34" t="n">
        <x:v>153</x:v>
      </x:c>
      <x:c r="AG186" s="32" t="n">
        <x:v>178.82</x:v>
      </x:c>
      <x:c r="AH186" s="32" t="n">
        <x:v>95</x:v>
      </x:c>
      <x:c r="AI186" s="32" t="n">
        <x:v>31.37</x:v>
      </x:c>
      <x:c r="AJ186" s="32" t="n">
        <x:v>58.13</x:v>
      </x:c>
      <x:c r="AK186" s="32" t="n">
        <x:v>-34.09</x:v>
      </x:c>
      <x:c r="AL186" s="32" t="n">
        <x:v>-8.19</x:v>
      </x:c>
      <x:c r="AM186" s="32" t="str">
        <x:v>#000000</x:v>
      </x:c>
      <x:c r="AN186" s="32" t="str">
        <x:v>Black</x:v>
      </x:c>
      <x:c r="AO186" s="32" t="n">
        <x:v>6.22</x:v>
      </x:c>
      <x:c r="AP186" s="32" t="n">
        <x:v>6.22</x:v>
      </x:c>
      <x:c r="AQ186" s="32" t="n">
        <x:v>3.38</x:v>
      </x:c>
      <x:c r="AR186" s="32" t="n">
        <x:v>0.261027</x:v>
      </x:c>
      <x:c r="AS186" t="str">
        <x:v>PASS</x:v>
      </x:c>
      <x:c r="AT186" t="str">
        <x:v>--cda-pab-195</x:v>
      </x:c>
      <x:c r="AU186" t="str">
        <x:v>var(--cda-pab-195)</x:v>
      </x:c>
      <x:c r="AV186" t="str">
        <x:v>Median RGB from official PDF swatch (screen reference only)</x:v>
      </x:c>
      <x:c r="AW186" t="str">
        <x:v>https://www.carandache.com/content_files/uploaded_doc/product/10469/Colour_Chart_Pablo.pdf</x:v>
      </x:c>
      <x:c r="AX186" t="n">
        <x:v>1</x:v>
      </x:c>
      <x:c r="AY186" t="str">
        <x:v>Official</x:v>
      </x:c>
      <x:c r="AZ186" t="str">
        <x:v>Official where available; curated Traditional Chinese/Japanese otherwise</x:v>
      </x:c>
      <x:c r="BA186" t="str">
        <x:v>Verified from official chart; digital HEX is approximate</x:v>
      </x:c>
      <x:c r="BB186" t="str">
        <x:v>Physical media appearance varies by paper, pressure, layering, water and scan/display profile.</x:v>
      </x:c>
    </x:row>
    <x:row r="187">
      <x:c r="A187" t="str">
        <x:f>G187&amp;"|"&amp;L187</x:f>
        <x:v>PAB|211</x:v>
      </x:c>
      <x:c r="B187" t="str">
        <x:v>d4fcd153-1614-58b6-b516-ef4d1cd0794c</x:v>
      </x:c>
      <x:c r="C187" t="str">
        <x:v>CDA-PAB-211</x:v>
      </x:c>
      <x:c r="D187" t="str">
        <x:v>456d0f17-a8f0-5d1b-88fa-d78fc8317ec0</x:v>
      </x:c>
      <x:c r="E187" t="str">
        <x:v>CDA-CODE-211</x:v>
      </x:c>
      <x:c r="F187" t="str">
        <x:v>Caran d’Ache</x:v>
      </x:c>
      <x:c r="G187" t="str">
        <x:v>PAB</x:v>
      </x:c>
      <x:c r="H187" t="str">
        <x:v>PABLO</x:v>
      </x:c>
      <x:c r="I187" t="str">
        <x:v>Permanent coloured pencil</x:v>
      </x:c>
      <x:c r="J187" t="str">
        <x:v>Artist</x:v>
      </x:c>
      <x:c r="K187" s="30" t="n">
        <x:v>86</x:v>
      </x:c>
      <x:c r="L187" s="30" t="str">
        <x:v>211</x:v>
      </x:c>
      <x:c r="M187" t="str">
        <x:v>Jade green</x:v>
      </x:c>
      <x:c r="N187" t="str">
        <x:v>玉綠色</x:v>
      </x:c>
      <x:c r="O187" t="str">
        <x:v>ジェードグリーン</x:v>
      </x:c>
      <x:c r="P187" t="str"/>
      <x:c r="Q187" t="str">
        <x:v>Jade</x:v>
      </x:c>
      <x:c r="R187" t="str">
        <x:v>Jade</x:v>
      </x:c>
      <x:c r="S187" t="str">
        <x:v>Giada</x:v>
      </x:c>
      <x:c r="T187" t="str">
        <x:v>Jade</x:v>
      </x:c>
      <x:c r="U187" t="str"/>
      <x:c r="V187" t="str"/>
      <x:c r="W187" t="str"/>
      <x:c r="X187" t="n">
        <x:f>IF(W187="",0,LEN(W187)-LEN(SUBSTITUTE(W187,"/",""))+1)</x:f>
        <x:v>0</x:v>
      </x:c>
      <x:c r="Y187" t="str">
        <x:v>H</x:v>
      </x:c>
      <x:c r="Z187" s="32" t="n">
        <x:v>1.67</x:v>
      </x:c>
      <x:c r="AA187" s="32" t="n">
        <x:v>3</x:v>
      </x:c>
      <x:c r="AB187" s="32" t="str">
        <x:v>Blue Wool Scale / UV 150h</x:v>
      </x:c>
      <x:c r="AC187" t="str">
        <x:v>#9AD3B1</x:v>
      </x:c>
      <x:c r="AD187" s="34" t="n">
        <x:v>154</x:v>
      </x:c>
      <x:c r="AE187" s="34" t="n">
        <x:v>211</x:v>
      </x:c>
      <x:c r="AF187" s="34" t="n">
        <x:v>177</x:v>
      </x:c>
      <x:c r="AG187" s="32" t="n">
        <x:v>144.21</x:v>
      </x:c>
      <x:c r="AH187" s="32" t="n">
        <x:v>39.31</x:v>
      </x:c>
      <x:c r="AI187" s="32" t="n">
        <x:v>71.57</x:v>
      </x:c>
      <x:c r="AJ187" s="32" t="n">
        <x:v>79.97</x:v>
      </x:c>
      <x:c r="AK187" s="32" t="n">
        <x:v>-25.26</x:v>
      </x:c>
      <x:c r="AL187" s="32" t="n">
        <x:v>10.99</x:v>
      </x:c>
      <x:c r="AM187" s="32" t="str">
        <x:v>#000000</x:v>
      </x:c>
      <x:c r="AN187" s="32" t="str">
        <x:v>Black</x:v>
      </x:c>
      <x:c r="AO187" s="32" t="n">
        <x:v>12.33</x:v>
      </x:c>
      <x:c r="AP187" s="32" t="n">
        <x:v>12.33</x:v>
      </x:c>
      <x:c r="AQ187" s="32" t="n">
        <x:v>1.7</x:v>
      </x:c>
      <x:c r="AR187" s="32" t="n">
        <x:v>0.566329</x:v>
      </x:c>
      <x:c r="AS187" t="str">
        <x:v>PASS</x:v>
      </x:c>
      <x:c r="AT187" t="str">
        <x:v>--cda-pab-211</x:v>
      </x:c>
      <x:c r="AU187" t="str">
        <x:v>var(--cda-pab-211)</x:v>
      </x:c>
      <x:c r="AV187" t="str">
        <x:v>Median RGB from official PDF swatch (screen reference only)</x:v>
      </x:c>
      <x:c r="AW187" t="str">
        <x:v>https://www.carandache.com/content_files/uploaded_doc/product/10469/Colour_Chart_Pablo.pdf</x:v>
      </x:c>
      <x:c r="AX187" t="n">
        <x:v>1</x:v>
      </x:c>
      <x:c r="AY187" t="str">
        <x:v>Official</x:v>
      </x:c>
      <x:c r="AZ187" t="str">
        <x:v>Official where available; curated Traditional Chinese/Japanese otherwise</x:v>
      </x:c>
      <x:c r="BA187" t="str">
        <x:v>Verified from official chart; digital HEX is approximate</x:v>
      </x:c>
      <x:c r="BB187" t="str">
        <x:v>Physical media appearance varies by paper, pressure, layering, water and scan/display profile.</x:v>
      </x:c>
    </x:row>
    <x:row r="188">
      <x:c r="A188" t="str">
        <x:f>G188&amp;"|"&amp;L188</x:f>
        <x:v>PAB|215</x:v>
      </x:c>
      <x:c r="B188" t="str">
        <x:v>ad38e754-c203-5c4a-818f-d645756b776c</x:v>
      </x:c>
      <x:c r="C188" t="str">
        <x:v>CDA-PAB-215</x:v>
      </x:c>
      <x:c r="D188" t="str">
        <x:v>aea5e20b-e7e8-5a1d-a41e-89b67633ffcd</x:v>
      </x:c>
      <x:c r="E188" t="str">
        <x:v>CDA-CODE-215</x:v>
      </x:c>
      <x:c r="F188" t="str">
        <x:v>Caran d’Ache</x:v>
      </x:c>
      <x:c r="G188" t="str">
        <x:v>PAB</x:v>
      </x:c>
      <x:c r="H188" t="str">
        <x:v>PABLO</x:v>
      </x:c>
      <x:c r="I188" t="str">
        <x:v>Permanent coloured pencil</x:v>
      </x:c>
      <x:c r="J188" t="str">
        <x:v>Artist</x:v>
      </x:c>
      <x:c r="K188" s="30" t="n">
        <x:v>87</x:v>
      </x:c>
      <x:c r="L188" s="30" t="str">
        <x:v>215</x:v>
      </x:c>
      <x:c r="M188" t="str">
        <x:v>Greyish green</x:v>
      </x:c>
      <x:c r="N188" t="str">
        <x:v>灰綠色</x:v>
      </x:c>
      <x:c r="O188" t="str">
        <x:v>グレイッシュグリーン</x:v>
      </x:c>
      <x:c r="P188" t="str"/>
      <x:c r="Q188" t="str">
        <x:v>Vert gris</x:v>
      </x:c>
      <x:c r="R188" t="str">
        <x:v>Graugrün</x:v>
      </x:c>
      <x:c r="S188" t="str">
        <x:v>Verde grigio</x:v>
      </x:c>
      <x:c r="T188" t="str">
        <x:v>Verde gris</x:v>
      </x:c>
      <x:c r="U188" t="str"/>
      <x:c r="V188" t="str"/>
      <x:c r="W188" t="str"/>
      <x:c r="X188" t="n">
        <x:f>IF(W188="",0,LEN(W188)-LEN(SUBSTITUTE(W188,"/",""))+1)</x:f>
        <x:v>0</x:v>
      </x:c>
      <x:c r="Y188" t="str">
        <x:v>H</x:v>
      </x:c>
      <x:c r="Z188" s="32" t="n">
        <x:v>1.67</x:v>
      </x:c>
      <x:c r="AA188" s="32" t="n">
        <x:v>3</x:v>
      </x:c>
      <x:c r="AB188" s="32" t="str">
        <x:v>Blue Wool Scale / UV 150h</x:v>
      </x:c>
      <x:c r="AC188" t="str">
        <x:v>#02AC82</x:v>
      </x:c>
      <x:c r="AD188" s="34" t="n">
        <x:v>2</x:v>
      </x:c>
      <x:c r="AE188" s="34" t="n">
        <x:v>172</x:v>
      </x:c>
      <x:c r="AF188" s="34" t="n">
        <x:v>130</x:v>
      </x:c>
      <x:c r="AG188" s="32" t="n">
        <x:v>165.18</x:v>
      </x:c>
      <x:c r="AH188" s="32" t="n">
        <x:v>97.7</x:v>
      </x:c>
      <x:c r="AI188" s="32" t="n">
        <x:v>34.12</x:v>
      </x:c>
      <x:c r="AJ188" s="32" t="n">
        <x:v>62.61</x:v>
      </x:c>
      <x:c r="AK188" s="32" t="n">
        <x:v>-47.51</x:v>
      </x:c>
      <x:c r="AL188" s="32" t="n">
        <x:v>11.25</x:v>
      </x:c>
      <x:c r="AM188" s="32" t="str">
        <x:v>#000000</x:v>
      </x:c>
      <x:c r="AN188" s="32" t="str">
        <x:v>Black</x:v>
      </x:c>
      <x:c r="AO188" s="32" t="n">
        <x:v>7.23</x:v>
      </x:c>
      <x:c r="AP188" s="32" t="n">
        <x:v>7.23</x:v>
      </x:c>
      <x:c r="AQ188" s="32" t="n">
        <x:v>2.91</x:v>
      </x:c>
      <x:c r="AR188" s="32" t="n">
        <x:v>0.311297</x:v>
      </x:c>
      <x:c r="AS188" t="str">
        <x:v>PASS</x:v>
      </x:c>
      <x:c r="AT188" t="str">
        <x:v>--cda-pab-215</x:v>
      </x:c>
      <x:c r="AU188" t="str">
        <x:v>var(--cda-pab-215)</x:v>
      </x:c>
      <x:c r="AV188" t="str">
        <x:v>Median RGB from official PDF swatch (screen reference only)</x:v>
      </x:c>
      <x:c r="AW188" t="str">
        <x:v>https://www.carandache.com/content_files/uploaded_doc/product/10469/Colour_Chart_Pablo.pdf</x:v>
      </x:c>
      <x:c r="AX188" t="n">
        <x:v>1</x:v>
      </x:c>
      <x:c r="AY188" t="str">
        <x:v>Official</x:v>
      </x:c>
      <x:c r="AZ188" t="str">
        <x:v>Official where available; curated Traditional Chinese/Japanese otherwise</x:v>
      </x:c>
      <x:c r="BA188" t="str">
        <x:v>Verified from official chart; digital HEX is approximate</x:v>
      </x:c>
      <x:c r="BB188" t="str">
        <x:v>Physical media appearance varies by paper, pressure, layering, water and scan/display profile.</x:v>
      </x:c>
    </x:row>
    <x:row r="189">
      <x:c r="A189" t="str">
        <x:f>G189&amp;"|"&amp;L189</x:f>
        <x:v>PAB|201</x:v>
      </x:c>
      <x:c r="B189" t="str">
        <x:v>e1a60d1b-21f9-5e74-83cb-79a4283a0cdf</x:v>
      </x:c>
      <x:c r="C189" t="str">
        <x:v>CDA-PAB-201</x:v>
      </x:c>
      <x:c r="D189" t="str">
        <x:v>41c705d7-153e-5378-b6fd-211680ba74d8</x:v>
      </x:c>
      <x:c r="E189" t="str">
        <x:v>CDA-CODE-201</x:v>
      </x:c>
      <x:c r="F189" t="str">
        <x:v>Caran d’Ache</x:v>
      </x:c>
      <x:c r="G189" t="str">
        <x:v>PAB</x:v>
      </x:c>
      <x:c r="H189" t="str">
        <x:v>PABLO</x:v>
      </x:c>
      <x:c r="I189" t="str">
        <x:v>Permanent coloured pencil</x:v>
      </x:c>
      <x:c r="J189" t="str">
        <x:v>Artist</x:v>
      </x:c>
      <x:c r="K189" s="30" t="n">
        <x:v>88</x:v>
      </x:c>
      <x:c r="L189" s="30" t="str">
        <x:v>201</x:v>
      </x:c>
      <x:c r="M189" t="str">
        <x:v>Veronese green</x:v>
      </x:c>
      <x:c r="N189" t="str">
        <x:v>維羅內塞綠</x:v>
      </x:c>
      <x:c r="O189" t="str">
        <x:v>ベロネーゼグリーン</x:v>
      </x:c>
      <x:c r="P189" t="str"/>
      <x:c r="Q189" t="str">
        <x:v>Vert Véronèse</x:v>
      </x:c>
      <x:c r="R189" t="str">
        <x:v>Veronesergrün</x:v>
      </x:c>
      <x:c r="S189" t="str">
        <x:v>Verde veronese</x:v>
      </x:c>
      <x:c r="T189" t="str">
        <x:v>Verde veronese</x:v>
      </x:c>
      <x:c r="U189" t="str"/>
      <x:c r="V189" t="str"/>
      <x:c r="W189" t="str"/>
      <x:c r="X189" t="n">
        <x:f>IF(W189="",0,LEN(W189)-LEN(SUBSTITUTE(W189,"/",""))+1)</x:f>
        <x:v>0</x:v>
      </x:c>
      <x:c r="Y189" t="str">
        <x:v>H</x:v>
      </x:c>
      <x:c r="Z189" s="32" t="n">
        <x:v>1.67</x:v>
      </x:c>
      <x:c r="AA189" s="32" t="n">
        <x:v>3</x:v>
      </x:c>
      <x:c r="AB189" s="32" t="str">
        <x:v>Blue Wool Scale / UV 150h</x:v>
      </x:c>
      <x:c r="AC189" t="str">
        <x:v>#2FB98E</x:v>
      </x:c>
      <x:c r="AD189" s="34" t="n">
        <x:v>47</x:v>
      </x:c>
      <x:c r="AE189" s="34" t="n">
        <x:v>185</x:v>
      </x:c>
      <x:c r="AF189" s="34" t="n">
        <x:v>142</x:v>
      </x:c>
      <x:c r="AG189" s="32" t="n">
        <x:v>161.3</x:v>
      </x:c>
      <x:c r="AH189" s="32" t="n">
        <x:v>59.48</x:v>
      </x:c>
      <x:c r="AI189" s="32" t="n">
        <x:v>45.49</x:v>
      </x:c>
      <x:c r="AJ189" s="32" t="n">
        <x:v>67.47</x:v>
      </x:c>
      <x:c r="AK189" s="32" t="n">
        <x:v>-46.39</x:v>
      </x:c>
      <x:c r="AL189" s="32" t="n">
        <x:v>11.57</x:v>
      </x:c>
      <x:c r="AM189" s="32" t="str">
        <x:v>#000000</x:v>
      </x:c>
      <x:c r="AN189" s="32" t="str">
        <x:v>Black</x:v>
      </x:c>
      <x:c r="AO189" s="32" t="n">
        <x:v>8.45</x:v>
      </x:c>
      <x:c r="AP189" s="32" t="n">
        <x:v>8.45</x:v>
      </x:c>
      <x:c r="AQ189" s="32" t="n">
        <x:v>2.48</x:v>
      </x:c>
      <x:c r="AR189" s="32" t="n">
        <x:v>0.372553</x:v>
      </x:c>
      <x:c r="AS189" t="str">
        <x:v>PASS</x:v>
      </x:c>
      <x:c r="AT189" t="str">
        <x:v>--cda-pab-201</x:v>
      </x:c>
      <x:c r="AU189" t="str">
        <x:v>var(--cda-pab-201)</x:v>
      </x:c>
      <x:c r="AV189" t="str">
        <x:v>Median RGB from official PDF swatch (screen reference only)</x:v>
      </x:c>
      <x:c r="AW189" t="str">
        <x:v>https://www.carandache.com/content_files/uploaded_doc/product/10469/Colour_Chart_Pablo.pdf</x:v>
      </x:c>
      <x:c r="AX189" t="n">
        <x:v>1</x:v>
      </x:c>
      <x:c r="AY189" t="str">
        <x:v>Official</x:v>
      </x:c>
      <x:c r="AZ189" t="str">
        <x:v>Official where available; curated Traditional Chinese/Japanese otherwise</x:v>
      </x:c>
      <x:c r="BA189" t="str">
        <x:v>Verified from official chart; digital HEX is approximate</x:v>
      </x:c>
      <x:c r="BB189" t="str">
        <x:v>Physical media appearance varies by paper, pressure, layering, water and scan/display profile.</x:v>
      </x:c>
    </x:row>
    <x:row r="190">
      <x:c r="A190" t="str">
        <x:f>G190&amp;"|"&amp;L190</x:f>
        <x:v>PAB|460</x:v>
      </x:c>
      <x:c r="B190" t="str">
        <x:v>4c672c4c-cbc2-55c1-9372-84c00d243e1d</x:v>
      </x:c>
      <x:c r="C190" t="str">
        <x:v>CDA-PAB-460</x:v>
      </x:c>
      <x:c r="D190" t="str">
        <x:v>845a10ab-0e55-5261-a78c-6068c40eb6da</x:v>
      </x:c>
      <x:c r="E190" t="str">
        <x:v>CDA-CODE-460</x:v>
      </x:c>
      <x:c r="F190" t="str">
        <x:v>Caran d’Ache</x:v>
      </x:c>
      <x:c r="G190" t="str">
        <x:v>PAB</x:v>
      </x:c>
      <x:c r="H190" t="str">
        <x:v>PABLO</x:v>
      </x:c>
      <x:c r="I190" t="str">
        <x:v>Permanent coloured pencil</x:v>
      </x:c>
      <x:c r="J190" t="str">
        <x:v>Artist</x:v>
      </x:c>
      <x:c r="K190" s="30" t="n">
        <x:v>89</x:v>
      </x:c>
      <x:c r="L190" s="30" t="str">
        <x:v>460</x:v>
      </x:c>
      <x:c r="M190" t="str">
        <x:v>Peacock green</x:v>
      </x:c>
      <x:c r="N190" t="str">
        <x:v>孔雀綠</x:v>
      </x:c>
      <x:c r="O190" t="str">
        <x:v>ピーコックグリーン</x:v>
      </x:c>
      <x:c r="P190" t="str"/>
      <x:c r="Q190" t="str">
        <x:v>Vert paon</x:v>
      </x:c>
      <x:c r="R190" t="str">
        <x:v>Pfaugrün</x:v>
      </x:c>
      <x:c r="S190" t="str">
        <x:v>Verde pavone</x:v>
      </x:c>
      <x:c r="T190" t="str">
        <x:v>Verde pavo real</x:v>
      </x:c>
      <x:c r="U190" t="str"/>
      <x:c r="V190" t="str"/>
      <x:c r="W190" t="str"/>
      <x:c r="X190" t="n">
        <x:f>IF(W190="",0,LEN(W190)-LEN(SUBSTITUTE(W190,"/",""))+1)</x:f>
        <x:v>0</x:v>
      </x:c>
      <x:c r="Y190" t="str">
        <x:v>H</x:v>
      </x:c>
      <x:c r="Z190" s="32" t="n">
        <x:v>1.67</x:v>
      </x:c>
      <x:c r="AA190" s="32" t="n">
        <x:v>3</x:v>
      </x:c>
      <x:c r="AB190" s="32" t="str">
        <x:v>Blue Wool Scale / UV 150h</x:v>
      </x:c>
      <x:c r="AC190" t="str">
        <x:v>#13B480</x:v>
      </x:c>
      <x:c r="AD190" s="34" t="n">
        <x:v>19</x:v>
      </x:c>
      <x:c r="AE190" s="34" t="n">
        <x:v>180</x:v>
      </x:c>
      <x:c r="AF190" s="34" t="n">
        <x:v>128</x:v>
      </x:c>
      <x:c r="AG190" s="32" t="n">
        <x:v>160.62</x:v>
      </x:c>
      <x:c r="AH190" s="32" t="n">
        <x:v>80.9</x:v>
      </x:c>
      <x:c r="AI190" s="32" t="n">
        <x:v>39.02</x:v>
      </x:c>
      <x:c r="AJ190" s="32" t="n">
        <x:v>65.23</x:v>
      </x:c>
      <x:c r="AK190" s="32" t="n">
        <x:v>-50.35</x:v>
      </x:c>
      <x:c r="AL190" s="32" t="n">
        <x:v>16.02</x:v>
      </x:c>
      <x:c r="AM190" s="32" t="str">
        <x:v>#000000</x:v>
      </x:c>
      <x:c r="AN190" s="32" t="str">
        <x:v>Black</x:v>
      </x:c>
      <x:c r="AO190" s="32" t="n">
        <x:v>7.87</x:v>
      </x:c>
      <x:c r="AP190" s="32" t="n">
        <x:v>7.87</x:v>
      </x:c>
      <x:c r="AQ190" s="32" t="n">
        <x:v>2.67</x:v>
      </x:c>
      <x:c r="AR190" s="32" t="n">
        <x:v>0.343395</x:v>
      </x:c>
      <x:c r="AS190" t="str">
        <x:v>PASS</x:v>
      </x:c>
      <x:c r="AT190" t="str">
        <x:v>--cda-pab-460</x:v>
      </x:c>
      <x:c r="AU190" t="str">
        <x:v>var(--cda-pab-460)</x:v>
      </x:c>
      <x:c r="AV190" t="str">
        <x:v>Median RGB from official PDF swatch (screen reference only)</x:v>
      </x:c>
      <x:c r="AW190" t="str">
        <x:v>https://www.carandache.com/content_files/uploaded_doc/product/10469/Colour_Chart_Pablo.pdf</x:v>
      </x:c>
      <x:c r="AX190" t="n">
        <x:v>1</x:v>
      </x:c>
      <x:c r="AY190" t="str">
        <x:v>Official</x:v>
      </x:c>
      <x:c r="AZ190" t="str">
        <x:v>Official where available; curated Traditional Chinese/Japanese otherwise</x:v>
      </x:c>
      <x:c r="BA190" t="str">
        <x:v>Verified from official chart; digital HEX is approximate</x:v>
      </x:c>
      <x:c r="BB190" t="str">
        <x:v>Physical media appearance varies by paper, pressure, layering, water and scan/display profile.</x:v>
      </x:c>
    </x:row>
    <x:row r="191">
      <x:c r="A191" t="str">
        <x:f>G191&amp;"|"&amp;L191</x:f>
        <x:v>PAB|290</x:v>
      </x:c>
      <x:c r="B191" t="str">
        <x:v>0c4c2106-7da5-5203-a540-deedfd73bb12</x:v>
      </x:c>
      <x:c r="C191" t="str">
        <x:v>CDA-PAB-290</x:v>
      </x:c>
      <x:c r="D191" t="str">
        <x:v>85f425db-0bc5-5524-9965-cf796483df0d</x:v>
      </x:c>
      <x:c r="E191" t="str">
        <x:v>CDA-CODE-290</x:v>
      </x:c>
      <x:c r="F191" t="str">
        <x:v>Caran d’Ache</x:v>
      </x:c>
      <x:c r="G191" t="str">
        <x:v>PAB</x:v>
      </x:c>
      <x:c r="H191" t="str">
        <x:v>PABLO</x:v>
      </x:c>
      <x:c r="I191" t="str">
        <x:v>Permanent coloured pencil</x:v>
      </x:c>
      <x:c r="J191" t="str">
        <x:v>Artist</x:v>
      </x:c>
      <x:c r="K191" s="30" t="n">
        <x:v>90</x:v>
      </x:c>
      <x:c r="L191" s="30" t="str">
        <x:v>290</x:v>
      </x:c>
      <x:c r="M191" t="str">
        <x:v>Empire green</x:v>
      </x:c>
      <x:c r="N191" t="str">
        <x:v>帝國綠</x:v>
      </x:c>
      <x:c r="O191" t="str">
        <x:v>エンパイアグリーン</x:v>
      </x:c>
      <x:c r="P191" t="str"/>
      <x:c r="Q191" t="str">
        <x:v>Vert empire</x:v>
      </x:c>
      <x:c r="R191" t="str">
        <x:v>Empire-grün</x:v>
      </x:c>
      <x:c r="S191" t="str">
        <x:v>Verde impero</x:v>
      </x:c>
      <x:c r="T191" t="str">
        <x:v>Verde imperio</x:v>
      </x:c>
      <x:c r="U191" t="str"/>
      <x:c r="V191" t="str"/>
      <x:c r="W191" t="str"/>
      <x:c r="X191" t="n">
        <x:f>IF(W191="",0,LEN(W191)-LEN(SUBSTITUTE(W191,"/",""))+1)</x:f>
        <x:v>0</x:v>
      </x:c>
      <x:c r="Y191" t="str">
        <x:v>H</x:v>
      </x:c>
      <x:c r="Z191" s="32" t="n">
        <x:v>1.67</x:v>
      </x:c>
      <x:c r="AA191" s="32" t="n">
        <x:v>3</x:v>
      </x:c>
      <x:c r="AB191" s="32" t="str">
        <x:v>Blue Wool Scale / UV 150h</x:v>
      </x:c>
      <x:c r="AC191" t="str">
        <x:v>#039F78</x:v>
      </x:c>
      <x:c r="AD191" s="34" t="n">
        <x:v>3</x:v>
      </x:c>
      <x:c r="AE191" s="34" t="n">
        <x:v>159</x:v>
      </x:c>
      <x:c r="AF191" s="34" t="n">
        <x:v>120</x:v>
      </x:c>
      <x:c r="AG191" s="32" t="n">
        <x:v>165</x:v>
      </x:c>
      <x:c r="AH191" s="32" t="n">
        <x:v>96.3</x:v>
      </x:c>
      <x:c r="AI191" s="32" t="n">
        <x:v>31.76</x:v>
      </x:c>
      <x:c r="AJ191" s="32" t="n">
        <x:v>58.2</x:v>
      </x:c>
      <x:c r="AK191" s="32" t="n">
        <x:v>-44.76</x:v>
      </x:c>
      <x:c r="AL191" s="32" t="n">
        <x:v>10.6</x:v>
      </x:c>
      <x:c r="AM191" s="32" t="str">
        <x:v>#000000</x:v>
      </x:c>
      <x:c r="AN191" s="32" t="str">
        <x:v>Black</x:v>
      </x:c>
      <x:c r="AO191" s="32" t="n">
        <x:v>6.23</x:v>
      </x:c>
      <x:c r="AP191" s="32" t="n">
        <x:v>6.23</x:v>
      </x:c>
      <x:c r="AQ191" s="32" t="n">
        <x:v>3.37</x:v>
      </x:c>
      <x:c r="AR191" s="32" t="n">
        <x:v>0.261717</x:v>
      </x:c>
      <x:c r="AS191" t="str">
        <x:v>PASS</x:v>
      </x:c>
      <x:c r="AT191" t="str">
        <x:v>--cda-pab-290</x:v>
      </x:c>
      <x:c r="AU191" t="str">
        <x:v>var(--cda-pab-290)</x:v>
      </x:c>
      <x:c r="AV191" t="str">
        <x:v>Median RGB from official PDF swatch (screen reference only)</x:v>
      </x:c>
      <x:c r="AW191" t="str">
        <x:v>https://www.carandache.com/content_files/uploaded_doc/product/10469/Colour_Chart_Pablo.pdf</x:v>
      </x:c>
      <x:c r="AX191" t="n">
        <x:v>1</x:v>
      </x:c>
      <x:c r="AY191" t="str">
        <x:v>Official</x:v>
      </x:c>
      <x:c r="AZ191" t="str">
        <x:v>Official where available; curated Traditional Chinese/Japanese otherwise</x:v>
      </x:c>
      <x:c r="BA191" t="str">
        <x:v>Verified from official chart; digital HEX is approximate</x:v>
      </x:c>
      <x:c r="BB191" t="str">
        <x:v>Physical media appearance varies by paper, pressure, layering, water and scan/display profile.</x:v>
      </x:c>
    </x:row>
    <x:row r="192">
      <x:c r="A192" t="str">
        <x:f>G192&amp;"|"&amp;L192</x:f>
        <x:v>PAB|200</x:v>
      </x:c>
      <x:c r="B192" t="str">
        <x:v>c04146c0-962a-512c-ab82-f4bd6a162f2e</x:v>
      </x:c>
      <x:c r="C192" t="str">
        <x:v>CDA-PAB-200</x:v>
      </x:c>
      <x:c r="D192" t="str">
        <x:v>acd1f677-a0b6-52a5-9f16-3917bf335a93</x:v>
      </x:c>
      <x:c r="E192" t="str">
        <x:v>CDA-CODE-200</x:v>
      </x:c>
      <x:c r="F192" t="str">
        <x:v>Caran d’Ache</x:v>
      </x:c>
      <x:c r="G192" t="str">
        <x:v>PAB</x:v>
      </x:c>
      <x:c r="H192" t="str">
        <x:v>PABLO</x:v>
      </x:c>
      <x:c r="I192" t="str">
        <x:v>Permanent coloured pencil</x:v>
      </x:c>
      <x:c r="J192" t="str">
        <x:v>Artist</x:v>
      </x:c>
      <x:c r="K192" s="30" t="n">
        <x:v>91</x:v>
      </x:c>
      <x:c r="L192" s="30" t="str">
        <x:v>200</x:v>
      </x:c>
      <x:c r="M192" t="str">
        <x:v>Bluish green</x:v>
      </x:c>
      <x:c r="N192" t="str">
        <x:v>藍綠色</x:v>
      </x:c>
      <x:c r="O192" t="str">
        <x:v>ブルーイッシュグリーン</x:v>
      </x:c>
      <x:c r="P192" t="str"/>
      <x:c r="Q192" t="str">
        <x:v>Vert bleuâtre</x:v>
      </x:c>
      <x:c r="R192" t="str">
        <x:v>Blaugrün</x:v>
      </x:c>
      <x:c r="S192" t="str">
        <x:v>Verde bluastro</x:v>
      </x:c>
      <x:c r="T192" t="str">
        <x:v>Verde azulado</x:v>
      </x:c>
      <x:c r="U192" t="str"/>
      <x:c r="V192" t="str"/>
      <x:c r="W192" t="str"/>
      <x:c r="X192" t="n">
        <x:f>IF(W192="",0,LEN(W192)-LEN(SUBSTITUTE(W192,"/",""))+1)</x:f>
        <x:v>0</x:v>
      </x:c>
      <x:c r="Y192" t="str">
        <x:v>H</x:v>
      </x:c>
      <x:c r="Z192" s="32" t="n">
        <x:v>1.67</x:v>
      </x:c>
      <x:c r="AA192" s="32" t="n">
        <x:v>3</x:v>
      </x:c>
      <x:c r="AB192" s="32" t="str">
        <x:v>Blue Wool Scale / UV 150h</x:v>
      </x:c>
      <x:c r="AC192" t="str">
        <x:v>#038C6C</x:v>
      </x:c>
      <x:c r="AD192" s="34" t="n">
        <x:v>3</x:v>
      </x:c>
      <x:c r="AE192" s="34" t="n">
        <x:v>140</x:v>
      </x:c>
      <x:c r="AF192" s="34" t="n">
        <x:v>108</x:v>
      </x:c>
      <x:c r="AG192" s="32" t="n">
        <x:v>165.99</x:v>
      </x:c>
      <x:c r="AH192" s="32" t="n">
        <x:v>95.8</x:v>
      </x:c>
      <x:c r="AI192" s="32" t="n">
        <x:v>28.04</x:v>
      </x:c>
      <x:c r="AJ192" s="32" t="n">
        <x:v>51.67</x:v>
      </x:c>
      <x:c r="AK192" s="32" t="n">
        <x:v>-40.03</x:v>
      </x:c>
      <x:c r="AL192" s="32" t="n">
        <x:v>8.19</x:v>
      </x:c>
      <x:c r="AM192" s="32" t="str">
        <x:v>#000000</x:v>
      </x:c>
      <x:c r="AN192" s="32" t="str">
        <x:v>Black</x:v>
      </x:c>
      <x:c r="AO192" s="32" t="n">
        <x:v>4.97</x:v>
      </x:c>
      <x:c r="AP192" s="32" t="n">
        <x:v>4.97</x:v>
      </x:c>
      <x:c r="AQ192" s="32" t="n">
        <x:v>4.22</x:v>
      </x:c>
      <x:c r="AR192" s="32" t="n">
        <x:v>0.198582</x:v>
      </x:c>
      <x:c r="AS192" t="str">
        <x:v>PASS</x:v>
      </x:c>
      <x:c r="AT192" t="str">
        <x:v>--cda-pab-200</x:v>
      </x:c>
      <x:c r="AU192" t="str">
        <x:v>var(--cda-pab-200)</x:v>
      </x:c>
      <x:c r="AV192" t="str">
        <x:v>Median RGB from official PDF swatch (screen reference only)</x:v>
      </x:c>
      <x:c r="AW192" t="str">
        <x:v>https://www.carandache.com/content_files/uploaded_doc/product/10469/Colour_Chart_Pablo.pdf</x:v>
      </x:c>
      <x:c r="AX192" t="n">
        <x:v>1</x:v>
      </x:c>
      <x:c r="AY192" t="str">
        <x:v>Official</x:v>
      </x:c>
      <x:c r="AZ192" t="str">
        <x:v>Official where available; curated Traditional Chinese/Japanese otherwise</x:v>
      </x:c>
      <x:c r="BA192" t="str">
        <x:v>Verified from official chart; digital HEX is approximate</x:v>
      </x:c>
      <x:c r="BB192" t="str">
        <x:v>Physical media appearance varies by paper, pressure, layering, water and scan/display profile.</x:v>
      </x:c>
    </x:row>
    <x:row r="193">
      <x:c r="A193" t="str">
        <x:f>G193&amp;"|"&amp;L193</x:f>
        <x:v>PAB|229</x:v>
      </x:c>
      <x:c r="B193" t="str">
        <x:v>c1608b85-a009-5e06-8c6e-479b0945e5c3</x:v>
      </x:c>
      <x:c r="C193" t="str">
        <x:v>CDA-PAB-229</x:v>
      </x:c>
      <x:c r="D193" t="str">
        <x:v>95617532-4337-5a36-9e80-86ddcfd90f23</x:v>
      </x:c>
      <x:c r="E193" t="str">
        <x:v>CDA-CODE-229</x:v>
      </x:c>
      <x:c r="F193" t="str">
        <x:v>Caran d’Ache</x:v>
      </x:c>
      <x:c r="G193" t="str">
        <x:v>PAB</x:v>
      </x:c>
      <x:c r="H193" t="str">
        <x:v>PABLO</x:v>
      </x:c>
      <x:c r="I193" t="str">
        <x:v>Permanent coloured pencil</x:v>
      </x:c>
      <x:c r="J193" t="str">
        <x:v>Artist</x:v>
      </x:c>
      <x:c r="K193" s="30" t="n">
        <x:v>92</x:v>
      </x:c>
      <x:c r="L193" s="30" t="str">
        <x:v>229</x:v>
      </x:c>
      <x:c r="M193" t="str">
        <x:v>Dark green</x:v>
      </x:c>
      <x:c r="N193" t="str">
        <x:v>深綠色</x:v>
      </x:c>
      <x:c r="O193" t="str">
        <x:v>ダークグリーン</x:v>
      </x:c>
      <x:c r="P193" t="str"/>
      <x:c r="Q193" t="str">
        <x:v>Vert foncé</x:v>
      </x:c>
      <x:c r="R193" t="str">
        <x:v>Dunkelgrün</x:v>
      </x:c>
      <x:c r="S193" t="str">
        <x:v>Verde scuro</x:v>
      </x:c>
      <x:c r="T193" t="str">
        <x:v>Verde oscuro</x:v>
      </x:c>
      <x:c r="U193" t="str"/>
      <x:c r="V193" t="str"/>
      <x:c r="W193" t="str"/>
      <x:c r="X193" t="n">
        <x:f>IF(W193="",0,LEN(W193)-LEN(SUBSTITUTE(W193,"/",""))+1)</x:f>
        <x:v>0</x:v>
      </x:c>
      <x:c r="Y193" t="str">
        <x:v>H</x:v>
      </x:c>
      <x:c r="Z193" s="32" t="n">
        <x:v>1.67</x:v>
      </x:c>
      <x:c r="AA193" s="32" t="n">
        <x:v>3</x:v>
      </x:c>
      <x:c r="AB193" s="32" t="str">
        <x:v>Blue Wool Scale / UV 150h</x:v>
      </x:c>
      <x:c r="AC193" t="str">
        <x:v>#046E53</x:v>
      </x:c>
      <x:c r="AD193" s="34" t="n">
        <x:v>4</x:v>
      </x:c>
      <x:c r="AE193" s="34" t="n">
        <x:v>110</x:v>
      </x:c>
      <x:c r="AF193" s="34" t="n">
        <x:v>83</x:v>
      </x:c>
      <x:c r="AG193" s="32" t="n">
        <x:v>164.72</x:v>
      </x:c>
      <x:c r="AH193" s="32" t="n">
        <x:v>92.98</x:v>
      </x:c>
      <x:c r="AI193" s="32" t="n">
        <x:v>22.35</x:v>
      </x:c>
      <x:c r="AJ193" s="32" t="n">
        <x:v>40.9</x:v>
      </x:c>
      <x:c r="AK193" s="32" t="n">
        <x:v>-33.82</x:v>
      </x:c>
      <x:c r="AL193" s="32" t="n">
        <x:v>7.62</x:v>
      </x:c>
      <x:c r="AM193" s="32" t="str">
        <x:v>#FFFFFF</x:v>
      </x:c>
      <x:c r="AN193" s="32" t="str">
        <x:v>White</x:v>
      </x:c>
      <x:c r="AO193" s="32" t="n">
        <x:v>6.25</x:v>
      </x:c>
      <x:c r="AP193" s="32" t="n">
        <x:v>3.36</x:v>
      </x:c>
      <x:c r="AQ193" s="32" t="n">
        <x:v>6.25</x:v>
      </x:c>
      <x:c r="AR193" s="32" t="n">
        <x:v>0.118022</x:v>
      </x:c>
      <x:c r="AS193" t="str">
        <x:v>PASS</x:v>
      </x:c>
      <x:c r="AT193" t="str">
        <x:v>--cda-pab-229</x:v>
      </x:c>
      <x:c r="AU193" t="str">
        <x:v>var(--cda-pab-229)</x:v>
      </x:c>
      <x:c r="AV193" t="str">
        <x:v>Median RGB from official PDF swatch (screen reference only)</x:v>
      </x:c>
      <x:c r="AW193" t="str">
        <x:v>https://www.carandache.com/content_files/uploaded_doc/product/10469/Colour_Chart_Pablo.pdf</x:v>
      </x:c>
      <x:c r="AX193" t="n">
        <x:v>1</x:v>
      </x:c>
      <x:c r="AY193" t="str">
        <x:v>Official</x:v>
      </x:c>
      <x:c r="AZ193" t="str">
        <x:v>Official where available; curated Traditional Chinese/Japanese otherwise</x:v>
      </x:c>
      <x:c r="BA193" t="str">
        <x:v>Verified from official chart; digital HEX is approximate</x:v>
      </x:c>
      <x:c r="BB193" t="str">
        <x:v>Physical media appearance varies by paper, pressure, layering, water and scan/display profile.</x:v>
      </x:c>
    </x:row>
    <x:row r="194">
      <x:c r="A194" t="str">
        <x:f>G194&amp;"|"&amp;L194</x:f>
        <x:v>PAB|239</x:v>
      </x:c>
      <x:c r="B194" t="str">
        <x:v>f846f940-261a-5b44-8d35-d6de41d7e5e2</x:v>
      </x:c>
      <x:c r="C194" t="str">
        <x:v>CDA-PAB-239</x:v>
      </x:c>
      <x:c r="D194" t="str">
        <x:v>9cde9379-a512-5d66-95a5-8d0965821d47</x:v>
      </x:c>
      <x:c r="E194" t="str">
        <x:v>CDA-CODE-239</x:v>
      </x:c>
      <x:c r="F194" t="str">
        <x:v>Caran d’Ache</x:v>
      </x:c>
      <x:c r="G194" t="str">
        <x:v>PAB</x:v>
      </x:c>
      <x:c r="H194" t="str">
        <x:v>PABLO</x:v>
      </x:c>
      <x:c r="I194" t="str">
        <x:v>Permanent coloured pencil</x:v>
      </x:c>
      <x:c r="J194" t="str">
        <x:v>Artist</x:v>
      </x:c>
      <x:c r="K194" s="30" t="n">
        <x:v>93</x:v>
      </x:c>
      <x:c r="L194" s="30" t="str">
        <x:v>239</x:v>
      </x:c>
      <x:c r="M194" t="str">
        <x:v>Spruce green</x:v>
      </x:c>
      <x:c r="N194" t="str">
        <x:v>雲杉綠</x:v>
      </x:c>
      <x:c r="O194" t="str">
        <x:v>スプルースグリーン</x:v>
      </x:c>
      <x:c r="P194" t="str"/>
      <x:c r="Q194" t="str">
        <x:v>Vert sapin</x:v>
      </x:c>
      <x:c r="R194" t="str">
        <x:v>Tannengrün</x:v>
      </x:c>
      <x:c r="S194" t="str">
        <x:v>Verde abete</x:v>
      </x:c>
      <x:c r="T194" t="str">
        <x:v>Verde abeto</x:v>
      </x:c>
      <x:c r="U194" t="str"/>
      <x:c r="V194" t="str"/>
      <x:c r="W194" t="str"/>
      <x:c r="X194" t="n">
        <x:f>IF(W194="",0,LEN(W194)-LEN(SUBSTITUTE(W194,"/",""))+1)</x:f>
        <x:v>0</x:v>
      </x:c>
      <x:c r="Y194" t="str">
        <x:v>H</x:v>
      </x:c>
      <x:c r="Z194" s="32" t="n">
        <x:v>1.67</x:v>
      </x:c>
      <x:c r="AA194" s="32" t="n">
        <x:v>3</x:v>
      </x:c>
      <x:c r="AB194" s="32" t="str">
        <x:v>Blue Wool Scale / UV 150h</x:v>
      </x:c>
      <x:c r="AC194" t="str">
        <x:v>#119158</x:v>
      </x:c>
      <x:c r="AD194" s="34" t="n">
        <x:v>17</x:v>
      </x:c>
      <x:c r="AE194" s="34" t="n">
        <x:v>145</x:v>
      </x:c>
      <x:c r="AF194" s="34" t="n">
        <x:v>88</x:v>
      </x:c>
      <x:c r="AG194" s="32" t="n">
        <x:v>153.28</x:v>
      </x:c>
      <x:c r="AH194" s="32" t="n">
        <x:v>79.01</x:v>
      </x:c>
      <x:c r="AI194" s="32" t="n">
        <x:v>31.76</x:v>
      </x:c>
      <x:c r="AJ194" s="32" t="n">
        <x:v>53.03</x:v>
      </x:c>
      <x:c r="AK194" s="32" t="n">
        <x:v>-45.9</x:v>
      </x:c>
      <x:c r="AL194" s="32" t="n">
        <x:v>21.4</x:v>
      </x:c>
      <x:c r="AM194" s="32" t="str">
        <x:v>#000000</x:v>
      </x:c>
      <x:c r="AN194" s="32" t="str">
        <x:v>Black</x:v>
      </x:c>
      <x:c r="AO194" s="32" t="n">
        <x:v>5.21</x:v>
      </x:c>
      <x:c r="AP194" s="32" t="n">
        <x:v>5.21</x:v>
      </x:c>
      <x:c r="AQ194" s="32" t="n">
        <x:v>4.03</x:v>
      </x:c>
      <x:c r="AR194" s="32" t="n">
        <x:v>0.210745</x:v>
      </x:c>
      <x:c r="AS194" t="str">
        <x:v>PASS</x:v>
      </x:c>
      <x:c r="AT194" t="str">
        <x:v>--cda-pab-239</x:v>
      </x:c>
      <x:c r="AU194" t="str">
        <x:v>var(--cda-pab-239)</x:v>
      </x:c>
      <x:c r="AV194" t="str">
        <x:v>Median RGB from official PDF swatch (screen reference only)</x:v>
      </x:c>
      <x:c r="AW194" t="str">
        <x:v>https://www.carandache.com/content_files/uploaded_doc/product/10469/Colour_Chart_Pablo.pdf</x:v>
      </x:c>
      <x:c r="AX194" t="n">
        <x:v>1</x:v>
      </x:c>
      <x:c r="AY194" t="str">
        <x:v>Official</x:v>
      </x:c>
      <x:c r="AZ194" t="str">
        <x:v>Official where available; curated Traditional Chinese/Japanese otherwise</x:v>
      </x:c>
      <x:c r="BA194" t="str">
        <x:v>Verified from official chart; digital HEX is approximate</x:v>
      </x:c>
      <x:c r="BB194" t="str">
        <x:v>Physical media appearance varies by paper, pressure, layering, water and scan/display profile.</x:v>
      </x:c>
    </x:row>
    <x:row r="195">
      <x:c r="A195" t="str">
        <x:f>G195&amp;"|"&amp;L195</x:f>
        <x:v>PAB|210</x:v>
      </x:c>
      <x:c r="B195" t="str">
        <x:v>f2540aa4-57ab-5bb2-9fd1-6eeb119c22e5</x:v>
      </x:c>
      <x:c r="C195" t="str">
        <x:v>CDA-PAB-210</x:v>
      </x:c>
      <x:c r="D195" t="str">
        <x:v>20169bd8-fae1-5c8f-b26d-df9ab6e5a19c</x:v>
      </x:c>
      <x:c r="E195" t="str">
        <x:v>CDA-CODE-210</x:v>
      </x:c>
      <x:c r="F195" t="str">
        <x:v>Caran d’Ache</x:v>
      </x:c>
      <x:c r="G195" t="str">
        <x:v>PAB</x:v>
      </x:c>
      <x:c r="H195" t="str">
        <x:v>PABLO</x:v>
      </x:c>
      <x:c r="I195" t="str">
        <x:v>Permanent coloured pencil</x:v>
      </x:c>
      <x:c r="J195" t="str">
        <x:v>Artist</x:v>
      </x:c>
      <x:c r="K195" s="30" t="n">
        <x:v>94</x:v>
      </x:c>
      <x:c r="L195" s="30" t="str">
        <x:v>210</x:v>
      </x:c>
      <x:c r="M195" t="str">
        <x:v>Emerald green</x:v>
      </x:c>
      <x:c r="N195" t="str">
        <x:v>祖母綠</x:v>
      </x:c>
      <x:c r="O195" t="str">
        <x:v>エメラルドグリーン</x:v>
      </x:c>
      <x:c r="P195" t="str"/>
      <x:c r="Q195" t="str">
        <x:v>Vert émeraude</x:v>
      </x:c>
      <x:c r="R195" t="str">
        <x:v>Smaragdgrün</x:v>
      </x:c>
      <x:c r="S195" t="str">
        <x:v>Verde smeraldo</x:v>
      </x:c>
      <x:c r="T195" t="str">
        <x:v>Verde esmeralda</x:v>
      </x:c>
      <x:c r="U195" t="str"/>
      <x:c r="V195" t="str"/>
      <x:c r="W195" t="str"/>
      <x:c r="X195" t="n">
        <x:f>IF(W195="",0,LEN(W195)-LEN(SUBSTITUTE(W195,"/",""))+1)</x:f>
        <x:v>0</x:v>
      </x:c>
      <x:c r="Y195" t="str">
        <x:v>H</x:v>
      </x:c>
      <x:c r="Z195" s="32" t="n">
        <x:v>1.67</x:v>
      </x:c>
      <x:c r="AA195" s="32" t="n">
        <x:v>3</x:v>
      </x:c>
      <x:c r="AB195" s="32" t="str">
        <x:v>Blue Wool Scale / UV 150h</x:v>
      </x:c>
      <x:c r="AC195" t="str">
        <x:v>#04A279</x:v>
      </x:c>
      <x:c r="AD195" s="34" t="n">
        <x:v>4</x:v>
      </x:c>
      <x:c r="AE195" s="34" t="n">
        <x:v>162</x:v>
      </x:c>
      <x:c r="AF195" s="34" t="n">
        <x:v>121</x:v>
      </x:c>
      <x:c r="AG195" s="32" t="n">
        <x:v>164.43</x:v>
      </x:c>
      <x:c r="AH195" s="32" t="n">
        <x:v>95.18</x:v>
      </x:c>
      <x:c r="AI195" s="32" t="n">
        <x:v>32.55</x:v>
      </x:c>
      <x:c r="AJ195" s="32" t="n">
        <x:v>59.2</x:v>
      </x:c>
      <x:c r="AK195" s="32" t="n">
        <x:v>-45.67</x:v>
      </x:c>
      <x:c r="AL195" s="32" t="n">
        <x:v>11.45</x:v>
      </x:c>
      <x:c r="AM195" s="32" t="str">
        <x:v>#000000</x:v>
      </x:c>
      <x:c r="AN195" s="32" t="str">
        <x:v>Black</x:v>
      </x:c>
      <x:c r="AO195" s="32" t="n">
        <x:v>6.45</x:v>
      </x:c>
      <x:c r="AP195" s="32" t="n">
        <x:v>6.45</x:v>
      </x:c>
      <x:c r="AQ195" s="32" t="n">
        <x:v>3.26</x:v>
      </x:c>
      <x:c r="AR195" s="32" t="n">
        <x:v>0.272469</x:v>
      </x:c>
      <x:c r="AS195" t="str">
        <x:v>PASS</x:v>
      </x:c>
      <x:c r="AT195" t="str">
        <x:v>--cda-pab-210</x:v>
      </x:c>
      <x:c r="AU195" t="str">
        <x:v>var(--cda-pab-210)</x:v>
      </x:c>
      <x:c r="AV195" t="str">
        <x:v>Median RGB from official PDF swatch (screen reference only)</x:v>
      </x:c>
      <x:c r="AW195" t="str">
        <x:v>https://www.carandache.com/content_files/uploaded_doc/product/10469/Colour_Chart_Pablo.pdf</x:v>
      </x:c>
      <x:c r="AX195" t="n">
        <x:v>1</x:v>
      </x:c>
      <x:c r="AY195" t="str">
        <x:v>Official</x:v>
      </x:c>
      <x:c r="AZ195" t="str">
        <x:v>Official where available; curated Traditional Chinese/Japanese otherwise</x:v>
      </x:c>
      <x:c r="BA195" t="str">
        <x:v>Verified from official chart; digital HEX is approximate</x:v>
      </x:c>
      <x:c r="BB195" t="str">
        <x:v>Physical media appearance varies by paper, pressure, layering, water and scan/display profile.</x:v>
      </x:c>
    </x:row>
    <x:row r="196">
      <x:c r="A196" t="str">
        <x:f>G196&amp;"|"&amp;L196</x:f>
        <x:v>PAB|220</x:v>
      </x:c>
      <x:c r="B196" t="str">
        <x:v>4f2e7c4a-728a-5469-a2a5-4406a96d59a5</x:v>
      </x:c>
      <x:c r="C196" t="str">
        <x:v>CDA-PAB-220</x:v>
      </x:c>
      <x:c r="D196" t="str">
        <x:v>69a03597-fa02-5bd4-9968-b3f74f6fcd04</x:v>
      </x:c>
      <x:c r="E196" t="str">
        <x:v>CDA-CODE-220</x:v>
      </x:c>
      <x:c r="F196" t="str">
        <x:v>Caran d’Ache</x:v>
      </x:c>
      <x:c r="G196" t="str">
        <x:v>PAB</x:v>
      </x:c>
      <x:c r="H196" t="str">
        <x:v>PABLO</x:v>
      </x:c>
      <x:c r="I196" t="str">
        <x:v>Permanent coloured pencil</x:v>
      </x:c>
      <x:c r="J196" t="str">
        <x:v>Artist</x:v>
      </x:c>
      <x:c r="K196" s="30" t="n">
        <x:v>95</x:v>
      </x:c>
      <x:c r="L196" s="30" t="str">
        <x:v>220</x:v>
      </x:c>
      <x:c r="M196" t="str">
        <x:v>Grass green</x:v>
      </x:c>
      <x:c r="N196" t="str">
        <x:v>草綠色</x:v>
      </x:c>
      <x:c r="O196" t="str">
        <x:v>グラスグリーン</x:v>
      </x:c>
      <x:c r="P196" t="str"/>
      <x:c r="Q196" t="str">
        <x:v>Vert prairie</x:v>
      </x:c>
      <x:c r="R196" t="str">
        <x:v>Grasgrün</x:v>
      </x:c>
      <x:c r="S196" t="str">
        <x:v>Verde prato</x:v>
      </x:c>
      <x:c r="T196" t="str">
        <x:v>Verde prado</x:v>
      </x:c>
      <x:c r="U196" t="str"/>
      <x:c r="V196" t="str"/>
      <x:c r="W196" t="str"/>
      <x:c r="X196" t="n">
        <x:f>IF(W196="",0,LEN(W196)-LEN(SUBSTITUTE(W196,"/",""))+1)</x:f>
        <x:v>0</x:v>
      </x:c>
      <x:c r="Y196" t="str">
        <x:v>H</x:v>
      </x:c>
      <x:c r="Z196" s="32" t="n">
        <x:v>1.67</x:v>
      </x:c>
      <x:c r="AA196" s="32" t="n">
        <x:v>3</x:v>
      </x:c>
      <x:c r="AB196" s="32" t="str">
        <x:v>Blue Wool Scale / UV 150h</x:v>
      </x:c>
      <x:c r="AC196" t="str">
        <x:v>#11B169</x:v>
      </x:c>
      <x:c r="AD196" s="34" t="n">
        <x:v>17</x:v>
      </x:c>
      <x:c r="AE196" s="34" t="n">
        <x:v>177</x:v>
      </x:c>
      <x:c r="AF196" s="34" t="n">
        <x:v>105</x:v>
      </x:c>
      <x:c r="AG196" s="32" t="n">
        <x:v>153</x:v>
      </x:c>
      <x:c r="AH196" s="32" t="n">
        <x:v>82.47</x:v>
      </x:c>
      <x:c r="AI196" s="32" t="n">
        <x:v>38.04</x:v>
      </x:c>
      <x:c r="AJ196" s="32" t="n">
        <x:v>63.82</x:v>
      </x:c>
      <x:c r="AK196" s="32" t="n">
        <x:v>-54.28</x:v>
      </x:c>
      <x:c r="AL196" s="32" t="n">
        <x:v>26.5</x:v>
      </x:c>
      <x:c r="AM196" s="32" t="str">
        <x:v>#000000</x:v>
      </x:c>
      <x:c r="AN196" s="32" t="str">
        <x:v>Black</x:v>
      </x:c>
      <x:c r="AO196" s="32" t="n">
        <x:v>7.52</x:v>
      </x:c>
      <x:c r="AP196" s="32" t="n">
        <x:v>7.52</x:v>
      </x:c>
      <x:c r="AQ196" s="32" t="n">
        <x:v>2.79</x:v>
      </x:c>
      <x:c r="AR196" s="32" t="n">
        <x:v>0.325834</x:v>
      </x:c>
      <x:c r="AS196" t="str">
        <x:v>PASS</x:v>
      </x:c>
      <x:c r="AT196" t="str">
        <x:v>--cda-pab-220</x:v>
      </x:c>
      <x:c r="AU196" t="str">
        <x:v>var(--cda-pab-220)</x:v>
      </x:c>
      <x:c r="AV196" t="str">
        <x:v>Median RGB from official PDF swatch (screen reference only)</x:v>
      </x:c>
      <x:c r="AW196" t="str">
        <x:v>https://www.carandache.com/content_files/uploaded_doc/product/10469/Colour_Chart_Pablo.pdf</x:v>
      </x:c>
      <x:c r="AX196" t="n">
        <x:v>1</x:v>
      </x:c>
      <x:c r="AY196" t="str">
        <x:v>Official</x:v>
      </x:c>
      <x:c r="AZ196" t="str">
        <x:v>Official where available; curated Traditional Chinese/Japanese otherwise</x:v>
      </x:c>
      <x:c r="BA196" t="str">
        <x:v>Verified from official chart; digital HEX is approximate</x:v>
      </x:c>
      <x:c r="BB196" t="str">
        <x:v>Physical media appearance varies by paper, pressure, layering, water and scan/display profile.</x:v>
      </x:c>
    </x:row>
    <x:row r="197">
      <x:c r="A197" t="str">
        <x:f>G197&amp;"|"&amp;L197</x:f>
        <x:v>PAB|230</x:v>
      </x:c>
      <x:c r="B197" t="str">
        <x:v>77fc747b-adb1-5d2e-877d-f4933f9f563e</x:v>
      </x:c>
      <x:c r="C197" t="str">
        <x:v>CDA-PAB-230</x:v>
      </x:c>
      <x:c r="D197" t="str">
        <x:v>d6bdf492-4bae-524b-9a86-07c3bd564bd9</x:v>
      </x:c>
      <x:c r="E197" t="str">
        <x:v>CDA-CODE-230</x:v>
      </x:c>
      <x:c r="F197" t="str">
        <x:v>Caran d’Ache</x:v>
      </x:c>
      <x:c r="G197" t="str">
        <x:v>PAB</x:v>
      </x:c>
      <x:c r="H197" t="str">
        <x:v>PABLO</x:v>
      </x:c>
      <x:c r="I197" t="str">
        <x:v>Permanent coloured pencil</x:v>
      </x:c>
      <x:c r="J197" t="str">
        <x:v>Artist</x:v>
      </x:c>
      <x:c r="K197" s="30" t="n">
        <x:v>96</x:v>
      </x:c>
      <x:c r="L197" s="30" t="str">
        <x:v>230</x:v>
      </x:c>
      <x:c r="M197" t="str">
        <x:v>Yellow green</x:v>
      </x:c>
      <x:c r="N197" t="str">
        <x:v>黃綠色</x:v>
      </x:c>
      <x:c r="O197" t="str">
        <x:v>イエローグリーン</x:v>
      </x:c>
      <x:c r="P197" t="str"/>
      <x:c r="Q197" t="str">
        <x:v>Vert Jaune</x:v>
      </x:c>
      <x:c r="R197" t="str">
        <x:v>Gelbgrün</x:v>
      </x:c>
      <x:c r="S197" t="str">
        <x:v>Verde giallo</x:v>
      </x:c>
      <x:c r="T197" t="str">
        <x:v>Verde amarillo</x:v>
      </x:c>
      <x:c r="U197" t="str"/>
      <x:c r="V197" t="str"/>
      <x:c r="W197" t="str"/>
      <x:c r="X197" t="n">
        <x:f>IF(W197="",0,LEN(W197)-LEN(SUBSTITUTE(W197,"/",""))+1)</x:f>
        <x:v>0</x:v>
      </x:c>
      <x:c r="Y197" t="str">
        <x:v>H</x:v>
      </x:c>
      <x:c r="Z197" s="32" t="n">
        <x:v>1.67</x:v>
      </x:c>
      <x:c r="AA197" s="32" t="n">
        <x:v>3</x:v>
      </x:c>
      <x:c r="AB197" s="32" t="str">
        <x:v>Blue Wool Scale / UV 150h</x:v>
      </x:c>
      <x:c r="AC197" t="str">
        <x:v>#89C96A</x:v>
      </x:c>
      <x:c r="AD197" s="34" t="n">
        <x:v>137</x:v>
      </x:c>
      <x:c r="AE197" s="34" t="n">
        <x:v>201</x:v>
      </x:c>
      <x:c r="AF197" s="34" t="n">
        <x:v>106</x:v>
      </x:c>
      <x:c r="AG197" s="32" t="n">
        <x:v>100.42</x:v>
      </x:c>
      <x:c r="AH197" s="32" t="n">
        <x:v>46.8</x:v>
      </x:c>
      <x:c r="AI197" s="32" t="n">
        <x:v>60.2</x:v>
      </x:c>
      <x:c r="AJ197" s="32" t="n">
        <x:v>74.91</x:v>
      </x:c>
      <x:c r="AK197" s="32" t="n">
        <x:v>-37.59</x:v>
      </x:c>
      <x:c r="AL197" s="32" t="n">
        <x:v>40.92</x:v>
      </x:c>
      <x:c r="AM197" s="32" t="str">
        <x:v>#000000</x:v>
      </x:c>
      <x:c r="AN197" s="32" t="str">
        <x:v>Black</x:v>
      </x:c>
      <x:c r="AO197" s="32" t="n">
        <x:v>10.63</x:v>
      </x:c>
      <x:c r="AP197" s="32" t="n">
        <x:v>10.63</x:v>
      </x:c>
      <x:c r="AQ197" s="32" t="n">
        <x:v>1.98</x:v>
      </x:c>
      <x:c r="AR197" s="32" t="n">
        <x:v>0.481323</x:v>
      </x:c>
      <x:c r="AS197" t="str">
        <x:v>PASS</x:v>
      </x:c>
      <x:c r="AT197" t="str">
        <x:v>--cda-pab-230</x:v>
      </x:c>
      <x:c r="AU197" t="str">
        <x:v>var(--cda-pab-230)</x:v>
      </x:c>
      <x:c r="AV197" t="str">
        <x:v>Median RGB from official PDF swatch (screen reference only)</x:v>
      </x:c>
      <x:c r="AW197" t="str">
        <x:v>https://www.carandache.com/content_files/uploaded_doc/product/10469/Colour_Chart_Pablo.pdf</x:v>
      </x:c>
      <x:c r="AX197" t="n">
        <x:v>1</x:v>
      </x:c>
      <x:c r="AY197" t="str">
        <x:v>Official</x:v>
      </x:c>
      <x:c r="AZ197" t="str">
        <x:v>Official where available; curated Traditional Chinese/Japanese otherwise</x:v>
      </x:c>
      <x:c r="BA197" t="str">
        <x:v>Verified from official chart; digital HEX is approximate</x:v>
      </x:c>
      <x:c r="BB197" t="str">
        <x:v>Physical media appearance varies by paper, pressure, layering, water and scan/display profile.</x:v>
      </x:c>
    </x:row>
    <x:row r="198">
      <x:c r="A198" t="str">
        <x:f>G198&amp;"|"&amp;L198</x:f>
        <x:v>PAB|470</x:v>
      </x:c>
      <x:c r="B198" t="str">
        <x:v>ccb158b7-37a1-527a-b0f2-1bae6cdfddf0</x:v>
      </x:c>
      <x:c r="C198" t="str">
        <x:v>CDA-PAB-470</x:v>
      </x:c>
      <x:c r="D198" t="str">
        <x:v>e5fd455d-0e91-54ba-bac2-04493fa22e11</x:v>
      </x:c>
      <x:c r="E198" t="str">
        <x:v>CDA-CODE-470</x:v>
      </x:c>
      <x:c r="F198" t="str">
        <x:v>Caran d’Ache</x:v>
      </x:c>
      <x:c r="G198" t="str">
        <x:v>PAB</x:v>
      </x:c>
      <x:c r="H198" t="str">
        <x:v>PABLO</x:v>
      </x:c>
      <x:c r="I198" t="str">
        <x:v>Permanent coloured pencil</x:v>
      </x:c>
      <x:c r="J198" t="str">
        <x:v>Artist</x:v>
      </x:c>
      <x:c r="K198" s="30" t="n">
        <x:v>97</x:v>
      </x:c>
      <x:c r="L198" s="30" t="str">
        <x:v>470</x:v>
      </x:c>
      <x:c r="M198" t="str">
        <x:v>Spring green</x:v>
      </x:c>
      <x:c r="N198" t="str">
        <x:v>春綠色</x:v>
      </x:c>
      <x:c r="O198" t="str">
        <x:v>スプリンググリーン</x:v>
      </x:c>
      <x:c r="P198" t="str"/>
      <x:c r="Q198" t="str">
        <x:v>Vert de mai</x:v>
      </x:c>
      <x:c r="R198" t="str">
        <x:v>Maigrün</x:v>
      </x:c>
      <x:c r="S198" t="str">
        <x:v>Verde primavera</x:v>
      </x:c>
      <x:c r="T198" t="str">
        <x:v>Verde de mayo</x:v>
      </x:c>
      <x:c r="U198" t="str"/>
      <x:c r="V198" t="str"/>
      <x:c r="W198" t="str"/>
      <x:c r="X198" t="n">
        <x:f>IF(W198="",0,LEN(W198)-LEN(SUBSTITUTE(W198,"/",""))+1)</x:f>
        <x:v>0</x:v>
      </x:c>
      <x:c r="Y198" t="str">
        <x:v>H</x:v>
      </x:c>
      <x:c r="Z198" s="32" t="n">
        <x:v>1.67</x:v>
      </x:c>
      <x:c r="AA198" s="32" t="n">
        <x:v>3</x:v>
      </x:c>
      <x:c r="AB198" s="32" t="str">
        <x:v>Blue Wool Scale / UV 150h</x:v>
      </x:c>
      <x:c r="AC198" t="str">
        <x:v>#BBD873</x:v>
      </x:c>
      <x:c r="AD198" s="34" t="n">
        <x:v>187</x:v>
      </x:c>
      <x:c r="AE198" s="34" t="n">
        <x:v>216</x:v>
      </x:c>
      <x:c r="AF198" s="34" t="n">
        <x:v>115</x:v>
      </x:c>
      <x:c r="AG198" s="32" t="n">
        <x:v>77.23</x:v>
      </x:c>
      <x:c r="AH198" s="32" t="n">
        <x:v>56.42</x:v>
      </x:c>
      <x:c r="AI198" s="32" t="n">
        <x:v>64.9</x:v>
      </x:c>
      <x:c r="AJ198" s="32" t="n">
        <x:v>82.33</x:v>
      </x:c>
      <x:c r="AK198" s="32" t="n">
        <x:v>-25.28</x:v>
      </x:c>
      <x:c r="AL198" s="32" t="n">
        <x:v>46.36</x:v>
      </x:c>
      <x:c r="AM198" s="32" t="str">
        <x:v>#000000</x:v>
      </x:c>
      <x:c r="AN198" s="32" t="str">
        <x:v>Black</x:v>
      </x:c>
      <x:c r="AO198" s="32" t="n">
        <x:v>13.18</x:v>
      </x:c>
      <x:c r="AP198" s="32" t="n">
        <x:v>13.18</x:v>
      </x:c>
      <x:c r="AQ198" s="32" t="n">
        <x:v>1.59</x:v>
      </x:c>
      <x:c r="AR198" s="32" t="n">
        <x:v>0.609143</x:v>
      </x:c>
      <x:c r="AS198" t="str">
        <x:v>PASS</x:v>
      </x:c>
      <x:c r="AT198" t="str">
        <x:v>--cda-pab-470</x:v>
      </x:c>
      <x:c r="AU198" t="str">
        <x:v>var(--cda-pab-470)</x:v>
      </x:c>
      <x:c r="AV198" t="str">
        <x:v>Median RGB from official PDF swatch (screen reference only)</x:v>
      </x:c>
      <x:c r="AW198" t="str">
        <x:v>https://www.carandache.com/content_files/uploaded_doc/product/10469/Colour_Chart_Pablo.pdf</x:v>
      </x:c>
      <x:c r="AX198" t="n">
        <x:v>1</x:v>
      </x:c>
      <x:c r="AY198" t="str">
        <x:v>Official</x:v>
      </x:c>
      <x:c r="AZ198" t="str">
        <x:v>Official where available; curated Traditional Chinese/Japanese otherwise</x:v>
      </x:c>
      <x:c r="BA198" t="str">
        <x:v>Verified from official chart; digital HEX is approximate</x:v>
      </x:c>
      <x:c r="BB198" t="str">
        <x:v>Physical media appearance varies by paper, pressure, layering, water and scan/display profile.</x:v>
      </x:c>
    </x:row>
    <x:row r="199">
      <x:c r="A199" t="str">
        <x:f>G199&amp;"|"&amp;L199</x:f>
        <x:v>PAB|231</x:v>
      </x:c>
      <x:c r="B199" t="str">
        <x:v>198ca4a8-979b-5486-b62a-37f965b83869</x:v>
      </x:c>
      <x:c r="C199" t="str">
        <x:v>CDA-PAB-231</x:v>
      </x:c>
      <x:c r="D199" t="str">
        <x:v>8d5c3121-4cf0-53c5-8e3b-540d6f1e1304</x:v>
      </x:c>
      <x:c r="E199" t="str">
        <x:v>CDA-CODE-231</x:v>
      </x:c>
      <x:c r="F199" t="str">
        <x:v>Caran d’Ache</x:v>
      </x:c>
      <x:c r="G199" t="str">
        <x:v>PAB</x:v>
      </x:c>
      <x:c r="H199" t="str">
        <x:v>PABLO</x:v>
      </x:c>
      <x:c r="I199" t="str">
        <x:v>Permanent coloured pencil</x:v>
      </x:c>
      <x:c r="J199" t="str">
        <x:v>Artist</x:v>
      </x:c>
      <x:c r="K199" s="30" t="n">
        <x:v>98</x:v>
      </x:c>
      <x:c r="L199" s="30" t="str">
        <x:v>231</x:v>
      </x:c>
      <x:c r="M199" t="str">
        <x:v>Lime green</x:v>
      </x:c>
      <x:c r="N199" t="str">
        <x:v>萊姆綠</x:v>
      </x:c>
      <x:c r="O199" t="str">
        <x:v>ライムグリーン</x:v>
      </x:c>
      <x:c r="P199" t="str"/>
      <x:c r="Q199" t="str">
        <x:v>Vert tilleul</x:v>
      </x:c>
      <x:c r="R199" t="str">
        <x:v>Lindengrün</x:v>
      </x:c>
      <x:c r="S199" t="str">
        <x:v>Verde tiglio</x:v>
      </x:c>
      <x:c r="T199" t="str">
        <x:v>Verde tilo</x:v>
      </x:c>
      <x:c r="U199" t="str"/>
      <x:c r="V199" t="str"/>
      <x:c r="W199" t="str"/>
      <x:c r="X199" t="n">
        <x:f>IF(W199="",0,LEN(W199)-LEN(SUBSTITUTE(W199,"/",""))+1)</x:f>
        <x:v>0</x:v>
      </x:c>
      <x:c r="Y199" t="str">
        <x:v>H</x:v>
      </x:c>
      <x:c r="Z199" s="32" t="n">
        <x:v>1.67</x:v>
      </x:c>
      <x:c r="AA199" s="32" t="n">
        <x:v>3</x:v>
      </x:c>
      <x:c r="AB199" s="32" t="str">
        <x:v>Blue Wool Scale / UV 150h</x:v>
      </x:c>
      <x:c r="AC199" t="str">
        <x:v>#E6EB97</x:v>
      </x:c>
      <x:c r="AD199" s="34" t="n">
        <x:v>230</x:v>
      </x:c>
      <x:c r="AE199" s="34" t="n">
        <x:v>235</x:v>
      </x:c>
      <x:c r="AF199" s="34" t="n">
        <x:v>151</x:v>
      </x:c>
      <x:c r="AG199" s="32" t="n">
        <x:v>63.57</x:v>
      </x:c>
      <x:c r="AH199" s="32" t="n">
        <x:v>67.74</x:v>
      </x:c>
      <x:c r="AI199" s="32" t="n">
        <x:v>75.69</x:v>
      </x:c>
      <x:c r="AJ199" s="32" t="n">
        <x:v>91</x:v>
      </x:c>
      <x:c r="AK199" s="32" t="n">
        <x:v>-14.16</x:v>
      </x:c>
      <x:c r="AL199" s="32" t="n">
        <x:v>40.24</x:v>
      </x:c>
      <x:c r="AM199" s="32" t="str">
        <x:v>#000000</x:v>
      </x:c>
      <x:c r="AN199" s="32" t="str">
        <x:v>Black</x:v>
      </x:c>
      <x:c r="AO199" s="32" t="n">
        <x:v>16.69</x:v>
      </x:c>
      <x:c r="AP199" s="32" t="n">
        <x:v>16.69</x:v>
      </x:c>
      <x:c r="AQ199" s="32" t="n">
        <x:v>1.26</x:v>
      </x:c>
      <x:c r="AR199" s="32" t="n">
        <x:v>0.78474</x:v>
      </x:c>
      <x:c r="AS199" t="str">
        <x:v>PASS</x:v>
      </x:c>
      <x:c r="AT199" t="str">
        <x:v>--cda-pab-231</x:v>
      </x:c>
      <x:c r="AU199" t="str">
        <x:v>var(--cda-pab-231)</x:v>
      </x:c>
      <x:c r="AV199" t="str">
        <x:v>Median RGB from official PDF swatch (screen reference only)</x:v>
      </x:c>
      <x:c r="AW199" t="str">
        <x:v>https://www.carandache.com/content_files/uploaded_doc/product/10469/Colour_Chart_Pablo.pdf</x:v>
      </x:c>
      <x:c r="AX199" t="n">
        <x:v>1</x:v>
      </x:c>
      <x:c r="AY199" t="str">
        <x:v>Official</x:v>
      </x:c>
      <x:c r="AZ199" t="str">
        <x:v>Official where available; curated Traditional Chinese/Japanese otherwise</x:v>
      </x:c>
      <x:c r="BA199" t="str">
        <x:v>Verified from official chart; digital HEX is approximate</x:v>
      </x:c>
      <x:c r="BB199" t="str">
        <x:v>Physical media appearance varies by paper, pressure, layering, water and scan/display profile.</x:v>
      </x:c>
    </x:row>
    <x:row r="200">
      <x:c r="A200" t="str">
        <x:f>G200&amp;"|"&amp;L200</x:f>
        <x:v>PAB|221</x:v>
      </x:c>
      <x:c r="B200" t="str">
        <x:v>ecc21bc8-7788-5621-9c5b-b49af75f572f</x:v>
      </x:c>
      <x:c r="C200" t="str">
        <x:v>CDA-PAB-221</x:v>
      </x:c>
      <x:c r="D200" t="str">
        <x:v>115b9877-af13-5144-8904-8e991327a83a</x:v>
      </x:c>
      <x:c r="E200" t="str">
        <x:v>CDA-CODE-221</x:v>
      </x:c>
      <x:c r="F200" t="str">
        <x:v>Caran d’Ache</x:v>
      </x:c>
      <x:c r="G200" t="str">
        <x:v>PAB</x:v>
      </x:c>
      <x:c r="H200" t="str">
        <x:v>PABLO</x:v>
      </x:c>
      <x:c r="I200" t="str">
        <x:v>Permanent coloured pencil</x:v>
      </x:c>
      <x:c r="J200" t="str">
        <x:v>Artist</x:v>
      </x:c>
      <x:c r="K200" s="30" t="n">
        <x:v>99</x:v>
      </x:c>
      <x:c r="L200" s="30" t="str">
        <x:v>221</x:v>
      </x:c>
      <x:c r="M200" t="str">
        <x:v>Light green</x:v>
      </x:c>
      <x:c r="N200" t="str">
        <x:v>淺綠色</x:v>
      </x:c>
      <x:c r="O200" t="str">
        <x:v>ライトグリーン</x:v>
      </x:c>
      <x:c r="P200" t="str"/>
      <x:c r="Q200" t="str">
        <x:v>Vert clair</x:v>
      </x:c>
      <x:c r="R200" t="str">
        <x:v>Hellgrün</x:v>
      </x:c>
      <x:c r="S200" t="str">
        <x:v>Verde chiaro</x:v>
      </x:c>
      <x:c r="T200" t="str">
        <x:v>Verde claro</x:v>
      </x:c>
      <x:c r="U200" t="str"/>
      <x:c r="V200" t="str"/>
      <x:c r="W200" t="str"/>
      <x:c r="X200" t="n">
        <x:f>IF(W200="",0,LEN(W200)-LEN(SUBSTITUTE(W200,"/",""))+1)</x:f>
        <x:v>0</x:v>
      </x:c>
      <x:c r="Y200" t="str">
        <x:v>H</x:v>
      </x:c>
      <x:c r="Z200" s="32" t="n">
        <x:v>1.67</x:v>
      </x:c>
      <x:c r="AA200" s="32" t="n">
        <x:v>3</x:v>
      </x:c>
      <x:c r="AB200" s="32" t="str">
        <x:v>Blue Wool Scale / UV 150h</x:v>
      </x:c>
      <x:c r="AC200" t="str">
        <x:v>#C0DC8E</x:v>
      </x:c>
      <x:c r="AD200" s="34" t="n">
        <x:v>192</x:v>
      </x:c>
      <x:c r="AE200" s="34" t="n">
        <x:v>220</x:v>
      </x:c>
      <x:c r="AF200" s="34" t="n">
        <x:v>142</x:v>
      </x:c>
      <x:c r="AG200" s="32" t="n">
        <x:v>81.54</x:v>
      </x:c>
      <x:c r="AH200" s="32" t="n">
        <x:v>52.7</x:v>
      </x:c>
      <x:c r="AI200" s="32" t="n">
        <x:v>70.98</x:v>
      </x:c>
      <x:c r="AJ200" s="32" t="n">
        <x:v>84.15</x:v>
      </x:c>
      <x:c r="AK200" s="32" t="n">
        <x:v>-22.16</x:v>
      </x:c>
      <x:c r="AL200" s="32" t="n">
        <x:v>35.33</x:v>
      </x:c>
      <x:c r="AM200" s="32" t="str">
        <x:v>#000000</x:v>
      </x:c>
      <x:c r="AN200" s="32" t="str">
        <x:v>Black</x:v>
      </x:c>
      <x:c r="AO200" s="32" t="n">
        <x:v>13.87</x:v>
      </x:c>
      <x:c r="AP200" s="32" t="n">
        <x:v>13.87</x:v>
      </x:c>
      <x:c r="AQ200" s="32" t="n">
        <x:v>1.51</x:v>
      </x:c>
      <x:c r="AR200" s="32" t="n">
        <x:v>0.643459</x:v>
      </x:c>
      <x:c r="AS200" t="str">
        <x:v>PASS</x:v>
      </x:c>
      <x:c r="AT200" t="str">
        <x:v>--cda-pab-221</x:v>
      </x:c>
      <x:c r="AU200" t="str">
        <x:v>var(--cda-pab-221)</x:v>
      </x:c>
      <x:c r="AV200" t="str">
        <x:v>Median RGB from official PDF swatch (screen reference only)</x:v>
      </x:c>
      <x:c r="AW200" t="str">
        <x:v>https://www.carandache.com/content_files/uploaded_doc/product/10469/Colour_Chart_Pablo.pdf</x:v>
      </x:c>
      <x:c r="AX200" t="n">
        <x:v>1</x:v>
      </x:c>
      <x:c r="AY200" t="str">
        <x:v>Official</x:v>
      </x:c>
      <x:c r="AZ200" t="str">
        <x:v>Official where available; curated Traditional Chinese/Japanese otherwise</x:v>
      </x:c>
      <x:c r="BA200" t="str">
        <x:v>Verified from official chart; digital HEX is approximate</x:v>
      </x:c>
      <x:c r="BB200" t="str">
        <x:v>Physical media appearance varies by paper, pressure, layering, water and scan/display profile.</x:v>
      </x:c>
    </x:row>
    <x:row r="201">
      <x:c r="A201" t="str">
        <x:f>G201&amp;"|"&amp;L201</x:f>
        <x:v>PAB|241</x:v>
      </x:c>
      <x:c r="B201" t="str">
        <x:v>b4cb4f16-7699-5bfc-b404-f07603aa2fcd</x:v>
      </x:c>
      <x:c r="C201" t="str">
        <x:v>CDA-PAB-241</x:v>
      </x:c>
      <x:c r="D201" t="str">
        <x:v>1c68f8d1-8f6d-5e99-9049-4955fb2973de</x:v>
      </x:c>
      <x:c r="E201" t="str">
        <x:v>CDA-CODE-241</x:v>
      </x:c>
      <x:c r="F201" t="str">
        <x:v>Caran d’Ache</x:v>
      </x:c>
      <x:c r="G201" t="str">
        <x:v>PAB</x:v>
      </x:c>
      <x:c r="H201" t="str">
        <x:v>PABLO</x:v>
      </x:c>
      <x:c r="I201" t="str">
        <x:v>Permanent coloured pencil</x:v>
      </x:c>
      <x:c r="J201" t="str">
        <x:v>Artist</x:v>
      </x:c>
      <x:c r="K201" s="30" t="n">
        <x:v>100</x:v>
      </x:c>
      <x:c r="L201" s="30" t="str">
        <x:v>241</x:v>
      </x:c>
      <x:c r="M201" t="str">
        <x:v>Light lemon yellow</x:v>
      </x:c>
      <x:c r="N201" t="str">
        <x:v>淺檸檬黃</x:v>
      </x:c>
      <x:c r="O201" t="str">
        <x:v>ライトレモンイエロー</x:v>
      </x:c>
      <x:c r="P201" t="str"/>
      <x:c r="Q201" t="str">
        <x:v>Jaune citron clair</x:v>
      </x:c>
      <x:c r="R201" t="str">
        <x:v>Hellzitronengelb</x:v>
      </x:c>
      <x:c r="S201" t="str">
        <x:v>Giallo limone chiaro</x:v>
      </x:c>
      <x:c r="T201" t="str">
        <x:v>Amarilo limón claro</x:v>
      </x:c>
      <x:c r="U201" t="str"/>
      <x:c r="V201" t="str"/>
      <x:c r="W201" t="str"/>
      <x:c r="X201" t="n">
        <x:f>IF(W201="",0,LEN(W201)-LEN(SUBSTITUTE(W201,"/",""))+1)</x:f>
        <x:v>0</x:v>
      </x:c>
      <x:c r="Y201" t="str">
        <x:v>H</x:v>
      </x:c>
      <x:c r="Z201" s="32" t="n">
        <x:v>1.67</x:v>
      </x:c>
      <x:c r="AA201" s="32" t="n">
        <x:v>3</x:v>
      </x:c>
      <x:c r="AB201" s="32" t="str">
        <x:v>Blue Wool Scale / UV 150h</x:v>
      </x:c>
      <x:c r="AC201" t="str">
        <x:v>#F3EEBA</x:v>
      </x:c>
      <x:c r="AD201" s="34" t="n">
        <x:v>243</x:v>
      </x:c>
      <x:c r="AE201" s="34" t="n">
        <x:v>238</x:v>
      </x:c>
      <x:c r="AF201" s="34" t="n">
        <x:v>186</x:v>
      </x:c>
      <x:c r="AG201" s="32" t="n">
        <x:v>54.74</x:v>
      </x:c>
      <x:c r="AH201" s="32" t="n">
        <x:v>70.37</x:v>
      </x:c>
      <x:c r="AI201" s="32" t="n">
        <x:v>84.12</x:v>
      </x:c>
      <x:c r="AJ201" s="32" t="n">
        <x:v>93.34</x:v>
      </x:c>
      <x:c r="AK201" s="32" t="n">
        <x:v>-6.41</x:v>
      </x:c>
      <x:c r="AL201" s="32" t="n">
        <x:v>25.85</x:v>
      </x:c>
      <x:c r="AM201" s="32" t="str">
        <x:v>#000000</x:v>
      </x:c>
      <x:c r="AN201" s="32" t="str">
        <x:v>Black</x:v>
      </x:c>
      <x:c r="AO201" s="32" t="n">
        <x:v>17.75</x:v>
      </x:c>
      <x:c r="AP201" s="32" t="n">
        <x:v>17.75</x:v>
      </x:c>
      <x:c r="AQ201" s="32" t="n">
        <x:v>1.18</x:v>
      </x:c>
      <x:c r="AR201" s="32" t="n">
        <x:v>0.837489</x:v>
      </x:c>
      <x:c r="AS201" t="str">
        <x:v>PASS</x:v>
      </x:c>
      <x:c r="AT201" t="str">
        <x:v>--cda-pab-241</x:v>
      </x:c>
      <x:c r="AU201" t="str">
        <x:v>var(--cda-pab-241)</x:v>
      </x:c>
      <x:c r="AV201" t="str">
        <x:v>Median RGB from official PDF swatch (screen reference only)</x:v>
      </x:c>
      <x:c r="AW201" t="str">
        <x:v>https://www.carandache.com/content_files/uploaded_doc/product/10469/Colour_Chart_Pablo.pdf</x:v>
      </x:c>
      <x:c r="AX201" t="n">
        <x:v>1</x:v>
      </x:c>
      <x:c r="AY201" t="str">
        <x:v>Official</x:v>
      </x:c>
      <x:c r="AZ201" t="str">
        <x:v>Official where available; curated Traditional Chinese/Japanese otherwise</x:v>
      </x:c>
      <x:c r="BA201" t="str">
        <x:v>Verified from official chart; digital HEX is approximate</x:v>
      </x:c>
      <x:c r="BB201" t="str">
        <x:v>Physical media appearance varies by paper, pressure, layering, water and scan/display profile.</x:v>
      </x:c>
    </x:row>
    <x:row r="202">
      <x:c r="A202" t="str">
        <x:f>G202&amp;"|"&amp;L202</x:f>
        <x:v>PAB|015</x:v>
      </x:c>
      <x:c r="B202" t="str">
        <x:v>db9c5d44-0917-5777-9ea5-1e794c8d873a</x:v>
      </x:c>
      <x:c r="C202" t="str">
        <x:v>CDA-PAB-015</x:v>
      </x:c>
      <x:c r="D202" t="str">
        <x:v>f8bcbda9-5354-53c7-b875-44dc8d27a8ac</x:v>
      </x:c>
      <x:c r="E202" t="str">
        <x:v>CDA-CODE-015</x:v>
      </x:c>
      <x:c r="F202" t="str">
        <x:v>Caran d’Ache</x:v>
      </x:c>
      <x:c r="G202" t="str">
        <x:v>PAB</x:v>
      </x:c>
      <x:c r="H202" t="str">
        <x:v>PABLO</x:v>
      </x:c>
      <x:c r="I202" t="str">
        <x:v>Permanent coloured pencil</x:v>
      </x:c>
      <x:c r="J202" t="str">
        <x:v>Artist</x:v>
      </x:c>
      <x:c r="K202" s="30" t="n">
        <x:v>101</x:v>
      </x:c>
      <x:c r="L202" s="30" t="str">
        <x:v>015</x:v>
      </x:c>
      <x:c r="M202" t="str">
        <x:v>Olive yellow</x:v>
      </x:c>
      <x:c r="N202" t="str">
        <x:v>橄欖黃</x:v>
      </x:c>
      <x:c r="O202" t="str">
        <x:v>オリーブイエロー</x:v>
      </x:c>
      <x:c r="P202" t="str"/>
      <x:c r="Q202" t="str">
        <x:v>Jaune olive</x:v>
      </x:c>
      <x:c r="R202" t="str">
        <x:v>Gelboliv</x:v>
      </x:c>
      <x:c r="S202" t="str">
        <x:v>Giallo oliva</x:v>
      </x:c>
      <x:c r="T202" t="str">
        <x:v>Amarillo oliva</x:v>
      </x:c>
      <x:c r="U202" t="str"/>
      <x:c r="V202" t="str"/>
      <x:c r="W202" t="str"/>
      <x:c r="X202" t="n">
        <x:f>IF(W202="",0,LEN(W202)-LEN(SUBSTITUTE(W202,"/",""))+1)</x:f>
        <x:v>0</x:v>
      </x:c>
      <x:c r="Y202" t="str">
        <x:v>H</x:v>
      </x:c>
      <x:c r="Z202" s="32" t="n">
        <x:v>1.67</x:v>
      </x:c>
      <x:c r="AA202" s="32" t="n">
        <x:v>3</x:v>
      </x:c>
      <x:c r="AB202" s="32" t="str">
        <x:v>Blue Wool Scale / UV 150h</x:v>
      </x:c>
      <x:c r="AC202" t="str">
        <x:v>#D3CB3D</x:v>
      </x:c>
      <x:c r="AD202" s="34" t="n">
        <x:v>211</x:v>
      </x:c>
      <x:c r="AE202" s="34" t="n">
        <x:v>203</x:v>
      </x:c>
      <x:c r="AF202" s="34" t="n">
        <x:v>61</x:v>
      </x:c>
      <x:c r="AG202" s="32" t="n">
        <x:v>56.8</x:v>
      </x:c>
      <x:c r="AH202" s="32" t="n">
        <x:v>63.03</x:v>
      </x:c>
      <x:c r="AI202" s="32" t="n">
        <x:v>53.33</x:v>
      </x:c>
      <x:c r="AJ202" s="32" t="n">
        <x:v>80.12</x:v>
      </x:c>
      <x:c r="AK202" s="32" t="n">
        <x:v>-13.23</x:v>
      </x:c>
      <x:c r="AL202" s="32" t="n">
        <x:v>67.72</x:v>
      </x:c>
      <x:c r="AM202" s="32" t="str">
        <x:v>#000000</x:v>
      </x:c>
      <x:c r="AN202" s="32" t="str">
        <x:v>Black</x:v>
      </x:c>
      <x:c r="AO202" s="32" t="n">
        <x:v>12.38</x:v>
      </x:c>
      <x:c r="AP202" s="32" t="n">
        <x:v>12.38</x:v>
      </x:c>
      <x:c r="AQ202" s="32" t="n">
        <x:v>1.7</x:v>
      </x:c>
      <x:c r="AR202" s="32" t="n">
        <x:v>0.568977</x:v>
      </x:c>
      <x:c r="AS202" t="str">
        <x:v>PASS</x:v>
      </x:c>
      <x:c r="AT202" t="str">
        <x:v>--cda-pab-015</x:v>
      </x:c>
      <x:c r="AU202" t="str">
        <x:v>var(--cda-pab-015)</x:v>
      </x:c>
      <x:c r="AV202" t="str">
        <x:v>Median RGB from official PDF swatch (screen reference only)</x:v>
      </x:c>
      <x:c r="AW202" t="str">
        <x:v>https://www.carandache.com/content_files/uploaded_doc/product/10469/Colour_Chart_Pablo.pdf</x:v>
      </x:c>
      <x:c r="AX202" t="n">
        <x:v>1</x:v>
      </x:c>
      <x:c r="AY202" t="str">
        <x:v>Official</x:v>
      </x:c>
      <x:c r="AZ202" t="str">
        <x:v>Official where available; curated Traditional Chinese/Japanese otherwise</x:v>
      </x:c>
      <x:c r="BA202" t="str">
        <x:v>Verified from official chart; digital HEX is approximate</x:v>
      </x:c>
      <x:c r="BB202" t="str">
        <x:v>Physical media appearance varies by paper, pressure, layering, water and scan/display profile.</x:v>
      </x:c>
    </x:row>
    <x:row r="203">
      <x:c r="A203" t="str">
        <x:f>G203&amp;"|"&amp;L203</x:f>
        <x:v>PAB|016</x:v>
      </x:c>
      <x:c r="B203" t="str">
        <x:v>6cb437bb-5807-5f88-8de1-3b46ed5edc3f</x:v>
      </x:c>
      <x:c r="C203" t="str">
        <x:v>CDA-PAB-016</x:v>
      </x:c>
      <x:c r="D203" t="str">
        <x:v>142b8587-6f76-59f4-b9e7-6d449f85360f</x:v>
      </x:c>
      <x:c r="E203" t="str">
        <x:v>CDA-CODE-016</x:v>
      </x:c>
      <x:c r="F203" t="str">
        <x:v>Caran d’Ache</x:v>
      </x:c>
      <x:c r="G203" t="str">
        <x:v>PAB</x:v>
      </x:c>
      <x:c r="H203" t="str">
        <x:v>PABLO</x:v>
      </x:c>
      <x:c r="I203" t="str">
        <x:v>Permanent coloured pencil</x:v>
      </x:c>
      <x:c r="J203" t="str">
        <x:v>Artist</x:v>
      </x:c>
      <x:c r="K203" s="30" t="n">
        <x:v>102</x:v>
      </x:c>
      <x:c r="L203" s="30" t="str">
        <x:v>016</x:v>
      </x:c>
      <x:c r="M203" t="str">
        <x:v>Khaki green</x:v>
      </x:c>
      <x:c r="N203" t="str">
        <x:v>卡其綠</x:v>
      </x:c>
      <x:c r="O203" t="str">
        <x:v>カーキグリーン</x:v>
      </x:c>
      <x:c r="P203" t="str"/>
      <x:c r="Q203" t="str">
        <x:v>Vert kaki</x:v>
      </x:c>
      <x:c r="R203" t="str">
        <x:v>Khakigrün</x:v>
      </x:c>
      <x:c r="S203" t="str">
        <x:v>Verde cachi</x:v>
      </x:c>
      <x:c r="T203" t="str">
        <x:v>Verde caqui</x:v>
      </x:c>
      <x:c r="U203" t="str"/>
      <x:c r="V203" t="str"/>
      <x:c r="W203" t="str"/>
      <x:c r="X203" t="n">
        <x:f>IF(W203="",0,LEN(W203)-LEN(SUBSTITUTE(W203,"/",""))+1)</x:f>
        <x:v>0</x:v>
      </x:c>
      <x:c r="Y203" t="str">
        <x:v>H</x:v>
      </x:c>
      <x:c r="Z203" s="32" t="n">
        <x:v>1.67</x:v>
      </x:c>
      <x:c r="AA203" s="32" t="n">
        <x:v>3</x:v>
      </x:c>
      <x:c r="AB203" s="32" t="str">
        <x:v>Blue Wool Scale / UV 150h</x:v>
      </x:c>
      <x:c r="AC203" t="str">
        <x:v>#B7AF3A</x:v>
      </x:c>
      <x:c r="AD203" s="34" t="n">
        <x:v>183</x:v>
      </x:c>
      <x:c r="AE203" s="34" t="n">
        <x:v>175</x:v>
      </x:c>
      <x:c r="AF203" s="34" t="n">
        <x:v>58</x:v>
      </x:c>
      <x:c r="AG203" s="32" t="n">
        <x:v>56.16</x:v>
      </x:c>
      <x:c r="AH203" s="32" t="n">
        <x:v>51.87</x:v>
      </x:c>
      <x:c r="AI203" s="32" t="n">
        <x:v>47.25</x:v>
      </x:c>
      <x:c r="AJ203" s="32" t="n">
        <x:v>70.2</x:v>
      </x:c>
      <x:c r="AK203" s="32" t="n">
        <x:v>-11.05</x:v>
      </x:c>
      <x:c r="AL203" s="32" t="n">
        <x:v>58.25</x:v>
      </x:c>
      <x:c r="AM203" s="32" t="str">
        <x:v>#000000</x:v>
      </x:c>
      <x:c r="AN203" s="32" t="str">
        <x:v>Black</x:v>
      </x:c>
      <x:c r="AO203" s="32" t="n">
        <x:v>9.21</x:v>
      </x:c>
      <x:c r="AP203" s="32" t="n">
        <x:v>9.21</x:v>
      </x:c>
      <x:c r="AQ203" s="32" t="n">
        <x:v>2.28</x:v>
      </x:c>
      <x:c r="AR203" s="32" t="n">
        <x:v>0.410327</x:v>
      </x:c>
      <x:c r="AS203" t="str">
        <x:v>PASS</x:v>
      </x:c>
      <x:c r="AT203" t="str">
        <x:v>--cda-pab-016</x:v>
      </x:c>
      <x:c r="AU203" t="str">
        <x:v>var(--cda-pab-016)</x:v>
      </x:c>
      <x:c r="AV203" t="str">
        <x:v>Median RGB from official PDF swatch (screen reference only)</x:v>
      </x:c>
      <x:c r="AW203" t="str">
        <x:v>https://www.carandache.com/content_files/uploaded_doc/product/10469/Colour_Chart_Pablo.pdf</x:v>
      </x:c>
      <x:c r="AX203" t="n">
        <x:v>1</x:v>
      </x:c>
      <x:c r="AY203" t="str">
        <x:v>Official</x:v>
      </x:c>
      <x:c r="AZ203" t="str">
        <x:v>Official where available; curated Traditional Chinese/Japanese otherwise</x:v>
      </x:c>
      <x:c r="BA203" t="str">
        <x:v>Verified from official chart; digital HEX is approximate</x:v>
      </x:c>
      <x:c r="BB203" t="str">
        <x:v>Physical media appearance varies by paper, pressure, layering, water and scan/display profile.</x:v>
      </x:c>
    </x:row>
    <x:row r="204">
      <x:c r="A204" t="str">
        <x:f>G204&amp;"|"&amp;L204</x:f>
        <x:v>PAB|245</x:v>
      </x:c>
      <x:c r="B204" t="str">
        <x:v>16356484-3227-5d8e-a962-0dbfa622f975</x:v>
      </x:c>
      <x:c r="C204" t="str">
        <x:v>CDA-PAB-245</x:v>
      </x:c>
      <x:c r="D204" t="str">
        <x:v>592280bd-2cc9-5bea-bb70-ba5d26898542</x:v>
      </x:c>
      <x:c r="E204" t="str">
        <x:v>CDA-CODE-245</x:v>
      </x:c>
      <x:c r="F204" t="str">
        <x:v>Caran d’Ache</x:v>
      </x:c>
      <x:c r="G204" t="str">
        <x:v>PAB</x:v>
      </x:c>
      <x:c r="H204" t="str">
        <x:v>PABLO</x:v>
      </x:c>
      <x:c r="I204" t="str">
        <x:v>Permanent coloured pencil</x:v>
      </x:c>
      <x:c r="J204" t="str">
        <x:v>Artist</x:v>
      </x:c>
      <x:c r="K204" s="30" t="n">
        <x:v>103</x:v>
      </x:c>
      <x:c r="L204" s="30" t="str">
        <x:v>245</x:v>
      </x:c>
      <x:c r="M204" t="str">
        <x:v>Light olive</x:v>
      </x:c>
      <x:c r="N204" t="str">
        <x:v>淺橄欖色</x:v>
      </x:c>
      <x:c r="O204" t="str">
        <x:v>ライトオリーブ</x:v>
      </x:c>
      <x:c r="P204" t="str"/>
      <x:c r="Q204" t="str">
        <x:v>Olive clair</x:v>
      </x:c>
      <x:c r="R204" t="str">
        <x:v>Helloliv</x:v>
      </x:c>
      <x:c r="S204" t="str">
        <x:v>Oliva chiaro</x:v>
      </x:c>
      <x:c r="T204" t="str">
        <x:v>Oliva claro</x:v>
      </x:c>
      <x:c r="U204" t="str"/>
      <x:c r="V204" t="str"/>
      <x:c r="W204" t="str"/>
      <x:c r="X204" t="n">
        <x:f>IF(W204="",0,LEN(W204)-LEN(SUBSTITUTE(W204,"/",""))+1)</x:f>
        <x:v>0</x:v>
      </x:c>
      <x:c r="Y204" t="str">
        <x:v>H</x:v>
      </x:c>
      <x:c r="Z204" s="32" t="n">
        <x:v>1.67</x:v>
      </x:c>
      <x:c r="AA204" s="32" t="n">
        <x:v>3</x:v>
      </x:c>
      <x:c r="AB204" s="32" t="str">
        <x:v>Blue Wool Scale / UV 150h</x:v>
      </x:c>
      <x:c r="AC204" t="str">
        <x:v>#CACA49</x:v>
      </x:c>
      <x:c r="AD204" s="34" t="n">
        <x:v>202</x:v>
      </x:c>
      <x:c r="AE204" s="34" t="n">
        <x:v>202</x:v>
      </x:c>
      <x:c r="AF204" s="34" t="n">
        <x:v>73</x:v>
      </x:c>
      <x:c r="AG204" s="32" t="n">
        <x:v>60</x:v>
      </x:c>
      <x:c r="AH204" s="32" t="n">
        <x:v>54.89</x:v>
      </x:c>
      <x:c r="AI204" s="32" t="n">
        <x:v>53.92</x:v>
      </x:c>
      <x:c r="AJ204" s="32" t="n">
        <x:v>79.2</x:v>
      </x:c>
      <x:c r="AK204" s="32" t="n">
        <x:v>-15.86</x:v>
      </x:c>
      <x:c r="AL204" s="32" t="n">
        <x:v>61.98</x:v>
      </x:c>
      <x:c r="AM204" s="32" t="str">
        <x:v>#000000</x:v>
      </x:c>
      <x:c r="AN204" s="32" t="str">
        <x:v>Black</x:v>
      </x:c>
      <x:c r="AO204" s="32" t="n">
        <x:v>12.06</x:v>
      </x:c>
      <x:c r="AP204" s="32" t="n">
        <x:v>12.06</x:v>
      </x:c>
      <x:c r="AQ204" s="32" t="n">
        <x:v>1.74</x:v>
      </x:c>
      <x:c r="AR204" s="32" t="n">
        <x:v>0.552787</x:v>
      </x:c>
      <x:c r="AS204" t="str">
        <x:v>PASS</x:v>
      </x:c>
      <x:c r="AT204" t="str">
        <x:v>--cda-pab-245</x:v>
      </x:c>
      <x:c r="AU204" t="str">
        <x:v>var(--cda-pab-245)</x:v>
      </x:c>
      <x:c r="AV204" t="str">
        <x:v>Median RGB from official PDF swatch (screen reference only)</x:v>
      </x:c>
      <x:c r="AW204" t="str">
        <x:v>https://www.carandache.com/content_files/uploaded_doc/product/10469/Colour_Chart_Pablo.pdf</x:v>
      </x:c>
      <x:c r="AX204" t="n">
        <x:v>1</x:v>
      </x:c>
      <x:c r="AY204" t="str">
        <x:v>Official</x:v>
      </x:c>
      <x:c r="AZ204" t="str">
        <x:v>Official where available; curated Traditional Chinese/Japanese otherwise</x:v>
      </x:c>
      <x:c r="BA204" t="str">
        <x:v>Verified from official chart; digital HEX is approximate</x:v>
      </x:c>
      <x:c r="BB204" t="str">
        <x:v>Physical media appearance varies by paper, pressure, layering, water and scan/display profile.</x:v>
      </x:c>
    </x:row>
    <x:row r="205">
      <x:c r="A205" t="str">
        <x:f>G205&amp;"|"&amp;L205</x:f>
        <x:v>PAB|225</x:v>
      </x:c>
      <x:c r="B205" t="str">
        <x:v>28ef17e7-408b-5310-baf7-bb8ae8f613af</x:v>
      </x:c>
      <x:c r="C205" t="str">
        <x:v>CDA-PAB-225</x:v>
      </x:c>
      <x:c r="D205" t="str">
        <x:v>d67f22eb-8649-5739-bafd-f445d45c47b5</x:v>
      </x:c>
      <x:c r="E205" t="str">
        <x:v>CDA-CODE-225</x:v>
      </x:c>
      <x:c r="F205" t="str">
        <x:v>Caran d’Ache</x:v>
      </x:c>
      <x:c r="G205" t="str">
        <x:v>PAB</x:v>
      </x:c>
      <x:c r="H205" t="str">
        <x:v>PABLO</x:v>
      </x:c>
      <x:c r="I205" t="str">
        <x:v>Permanent coloured pencil</x:v>
      </x:c>
      <x:c r="J205" t="str">
        <x:v>Artist</x:v>
      </x:c>
      <x:c r="K205" s="30" t="n">
        <x:v>104</x:v>
      </x:c>
      <x:c r="L205" s="30" t="str">
        <x:v>225</x:v>
      </x:c>
      <x:c r="M205" t="str">
        <x:v>Moss green</x:v>
      </x:c>
      <x:c r="N205" t="str">
        <x:v>苔綠色</x:v>
      </x:c>
      <x:c r="O205" t="str">
        <x:v>モスグリーン</x:v>
      </x:c>
      <x:c r="P205" t="str"/>
      <x:c r="Q205" t="str">
        <x:v>Vert mousse</x:v>
      </x:c>
      <x:c r="R205" t="str">
        <x:v>Moosgrün</x:v>
      </x:c>
      <x:c r="S205" t="str">
        <x:v>Verde muschio</x:v>
      </x:c>
      <x:c r="T205" t="str">
        <x:v>Verde musgo</x:v>
      </x:c>
      <x:c r="U205" t="str"/>
      <x:c r="V205" t="str"/>
      <x:c r="W205" t="str"/>
      <x:c r="X205" t="n">
        <x:f>IF(W205="",0,LEN(W205)-LEN(SUBSTITUTE(W205,"/",""))+1)</x:f>
        <x:v>0</x:v>
      </x:c>
      <x:c r="Y205" t="str">
        <x:v>H</x:v>
      </x:c>
      <x:c r="Z205" s="32" t="n">
        <x:v>1.67</x:v>
      </x:c>
      <x:c r="AA205" s="32" t="n">
        <x:v>3</x:v>
      </x:c>
      <x:c r="AB205" s="32" t="str">
        <x:v>Blue Wool Scale / UV 150h</x:v>
      </x:c>
      <x:c r="AC205" t="str">
        <x:v>#7F9D4C</x:v>
      </x:c>
      <x:c r="AD205" s="34" t="n">
        <x:v>127</x:v>
      </x:c>
      <x:c r="AE205" s="34" t="n">
        <x:v>157</x:v>
      </x:c>
      <x:c r="AF205" s="34" t="n">
        <x:v>76</x:v>
      </x:c>
      <x:c r="AG205" s="32" t="n">
        <x:v>82.22</x:v>
      </x:c>
      <x:c r="AH205" s="32" t="n">
        <x:v>34.76</x:v>
      </x:c>
      <x:c r="AI205" s="32" t="n">
        <x:v>45.69</x:v>
      </x:c>
      <x:c r="AJ205" s="32" t="n">
        <x:v>60.91</x:v>
      </x:c>
      <x:c r="AK205" s="32" t="n">
        <x:v>-23.99</x:v>
      </x:c>
      <x:c r="AL205" s="32" t="n">
        <x:v>38.63</x:v>
      </x:c>
      <x:c r="AM205" s="32" t="str">
        <x:v>#000000</x:v>
      </x:c>
      <x:c r="AN205" s="32" t="str">
        <x:v>Black</x:v>
      </x:c>
      <x:c r="AO205" s="32" t="n">
        <x:v>6.83</x:v>
      </x:c>
      <x:c r="AP205" s="32" t="n">
        <x:v>6.83</x:v>
      </x:c>
      <x:c r="AQ205" s="32" t="n">
        <x:v>3.07</x:v>
      </x:c>
      <x:c r="AR205" s="32" t="n">
        <x:v>0.291478</x:v>
      </x:c>
      <x:c r="AS205" t="str">
        <x:v>PASS</x:v>
      </x:c>
      <x:c r="AT205" t="str">
        <x:v>--cda-pab-225</x:v>
      </x:c>
      <x:c r="AU205" t="str">
        <x:v>var(--cda-pab-225)</x:v>
      </x:c>
      <x:c r="AV205" t="str">
        <x:v>Median RGB from official PDF swatch (screen reference only)</x:v>
      </x:c>
      <x:c r="AW205" t="str">
        <x:v>https://www.carandache.com/content_files/uploaded_doc/product/10469/Colour_Chart_Pablo.pdf</x:v>
      </x:c>
      <x:c r="AX205" t="n">
        <x:v>1</x:v>
      </x:c>
      <x:c r="AY205" t="str">
        <x:v>Official</x:v>
      </x:c>
      <x:c r="AZ205" t="str">
        <x:v>Official where available; curated Traditional Chinese/Japanese otherwise</x:v>
      </x:c>
      <x:c r="BA205" t="str">
        <x:v>Verified from official chart; digital HEX is approximate</x:v>
      </x:c>
      <x:c r="BB205" t="str">
        <x:v>Physical media appearance varies by paper, pressure, layering, water and scan/display profile.</x:v>
      </x:c>
    </x:row>
    <x:row r="206">
      <x:c r="A206" t="str">
        <x:f>G206&amp;"|"&amp;L206</x:f>
        <x:v>PAB|018</x:v>
      </x:c>
      <x:c r="B206" t="str">
        <x:v>278a63f1-dd50-59ee-92c2-d47f52bcdd8f</x:v>
      </x:c>
      <x:c r="C206" t="str">
        <x:v>CDA-PAB-018</x:v>
      </x:c>
      <x:c r="D206" t="str">
        <x:v>2fcef08d-52c1-537b-831a-404f336bc88a</x:v>
      </x:c>
      <x:c r="E206" t="str">
        <x:v>CDA-CODE-018</x:v>
      </x:c>
      <x:c r="F206" t="str">
        <x:v>Caran d’Ache</x:v>
      </x:c>
      <x:c r="G206" t="str">
        <x:v>PAB</x:v>
      </x:c>
      <x:c r="H206" t="str">
        <x:v>PABLO</x:v>
      </x:c>
      <x:c r="I206" t="str">
        <x:v>Permanent coloured pencil</x:v>
      </x:c>
      <x:c r="J206" t="str">
        <x:v>Artist</x:v>
      </x:c>
      <x:c r="K206" s="30" t="n">
        <x:v>105</x:v>
      </x:c>
      <x:c r="L206" s="30" t="str">
        <x:v>018</x:v>
      </x:c>
      <x:c r="M206" t="str">
        <x:v>Olive grey</x:v>
      </x:c>
      <x:c r="N206" t="str">
        <x:v>橄欖灰</x:v>
      </x:c>
      <x:c r="O206" t="str">
        <x:v>オリーブグレー</x:v>
      </x:c>
      <x:c r="P206" t="str"/>
      <x:c r="Q206" t="str">
        <x:v>Vert réséda</x:v>
      </x:c>
      <x:c r="R206" t="str">
        <x:v>Resedagrün</x:v>
      </x:c>
      <x:c r="S206" t="str">
        <x:v>Oliva grigiastro</x:v>
      </x:c>
      <x:c r="T206" t="str">
        <x:v>Gris oliva</x:v>
      </x:c>
      <x:c r="U206" t="str"/>
      <x:c r="V206" t="str"/>
      <x:c r="W206" t="str"/>
      <x:c r="X206" t="n">
        <x:f>IF(W206="",0,LEN(W206)-LEN(SUBSTITUTE(W206,"/",""))+1)</x:f>
        <x:v>0</x:v>
      </x:c>
      <x:c r="Y206" t="str">
        <x:v>H</x:v>
      </x:c>
      <x:c r="Z206" s="32" t="n">
        <x:v>1.67</x:v>
      </x:c>
      <x:c r="AA206" s="32" t="n">
        <x:v>3</x:v>
      </x:c>
      <x:c r="AB206" s="32" t="str">
        <x:v>Blue Wool Scale / UV 150h</x:v>
      </x:c>
      <x:c r="AC206" t="str">
        <x:v>#807E2A</x:v>
      </x:c>
      <x:c r="AD206" s="34" t="n">
        <x:v>128</x:v>
      </x:c>
      <x:c r="AE206" s="34" t="n">
        <x:v>126</x:v>
      </x:c>
      <x:c r="AF206" s="34" t="n">
        <x:v>42</x:v>
      </x:c>
      <x:c r="AG206" s="32" t="n">
        <x:v>58.6</x:v>
      </x:c>
      <x:c r="AH206" s="32" t="n">
        <x:v>50.59</x:v>
      </x:c>
      <x:c r="AI206" s="32" t="n">
        <x:v>33.33</x:v>
      </x:c>
      <x:c r="AJ206" s="32" t="n">
        <x:v>51.47</x:v>
      </x:c>
      <x:c r="AK206" s="32" t="n">
        <x:v>-10.33</x:v>
      </x:c>
      <x:c r="AL206" s="32" t="n">
        <x:v>44.22</x:v>
      </x:c>
      <x:c r="AM206" s="32" t="str">
        <x:v>#000000</x:v>
      </x:c>
      <x:c r="AN206" s="32" t="str">
        <x:v>Black</x:v>
      </x:c>
      <x:c r="AO206" s="32" t="n">
        <x:v>4.94</x:v>
      </x:c>
      <x:c r="AP206" s="32" t="n">
        <x:v>4.94</x:v>
      </x:c>
      <x:c r="AQ206" s="32" t="n">
        <x:v>4.25</x:v>
      </x:c>
      <x:c r="AR206" s="32" t="n">
        <x:v>0.196781</x:v>
      </x:c>
      <x:c r="AS206" t="str">
        <x:v>PASS</x:v>
      </x:c>
      <x:c r="AT206" t="str">
        <x:v>--cda-pab-018</x:v>
      </x:c>
      <x:c r="AU206" t="str">
        <x:v>var(--cda-pab-018)</x:v>
      </x:c>
      <x:c r="AV206" t="str">
        <x:v>Median RGB from official PDF swatch (screen reference only)</x:v>
      </x:c>
      <x:c r="AW206" t="str">
        <x:v>https://www.carandache.com/content_files/uploaded_doc/product/10469/Colour_Chart_Pablo.pdf</x:v>
      </x:c>
      <x:c r="AX206" t="n">
        <x:v>1</x:v>
      </x:c>
      <x:c r="AY206" t="str">
        <x:v>Official</x:v>
      </x:c>
      <x:c r="AZ206" t="str">
        <x:v>Official where available; curated Traditional Chinese/Japanese otherwise</x:v>
      </x:c>
      <x:c r="BA206" t="str">
        <x:v>Verified from official chart; digital HEX is approximate</x:v>
      </x:c>
      <x:c r="BB206" t="str">
        <x:v>Physical media appearance varies by paper, pressure, layering, water and scan/display profile.</x:v>
      </x:c>
    </x:row>
    <x:row r="207">
      <x:c r="A207" t="str">
        <x:f>G207&amp;"|"&amp;L207</x:f>
        <x:v>PAB|249</x:v>
      </x:c>
      <x:c r="B207" t="str">
        <x:v>ff9891b8-fe58-5ae5-a68a-556517c7c923</x:v>
      </x:c>
      <x:c r="C207" t="str">
        <x:v>CDA-PAB-249</x:v>
      </x:c>
      <x:c r="D207" t="str">
        <x:v>e6c72f87-8dc4-5cb7-90a2-d6b44c12faf7</x:v>
      </x:c>
      <x:c r="E207" t="str">
        <x:v>CDA-CODE-249</x:v>
      </x:c>
      <x:c r="F207" t="str">
        <x:v>Caran d’Ache</x:v>
      </x:c>
      <x:c r="G207" t="str">
        <x:v>PAB</x:v>
      </x:c>
      <x:c r="H207" t="str">
        <x:v>PABLO</x:v>
      </x:c>
      <x:c r="I207" t="str">
        <x:v>Permanent coloured pencil</x:v>
      </x:c>
      <x:c r="J207" t="str">
        <x:v>Artist</x:v>
      </x:c>
      <x:c r="K207" s="30" t="n">
        <x:v>106</x:v>
      </x:c>
      <x:c r="L207" s="30" t="str">
        <x:v>249</x:v>
      </x:c>
      <x:c r="M207" t="str">
        <x:v>Olive</x:v>
      </x:c>
      <x:c r="N207" t="str">
        <x:v>深橄欖色</x:v>
      </x:c>
      <x:c r="O207" t="str">
        <x:v>ダークオリーブ</x:v>
      </x:c>
      <x:c r="P207" t="str"/>
      <x:c r="Q207" t="str">
        <x:v>Olive foncé</x:v>
      </x:c>
      <x:c r="R207" t="str">
        <x:v>Dunkeloliv</x:v>
      </x:c>
      <x:c r="S207" t="str">
        <x:v>Oliva scuro</x:v>
      </x:c>
      <x:c r="T207" t="str">
        <x:v>Oliva oscuro</x:v>
      </x:c>
      <x:c r="U207" t="str"/>
      <x:c r="V207" t="str"/>
      <x:c r="W207" t="str"/>
      <x:c r="X207" t="n">
        <x:f>IF(W207="",0,LEN(W207)-LEN(SUBSTITUTE(W207,"/",""))+1)</x:f>
        <x:v>0</x:v>
      </x:c>
      <x:c r="Y207" t="str">
        <x:v>H</x:v>
      </x:c>
      <x:c r="Z207" s="32" t="n">
        <x:v>1.67</x:v>
      </x:c>
      <x:c r="AA207" s="32" t="n">
        <x:v>3</x:v>
      </x:c>
      <x:c r="AB207" s="32" t="str">
        <x:v>Blue Wool Scale / UV 150h</x:v>
      </x:c>
      <x:c r="AC207" t="str">
        <x:v>#717036</x:v>
      </x:c>
      <x:c r="AD207" s="34" t="n">
        <x:v>113</x:v>
      </x:c>
      <x:c r="AE207" s="34" t="n">
        <x:v>112</x:v>
      </x:c>
      <x:c r="AF207" s="34" t="n">
        <x:v>54</x:v>
      </x:c>
      <x:c r="AG207" s="32" t="n">
        <x:v>58.98</x:v>
      </x:c>
      <x:c r="AH207" s="32" t="n">
        <x:v>35.33</x:v>
      </x:c>
      <x:c r="AI207" s="32" t="n">
        <x:v>32.75</x:v>
      </x:c>
      <x:c r="AJ207" s="32" t="n">
        <x:v>46.13</x:v>
      </x:c>
      <x:c r="AK207" s="32" t="n">
        <x:v>-8.42</x:v>
      </x:c>
      <x:c r="AL207" s="32" t="n">
        <x:v>32.06</x:v>
      </x:c>
      <x:c r="AM207" s="32" t="str">
        <x:v>#FFFFFF</x:v>
      </x:c>
      <x:c r="AN207" s="32" t="str">
        <x:v>White</x:v>
      </x:c>
      <x:c r="AO207" s="32" t="n">
        <x:v>5.16</x:v>
      </x:c>
      <x:c r="AP207" s="32" t="n">
        <x:v>4.07</x:v>
      </x:c>
      <x:c r="AQ207" s="32" t="n">
        <x:v>5.16</x:v>
      </x:c>
      <x:c r="AR207" s="32" t="n">
        <x:v>0.153654</x:v>
      </x:c>
      <x:c r="AS207" t="str">
        <x:v>PASS</x:v>
      </x:c>
      <x:c r="AT207" t="str">
        <x:v>--cda-pab-249</x:v>
      </x:c>
      <x:c r="AU207" t="str">
        <x:v>var(--cda-pab-249)</x:v>
      </x:c>
      <x:c r="AV207" t="str">
        <x:v>Median RGB from official PDF swatch (screen reference only)</x:v>
      </x:c>
      <x:c r="AW207" t="str">
        <x:v>https://www.carandache.com/content_files/uploaded_doc/product/10469/Colour_Chart_Pablo.pdf</x:v>
      </x:c>
      <x:c r="AX207" t="n">
        <x:v>1</x:v>
      </x:c>
      <x:c r="AY207" t="str">
        <x:v>Official</x:v>
      </x:c>
      <x:c r="AZ207" t="str">
        <x:v>Official where available; curated Traditional Chinese/Japanese otherwise</x:v>
      </x:c>
      <x:c r="BA207" t="str">
        <x:v>Verified from official chart; digital HEX is approximate</x:v>
      </x:c>
      <x:c r="BB207" t="str">
        <x:v>Physical media appearance varies by paper, pressure, layering, water and scan/display profile.</x:v>
      </x:c>
    </x:row>
    <x:row r="208">
      <x:c r="A208" t="str">
        <x:f>G208&amp;"|"&amp;L208</x:f>
        <x:v>PAB|039</x:v>
      </x:c>
      <x:c r="B208" t="str">
        <x:v>61ab2f00-5efa-5e93-b2b8-ac0e5fb03d97</x:v>
      </x:c>
      <x:c r="C208" t="str">
        <x:v>CDA-PAB-039</x:v>
      </x:c>
      <x:c r="D208" t="str">
        <x:v>f03df3aa-e67d-56c5-88be-9f28d0654f47</x:v>
      </x:c>
      <x:c r="E208" t="str">
        <x:v>CDA-CODE-039</x:v>
      </x:c>
      <x:c r="F208" t="str">
        <x:v>Caran d’Ache</x:v>
      </x:c>
      <x:c r="G208" t="str">
        <x:v>PAB</x:v>
      </x:c>
      <x:c r="H208" t="str">
        <x:v>PABLO</x:v>
      </x:c>
      <x:c r="I208" t="str">
        <x:v>Permanent coloured pencil</x:v>
      </x:c>
      <x:c r="J208" t="str">
        <x:v>Artist</x:v>
      </x:c>
      <x:c r="K208" s="30" t="n">
        <x:v>107</x:v>
      </x:c>
      <x:c r="L208" s="30" t="str">
        <x:v>039</x:v>
      </x:c>
      <x:c r="M208" t="str">
        <x:v>Olive brown</x:v>
      </x:c>
      <x:c r="N208" t="str">
        <x:v>橄欖棕</x:v>
      </x:c>
      <x:c r="O208" t="str">
        <x:v>オリーブブラウン</x:v>
      </x:c>
      <x:c r="P208" t="str"/>
      <x:c r="Q208" t="str">
        <x:v>Olive brunâtre</x:v>
      </x:c>
      <x:c r="R208" t="str">
        <x:v>Olivbraun</x:v>
      </x:c>
      <x:c r="S208" t="str">
        <x:v>Oliva bruna</x:v>
      </x:c>
      <x:c r="T208" t="str">
        <x:v>Pardo oliva</x:v>
      </x:c>
      <x:c r="U208" t="str"/>
      <x:c r="V208" t="str"/>
      <x:c r="W208" t="str"/>
      <x:c r="X208" t="n">
        <x:f>IF(W208="",0,LEN(W208)-LEN(SUBSTITUTE(W208,"/",""))+1)</x:f>
        <x:v>0</x:v>
      </x:c>
      <x:c r="Y208" t="str">
        <x:v>H</x:v>
      </x:c>
      <x:c r="Z208" s="32" t="n">
        <x:v>1.67</x:v>
      </x:c>
      <x:c r="AA208" s="32" t="n">
        <x:v>3</x:v>
      </x:c>
      <x:c r="AB208" s="32" t="str">
        <x:v>Blue Wool Scale / UV 150h</x:v>
      </x:c>
      <x:c r="AC208" t="str">
        <x:v>#8B662A</x:v>
      </x:c>
      <x:c r="AD208" s="34" t="n">
        <x:v>139</x:v>
      </x:c>
      <x:c r="AE208" s="34" t="n">
        <x:v>102</x:v>
      </x:c>
      <x:c r="AF208" s="34" t="n">
        <x:v>42</x:v>
      </x:c>
      <x:c r="AG208" s="32" t="n">
        <x:v>37.11</x:v>
      </x:c>
      <x:c r="AH208" s="32" t="n">
        <x:v>53.59</x:v>
      </x:c>
      <x:c r="AI208" s="32" t="n">
        <x:v>35.49</x:v>
      </x:c>
      <x:c r="AJ208" s="32" t="n">
        <x:v>45.85</x:v>
      </x:c>
      <x:c r="AK208" s="32" t="n">
        <x:v>8.42</x:v>
      </x:c>
      <x:c r="AL208" s="32" t="n">
        <x:v>38.62</x:v>
      </x:c>
      <x:c r="AM208" s="32" t="str">
        <x:v>#FFFFFF</x:v>
      </x:c>
      <x:c r="AN208" s="32" t="str">
        <x:v>White</x:v>
      </x:c>
      <x:c r="AO208" s="32" t="n">
        <x:v>5.21</x:v>
      </x:c>
      <x:c r="AP208" s="32" t="n">
        <x:v>4.03</x:v>
      </x:c>
      <x:c r="AQ208" s="32" t="n">
        <x:v>5.21</x:v>
      </x:c>
      <x:c r="AR208" s="32" t="n">
        <x:v>0.151589</x:v>
      </x:c>
      <x:c r="AS208" t="str">
        <x:v>PASS</x:v>
      </x:c>
      <x:c r="AT208" t="str">
        <x:v>--cda-pab-039</x:v>
      </x:c>
      <x:c r="AU208" t="str">
        <x:v>var(--cda-pab-039)</x:v>
      </x:c>
      <x:c r="AV208" t="str">
        <x:v>Median RGB from official PDF swatch (screen reference only)</x:v>
      </x:c>
      <x:c r="AW208" t="str">
        <x:v>https://www.carandache.com/content_files/uploaded_doc/product/10469/Colour_Chart_Pablo.pdf</x:v>
      </x:c>
      <x:c r="AX208" t="n">
        <x:v>1</x:v>
      </x:c>
      <x:c r="AY208" t="str">
        <x:v>Official</x:v>
      </x:c>
      <x:c r="AZ208" t="str">
        <x:v>Official where available; curated Traditional Chinese/Japanese otherwise</x:v>
      </x:c>
      <x:c r="BA208" t="str">
        <x:v>Verified from official chart; digital HEX is approximate</x:v>
      </x:c>
      <x:c r="BB208" t="str">
        <x:v>Physical media appearance varies by paper, pressure, layering, water and scan/display profile.</x:v>
      </x:c>
    </x:row>
    <x:row r="209">
      <x:c r="A209" t="str">
        <x:f>G209&amp;"|"&amp;L209</x:f>
        <x:v>PAB|019</x:v>
      </x:c>
      <x:c r="B209" t="str">
        <x:v>41ea065d-b69b-5814-815c-ef87dcfa8425</x:v>
      </x:c>
      <x:c r="C209" t="str">
        <x:v>CDA-PAB-019</x:v>
      </x:c>
      <x:c r="D209" t="str">
        <x:v>60fd1bcf-552b-5ea1-aa22-e7584fbae52e</x:v>
      </x:c>
      <x:c r="E209" t="str">
        <x:v>CDA-CODE-019</x:v>
      </x:c>
      <x:c r="F209" t="str">
        <x:v>Caran d’Ache</x:v>
      </x:c>
      <x:c r="G209" t="str">
        <x:v>PAB</x:v>
      </x:c>
      <x:c r="H209" t="str">
        <x:v>PABLO</x:v>
      </x:c>
      <x:c r="I209" t="str">
        <x:v>Permanent coloured pencil</x:v>
      </x:c>
      <x:c r="J209" t="str">
        <x:v>Artist</x:v>
      </x:c>
      <x:c r="K209" s="30" t="n">
        <x:v>108</x:v>
      </x:c>
      <x:c r="L209" s="30" t="str">
        <x:v>019</x:v>
      </x:c>
      <x:c r="M209" t="str">
        <x:v>Olive black</x:v>
      </x:c>
      <x:c r="N209" t="str">
        <x:v>橄欖黑</x:v>
      </x:c>
      <x:c r="O209" t="str">
        <x:v>オリーブブラック</x:v>
      </x:c>
      <x:c r="P209" t="str"/>
      <x:c r="Q209" t="str">
        <x:v>Olive noir</x:v>
      </x:c>
      <x:c r="R209" t="str">
        <x:v>Olivschwarz</x:v>
      </x:c>
      <x:c r="S209" t="str">
        <x:v>Oliva nero</x:v>
      </x:c>
      <x:c r="T209" t="str">
        <x:v>Negro oliva</x:v>
      </x:c>
      <x:c r="U209" t="str"/>
      <x:c r="V209" t="str"/>
      <x:c r="W209" t="str"/>
      <x:c r="X209" t="n">
        <x:f>IF(W209="",0,LEN(W209)-LEN(SUBSTITUTE(W209,"/",""))+1)</x:f>
        <x:v>0</x:v>
      </x:c>
      <x:c r="Y209" t="str">
        <x:v>H</x:v>
      </x:c>
      <x:c r="Z209" s="32" t="n">
        <x:v>1.67</x:v>
      </x:c>
      <x:c r="AA209" s="32" t="n">
        <x:v>3</x:v>
      </x:c>
      <x:c r="AB209" s="32" t="str">
        <x:v>Blue Wool Scale / UV 150h</x:v>
      </x:c>
      <x:c r="AC209" t="str">
        <x:v>#656236</x:v>
      </x:c>
      <x:c r="AD209" s="34" t="n">
        <x:v>101</x:v>
      </x:c>
      <x:c r="AE209" s="34" t="n">
        <x:v>98</x:v>
      </x:c>
      <x:c r="AF209" s="34" t="n">
        <x:v>54</x:v>
      </x:c>
      <x:c r="AG209" s="32" t="n">
        <x:v>56.17</x:v>
      </x:c>
      <x:c r="AH209" s="32" t="n">
        <x:v>30.32</x:v>
      </x:c>
      <x:c r="AI209" s="32" t="n">
        <x:v>30.39</x:v>
      </x:c>
      <x:c r="AJ209" s="32" t="n">
        <x:v>40.85</x:v>
      </x:c>
      <x:c r="AK209" s="32" t="n">
        <x:v>-5.87</x:v>
      </x:c>
      <x:c r="AL209" s="32" t="n">
        <x:v>25.39</x:v>
      </x:c>
      <x:c r="AM209" s="32" t="str">
        <x:v>#FFFFFF</x:v>
      </x:c>
      <x:c r="AN209" s="32" t="str">
        <x:v>White</x:v>
      </x:c>
      <x:c r="AO209" s="32" t="n">
        <x:v>6.26</x:v>
      </x:c>
      <x:c r="AP209" s="32" t="n">
        <x:v>3.35</x:v>
      </x:c>
      <x:c r="AQ209" s="32" t="n">
        <x:v>6.26</x:v>
      </x:c>
      <x:c r="AR209" s="32" t="n">
        <x:v>0.117684</x:v>
      </x:c>
      <x:c r="AS209" t="str">
        <x:v>PASS</x:v>
      </x:c>
      <x:c r="AT209" t="str">
        <x:v>--cda-pab-019</x:v>
      </x:c>
      <x:c r="AU209" t="str">
        <x:v>var(--cda-pab-019)</x:v>
      </x:c>
      <x:c r="AV209" t="str">
        <x:v>Median RGB from official PDF swatch (screen reference only)</x:v>
      </x:c>
      <x:c r="AW209" t="str">
        <x:v>https://www.carandache.com/content_files/uploaded_doc/product/10469/Colour_Chart_Pablo.pdf</x:v>
      </x:c>
      <x:c r="AX209" t="n">
        <x:v>1</x:v>
      </x:c>
      <x:c r="AY209" t="str">
        <x:v>Official</x:v>
      </x:c>
      <x:c r="AZ209" t="str">
        <x:v>Official where available; curated Traditional Chinese/Japanese otherwise</x:v>
      </x:c>
      <x:c r="BA209" t="str">
        <x:v>Verified from official chart; digital HEX is approximate</x:v>
      </x:c>
      <x:c r="BB209" t="str">
        <x:v>Physical media appearance varies by paper, pressure, layering, water and scan/display profile.</x:v>
      </x:c>
    </x:row>
    <x:row r="210">
      <x:c r="A210" t="str">
        <x:f>G210&amp;"|"&amp;L210</x:f>
        <x:v>PAB|049</x:v>
      </x:c>
      <x:c r="B210" t="str">
        <x:v>a7693e39-7b27-504c-8d45-ff442760f049</x:v>
      </x:c>
      <x:c r="C210" t="str">
        <x:v>CDA-PAB-049</x:v>
      </x:c>
      <x:c r="D210" t="str">
        <x:v>66f5918f-2d51-598e-b3d7-bb4f1b3fc4b4</x:v>
      </x:c>
      <x:c r="E210" t="str">
        <x:v>CDA-CODE-049</x:v>
      </x:c>
      <x:c r="F210" t="str">
        <x:v>Caran d’Ache</x:v>
      </x:c>
      <x:c r="G210" t="str">
        <x:v>PAB</x:v>
      </x:c>
      <x:c r="H210" t="str">
        <x:v>PABLO</x:v>
      </x:c>
      <x:c r="I210" t="str">
        <x:v>Permanent coloured pencil</x:v>
      </x:c>
      <x:c r="J210" t="str">
        <x:v>Artist</x:v>
      </x:c>
      <x:c r="K210" s="30" t="n">
        <x:v>109</x:v>
      </x:c>
      <x:c r="L210" s="30" t="str">
        <x:v>049</x:v>
      </x:c>
      <x:c r="M210" t="str">
        <x:v>Umber</x:v>
      </x:c>
      <x:c r="N210" t="str">
        <x:v>褐土色</x:v>
      </x:c>
      <x:c r="O210" t="str">
        <x:v>アンバー</x:v>
      </x:c>
      <x:c r="P210" t="str"/>
      <x:c r="Q210" t="str">
        <x:v>Terre d’ombre</x:v>
      </x:c>
      <x:c r="R210" t="str">
        <x:v>Umbra Natur</x:v>
      </x:c>
      <x:c r="S210" t="str">
        <x:v>Ombra</x:v>
      </x:c>
      <x:c r="T210" t="str">
        <x:v>Tierra de Sombra</x:v>
      </x:c>
      <x:c r="U210" t="str"/>
      <x:c r="V210" t="str"/>
      <x:c r="W210" t="str"/>
      <x:c r="X210" t="n">
        <x:f>IF(W210="",0,LEN(W210)-LEN(SUBSTITUTE(W210,"/",""))+1)</x:f>
        <x:v>0</x:v>
      </x:c>
      <x:c r="Y210" t="str">
        <x:v>H</x:v>
      </x:c>
      <x:c r="Z210" s="32" t="n">
        <x:v>1.67</x:v>
      </x:c>
      <x:c r="AA210" s="32" t="n">
        <x:v>3</x:v>
      </x:c>
      <x:c r="AB210" s="32" t="str">
        <x:v>Blue Wool Scale / UV 150h</x:v>
      </x:c>
      <x:c r="AC210" t="str">
        <x:v>#534334</x:v>
      </x:c>
      <x:c r="AD210" s="34" t="n">
        <x:v>83</x:v>
      </x:c>
      <x:c r="AE210" s="34" t="n">
        <x:v>67</x:v>
      </x:c>
      <x:c r="AF210" s="34" t="n">
        <x:v>52</x:v>
      </x:c>
      <x:c r="AG210" s="32" t="n">
        <x:v>29.03</x:v>
      </x:c>
      <x:c r="AH210" s="32" t="n">
        <x:v>22.96</x:v>
      </x:c>
      <x:c r="AI210" s="32" t="n">
        <x:v>26.47</x:v>
      </x:c>
      <x:c r="AJ210" s="32" t="n">
        <x:v>29.67</x:v>
      </x:c>
      <x:c r="AK210" s="32" t="n">
        <x:v>4.37</x:v>
      </x:c>
      <x:c r="AL210" s="32" t="n">
        <x:v>11.7</x:v>
      </x:c>
      <x:c r="AM210" s="32" t="str">
        <x:v>#FFFFFF</x:v>
      </x:c>
      <x:c r="AN210" s="32" t="str">
        <x:v>White</x:v>
      </x:c>
      <x:c r="AO210" s="32" t="n">
        <x:v>9.46</x:v>
      </x:c>
      <x:c r="AP210" s="32" t="n">
        <x:v>2.22</x:v>
      </x:c>
      <x:c r="AQ210" s="32" t="n">
        <x:v>9.46</x:v>
      </x:c>
      <x:c r="AR210" s="32" t="n">
        <x:v>0.061012</x:v>
      </x:c>
      <x:c r="AS210" t="str">
        <x:v>PASS</x:v>
      </x:c>
      <x:c r="AT210" t="str">
        <x:v>--cda-pab-049</x:v>
      </x:c>
      <x:c r="AU210" t="str">
        <x:v>var(--cda-pab-049)</x:v>
      </x:c>
      <x:c r="AV210" t="str">
        <x:v>Median RGB from official PDF swatch (screen reference only)</x:v>
      </x:c>
      <x:c r="AW210" t="str">
        <x:v>https://www.carandache.com/content_files/uploaded_doc/product/10469/Colour_Chart_Pablo.pdf</x:v>
      </x:c>
      <x:c r="AX210" t="n">
        <x:v>1</x:v>
      </x:c>
      <x:c r="AY210" t="str">
        <x:v>Official</x:v>
      </x:c>
      <x:c r="AZ210" t="str">
        <x:v>Official where available; curated Traditional Chinese/Japanese otherwise</x:v>
      </x:c>
      <x:c r="BA210" t="str">
        <x:v>Verified from official chart; digital HEX is approximate</x:v>
      </x:c>
      <x:c r="BB210" t="str">
        <x:v>Physical media appearance varies by paper, pressure, layering, water and scan/display profile.</x:v>
      </x:c>
    </x:row>
    <x:row r="211">
      <x:c r="A211" t="str">
        <x:f>G211&amp;"|"&amp;L211</x:f>
        <x:v>PAB|045</x:v>
      </x:c>
      <x:c r="B211" t="str">
        <x:v>5fab1ada-f5f3-566c-b9b2-89ac70541013</x:v>
      </x:c>
      <x:c r="C211" t="str">
        <x:v>CDA-PAB-045</x:v>
      </x:c>
      <x:c r="D211" t="str">
        <x:v>4fb0e78b-85fd-5dee-bae2-c1796e299660</x:v>
      </x:c>
      <x:c r="E211" t="str">
        <x:v>CDA-CODE-045</x:v>
      </x:c>
      <x:c r="F211" t="str">
        <x:v>Caran d’Ache</x:v>
      </x:c>
      <x:c r="G211" t="str">
        <x:v>PAB</x:v>
      </x:c>
      <x:c r="H211" t="str">
        <x:v>PABLO</x:v>
      </x:c>
      <x:c r="I211" t="str">
        <x:v>Permanent coloured pencil</x:v>
      </x:c>
      <x:c r="J211" t="str">
        <x:v>Artist</x:v>
      </x:c>
      <x:c r="K211" s="30" t="n">
        <x:v>110</x:v>
      </x:c>
      <x:c r="L211" s="30" t="str">
        <x:v>045</x:v>
      </x:c>
      <x:c r="M211" t="str">
        <x:v>Vandycke brown</x:v>
      </x:c>
      <x:c r="N211" t="str">
        <x:v>凡戴克棕</x:v>
      </x:c>
      <x:c r="O211" t="str">
        <x:v>ヴァンダイクブラウン</x:v>
      </x:c>
      <x:c r="P211" t="str"/>
      <x:c r="Q211" t="str">
        <x:v>Brun Vandyck</x:v>
      </x:c>
      <x:c r="R211" t="str">
        <x:v>Vandyckbraun</x:v>
      </x:c>
      <x:c r="S211" t="str">
        <x:v>Bruno Vandyck</x:v>
      </x:c>
      <x:c r="T211" t="str">
        <x:v>Marrón Vandyck</x:v>
      </x:c>
      <x:c r="U211" t="str"/>
      <x:c r="V211" t="str"/>
      <x:c r="W211" t="str"/>
      <x:c r="X211" t="n">
        <x:f>IF(W211="",0,LEN(W211)-LEN(SUBSTITUTE(W211,"/",""))+1)</x:f>
        <x:v>0</x:v>
      </x:c>
      <x:c r="Y211" t="str">
        <x:v>H</x:v>
      </x:c>
      <x:c r="Z211" s="32" t="n">
        <x:v>1.67</x:v>
      </x:c>
      <x:c r="AA211" s="32" t="n">
        <x:v>3</x:v>
      </x:c>
      <x:c r="AB211" s="32" t="str">
        <x:v>Blue Wool Scale / UV 150h</x:v>
      </x:c>
      <x:c r="AC211" t="str">
        <x:v>#755549</x:v>
      </x:c>
      <x:c r="AD211" s="34" t="n">
        <x:v>117</x:v>
      </x:c>
      <x:c r="AE211" s="34" t="n">
        <x:v>85</x:v>
      </x:c>
      <x:c r="AF211" s="34" t="n">
        <x:v>73</x:v>
      </x:c>
      <x:c r="AG211" s="32" t="n">
        <x:v>16.36</x:v>
      </x:c>
      <x:c r="AH211" s="32" t="n">
        <x:v>23.16</x:v>
      </x:c>
      <x:c r="AI211" s="32" t="n">
        <x:v>37.25</x:v>
      </x:c>
      <x:c r="AJ211" s="32" t="n">
        <x:v>39.17</x:v>
      </x:c>
      <x:c r="AK211" s="32" t="n">
        <x:v>11.52</x:v>
      </x:c>
      <x:c r="AL211" s="32" t="n">
        <x:v>12.21</x:v>
      </x:c>
      <x:c r="AM211" s="32" t="str">
        <x:v>#FFFFFF</x:v>
      </x:c>
      <x:c r="AN211" s="32" t="str">
        <x:v>White</x:v>
      </x:c>
      <x:c r="AO211" s="32" t="n">
        <x:v>6.66</x:v>
      </x:c>
      <x:c r="AP211" s="32" t="n">
        <x:v>3.15</x:v>
      </x:c>
      <x:c r="AQ211" s="32" t="n">
        <x:v>6.66</x:v>
      </x:c>
      <x:c r="AR211" s="32" t="n">
        <x:v>0.107599</x:v>
      </x:c>
      <x:c r="AS211" t="str">
        <x:v>PASS</x:v>
      </x:c>
      <x:c r="AT211" t="str">
        <x:v>--cda-pab-045</x:v>
      </x:c>
      <x:c r="AU211" t="str">
        <x:v>var(--cda-pab-045)</x:v>
      </x:c>
      <x:c r="AV211" t="str">
        <x:v>Median RGB from official PDF swatch (screen reference only)</x:v>
      </x:c>
      <x:c r="AW211" t="str">
        <x:v>https://www.carandache.com/content_files/uploaded_doc/product/10469/Colour_Chart_Pablo.pdf</x:v>
      </x:c>
      <x:c r="AX211" t="n">
        <x:v>1</x:v>
      </x:c>
      <x:c r="AY211" t="str">
        <x:v>Official</x:v>
      </x:c>
      <x:c r="AZ211" t="str">
        <x:v>Official where available; curated Traditional Chinese/Japanese otherwise</x:v>
      </x:c>
      <x:c r="BA211" t="str">
        <x:v>Verified from official chart; digital HEX is approximate</x:v>
      </x:c>
      <x:c r="BB211" t="str">
        <x:v>Physical media appearance varies by paper, pressure, layering, water and scan/display profile.</x:v>
      </x:c>
    </x:row>
    <x:row r="212">
      <x:c r="A212" t="str">
        <x:f>G212&amp;"|"&amp;L212</x:f>
        <x:v>PAB|404</x:v>
      </x:c>
      <x:c r="B212" t="str">
        <x:v>00393e87-3b99-5089-a766-6a265c787591</x:v>
      </x:c>
      <x:c r="C212" t="str">
        <x:v>CDA-PAB-404</x:v>
      </x:c>
      <x:c r="D212" t="str">
        <x:v>f6926c57-dc5d-502d-bdb4-bb82e40c9927</x:v>
      </x:c>
      <x:c r="E212" t="str">
        <x:v>CDA-CODE-404</x:v>
      </x:c>
      <x:c r="F212" t="str">
        <x:v>Caran d’Ache</x:v>
      </x:c>
      <x:c r="G212" t="str">
        <x:v>PAB</x:v>
      </x:c>
      <x:c r="H212" t="str">
        <x:v>PABLO</x:v>
      </x:c>
      <x:c r="I212" t="str">
        <x:v>Permanent coloured pencil</x:v>
      </x:c>
      <x:c r="J212" t="str">
        <x:v>Artist</x:v>
      </x:c>
      <x:c r="K212" s="30" t="n">
        <x:v>111</x:v>
      </x:c>
      <x:c r="L212" s="30" t="str">
        <x:v>404</x:v>
      </x:c>
      <x:c r="M212" t="str">
        <x:v>Brownish beige</x:v>
      </x:c>
      <x:c r="N212" t="str">
        <x:v>褐米色</x:v>
      </x:c>
      <x:c r="O212" t="str">
        <x:v>ブラウニッシュベージュ</x:v>
      </x:c>
      <x:c r="P212" t="str"/>
      <x:c r="Q212" t="str">
        <x:v>Beige brun</x:v>
      </x:c>
      <x:c r="R212" t="str">
        <x:v>Braun beige</x:v>
      </x:c>
      <x:c r="S212" t="str">
        <x:v>Beige bruno</x:v>
      </x:c>
      <x:c r="T212" t="str">
        <x:v>Beige pardo</x:v>
      </x:c>
      <x:c r="U212" t="str"/>
      <x:c r="V212" t="str"/>
      <x:c r="W212" t="str"/>
      <x:c r="X212" t="n">
        <x:f>IF(W212="",0,LEN(W212)-LEN(SUBSTITUTE(W212,"/",""))+1)</x:f>
        <x:v>0</x:v>
      </x:c>
      <x:c r="Y212" t="str">
        <x:v>H</x:v>
      </x:c>
      <x:c r="Z212" s="32" t="n">
        <x:v>1.67</x:v>
      </x:c>
      <x:c r="AA212" s="32" t="n">
        <x:v>3</x:v>
      </x:c>
      <x:c r="AB212" s="32" t="str">
        <x:v>Blue Wool Scale / UV 150h</x:v>
      </x:c>
      <x:c r="AC212" t="str">
        <x:v>#91786A</x:v>
      </x:c>
      <x:c r="AD212" s="34" t="n">
        <x:v>145</x:v>
      </x:c>
      <x:c r="AE212" s="34" t="n">
        <x:v>120</x:v>
      </x:c>
      <x:c r="AF212" s="34" t="n">
        <x:v>106</x:v>
      </x:c>
      <x:c r="AG212" s="32" t="n">
        <x:v>21.54</x:v>
      </x:c>
      <x:c r="AH212" s="32" t="n">
        <x:v>15.54</x:v>
      </x:c>
      <x:c r="AI212" s="32" t="n">
        <x:v>49.22</x:v>
      </x:c>
      <x:c r="AJ212" s="32" t="n">
        <x:v>52.39</x:v>
      </x:c>
      <x:c r="AK212" s="32" t="n">
        <x:v>7.46</x:v>
      </x:c>
      <x:c r="AL212" s="32" t="n">
        <x:v>11.33</x:v>
      </x:c>
      <x:c r="AM212" s="32" t="str">
        <x:v>#000000</x:v>
      </x:c>
      <x:c r="AN212" s="32" t="str">
        <x:v>Black</x:v>
      </x:c>
      <x:c r="AO212" s="32" t="n">
        <x:v>5.1</x:v>
      </x:c>
      <x:c r="AP212" s="32" t="n">
        <x:v>5.1</x:v>
      </x:c>
      <x:c r="AQ212" s="32" t="n">
        <x:v>4.12</x:v>
      </x:c>
      <x:c r="AR212" s="32" t="n">
        <x:v>0.204933</x:v>
      </x:c>
      <x:c r="AS212" t="str">
        <x:v>PASS</x:v>
      </x:c>
      <x:c r="AT212" t="str">
        <x:v>--cda-pab-404</x:v>
      </x:c>
      <x:c r="AU212" t="str">
        <x:v>var(--cda-pab-404)</x:v>
      </x:c>
      <x:c r="AV212" t="str">
        <x:v>Median RGB from official PDF swatch (screen reference only)</x:v>
      </x:c>
      <x:c r="AW212" t="str">
        <x:v>https://www.carandache.com/content_files/uploaded_doc/product/10469/Colour_Chart_Pablo.pdf</x:v>
      </x:c>
      <x:c r="AX212" t="n">
        <x:v>1</x:v>
      </x:c>
      <x:c r="AY212" t="str">
        <x:v>Official</x:v>
      </x:c>
      <x:c r="AZ212" t="str">
        <x:v>Official where available; curated Traditional Chinese/Japanese otherwise</x:v>
      </x:c>
      <x:c r="BA212" t="str">
        <x:v>Verified from official chart; digital HEX is approximate</x:v>
      </x:c>
      <x:c r="BB212" t="str">
        <x:v>Physical media appearance varies by paper, pressure, layering, water and scan/display profile.</x:v>
      </x:c>
    </x:row>
    <x:row r="213">
      <x:c r="A213" t="str">
        <x:f>G213&amp;"|"&amp;L213</x:f>
        <x:v>PAB|403</x:v>
      </x:c>
      <x:c r="B213" t="str">
        <x:v>0572654b-2ede-5cb7-bd84-fe5c07f898b1</x:v>
      </x:c>
      <x:c r="C213" t="str">
        <x:v>CDA-PAB-403</x:v>
      </x:c>
      <x:c r="D213" t="str">
        <x:v>a0fc0aee-2321-5612-af14-a6e399efdb96</x:v>
      </x:c>
      <x:c r="E213" t="str">
        <x:v>CDA-CODE-403</x:v>
      </x:c>
      <x:c r="F213" t="str">
        <x:v>Caran d’Ache</x:v>
      </x:c>
      <x:c r="G213" t="str">
        <x:v>PAB</x:v>
      </x:c>
      <x:c r="H213" t="str">
        <x:v>PABLO</x:v>
      </x:c>
      <x:c r="I213" t="str">
        <x:v>Permanent coloured pencil</x:v>
      </x:c>
      <x:c r="J213" t="str">
        <x:v>Artist</x:v>
      </x:c>
      <x:c r="K213" s="30" t="n">
        <x:v>112</x:v>
      </x:c>
      <x:c r="L213" s="30" t="str">
        <x:v>403</x:v>
      </x:c>
      <x:c r="M213" t="str">
        <x:v>Beige</x:v>
      </x:c>
      <x:c r="N213" t="str">
        <x:v>米色</x:v>
      </x:c>
      <x:c r="O213" t="str">
        <x:v>ベージュ</x:v>
      </x:c>
      <x:c r="P213" t="str"/>
      <x:c r="Q213" t="str">
        <x:v>Beige</x:v>
      </x:c>
      <x:c r="R213" t="str">
        <x:v>Beige</x:v>
      </x:c>
      <x:c r="S213" t="str">
        <x:v>Beige</x:v>
      </x:c>
      <x:c r="T213" t="str">
        <x:v>Beige</x:v>
      </x:c>
      <x:c r="U213" t="str"/>
      <x:c r="V213" t="str"/>
      <x:c r="W213" t="str"/>
      <x:c r="X213" t="n">
        <x:f>IF(W213="",0,LEN(W213)-LEN(SUBSTITUTE(W213,"/",""))+1)</x:f>
        <x:v>0</x:v>
      </x:c>
      <x:c r="Y213" t="str">
        <x:v>H</x:v>
      </x:c>
      <x:c r="Z213" s="32" t="n">
        <x:v>1.67</x:v>
      </x:c>
      <x:c r="AA213" s="32" t="n">
        <x:v>3</x:v>
      </x:c>
      <x:c r="AB213" s="32" t="str">
        <x:v>Blue Wool Scale / UV 150h</x:v>
      </x:c>
      <x:c r="AC213" t="str">
        <x:v>#AF9C8C</x:v>
      </x:c>
      <x:c r="AD213" s="34" t="n">
        <x:v>175</x:v>
      </x:c>
      <x:c r="AE213" s="34" t="n">
        <x:v>156</x:v>
      </x:c>
      <x:c r="AF213" s="34" t="n">
        <x:v>140</x:v>
      </x:c>
      <x:c r="AG213" s="32" t="n">
        <x:v>27.43</x:v>
      </x:c>
      <x:c r="AH213" s="32" t="n">
        <x:v>17.95</x:v>
      </x:c>
      <x:c r="AI213" s="32" t="n">
        <x:v>61.76</x:v>
      </x:c>
      <x:c r="AJ213" s="32" t="n">
        <x:v>65.58</x:v>
      </x:c>
      <x:c r="AK213" s="32" t="n">
        <x:v>4.34</x:v>
      </x:c>
      <x:c r="AL213" s="32" t="n">
        <x:v>10.93</x:v>
      </x:c>
      <x:c r="AM213" s="32" t="str">
        <x:v>#000000</x:v>
      </x:c>
      <x:c r="AN213" s="32" t="str">
        <x:v>Black</x:v>
      </x:c>
      <x:c r="AO213" s="32" t="n">
        <x:v>7.96</x:v>
      </x:c>
      <x:c r="AP213" s="32" t="n">
        <x:v>7.96</x:v>
      </x:c>
      <x:c r="AQ213" s="32" t="n">
        <x:v>2.64</x:v>
      </x:c>
      <x:c r="AR213" s="32" t="n">
        <x:v>0.347843</x:v>
      </x:c>
      <x:c r="AS213" t="str">
        <x:v>PASS</x:v>
      </x:c>
      <x:c r="AT213" t="str">
        <x:v>--cda-pab-403</x:v>
      </x:c>
      <x:c r="AU213" t="str">
        <x:v>var(--cda-pab-403)</x:v>
      </x:c>
      <x:c r="AV213" t="str">
        <x:v>Median RGB from official PDF swatch (screen reference only)</x:v>
      </x:c>
      <x:c r="AW213" t="str">
        <x:v>https://www.carandache.com/content_files/uploaded_doc/product/10469/Colour_Chart_Pablo.pdf</x:v>
      </x:c>
      <x:c r="AX213" t="n">
        <x:v>1</x:v>
      </x:c>
      <x:c r="AY213" t="str">
        <x:v>Official</x:v>
      </x:c>
      <x:c r="AZ213" t="str">
        <x:v>Official where available; curated Traditional Chinese/Japanese otherwise</x:v>
      </x:c>
      <x:c r="BA213" t="str">
        <x:v>Verified from official chart; digital HEX is approximate</x:v>
      </x:c>
      <x:c r="BB213" t="str">
        <x:v>Physical media appearance varies by paper, pressure, layering, water and scan/display profile.</x:v>
      </x:c>
    </x:row>
    <x:row r="214">
      <x:c r="A214" t="str">
        <x:f>G214&amp;"|"&amp;L214</x:f>
        <x:v>PAB|401</x:v>
      </x:c>
      <x:c r="B214" t="str">
        <x:v>688c3005-a736-5c45-b884-ccef1be42ba3</x:v>
      </x:c>
      <x:c r="C214" t="str">
        <x:v>CDA-PAB-401</x:v>
      </x:c>
      <x:c r="D214" t="str">
        <x:v>041ab24f-ad59-5075-a15a-4afb1abf3da3</x:v>
      </x:c>
      <x:c r="E214" t="str">
        <x:v>CDA-CODE-401</x:v>
      </x:c>
      <x:c r="F214" t="str">
        <x:v>Caran d’Ache</x:v>
      </x:c>
      <x:c r="G214" t="str">
        <x:v>PAB</x:v>
      </x:c>
      <x:c r="H214" t="str">
        <x:v>PABLO</x:v>
      </x:c>
      <x:c r="I214" t="str">
        <x:v>Permanent coloured pencil</x:v>
      </x:c>
      <x:c r="J214" t="str">
        <x:v>Artist</x:v>
      </x:c>
      <x:c r="K214" s="30" t="n">
        <x:v>113</x:v>
      </x:c>
      <x:c r="L214" s="30" t="str">
        <x:v>401</x:v>
      </x:c>
      <x:c r="M214" t="str">
        <x:v>Ash grey</x:v>
      </x:c>
      <x:c r="N214" t="str">
        <x:v>灰燼灰</x:v>
      </x:c>
      <x:c r="O214" t="str">
        <x:v>アッシュグレー</x:v>
      </x:c>
      <x:c r="P214" t="str"/>
      <x:c r="Q214" t="str">
        <x:v>Gris cendre</x:v>
      </x:c>
      <x:c r="R214" t="str">
        <x:v>Aschgrau</x:v>
      </x:c>
      <x:c r="S214" t="str">
        <x:v>Grigio cenere</x:v>
      </x:c>
      <x:c r="T214" t="str">
        <x:v>Gris ceniza</x:v>
      </x:c>
      <x:c r="U214" t="str"/>
      <x:c r="V214" t="str"/>
      <x:c r="W214" t="str"/>
      <x:c r="X214" t="n">
        <x:f>IF(W214="",0,LEN(W214)-LEN(SUBSTITUTE(W214,"/",""))+1)</x:f>
        <x:v>0</x:v>
      </x:c>
      <x:c r="Y214" t="str">
        <x:v>H</x:v>
      </x:c>
      <x:c r="Z214" s="32" t="n">
        <x:v>1.67</x:v>
      </x:c>
      <x:c r="AA214" s="32" t="n">
        <x:v>3</x:v>
      </x:c>
      <x:c r="AB214" s="32" t="str">
        <x:v>Blue Wool Scale / UV 150h</x:v>
      </x:c>
      <x:c r="AC214" t="str">
        <x:v>#E8DCC7</x:v>
      </x:c>
      <x:c r="AD214" s="34" t="n">
        <x:v>232</x:v>
      </x:c>
      <x:c r="AE214" s="34" t="n">
        <x:v>220</x:v>
      </x:c>
      <x:c r="AF214" s="34" t="n">
        <x:v>199</x:v>
      </x:c>
      <x:c r="AG214" s="32" t="n">
        <x:v>38.18</x:v>
      </x:c>
      <x:c r="AH214" s="32" t="n">
        <x:v>41.77</x:v>
      </x:c>
      <x:c r="AI214" s="32" t="n">
        <x:v>84.51</x:v>
      </x:c>
      <x:c r="AJ214" s="32" t="n">
        <x:v>88.19</x:v>
      </x:c>
      <x:c r="AK214" s="32" t="n">
        <x:v>0.66</x:v>
      </x:c>
      <x:c r="AL214" s="32" t="n">
        <x:v>11.79</x:v>
      </x:c>
      <x:c r="AM214" s="32" t="str">
        <x:v>#000000</x:v>
      </x:c>
      <x:c r="AN214" s="32" t="str">
        <x:v>Black</x:v>
      </x:c>
      <x:c r="AO214" s="32" t="n">
        <x:v>15.49</x:v>
      </x:c>
      <x:c r="AP214" s="32" t="n">
        <x:v>15.49</x:v>
      </x:c>
      <x:c r="AQ214" s="32" t="n">
        <x:v>1.36</x:v>
      </x:c>
      <x:c r="AR214" s="32" t="n">
        <x:v>0.724657</x:v>
      </x:c>
      <x:c r="AS214" t="str">
        <x:v>PASS</x:v>
      </x:c>
      <x:c r="AT214" t="str">
        <x:v>--cda-pab-401</x:v>
      </x:c>
      <x:c r="AU214" t="str">
        <x:v>var(--cda-pab-401)</x:v>
      </x:c>
      <x:c r="AV214" t="str">
        <x:v>Median RGB from official PDF swatch (screen reference only)</x:v>
      </x:c>
      <x:c r="AW214" t="str">
        <x:v>https://www.carandache.com/content_files/uploaded_doc/product/10469/Colour_Chart_Pablo.pdf</x:v>
      </x:c>
      <x:c r="AX214" t="n">
        <x:v>1</x:v>
      </x:c>
      <x:c r="AY214" t="str">
        <x:v>Official</x:v>
      </x:c>
      <x:c r="AZ214" t="str">
        <x:v>Official where available; curated Traditional Chinese/Japanese otherwise</x:v>
      </x:c>
      <x:c r="BA214" t="str">
        <x:v>Verified from official chart; digital HEX is approximate</x:v>
      </x:c>
      <x:c r="BB214" t="str">
        <x:v>Physical media appearance varies by paper, pressure, layering, water and scan/display profile.</x:v>
      </x:c>
    </x:row>
    <x:row r="215">
      <x:c r="A215" t="str">
        <x:f>G215&amp;"|"&amp;L215</x:f>
        <x:v>PAB|402</x:v>
      </x:c>
      <x:c r="B215" t="str">
        <x:v>4a0f9aec-4a02-5175-8e8b-59c55289bd5f</x:v>
      </x:c>
      <x:c r="C215" t="str">
        <x:v>CDA-PAB-402</x:v>
      </x:c>
      <x:c r="D215" t="str">
        <x:v>ff5f9226-afd3-51de-841e-1af120ed7973</x:v>
      </x:c>
      <x:c r="E215" t="str">
        <x:v>CDA-CODE-402</x:v>
      </x:c>
      <x:c r="F215" t="str">
        <x:v>Caran d’Ache</x:v>
      </x:c>
      <x:c r="G215" t="str">
        <x:v>PAB</x:v>
      </x:c>
      <x:c r="H215" t="str">
        <x:v>PABLO</x:v>
      </x:c>
      <x:c r="I215" t="str">
        <x:v>Permanent coloured pencil</x:v>
      </x:c>
      <x:c r="J215" t="str">
        <x:v>Artist</x:v>
      </x:c>
      <x:c r="K215" s="30" t="n">
        <x:v>114</x:v>
      </x:c>
      <x:c r="L215" s="30" t="str">
        <x:v>402</x:v>
      </x:c>
      <x:c r="M215" t="str">
        <x:v>Light beige</x:v>
      </x:c>
      <x:c r="N215" t="str">
        <x:v>淺米色</x:v>
      </x:c>
      <x:c r="O215" t="str">
        <x:v>ライトベージュ</x:v>
      </x:c>
      <x:c r="P215" t="str"/>
      <x:c r="Q215" t="str">
        <x:v>Beige clair</x:v>
      </x:c>
      <x:c r="R215" t="str">
        <x:v>Hellbeige</x:v>
      </x:c>
      <x:c r="S215" t="str">
        <x:v>Beige chiaro</x:v>
      </x:c>
      <x:c r="T215" t="str">
        <x:v>Beige claro</x:v>
      </x:c>
      <x:c r="U215" t="str"/>
      <x:c r="V215" t="str"/>
      <x:c r="W215" t="str"/>
      <x:c r="X215" t="n">
        <x:f>IF(W215="",0,LEN(W215)-LEN(SUBSTITUTE(W215,"/",""))+1)</x:f>
        <x:v>0</x:v>
      </x:c>
      <x:c r="Y215" t="str">
        <x:v>H</x:v>
      </x:c>
      <x:c r="Z215" s="32" t="n">
        <x:v>1.67</x:v>
      </x:c>
      <x:c r="AA215" s="32" t="n">
        <x:v>3</x:v>
      </x:c>
      <x:c r="AB215" s="32" t="str">
        <x:v>Blue Wool Scale / UV 150h</x:v>
      </x:c>
      <x:c r="AC215" t="str">
        <x:v>#CCBFAF</x:v>
      </x:c>
      <x:c r="AD215" s="34" t="n">
        <x:v>204</x:v>
      </x:c>
      <x:c r="AE215" s="34" t="n">
        <x:v>191</x:v>
      </x:c>
      <x:c r="AF215" s="34" t="n">
        <x:v>175</x:v>
      </x:c>
      <x:c r="AG215" s="32" t="n">
        <x:v>33.1</x:v>
      </x:c>
      <x:c r="AH215" s="32" t="n">
        <x:v>22.14</x:v>
      </x:c>
      <x:c r="AI215" s="32" t="n">
        <x:v>74.31</x:v>
      </x:c>
      <x:c r="AJ215" s="32" t="n">
        <x:v>77.99</x:v>
      </x:c>
      <x:c r="AK215" s="32" t="n">
        <x:v>1.89</x:v>
      </x:c>
      <x:c r="AL215" s="32" t="n">
        <x:v>9.71</x:v>
      </x:c>
      <x:c r="AM215" s="32" t="str">
        <x:v>#000000</x:v>
      </x:c>
      <x:c r="AN215" s="32" t="str">
        <x:v>Black</x:v>
      </x:c>
      <x:c r="AO215" s="32" t="n">
        <x:v>11.64</x:v>
      </x:c>
      <x:c r="AP215" s="32" t="n">
        <x:v>11.64</x:v>
      </x:c>
      <x:c r="AQ215" s="32" t="n">
        <x:v>1.8</x:v>
      </x:c>
      <x:c r="AR215" s="32" t="n">
        <x:v>0.531941</x:v>
      </x:c>
      <x:c r="AS215" t="str">
        <x:v>PASS</x:v>
      </x:c>
      <x:c r="AT215" t="str">
        <x:v>--cda-pab-402</x:v>
      </x:c>
      <x:c r="AU215" t="str">
        <x:v>var(--cda-pab-402)</x:v>
      </x:c>
      <x:c r="AV215" t="str">
        <x:v>Median RGB from official PDF swatch (screen reference only)</x:v>
      </x:c>
      <x:c r="AW215" t="str">
        <x:v>https://www.carandache.com/content_files/uploaded_doc/product/10469/Colour_Chart_Pablo.pdf</x:v>
      </x:c>
      <x:c r="AX215" t="n">
        <x:v>1</x:v>
      </x:c>
      <x:c r="AY215" t="str">
        <x:v>Official</x:v>
      </x:c>
      <x:c r="AZ215" t="str">
        <x:v>Official where available; curated Traditional Chinese/Japanese otherwise</x:v>
      </x:c>
      <x:c r="BA215" t="str">
        <x:v>Verified from official chart; digital HEX is approximate</x:v>
      </x:c>
      <x:c r="BB215" t="str">
        <x:v>Physical media appearance varies by paper, pressure, layering, water and scan/display profile.</x:v>
      </x:c>
    </x:row>
    <x:row r="216">
      <x:c r="A216" t="str">
        <x:f>G216&amp;"|"&amp;L216</x:f>
        <x:v>PAB|025</x:v>
      </x:c>
      <x:c r="B216" t="str">
        <x:v>2bab350a-d763-59d2-a4c0-d60ed237b603</x:v>
      </x:c>
      <x:c r="C216" t="str">
        <x:v>CDA-PAB-025</x:v>
      </x:c>
      <x:c r="D216" t="str">
        <x:v>d214ba2e-de61-50e2-9d33-f10155cc817b</x:v>
      </x:c>
      <x:c r="E216" t="str">
        <x:v>CDA-CODE-025</x:v>
      </x:c>
      <x:c r="F216" t="str">
        <x:v>Caran d’Ache</x:v>
      </x:c>
      <x:c r="G216" t="str">
        <x:v>PAB</x:v>
      </x:c>
      <x:c r="H216" t="str">
        <x:v>PABLO</x:v>
      </x:c>
      <x:c r="I216" t="str">
        <x:v>Permanent coloured pencil</x:v>
      </x:c>
      <x:c r="J216" t="str">
        <x:v>Artist</x:v>
      </x:c>
      <x:c r="K216" s="30" t="n">
        <x:v>115</x:v>
      </x:c>
      <x:c r="L216" s="30" t="str">
        <x:v>025</x:v>
      </x:c>
      <x:c r="M216" t="str">
        <x:v>Green ochre</x:v>
      </x:c>
      <x:c r="N216" t="str">
        <x:v>綠赭色</x:v>
      </x:c>
      <x:c r="O216" t="str">
        <x:v>グリーンオーカー</x:v>
      </x:c>
      <x:c r="P216" t="str"/>
      <x:c r="Q216" t="str">
        <x:v>Ocre vert</x:v>
      </x:c>
      <x:c r="R216" t="str">
        <x:v>Grünocker</x:v>
      </x:c>
      <x:c r="S216" t="str">
        <x:v>Ocra verde</x:v>
      </x:c>
      <x:c r="T216" t="str">
        <x:v>Ocre verde</x:v>
      </x:c>
      <x:c r="U216" t="str"/>
      <x:c r="V216" t="str"/>
      <x:c r="W216" t="str"/>
      <x:c r="X216" t="n">
        <x:f>IF(W216="",0,LEN(W216)-LEN(SUBSTITUTE(W216,"/",""))+1)</x:f>
        <x:v>0</x:v>
      </x:c>
      <x:c r="Y216" t="str">
        <x:v>H</x:v>
      </x:c>
      <x:c r="Z216" s="32" t="n">
        <x:v>1.67</x:v>
      </x:c>
      <x:c r="AA216" s="32" t="n">
        <x:v>3</x:v>
      </x:c>
      <x:c r="AB216" s="32" t="str">
        <x:v>Blue Wool Scale / UV 150h</x:v>
      </x:c>
      <x:c r="AC216" t="str">
        <x:v>#D7A629</x:v>
      </x:c>
      <x:c r="AD216" s="34" t="n">
        <x:v>215</x:v>
      </x:c>
      <x:c r="AE216" s="34" t="n">
        <x:v>166</x:v>
      </x:c>
      <x:c r="AF216" s="34" t="n">
        <x:v>41</x:v>
      </x:c>
      <x:c r="AG216" s="32" t="n">
        <x:v>43.1</x:v>
      </x:c>
      <x:c r="AH216" s="32" t="n">
        <x:v>68.5</x:v>
      </x:c>
      <x:c r="AI216" s="32" t="n">
        <x:v>50.2</x:v>
      </x:c>
      <x:c r="AJ216" s="32" t="n">
        <x:v>70.79</x:v>
      </x:c>
      <x:c r="AK216" s="32" t="n">
        <x:v>6.94</x:v>
      </x:c>
      <x:c r="AL216" s="32" t="n">
        <x:v>65.99</x:v>
      </x:c>
      <x:c r="AM216" s="32" t="str">
        <x:v>#000000</x:v>
      </x:c>
      <x:c r="AN216" s="32" t="str">
        <x:v>Black</x:v>
      </x:c>
      <x:c r="AO216" s="32" t="n">
        <x:v>9.38</x:v>
      </x:c>
      <x:c r="AP216" s="32" t="n">
        <x:v>9.38</x:v>
      </x:c>
      <x:c r="AQ216" s="32" t="n">
        <x:v>2.24</x:v>
      </x:c>
      <x:c r="AR216" s="32" t="n">
        <x:v>0.418796</x:v>
      </x:c>
      <x:c r="AS216" t="str">
        <x:v>PASS</x:v>
      </x:c>
      <x:c r="AT216" t="str">
        <x:v>--cda-pab-025</x:v>
      </x:c>
      <x:c r="AU216" t="str">
        <x:v>var(--cda-pab-025)</x:v>
      </x:c>
      <x:c r="AV216" t="str">
        <x:v>Median RGB from official PDF swatch (screen reference only)</x:v>
      </x:c>
      <x:c r="AW216" t="str">
        <x:v>https://www.carandache.com/content_files/uploaded_doc/product/10469/Colour_Chart_Pablo.pdf</x:v>
      </x:c>
      <x:c r="AX216" t="n">
        <x:v>1</x:v>
      </x:c>
      <x:c r="AY216" t="str">
        <x:v>Official</x:v>
      </x:c>
      <x:c r="AZ216" t="str">
        <x:v>Official where available; curated Traditional Chinese/Japanese otherwise</x:v>
      </x:c>
      <x:c r="BA216" t="str">
        <x:v>Verified from official chart; digital HEX is approximate</x:v>
      </x:c>
      <x:c r="BB216" t="str">
        <x:v>Physical media appearance varies by paper, pressure, layering, water and scan/display profile.</x:v>
      </x:c>
    </x:row>
    <x:row r="217">
      <x:c r="A217" t="str">
        <x:f>G217&amp;"|"&amp;L217</x:f>
        <x:v>PAB|499</x:v>
      </x:c>
      <x:c r="B217" t="str">
        <x:v>c5bd31f7-1b1b-5d59-a022-74a4c11ea275</x:v>
      </x:c>
      <x:c r="C217" t="str">
        <x:v>CDA-PAB-499</x:v>
      </x:c>
      <x:c r="D217" t="str">
        <x:v>28c12bd9-5252-5aa7-b4d7-b871d20e5a42</x:v>
      </x:c>
      <x:c r="E217" t="str">
        <x:v>CDA-CODE-499</x:v>
      </x:c>
      <x:c r="F217" t="str">
        <x:v>Caran d’Ache</x:v>
      </x:c>
      <x:c r="G217" t="str">
        <x:v>PAB</x:v>
      </x:c>
      <x:c r="H217" t="str">
        <x:v>PABLO</x:v>
      </x:c>
      <x:c r="I217" t="str">
        <x:v>Permanent coloured pencil</x:v>
      </x:c>
      <x:c r="J217" t="str">
        <x:v>Artist</x:v>
      </x:c>
      <x:c r="K217" s="30" t="n">
        <x:v>116</x:v>
      </x:c>
      <x:c r="L217" s="30" t="str">
        <x:v>499</x:v>
      </x:c>
      <x:c r="M217" t="str">
        <x:v>Gold</x:v>
      </x:c>
      <x:c r="N217" t="str">
        <x:v>金色</x:v>
      </x:c>
      <x:c r="O217" t="str">
        <x:v>ゴールド</x:v>
      </x:c>
      <x:c r="P217" t="str"/>
      <x:c r="Q217" t="str">
        <x:v>Or</x:v>
      </x:c>
      <x:c r="R217" t="str">
        <x:v>Gold</x:v>
      </x:c>
      <x:c r="S217" t="str">
        <x:v>Oro</x:v>
      </x:c>
      <x:c r="T217" t="str">
        <x:v>Oro</x:v>
      </x:c>
      <x:c r="U217" t="str"/>
      <x:c r="V217" t="str"/>
      <x:c r="W217" t="str"/>
      <x:c r="X217" t="n">
        <x:f>IF(W217="",0,LEN(W217)-LEN(SUBSTITUTE(W217,"/",""))+1)</x:f>
        <x:v>0</x:v>
      </x:c>
      <x:c r="Y217" t="str">
        <x:v>H</x:v>
      </x:c>
      <x:c r="Z217" s="32" t="n">
        <x:v>1.67</x:v>
      </x:c>
      <x:c r="AA217" s="32" t="n">
        <x:v>3</x:v>
      </x:c>
      <x:c r="AB217" s="32" t="str">
        <x:v>Blue Wool Scale / UV 150h</x:v>
      </x:c>
      <x:c r="AC217" t="str">
        <x:v>#A59771</x:v>
      </x:c>
      <x:c r="AD217" s="34" t="n">
        <x:v>165</x:v>
      </x:c>
      <x:c r="AE217" s="34" t="n">
        <x:v>151</x:v>
      </x:c>
      <x:c r="AF217" s="34" t="n">
        <x:v>113</x:v>
      </x:c>
      <x:c r="AG217" s="32" t="n">
        <x:v>43.85</x:v>
      </x:c>
      <x:c r="AH217" s="32" t="n">
        <x:v>22.41</x:v>
      </x:c>
      <x:c r="AI217" s="32" t="n">
        <x:v>54.51</x:v>
      </x:c>
      <x:c r="AJ217" s="32" t="n">
        <x:v>62.78</x:v>
      </x:c>
      <x:c r="AK217" s="32" t="n">
        <x:v>-0.8</x:v>
      </x:c>
      <x:c r="AL217" s="32" t="n">
        <x:v>21.94</x:v>
      </x:c>
      <x:c r="AM217" s="32" t="str">
        <x:v>#000000</x:v>
      </x:c>
      <x:c r="AN217" s="32" t="str">
        <x:v>Black</x:v>
      </x:c>
      <x:c r="AO217" s="32" t="n">
        <x:v>7.26</x:v>
      </x:c>
      <x:c r="AP217" s="32" t="n">
        <x:v>7.26</x:v>
      </x:c>
      <x:c r="AQ217" s="32" t="n">
        <x:v>2.89</x:v>
      </x:c>
      <x:c r="AR217" s="32" t="n">
        <x:v>0.313248</x:v>
      </x:c>
      <x:c r="AS217" t="str">
        <x:v>PASS</x:v>
      </x:c>
      <x:c r="AT217" t="str">
        <x:v>--cda-pab-499</x:v>
      </x:c>
      <x:c r="AU217" t="str">
        <x:v>var(--cda-pab-499)</x:v>
      </x:c>
      <x:c r="AV217" t="str">
        <x:v>Median RGB from official PDF swatch (screen reference only)</x:v>
      </x:c>
      <x:c r="AW217" t="str">
        <x:v>https://www.carandache.com/content_files/uploaded_doc/product/10469/Colour_Chart_Pablo.pdf</x:v>
      </x:c>
      <x:c r="AX217" t="n">
        <x:v>1</x:v>
      </x:c>
      <x:c r="AY217" t="str">
        <x:v>Official</x:v>
      </x:c>
      <x:c r="AZ217" t="str">
        <x:v>Official where available; curated Traditional Chinese/Japanese otherwise</x:v>
      </x:c>
      <x:c r="BA217" t="str">
        <x:v>Verified from official chart; digital HEX is approximate</x:v>
      </x:c>
      <x:c r="BB217" t="str">
        <x:v>Physical media appearance varies by paper, pressure, layering, water and scan/display profile.</x:v>
      </x:c>
    </x:row>
    <x:row r="218">
      <x:c r="A218" t="str">
        <x:f>G218&amp;"|"&amp;L218</x:f>
        <x:v>PAB|497</x:v>
      </x:c>
      <x:c r="B218" t="str">
        <x:v>8884e27b-74b5-5fa9-a122-30d9a421acd4</x:v>
      </x:c>
      <x:c r="C218" t="str">
        <x:v>CDA-PAB-497</x:v>
      </x:c>
      <x:c r="D218" t="str">
        <x:v>626a6f45-e626-566f-8eee-647ee5477aa2</x:v>
      </x:c>
      <x:c r="E218" t="str">
        <x:v>CDA-CODE-497</x:v>
      </x:c>
      <x:c r="F218" t="str">
        <x:v>Caran d’Ache</x:v>
      </x:c>
      <x:c r="G218" t="str">
        <x:v>PAB</x:v>
      </x:c>
      <x:c r="H218" t="str">
        <x:v>PABLO</x:v>
      </x:c>
      <x:c r="I218" t="str">
        <x:v>Permanent coloured pencil</x:v>
      </x:c>
      <x:c r="J218" t="str">
        <x:v>Artist</x:v>
      </x:c>
      <x:c r="K218" s="30" t="n">
        <x:v>117</x:v>
      </x:c>
      <x:c r="L218" s="30" t="str">
        <x:v>497</x:v>
      </x:c>
      <x:c r="M218" t="str">
        <x:v>Bronze</x:v>
      </x:c>
      <x:c r="N218" t="str">
        <x:v>青銅色</x:v>
      </x:c>
      <x:c r="O218" t="str">
        <x:v>ブロンズ</x:v>
      </x:c>
      <x:c r="P218" t="str"/>
      <x:c r="Q218" t="str">
        <x:v>Bronze</x:v>
      </x:c>
      <x:c r="R218" t="str">
        <x:v>Bronze</x:v>
      </x:c>
      <x:c r="S218" t="str">
        <x:v>Bronzo</x:v>
      </x:c>
      <x:c r="T218" t="str">
        <x:v>Bronce</x:v>
      </x:c>
      <x:c r="U218" t="str"/>
      <x:c r="V218" t="str"/>
      <x:c r="W218" t="str"/>
      <x:c r="X218" t="n">
        <x:f>IF(W218="",0,LEN(W218)-LEN(SUBSTITUTE(W218,"/",""))+1)</x:f>
        <x:v>0</x:v>
      </x:c>
      <x:c r="Y218" t="str">
        <x:v>H</x:v>
      </x:c>
      <x:c r="Z218" s="32" t="n">
        <x:v>1.67</x:v>
      </x:c>
      <x:c r="AA218" s="32" t="n">
        <x:v>3</x:v>
      </x:c>
      <x:c r="AB218" s="32" t="str">
        <x:v>Blue Wool Scale / UV 150h</x:v>
      </x:c>
      <x:c r="AC218" t="str">
        <x:v>#AB7F6F</x:v>
      </x:c>
      <x:c r="AD218" s="34" t="n">
        <x:v>171</x:v>
      </x:c>
      <x:c r="AE218" s="34" t="n">
        <x:v>127</x:v>
      </x:c>
      <x:c r="AF218" s="34" t="n">
        <x:v>111</x:v>
      </x:c>
      <x:c r="AG218" s="32" t="n">
        <x:v>16</x:v>
      </x:c>
      <x:c r="AH218" s="32" t="n">
        <x:v>26.32</x:v>
      </x:c>
      <x:c r="AI218" s="32" t="n">
        <x:v>55.29</x:v>
      </x:c>
      <x:c r="AJ218" s="32" t="n">
        <x:v>57.06</x:v>
      </x:c>
      <x:c r="AK218" s="32" t="n">
        <x:v>14.79</x:v>
      </x:c>
      <x:c r="AL218" s="32" t="n">
        <x:v>15.35</x:v>
      </x:c>
      <x:c r="AM218" s="32" t="str">
        <x:v>#000000</x:v>
      </x:c>
      <x:c r="AN218" s="32" t="str">
        <x:v>Black</x:v>
      </x:c>
      <x:c r="AO218" s="32" t="n">
        <x:v>6</x:v>
      </x:c>
      <x:c r="AP218" s="32" t="n">
        <x:v>6</x:v>
      </x:c>
      <x:c r="AQ218" s="32" t="n">
        <x:v>3.5</x:v>
      </x:c>
      <x:c r="AR218" s="32" t="n">
        <x:v>0.249844</x:v>
      </x:c>
      <x:c r="AS218" t="str">
        <x:v>PASS</x:v>
      </x:c>
      <x:c r="AT218" t="str">
        <x:v>--cda-pab-497</x:v>
      </x:c>
      <x:c r="AU218" t="str">
        <x:v>var(--cda-pab-497)</x:v>
      </x:c>
      <x:c r="AV218" t="str">
        <x:v>Median RGB from official PDF swatch (screen reference only)</x:v>
      </x:c>
      <x:c r="AW218" t="str">
        <x:v>https://www.carandache.com/content_files/uploaded_doc/product/10469/Colour_Chart_Pablo.pdf</x:v>
      </x:c>
      <x:c r="AX218" t="n">
        <x:v>1</x:v>
      </x:c>
      <x:c r="AY218" t="str">
        <x:v>Official</x:v>
      </x:c>
      <x:c r="AZ218" t="str">
        <x:v>Official where available; curated Traditional Chinese/Japanese otherwise</x:v>
      </x:c>
      <x:c r="BA218" t="str">
        <x:v>Verified from official chart; digital HEX is approximate</x:v>
      </x:c>
      <x:c r="BB218" t="str">
        <x:v>Physical media appearance varies by paper, pressure, layering, water and scan/display profile.</x:v>
      </x:c>
    </x:row>
    <x:row r="219">
      <x:c r="A219" t="str">
        <x:f>G219&amp;"|"&amp;L219</x:f>
        <x:v>PAB|498</x:v>
      </x:c>
      <x:c r="B219" t="str">
        <x:v>1cfd3ecf-c9e2-5dfd-95dd-ee000325e841</x:v>
      </x:c>
      <x:c r="C219" t="str">
        <x:v>CDA-PAB-498</x:v>
      </x:c>
      <x:c r="D219" t="str">
        <x:v>03989b1a-4440-5f14-a358-38a260b8270e</x:v>
      </x:c>
      <x:c r="E219" t="str">
        <x:v>CDA-CODE-498</x:v>
      </x:c>
      <x:c r="F219" t="str">
        <x:v>Caran d’Ache</x:v>
      </x:c>
      <x:c r="G219" t="str">
        <x:v>PAB</x:v>
      </x:c>
      <x:c r="H219" t="str">
        <x:v>PABLO</x:v>
      </x:c>
      <x:c r="I219" t="str">
        <x:v>Permanent coloured pencil</x:v>
      </x:c>
      <x:c r="J219" t="str">
        <x:v>Artist</x:v>
      </x:c>
      <x:c r="K219" s="30" t="n">
        <x:v>118</x:v>
      </x:c>
      <x:c r="L219" s="30" t="str">
        <x:v>498</x:v>
      </x:c>
      <x:c r="M219" t="str">
        <x:v>Silver</x:v>
      </x:c>
      <x:c r="N219" t="str">
        <x:v>銀色</x:v>
      </x:c>
      <x:c r="O219" t="str">
        <x:v>シルバー</x:v>
      </x:c>
      <x:c r="P219" t="str"/>
      <x:c r="Q219" t="str">
        <x:v>Argent</x:v>
      </x:c>
      <x:c r="R219" t="str">
        <x:v>Silber</x:v>
      </x:c>
      <x:c r="S219" t="str">
        <x:v>Argento</x:v>
      </x:c>
      <x:c r="T219" t="str">
        <x:v>Plata</x:v>
      </x:c>
      <x:c r="U219" t="str"/>
      <x:c r="V219" t="str"/>
      <x:c r="W219" t="str"/>
      <x:c r="X219" t="n">
        <x:f>IF(W219="",0,LEN(W219)-LEN(SUBSTITUTE(W219,"/",""))+1)</x:f>
        <x:v>0</x:v>
      </x:c>
      <x:c r="Y219" t="str">
        <x:v>H</x:v>
      </x:c>
      <x:c r="Z219" s="32" t="n">
        <x:v>1.67</x:v>
      </x:c>
      <x:c r="AA219" s="32" t="n">
        <x:v>3</x:v>
      </x:c>
      <x:c r="AB219" s="32" t="str">
        <x:v>Blue Wool Scale / UV 150h</x:v>
      </x:c>
      <x:c r="AC219" t="str">
        <x:v>#969793</x:v>
      </x:c>
      <x:c r="AD219" s="34" t="n">
        <x:v>150</x:v>
      </x:c>
      <x:c r="AE219" s="34" t="n">
        <x:v>151</x:v>
      </x:c>
      <x:c r="AF219" s="34" t="n">
        <x:v>147</x:v>
      </x:c>
      <x:c r="AG219" s="32" t="n">
        <x:v>75</x:v>
      </x:c>
      <x:c r="AH219" s="32" t="n">
        <x:v>1.89</x:v>
      </x:c>
      <x:c r="AI219" s="32" t="n">
        <x:v>58.43</x:v>
      </x:c>
      <x:c r="AJ219" s="32" t="n">
        <x:v>62.27</x:v>
      </x:c>
      <x:c r="AK219" s="32" t="n">
        <x:v>-1.13</x:v>
      </x:c>
      <x:c r="AL219" s="32" t="n">
        <x:v>1.98</x:v>
      </x:c>
      <x:c r="AM219" s="32" t="str">
        <x:v>#000000</x:v>
      </x:c>
      <x:c r="AN219" s="32" t="str">
        <x:v>Black</x:v>
      </x:c>
      <x:c r="AO219" s="32" t="n">
        <x:v>7.14</x:v>
      </x:c>
      <x:c r="AP219" s="32" t="n">
        <x:v>7.14</x:v>
      </x:c>
      <x:c r="AQ219" s="32" t="n">
        <x:v>2.94</x:v>
      </x:c>
      <x:c r="AR219" s="32" t="n">
        <x:v>0.307238</x:v>
      </x:c>
      <x:c r="AS219" t="str">
        <x:v>PASS</x:v>
      </x:c>
      <x:c r="AT219" t="str">
        <x:v>--cda-pab-498</x:v>
      </x:c>
      <x:c r="AU219" t="str">
        <x:v>var(--cda-pab-498)</x:v>
      </x:c>
      <x:c r="AV219" t="str">
        <x:v>Median RGB from official PDF swatch (screen reference only)</x:v>
      </x:c>
      <x:c r="AW219" t="str">
        <x:v>https://www.carandache.com/content_files/uploaded_doc/product/10469/Colour_Chart_Pablo.pdf</x:v>
      </x:c>
      <x:c r="AX219" t="n">
        <x:v>1</x:v>
      </x:c>
      <x:c r="AY219" t="str">
        <x:v>Official</x:v>
      </x:c>
      <x:c r="AZ219" t="str">
        <x:v>Official where available; curated Traditional Chinese/Japanese otherwise</x:v>
      </x:c>
      <x:c r="BA219" t="str">
        <x:v>Verified from official chart; digital HEX is approximate</x:v>
      </x:c>
      <x:c r="BB219" t="str">
        <x:v>Physical media appearance varies by paper, pressure, layering, water and scan/display profile.</x:v>
      </x:c>
    </x:row>
    <x:row r="220">
      <x:c r="A220" t="str">
        <x:f>G220&amp;"|"&amp;L220</x:f>
        <x:v>PAB|001</x:v>
      </x:c>
      <x:c r="B220" t="str">
        <x:v>b7052300-5b3d-55a7-9f6d-afd44da2872b</x:v>
      </x:c>
      <x:c r="C220" t="str">
        <x:v>CDA-PAB-001</x:v>
      </x:c>
      <x:c r="D220" t="str">
        <x:v>1fdf2a25-f600-5523-bc97-56cadaedc26c</x:v>
      </x:c>
      <x:c r="E220" t="str">
        <x:v>CDA-CODE-001</x:v>
      </x:c>
      <x:c r="F220" t="str">
        <x:v>Caran d’Ache</x:v>
      </x:c>
      <x:c r="G220" t="str">
        <x:v>PAB</x:v>
      </x:c>
      <x:c r="H220" t="str">
        <x:v>PABLO</x:v>
      </x:c>
      <x:c r="I220" t="str">
        <x:v>Permanent coloured pencil</x:v>
      </x:c>
      <x:c r="J220" t="str">
        <x:v>Artist</x:v>
      </x:c>
      <x:c r="K220" s="30" t="n">
        <x:v>119</x:v>
      </x:c>
      <x:c r="L220" s="30" t="str">
        <x:v>001</x:v>
      </x:c>
      <x:c r="M220" t="str">
        <x:v>White</x:v>
      </x:c>
      <x:c r="N220" t="str">
        <x:v>白色</x:v>
      </x:c>
      <x:c r="O220" t="str">
        <x:v>ホワイト</x:v>
      </x:c>
      <x:c r="P220" t="str"/>
      <x:c r="Q220" t="str">
        <x:v>Blanc</x:v>
      </x:c>
      <x:c r="R220" t="str">
        <x:v>Weiss</x:v>
      </x:c>
      <x:c r="S220" t="str">
        <x:v>Bianco</x:v>
      </x:c>
      <x:c r="T220" t="str">
        <x:v>Blanco</x:v>
      </x:c>
      <x:c r="U220" t="str"/>
      <x:c r="V220" t="str"/>
      <x:c r="W220" t="str"/>
      <x:c r="X220" t="n">
        <x:f>IF(W220="",0,LEN(W220)-LEN(SUBSTITUTE(W220,"/",""))+1)</x:f>
        <x:v>0</x:v>
      </x:c>
      <x:c r="Y220" t="str">
        <x:v>H</x:v>
      </x:c>
      <x:c r="Z220" s="32" t="n">
        <x:v>1.67</x:v>
      </x:c>
      <x:c r="AA220" s="32" t="n">
        <x:v>3</x:v>
      </x:c>
      <x:c r="AB220" s="32" t="str">
        <x:v>Blue Wool Scale / UV 150h</x:v>
      </x:c>
      <x:c r="AC220" t="str">
        <x:v>#FEF2E7</x:v>
      </x:c>
      <x:c r="AD220" s="34" t="n">
        <x:v>254</x:v>
      </x:c>
      <x:c r="AE220" s="34" t="n">
        <x:v>242</x:v>
      </x:c>
      <x:c r="AF220" s="34" t="n">
        <x:v>231</x:v>
      </x:c>
      <x:c r="AG220" s="32" t="n">
        <x:v>28.7</x:v>
      </x:c>
      <x:c r="AH220" s="32" t="n">
        <x:v>92</x:v>
      </x:c>
      <x:c r="AI220" s="32" t="n">
        <x:v>95.1</x:v>
      </x:c>
      <x:c r="AJ220" s="32" t="n">
        <x:v>96.14</x:v>
      </x:c>
      <x:c r="AK220" s="32" t="n">
        <x:v>2.2</x:v>
      </x:c>
      <x:c r="AL220" s="32" t="n">
        <x:v>6.74</x:v>
      </x:c>
      <x:c r="AM220" s="32" t="str">
        <x:v>#000000</x:v>
      </x:c>
      <x:c r="AN220" s="32" t="str">
        <x:v>Black</x:v>
      </x:c>
      <x:c r="AO220" s="32" t="n">
        <x:v>19.07</x:v>
      </x:c>
      <x:c r="AP220" s="32" t="n">
        <x:v>19.07</x:v>
      </x:c>
      <x:c r="AQ220" s="32" t="n">
        <x:v>1.1</x:v>
      </x:c>
      <x:c r="AR220" s="32" t="n">
        <x:v>0.903446</x:v>
      </x:c>
      <x:c r="AS220" t="str">
        <x:v>PASS</x:v>
      </x:c>
      <x:c r="AT220" t="str">
        <x:v>--cda-pab-001</x:v>
      </x:c>
      <x:c r="AU220" t="str">
        <x:v>var(--cda-pab-001)</x:v>
      </x:c>
      <x:c r="AV220" t="str">
        <x:v>Median RGB from official PDF swatch (screen reference only)</x:v>
      </x:c>
      <x:c r="AW220" t="str">
        <x:v>https://www.carandache.com/content_files/uploaded_doc/product/10469/Colour_Chart_Pablo.pdf</x:v>
      </x:c>
      <x:c r="AX220" t="n">
        <x:v>1</x:v>
      </x:c>
      <x:c r="AY220" t="str">
        <x:v>Official</x:v>
      </x:c>
      <x:c r="AZ220" t="str">
        <x:v>Official where available; curated Traditional Chinese/Japanese otherwise</x:v>
      </x:c>
      <x:c r="BA220" t="str">
        <x:v>Verified from official chart; digital HEX is approximate</x:v>
      </x:c>
      <x:c r="BB220" t="str">
        <x:v>Physical media appearance varies by paper, pressure, layering, water and scan/display profile.</x:v>
      </x:c>
    </x:row>
    <x:row r="221">
      <x:c r="A221" t="str">
        <x:f>G221&amp;"|"&amp;L221</x:f>
        <x:v>PAB|009</x:v>
      </x:c>
      <x:c r="B221" t="str">
        <x:v>8cad517e-f80d-53e3-a18c-ee709e898872</x:v>
      </x:c>
      <x:c r="C221" t="str">
        <x:v>CDA-PAB-009</x:v>
      </x:c>
      <x:c r="D221" t="str">
        <x:v>2d957d29-ed22-5cec-97bd-83295e45a493</x:v>
      </x:c>
      <x:c r="E221" t="str">
        <x:v>CDA-CODE-009</x:v>
      </x:c>
      <x:c r="F221" t="str">
        <x:v>Caran d’Ache</x:v>
      </x:c>
      <x:c r="G221" t="str">
        <x:v>PAB</x:v>
      </x:c>
      <x:c r="H221" t="str">
        <x:v>PABLO</x:v>
      </x:c>
      <x:c r="I221" t="str">
        <x:v>Permanent coloured pencil</x:v>
      </x:c>
      <x:c r="J221" t="str">
        <x:v>Artist</x:v>
      </x:c>
      <x:c r="K221" s="30" t="n">
        <x:v>120</x:v>
      </x:c>
      <x:c r="L221" s="30" t="str">
        <x:v>009</x:v>
      </x:c>
      <x:c r="M221" t="str">
        <x:v>Black</x:v>
      </x:c>
      <x:c r="N221" t="str">
        <x:v>黑色</x:v>
      </x:c>
      <x:c r="O221" t="str">
        <x:v>ブラック</x:v>
      </x:c>
      <x:c r="P221" t="str"/>
      <x:c r="Q221" t="str">
        <x:v>Noir</x:v>
      </x:c>
      <x:c r="R221" t="str">
        <x:v>Schwarz</x:v>
      </x:c>
      <x:c r="S221" t="str">
        <x:v>Nero</x:v>
      </x:c>
      <x:c r="T221" t="str">
        <x:v>Negro</x:v>
      </x:c>
      <x:c r="U221" t="str"/>
      <x:c r="V221" t="str"/>
      <x:c r="W221" t="str"/>
      <x:c r="X221" t="n">
        <x:f>IF(W221="",0,LEN(W221)-LEN(SUBSTITUTE(W221,"/",""))+1)</x:f>
        <x:v>0</x:v>
      </x:c>
      <x:c r="Y221" t="str">
        <x:v>H</x:v>
      </x:c>
      <x:c r="Z221" s="32" t="n">
        <x:v>1.67</x:v>
      </x:c>
      <x:c r="AA221" s="32" t="n">
        <x:v>3</x:v>
      </x:c>
      <x:c r="AB221" s="32" t="str">
        <x:v>Blue Wool Scale / UV 150h</x:v>
      </x:c>
      <x:c r="AC221" t="str">
        <x:v>#50514F</x:v>
      </x:c>
      <x:c r="AD221" s="34" t="n">
        <x:v>80</x:v>
      </x:c>
      <x:c r="AE221" s="34" t="n">
        <x:v>81</x:v>
      </x:c>
      <x:c r="AF221" s="34" t="n">
        <x:v>79</x:v>
      </x:c>
      <x:c r="AG221" s="32" t="n">
        <x:v>90</x:v>
      </x:c>
      <x:c r="AH221" s="32" t="n">
        <x:v>1.25</x:v>
      </x:c>
      <x:c r="AI221" s="32" t="n">
        <x:v>31.37</x:v>
      </x:c>
      <x:c r="AJ221" s="32" t="n">
        <x:v>34.3</x:v>
      </x:c>
      <x:c r="AK221" s="32" t="n">
        <x:v>-0.83</x:v>
      </x:c>
      <x:c r="AL221" s="32" t="n">
        <x:v>1.03</x:v>
      </x:c>
      <x:c r="AM221" s="32" t="str">
        <x:v>#FFFFFF</x:v>
      </x:c>
      <x:c r="AN221" s="32" t="str">
        <x:v>White</x:v>
      </x:c>
      <x:c r="AO221" s="32" t="n">
        <x:v>7.98</x:v>
      </x:c>
      <x:c r="AP221" s="32" t="n">
        <x:v>2.63</x:v>
      </x:c>
      <x:c r="AQ221" s="32" t="n">
        <x:v>7.98</x:v>
      </x:c>
      <x:c r="AR221" s="32" t="n">
        <x:v>0.081548</x:v>
      </x:c>
      <x:c r="AS221" t="str">
        <x:v>PASS</x:v>
      </x:c>
      <x:c r="AT221" t="str">
        <x:v>--cda-pab-009</x:v>
      </x:c>
      <x:c r="AU221" t="str">
        <x:v>var(--cda-pab-009)</x:v>
      </x:c>
      <x:c r="AV221" t="str">
        <x:v>Median RGB from official PDF swatch (screen reference only)</x:v>
      </x:c>
      <x:c r="AW221" t="str">
        <x:v>https://www.carandache.com/content_files/uploaded_doc/product/10469/Colour_Chart_Pablo.pdf</x:v>
      </x:c>
      <x:c r="AX221" t="n">
        <x:v>1</x:v>
      </x:c>
      <x:c r="AY221" t="str">
        <x:v>Official</x:v>
      </x:c>
      <x:c r="AZ221" t="str">
        <x:v>Official where available; curated Traditional Chinese/Japanese otherwise</x:v>
      </x:c>
      <x:c r="BA221" t="str">
        <x:v>Verified from official chart; digital HEX is approximate</x:v>
      </x:c>
      <x:c r="BB221" t="str">
        <x:v>Physical media appearance varies by paper, pressure, layering, water and scan/display profile.</x:v>
      </x:c>
    </x:row>
    <x:row r="222">
      <x:c r="A222" t="str">
        <x:f>G222&amp;"|"&amp;L222</x:f>
        <x:v>SUP|043</x:v>
      </x:c>
      <x:c r="B222" t="str">
        <x:v>b08db049-ef89-589c-bc49-3461b0638fe7</x:v>
      </x:c>
      <x:c r="C222" t="str">
        <x:v>CDA-SUP-043</x:v>
      </x:c>
      <x:c r="D222" t="str">
        <x:v>a6adfc73-dc6f-5dda-9ee1-81eb979c8dbf</x:v>
      </x:c>
      <x:c r="E222" t="str">
        <x:v>CDA-CODE-043</x:v>
      </x:c>
      <x:c r="F222" t="str">
        <x:v>Caran d’Ache</x:v>
      </x:c>
      <x:c r="G222" t="str">
        <x:v>SUP</x:v>
      </x:c>
      <x:c r="H222" t="str">
        <x:v>SUPRACOLOR Soft Aquarelle</x:v>
      </x:c>
      <x:c r="I222" t="str">
        <x:v>Water-soluble coloured pencil</x:v>
      </x:c>
      <x:c r="J222" t="str">
        <x:v>Artist</x:v>
      </x:c>
      <x:c r="K222" s="30" t="n">
        <x:v>1</x:v>
      </x:c>
      <x:c r="L222" s="30" t="str">
        <x:v>043</x:v>
      </x:c>
      <x:c r="M222" t="str">
        <x:v>Brownish orange</x:v>
      </x:c>
      <x:c r="N222" t="str">
        <x:v>褐橙色</x:v>
      </x:c>
      <x:c r="O222" t="str">
        <x:v>ブラウニッシュオレンジ</x:v>
      </x:c>
      <x:c r="P222" t="str"/>
      <x:c r="Q222" t="str">
        <x:v>Brun orangé</x:v>
      </x:c>
      <x:c r="R222" t="str">
        <x:v>Braunorange</x:v>
      </x:c>
      <x:c r="S222" t="str">
        <x:v>Bruno arancio</x:v>
      </x:c>
      <x:c r="T222" t="str">
        <x:v>Pardo anaranjado</x:v>
      </x:c>
      <x:c r="U222" t="str"/>
      <x:c r="V222" t="str"/>
      <x:c r="W222" t="str"/>
      <x:c r="X222" t="n">
        <x:f>IF(W222="",0,LEN(W222)-LEN(SUBSTITUTE(W222,"/",""))+1)</x:f>
        <x:v>0</x:v>
      </x:c>
      <x:c r="Y222" t="str">
        <x:v>H</x:v>
      </x:c>
      <x:c r="Z222" s="32" t="n">
        <x:v>1.67</x:v>
      </x:c>
      <x:c r="AA222" s="32" t="n">
        <x:v>3</x:v>
      </x:c>
      <x:c r="AB222" s="32" t="str">
        <x:v>Blue Wool Scale / UV 150h</x:v>
      </x:c>
      <x:c r="AC222" t="str">
        <x:v>#E9BBA1</x:v>
      </x:c>
      <x:c r="AD222" s="34" t="n">
        <x:v>233</x:v>
      </x:c>
      <x:c r="AE222" s="34" t="n">
        <x:v>187</x:v>
      </x:c>
      <x:c r="AF222" s="34" t="n">
        <x:v>161</x:v>
      </x:c>
      <x:c r="AG222" s="32" t="n">
        <x:v>21.67</x:v>
      </x:c>
      <x:c r="AH222" s="32" t="n">
        <x:v>62.07</x:v>
      </x:c>
      <x:c r="AI222" s="32" t="n">
        <x:v>77.25</x:v>
      </x:c>
      <x:c r="AJ222" s="32" t="n">
        <x:v>79.29</x:v>
      </x:c>
      <x:c r="AK222" s="32" t="n">
        <x:v>12.88</x:v>
      </x:c>
      <x:c r="AL222" s="32" t="n">
        <x:v>19.45</x:v>
      </x:c>
      <x:c r="AM222" s="32" t="str">
        <x:v>#000000</x:v>
      </x:c>
      <x:c r="AN222" s="32" t="str">
        <x:v>Black</x:v>
      </x:c>
      <x:c r="AO222" s="32" t="n">
        <x:v>12.09</x:v>
      </x:c>
      <x:c r="AP222" s="32" t="n">
        <x:v>12.09</x:v>
      </x:c>
      <x:c r="AQ222" s="32" t="n">
        <x:v>1.74</x:v>
      </x:c>
      <x:c r="AR222" s="32" t="n">
        <x:v>0.554375</x:v>
      </x:c>
      <x:c r="AS222" t="str">
        <x:v>PASS</x:v>
      </x:c>
      <x:c r="AT222" t="str">
        <x:v>--cda-sup-043</x:v>
      </x:c>
      <x:c r="AU222" t="str">
        <x:v>var(--cda-sup-043)</x:v>
      </x:c>
      <x:c r="AV222" t="str">
        <x:v>Median RGB from official PDF swatch (screen reference only)</x:v>
      </x:c>
      <x:c r="AW222" t="str">
        <x:v>https://www.carandache.com/content_files/uploaded_doc/product/11426/Colour_Chart_Supracolor-BD3.pdf</x:v>
      </x:c>
      <x:c r="AX222" t="n">
        <x:v>1</x:v>
      </x:c>
      <x:c r="AY222" t="str">
        <x:v>Official</x:v>
      </x:c>
      <x:c r="AZ222" t="str">
        <x:v>Official where available; curated Traditional Chinese/Japanese otherwise</x:v>
      </x:c>
      <x:c r="BA222" t="str">
        <x:v>Verified from official chart; digital HEX is approximate</x:v>
      </x:c>
      <x:c r="BB222" t="str">
        <x:v>Physical media appearance varies by paper, pressure, layering, water and scan/display profile.</x:v>
      </x:c>
    </x:row>
    <x:row r="223">
      <x:c r="A223" t="str">
        <x:f>G223&amp;"|"&amp;L223</x:f>
        <x:v>SUP|067</x:v>
      </x:c>
      <x:c r="B223" t="str">
        <x:v>7c214696-7005-5b56-b7de-69849535f93e</x:v>
      </x:c>
      <x:c r="C223" t="str">
        <x:v>CDA-SUP-067</x:v>
      </x:c>
      <x:c r="D223" t="str">
        <x:v>d24180a2-6c7d-56a5-a306-b47946913f2d</x:v>
      </x:c>
      <x:c r="E223" t="str">
        <x:v>CDA-CODE-067</x:v>
      </x:c>
      <x:c r="F223" t="str">
        <x:v>Caran d’Ache</x:v>
      </x:c>
      <x:c r="G223" t="str">
        <x:v>SUP</x:v>
      </x:c>
      <x:c r="H223" t="str">
        <x:v>SUPRACOLOR Soft Aquarelle</x:v>
      </x:c>
      <x:c r="I223" t="str">
        <x:v>Water-soluble coloured pencil</x:v>
      </x:c>
      <x:c r="J223" t="str">
        <x:v>Artist</x:v>
      </x:c>
      <x:c r="K223" s="30" t="n">
        <x:v>2</x:v>
      </x:c>
      <x:c r="L223" s="30" t="str">
        <x:v>067</x:v>
      </x:c>
      <x:c r="M223" t="str">
        <x:v>Mahogany</x:v>
      </x:c>
      <x:c r="N223" t="str">
        <x:v>桃花心木色</x:v>
      </x:c>
      <x:c r="O223" t="str">
        <x:v>マホガニー</x:v>
      </x:c>
      <x:c r="P223" t="str"/>
      <x:c r="Q223" t="str">
        <x:v>Acajou</x:v>
      </x:c>
      <x:c r="R223" t="str">
        <x:v>Mahagonibraun</x:v>
      </x:c>
      <x:c r="S223" t="str">
        <x:v>Mogano</x:v>
      </x:c>
      <x:c r="T223" t="str">
        <x:v>Caoba</x:v>
      </x:c>
      <x:c r="U223" t="str"/>
      <x:c r="V223" t="str"/>
      <x:c r="W223" t="str"/>
      <x:c r="X223" t="n">
        <x:f>IF(W223="",0,LEN(W223)-LEN(SUBSTITUTE(W223,"/",""))+1)</x:f>
        <x:v>0</x:v>
      </x:c>
      <x:c r="Y223" t="str">
        <x:v>H</x:v>
      </x:c>
      <x:c r="Z223" s="32" t="n">
        <x:v>1.67</x:v>
      </x:c>
      <x:c r="AA223" s="32" t="n">
        <x:v>3</x:v>
      </x:c>
      <x:c r="AB223" s="32" t="str">
        <x:v>Blue Wool Scale / UV 150h</x:v>
      </x:c>
      <x:c r="AC223" t="str">
        <x:v>#DE9F8D</x:v>
      </x:c>
      <x:c r="AD223" s="34" t="n">
        <x:v>222</x:v>
      </x:c>
      <x:c r="AE223" s="34" t="n">
        <x:v>159</x:v>
      </x:c>
      <x:c r="AF223" s="34" t="n">
        <x:v>141</x:v>
      </x:c>
      <x:c r="AG223" s="32" t="n">
        <x:v>13.33</x:v>
      </x:c>
      <x:c r="AH223" s="32" t="n">
        <x:v>55.1</x:v>
      </x:c>
      <x:c r="AI223" s="32" t="n">
        <x:v>71.18</x:v>
      </x:c>
      <x:c r="AJ223" s="32" t="n">
        <x:v>71.04</x:v>
      </x:c>
      <x:c r="AK223" s="32" t="n">
        <x:v>21.12</x:v>
      </x:c>
      <x:c r="AL223" s="32" t="n">
        <x:v>18.71</x:v>
      </x:c>
      <x:c r="AM223" s="32" t="str">
        <x:v>#000000</x:v>
      </x:c>
      <x:c r="AN223" s="32" t="str">
        <x:v>Black</x:v>
      </x:c>
      <x:c r="AO223" s="32" t="n">
        <x:v>9.45</x:v>
      </x:c>
      <x:c r="AP223" s="32" t="n">
        <x:v>9.45</x:v>
      </x:c>
      <x:c r="AQ223" s="32" t="n">
        <x:v>2.22</x:v>
      </x:c>
      <x:c r="AR223" s="32" t="n">
        <x:v>0.42249</x:v>
      </x:c>
      <x:c r="AS223" t="str">
        <x:v>PASS</x:v>
      </x:c>
      <x:c r="AT223" t="str">
        <x:v>--cda-sup-067</x:v>
      </x:c>
      <x:c r="AU223" t="str">
        <x:v>var(--cda-sup-067)</x:v>
      </x:c>
      <x:c r="AV223" t="str">
        <x:v>Median RGB from official PDF swatch (screen reference only)</x:v>
      </x:c>
      <x:c r="AW223" t="str">
        <x:v>https://www.carandache.com/content_files/uploaded_doc/product/11426/Colour_Chart_Supracolor-BD3.pdf</x:v>
      </x:c>
      <x:c r="AX223" t="n">
        <x:v>1</x:v>
      </x:c>
      <x:c r="AY223" t="str">
        <x:v>Official</x:v>
      </x:c>
      <x:c r="AZ223" t="str">
        <x:v>Official where available; curated Traditional Chinese/Japanese otherwise</x:v>
      </x:c>
      <x:c r="BA223" t="str">
        <x:v>Verified from official chart; digital HEX is approximate</x:v>
      </x:c>
      <x:c r="BB223" t="str">
        <x:v>Physical media appearance varies by paper, pressure, layering, water and scan/display profile.</x:v>
      </x:c>
    </x:row>
    <x:row r="224">
      <x:c r="A224" t="str">
        <x:f>G224&amp;"|"&amp;L224</x:f>
        <x:v>SUP|085</x:v>
      </x:c>
      <x:c r="B224" t="str">
        <x:v>87266dd4-a93e-585b-9c04-904a5a8f21ff</x:v>
      </x:c>
      <x:c r="C224" t="str">
        <x:v>CDA-SUP-085</x:v>
      </x:c>
      <x:c r="D224" t="str">
        <x:v>da971211-9e99-52a4-843a-00873895f793</x:v>
      </x:c>
      <x:c r="E224" t="str">
        <x:v>CDA-CODE-085</x:v>
      </x:c>
      <x:c r="F224" t="str">
        <x:v>Caran d’Ache</x:v>
      </x:c>
      <x:c r="G224" t="str">
        <x:v>SUP</x:v>
      </x:c>
      <x:c r="H224" t="str">
        <x:v>SUPRACOLOR Soft Aquarelle</x:v>
      </x:c>
      <x:c r="I224" t="str">
        <x:v>Water-soluble coloured pencil</x:v>
      </x:c>
      <x:c r="J224" t="str">
        <x:v>Artist</x:v>
      </x:c>
      <x:c r="K224" s="30" t="n">
        <x:v>3</x:v>
      </x:c>
      <x:c r="L224" s="30" t="str">
        <x:v>085</x:v>
      </x:c>
      <x:c r="M224" t="str">
        <x:v>Bordeaux red</x:v>
      </x:c>
      <x:c r="N224" t="str">
        <x:v>波爾多紅</x:v>
      </x:c>
      <x:c r="O224" t="str">
        <x:v>ボルドーレッド</x:v>
      </x:c>
      <x:c r="P224" t="str"/>
      <x:c r="Q224" t="str">
        <x:v>Bordeaux</x:v>
      </x:c>
      <x:c r="R224" t="str">
        <x:v>Bordeaux</x:v>
      </x:c>
      <x:c r="S224" t="str">
        <x:v>Bordeaux</x:v>
      </x:c>
      <x:c r="T224" t="str">
        <x:v>Burdeos</x:v>
      </x:c>
      <x:c r="U224" t="str"/>
      <x:c r="V224" t="str"/>
      <x:c r="W224" t="str"/>
      <x:c r="X224" t="n">
        <x:f>IF(W224="",0,LEN(W224)-LEN(SUBSTITUTE(W224,"/",""))+1)</x:f>
        <x:v>0</x:v>
      </x:c>
      <x:c r="Y224" t="str">
        <x:v>H</x:v>
      </x:c>
      <x:c r="Z224" s="32" t="n">
        <x:v>1.67</x:v>
      </x:c>
      <x:c r="AA224" s="32" t="n">
        <x:v>3</x:v>
      </x:c>
      <x:c r="AB224" s="32" t="str">
        <x:v>Blue Wool Scale / UV 150h</x:v>
      </x:c>
      <x:c r="AC224" t="str">
        <x:v>#F494AF</x:v>
      </x:c>
      <x:c r="AD224" s="34" t="n">
        <x:v>244</x:v>
      </x:c>
      <x:c r="AE224" s="34" t="n">
        <x:v>148</x:v>
      </x:c>
      <x:c r="AF224" s="34" t="n">
        <x:v>175</x:v>
      </x:c>
      <x:c r="AG224" s="32" t="n">
        <x:v>343.12</x:v>
      </x:c>
      <x:c r="AH224" s="32" t="n">
        <x:v>81.36</x:v>
      </x:c>
      <x:c r="AI224" s="32" t="n">
        <x:v>76.86</x:v>
      </x:c>
      <x:c r="AJ224" s="32" t="n">
        <x:v>71.9</x:v>
      </x:c>
      <x:c r="AK224" s="32" t="n">
        <x:v>39.38</x:v>
      </x:c>
      <x:c r="AL224" s="32" t="n">
        <x:v>1.46</x:v>
      </x:c>
      <x:c r="AM224" s="32" t="str">
        <x:v>#000000</x:v>
      </x:c>
      <x:c r="AN224" s="32" t="str">
        <x:v>Black</x:v>
      </x:c>
      <x:c r="AO224" s="32" t="n">
        <x:v>9.7</x:v>
      </x:c>
      <x:c r="AP224" s="32" t="n">
        <x:v>9.7</x:v>
      </x:c>
      <x:c r="AQ224" s="32" t="n">
        <x:v>2.16</x:v>
      </x:c>
      <x:c r="AR224" s="32" t="n">
        <x:v>0.435081</x:v>
      </x:c>
      <x:c r="AS224" t="str">
        <x:v>PASS</x:v>
      </x:c>
      <x:c r="AT224" t="str">
        <x:v>--cda-sup-085</x:v>
      </x:c>
      <x:c r="AU224" t="str">
        <x:v>var(--cda-sup-085)</x:v>
      </x:c>
      <x:c r="AV224" t="str">
        <x:v>Median RGB from official PDF swatch (screen reference only)</x:v>
      </x:c>
      <x:c r="AW224" t="str">
        <x:v>https://www.carandache.com/content_files/uploaded_doc/product/11426/Colour_Chart_Supracolor-BD3.pdf</x:v>
      </x:c>
      <x:c r="AX224" t="n">
        <x:v>1</x:v>
      </x:c>
      <x:c r="AY224" t="str">
        <x:v>Official</x:v>
      </x:c>
      <x:c r="AZ224" t="str">
        <x:v>Official where available; curated Traditional Chinese/Japanese otherwise</x:v>
      </x:c>
      <x:c r="BA224" t="str">
        <x:v>Verified from official chart; digital HEX is approximate</x:v>
      </x:c>
      <x:c r="BB224" t="str">
        <x:v>Physical media appearance varies by paper, pressure, layering, water and scan/display profile.</x:v>
      </x:c>
    </x:row>
    <x:row r="225">
      <x:c r="A225" t="str">
        <x:f>G225&amp;"|"&amp;L225</x:f>
        <x:v>SUP|075</x:v>
      </x:c>
      <x:c r="B225" t="str">
        <x:v>1d77e4ac-beca-5850-8d25-aa51ed378ddb</x:v>
      </x:c>
      <x:c r="C225" t="str">
        <x:v>CDA-SUP-075</x:v>
      </x:c>
      <x:c r="D225" t="str">
        <x:v>363313a5-2c52-552f-8f14-166148a40e39</x:v>
      </x:c>
      <x:c r="E225" t="str">
        <x:v>CDA-CODE-075</x:v>
      </x:c>
      <x:c r="F225" t="str">
        <x:v>Caran d’Ache</x:v>
      </x:c>
      <x:c r="G225" t="str">
        <x:v>SUP</x:v>
      </x:c>
      <x:c r="H225" t="str">
        <x:v>SUPRACOLOR Soft Aquarelle</x:v>
      </x:c>
      <x:c r="I225" t="str">
        <x:v>Water-soluble coloured pencil</x:v>
      </x:c>
      <x:c r="J225" t="str">
        <x:v>Artist</x:v>
      </x:c>
      <x:c r="K225" s="30" t="n">
        <x:v>4</x:v>
      </x:c>
      <x:c r="L225" s="30" t="str">
        <x:v>075</x:v>
      </x:c>
      <x:c r="M225" t="str">
        <x:v>Indian red</x:v>
      </x:c>
      <x:c r="N225" t="str">
        <x:v>印度紅</x:v>
      </x:c>
      <x:c r="O225" t="str">
        <x:v>インディアンレッド</x:v>
      </x:c>
      <x:c r="P225" t="str"/>
      <x:c r="Q225" t="str">
        <x:v>Rouge indien</x:v>
      </x:c>
      <x:c r="R225" t="str">
        <x:v>Indischrot</x:v>
      </x:c>
      <x:c r="S225" t="str">
        <x:v>Rosso indiano</x:v>
      </x:c>
      <x:c r="T225" t="str">
        <x:v>Rojo indio</x:v>
      </x:c>
      <x:c r="U225" t="str"/>
      <x:c r="V225" t="str"/>
      <x:c r="W225" t="str"/>
      <x:c r="X225" t="n">
        <x:f>IF(W225="",0,LEN(W225)-LEN(SUBSTITUTE(W225,"/",""))+1)</x:f>
        <x:v>0</x:v>
      </x:c>
      <x:c r="Y225" t="str">
        <x:v>H</x:v>
      </x:c>
      <x:c r="Z225" s="32" t="n">
        <x:v>1.67</x:v>
      </x:c>
      <x:c r="AA225" s="32" t="n">
        <x:v>3</x:v>
      </x:c>
      <x:c r="AB225" s="32" t="str">
        <x:v>Blue Wool Scale / UV 150h</x:v>
      </x:c>
      <x:c r="AC225" t="str">
        <x:v>#F6B7CB</x:v>
      </x:c>
      <x:c r="AD225" s="34" t="n">
        <x:v>246</x:v>
      </x:c>
      <x:c r="AE225" s="34" t="n">
        <x:v>183</x:v>
      </x:c>
      <x:c r="AF225" s="34" t="n">
        <x:v>203</x:v>
      </x:c>
      <x:c r="AG225" s="32" t="n">
        <x:v>340.95</x:v>
      </x:c>
      <x:c r="AH225" s="32" t="n">
        <x:v>77.78</x:v>
      </x:c>
      <x:c r="AI225" s="32" t="n">
        <x:v>84.12</x:v>
      </x:c>
      <x:c r="AJ225" s="32" t="n">
        <x:v>80.61</x:v>
      </x:c>
      <x:c r="AK225" s="32" t="n">
        <x:v>25.7</x:v>
      </x:c>
      <x:c r="AL225" s="32" t="n">
        <x:v>-1.11</x:v>
      </x:c>
      <x:c r="AM225" s="32" t="str">
        <x:v>#000000</x:v>
      </x:c>
      <x:c r="AN225" s="32" t="str">
        <x:v>Black</x:v>
      </x:c>
      <x:c r="AO225" s="32" t="n">
        <x:v>12.55</x:v>
      </x:c>
      <x:c r="AP225" s="32" t="n">
        <x:v>12.55</x:v>
      </x:c>
      <x:c r="AQ225" s="32" t="n">
        <x:v>1.67</x:v>
      </x:c>
      <x:c r="AR225" s="32" t="n">
        <x:v>0.577716</x:v>
      </x:c>
      <x:c r="AS225" t="str">
        <x:v>PASS</x:v>
      </x:c>
      <x:c r="AT225" t="str">
        <x:v>--cda-sup-075</x:v>
      </x:c>
      <x:c r="AU225" t="str">
        <x:v>var(--cda-sup-075)</x:v>
      </x:c>
      <x:c r="AV225" t="str">
        <x:v>Median RGB from official PDF swatch (screen reference only)</x:v>
      </x:c>
      <x:c r="AW225" t="str">
        <x:v>https://www.carandache.com/content_files/uploaded_doc/product/11426/Colour_Chart_Supracolor-BD3.pdf</x:v>
      </x:c>
      <x:c r="AX225" t="n">
        <x:v>1</x:v>
      </x:c>
      <x:c r="AY225" t="str">
        <x:v>Official</x:v>
      </x:c>
      <x:c r="AZ225" t="str">
        <x:v>Official where available; curated Traditional Chinese/Japanese otherwise</x:v>
      </x:c>
      <x:c r="BA225" t="str">
        <x:v>Verified from official chart; digital HEX is approximate</x:v>
      </x:c>
      <x:c r="BB225" t="str">
        <x:v>Physical media appearance varies by paper, pressure, layering, water and scan/display profile.</x:v>
      </x:c>
    </x:row>
    <x:row r="226">
      <x:c r="A226" t="str">
        <x:f>G226&amp;"|"&amp;L226</x:f>
        <x:v>SUP|089</x:v>
      </x:c>
      <x:c r="B226" t="str">
        <x:v>3885958c-63c2-5e46-aa2f-e2027dcafa86</x:v>
      </x:c>
      <x:c r="C226" t="str">
        <x:v>CDA-SUP-089</x:v>
      </x:c>
      <x:c r="D226" t="str">
        <x:v>3159f625-d33c-5af9-a012-e3105a2781ee</x:v>
      </x:c>
      <x:c r="E226" t="str">
        <x:v>CDA-CODE-089</x:v>
      </x:c>
      <x:c r="F226" t="str">
        <x:v>Caran d’Ache</x:v>
      </x:c>
      <x:c r="G226" t="str">
        <x:v>SUP</x:v>
      </x:c>
      <x:c r="H226" t="str">
        <x:v>SUPRACOLOR Soft Aquarelle</x:v>
      </x:c>
      <x:c r="I226" t="str">
        <x:v>Water-soluble coloured pencil</x:v>
      </x:c>
      <x:c r="J226" t="str">
        <x:v>Artist</x:v>
      </x:c>
      <x:c r="K226" s="30" t="n">
        <x:v>5</x:v>
      </x:c>
      <x:c r="L226" s="30" t="str">
        <x:v>089</x:v>
      </x:c>
      <x:c r="M226" t="str">
        <x:v>Dark carmine</x:v>
      </x:c>
      <x:c r="N226" t="str">
        <x:v>深胭脂紅</x:v>
      </x:c>
      <x:c r="O226" t="str">
        <x:v>ダークカーマイン</x:v>
      </x:c>
      <x:c r="P226" t="str"/>
      <x:c r="Q226" t="str">
        <x:v>Carmin foncé</x:v>
      </x:c>
      <x:c r="R226" t="str">
        <x:v>Dunkelkarmin</x:v>
      </x:c>
      <x:c r="S226" t="str">
        <x:v>Carminio scuro</x:v>
      </x:c>
      <x:c r="T226" t="str">
        <x:v>Carmín oscuro</x:v>
      </x:c>
      <x:c r="U226" t="str"/>
      <x:c r="V226" t="str"/>
      <x:c r="W226" t="str"/>
      <x:c r="X226" t="n">
        <x:f>IF(W226="",0,LEN(W226)-LEN(SUBSTITUTE(W226,"/",""))+1)</x:f>
        <x:v>0</x:v>
      </x:c>
      <x:c r="Y226" t="str">
        <x:v>H</x:v>
      </x:c>
      <x:c r="Z226" s="32" t="n">
        <x:v>1.67</x:v>
      </x:c>
      <x:c r="AA226" s="32" t="n">
        <x:v>3</x:v>
      </x:c>
      <x:c r="AB226" s="32" t="str">
        <x:v>Blue Wool Scale / UV 150h</x:v>
      </x:c>
      <x:c r="AC226" t="str">
        <x:v>#F27899</x:v>
      </x:c>
      <x:c r="AD226" s="34" t="n">
        <x:v>242</x:v>
      </x:c>
      <x:c r="AE226" s="34" t="n">
        <x:v>120</x:v>
      </x:c>
      <x:c r="AF226" s="34" t="n">
        <x:v>153</x:v>
      </x:c>
      <x:c r="AG226" s="32" t="n">
        <x:v>343.77</x:v>
      </x:c>
      <x:c r="AH226" s="32" t="n">
        <x:v>82.43</x:v>
      </x:c>
      <x:c r="AI226" s="32" t="n">
        <x:v>70.98</x:v>
      </x:c>
      <x:c r="AJ226" s="32" t="n">
        <x:v>65.45</x:v>
      </x:c>
      <x:c r="AK226" s="32" t="n">
        <x:v>50.09</x:v>
      </x:c>
      <x:c r="AL226" s="32" t="n">
        <x:v>4.44</x:v>
      </x:c>
      <x:c r="AM226" s="32" t="str">
        <x:v>#000000</x:v>
      </x:c>
      <x:c r="AN226" s="32" t="str">
        <x:v>Black</x:v>
      </x:c>
      <x:c r="AO226" s="32" t="n">
        <x:v>7.92</x:v>
      </x:c>
      <x:c r="AP226" s="32" t="n">
        <x:v>7.92</x:v>
      </x:c>
      <x:c r="AQ226" s="32" t="n">
        <x:v>2.65</x:v>
      </x:c>
      <x:c r="AR226" s="32" t="n">
        <x:v>0.346101</x:v>
      </x:c>
      <x:c r="AS226" t="str">
        <x:v>PASS</x:v>
      </x:c>
      <x:c r="AT226" t="str">
        <x:v>--cda-sup-089</x:v>
      </x:c>
      <x:c r="AU226" t="str">
        <x:v>var(--cda-sup-089)</x:v>
      </x:c>
      <x:c r="AV226" t="str">
        <x:v>Median RGB from official PDF swatch (screen reference only)</x:v>
      </x:c>
      <x:c r="AW226" t="str">
        <x:v>https://www.carandache.com/content_files/uploaded_doc/product/11426/Colour_Chart_Supracolor-BD3.pdf</x:v>
      </x:c>
      <x:c r="AX226" t="n">
        <x:v>1</x:v>
      </x:c>
      <x:c r="AY226" t="str">
        <x:v>Official</x:v>
      </x:c>
      <x:c r="AZ226" t="str">
        <x:v>Official where available; curated Traditional Chinese/Japanese otherwise</x:v>
      </x:c>
      <x:c r="BA226" t="str">
        <x:v>Verified from official chart; digital HEX is approximate</x:v>
      </x:c>
      <x:c r="BB226" t="str">
        <x:v>Physical media appearance varies by paper, pressure, layering, water and scan/display profile.</x:v>
      </x:c>
    </x:row>
    <x:row r="227">
      <x:c r="A227" t="str">
        <x:f>G227&amp;"|"&amp;L227</x:f>
        <x:v>SUP|080</x:v>
      </x:c>
      <x:c r="B227" t="str">
        <x:v>2561f694-a946-5769-86b2-a3cb35929a14</x:v>
      </x:c>
      <x:c r="C227" t="str">
        <x:v>CDA-SUP-080</x:v>
      </x:c>
      <x:c r="D227" t="str">
        <x:v>8fc33401-4732-5074-a23a-104fe5efd12f</x:v>
      </x:c>
      <x:c r="E227" t="str">
        <x:v>CDA-CODE-080</x:v>
      </x:c>
      <x:c r="F227" t="str">
        <x:v>Caran d’Ache</x:v>
      </x:c>
      <x:c r="G227" t="str">
        <x:v>SUP</x:v>
      </x:c>
      <x:c r="H227" t="str">
        <x:v>SUPRACOLOR Soft Aquarelle</x:v>
      </x:c>
      <x:c r="I227" t="str">
        <x:v>Water-soluble coloured pencil</x:v>
      </x:c>
      <x:c r="J227" t="str">
        <x:v>Artist</x:v>
      </x:c>
      <x:c r="K227" s="30" t="n">
        <x:v>6</x:v>
      </x:c>
      <x:c r="L227" s="30" t="str">
        <x:v>080</x:v>
      </x:c>
      <x:c r="M227" t="str">
        <x:v>Carmine Lake</x:v>
      </x:c>
      <x:c r="N227" t="str">
        <x:v>胭脂紅色淀</x:v>
      </x:c>
      <x:c r="O227" t="str">
        <x:v>カーマインレーキ</x:v>
      </x:c>
      <x:c r="P227" t="str"/>
      <x:c r="Q227" t="str">
        <x:v>Carmin</x:v>
      </x:c>
      <x:c r="R227" t="str">
        <x:v>Karmin</x:v>
      </x:c>
      <x:c r="S227" t="str">
        <x:v>Carminio</x:v>
      </x:c>
      <x:c r="T227" t="str">
        <x:v>Carmín</x:v>
      </x:c>
      <x:c r="U227" t="str"/>
      <x:c r="V227" t="str"/>
      <x:c r="W227" t="str"/>
      <x:c r="X227" t="n">
        <x:f>IF(W227="",0,LEN(W227)-LEN(SUBSTITUTE(W227,"/",""))+1)</x:f>
        <x:v>0</x:v>
      </x:c>
      <x:c r="Y227" t="str">
        <x:v>H</x:v>
      </x:c>
      <x:c r="Z227" s="32" t="n">
        <x:v>1.67</x:v>
      </x:c>
      <x:c r="AA227" s="32" t="n">
        <x:v>3</x:v>
      </x:c>
      <x:c r="AB227" s="32" t="str">
        <x:v>Blue Wool Scale / UV 150h</x:v>
      </x:c>
      <x:c r="AC227" t="str">
        <x:v>#F078AF</x:v>
      </x:c>
      <x:c r="AD227" s="34" t="n">
        <x:v>240</x:v>
      </x:c>
      <x:c r="AE227" s="34" t="n">
        <x:v>120</x:v>
      </x:c>
      <x:c r="AF227" s="34" t="n">
        <x:v>175</x:v>
      </x:c>
      <x:c r="AG227" s="32" t="n">
        <x:v>332.5</x:v>
      </x:c>
      <x:c r="AH227" s="32" t="n">
        <x:v>80</x:v>
      </x:c>
      <x:c r="AI227" s="32" t="n">
        <x:v>70.59</x:v>
      </x:c>
      <x:c r="AJ227" s="32" t="n">
        <x:v>65.79</x:v>
      </x:c>
      <x:c r="AK227" s="32" t="n">
        <x:v>52.12</x:v>
      </x:c>
      <x:c r="AL227" s="32" t="n">
        <x:v>-7.58</x:v>
      </x:c>
      <x:c r="AM227" s="32" t="str">
        <x:v>#000000</x:v>
      </x:c>
      <x:c r="AN227" s="32" t="str">
        <x:v>Black</x:v>
      </x:c>
      <x:c r="AO227" s="32" t="n">
        <x:v>8.01</x:v>
      </x:c>
      <x:c r="AP227" s="32" t="n">
        <x:v>8.01</x:v>
      </x:c>
      <x:c r="AQ227" s="32" t="n">
        <x:v>2.62</x:v>
      </x:c>
      <x:c r="AR227" s="32" t="n">
        <x:v>0.350534</x:v>
      </x:c>
      <x:c r="AS227" t="str">
        <x:v>PASS</x:v>
      </x:c>
      <x:c r="AT227" t="str">
        <x:v>--cda-sup-080</x:v>
      </x:c>
      <x:c r="AU227" t="str">
        <x:v>var(--cda-sup-080)</x:v>
      </x:c>
      <x:c r="AV227" t="str">
        <x:v>Median RGB from official PDF swatch (screen reference only)</x:v>
      </x:c>
      <x:c r="AW227" t="str">
        <x:v>https://www.carandache.com/content_files/uploaded_doc/product/11426/Colour_Chart_Supracolor-BD3.pdf</x:v>
      </x:c>
      <x:c r="AX227" t="n">
        <x:v>1</x:v>
      </x:c>
      <x:c r="AY227" t="str">
        <x:v>Official</x:v>
      </x:c>
      <x:c r="AZ227" t="str">
        <x:v>Official where available; curated Traditional Chinese/Japanese otherwise</x:v>
      </x:c>
      <x:c r="BA227" t="str">
        <x:v>Verified from official chart; digital HEX is approximate</x:v>
      </x:c>
      <x:c r="BB227" t="str">
        <x:v>Physical media appearance varies by paper, pressure, layering, water and scan/display profile.</x:v>
      </x:c>
    </x:row>
    <x:row r="228">
      <x:c r="A228" t="str">
        <x:f>G228&amp;"|"&amp;L228</x:f>
        <x:v>SUP|280</x:v>
      </x:c>
      <x:c r="B228" t="str">
        <x:v>b3b1a97b-ac8d-54fb-837a-56b69cfa17c1</x:v>
      </x:c>
      <x:c r="C228" t="str">
        <x:v>CDA-SUP-280</x:v>
      </x:c>
      <x:c r="D228" t="str">
        <x:v>6822217d-d89f-53cd-a6b0-807aa44726ba</x:v>
      </x:c>
      <x:c r="E228" t="str">
        <x:v>CDA-CODE-280</x:v>
      </x:c>
      <x:c r="F228" t="str">
        <x:v>Caran d’Ache</x:v>
      </x:c>
      <x:c r="G228" t="str">
        <x:v>SUP</x:v>
      </x:c>
      <x:c r="H228" t="str">
        <x:v>SUPRACOLOR Soft Aquarelle</x:v>
      </x:c>
      <x:c r="I228" t="str">
        <x:v>Water-soluble coloured pencil</x:v>
      </x:c>
      <x:c r="J228" t="str">
        <x:v>Artist</x:v>
      </x:c>
      <x:c r="K228" s="30" t="n">
        <x:v>7</x:v>
      </x:c>
      <x:c r="L228" s="30" t="str">
        <x:v>280</x:v>
      </x:c>
      <x:c r="M228" t="str">
        <x:v>Ruby red</x:v>
      </x:c>
      <x:c r="N228" t="str">
        <x:v>紅寶石紅</x:v>
      </x:c>
      <x:c r="O228" t="str">
        <x:v>ルビーレッド</x:v>
      </x:c>
      <x:c r="P228" t="str"/>
      <x:c r="Q228" t="str">
        <x:v>Rouge rubis</x:v>
      </x:c>
      <x:c r="R228" t="str">
        <x:v>Rubinrot</x:v>
      </x:c>
      <x:c r="S228" t="str">
        <x:v>Rosso rubino</x:v>
      </x:c>
      <x:c r="T228" t="str">
        <x:v>Rojo rubí</x:v>
      </x:c>
      <x:c r="U228" t="str"/>
      <x:c r="V228" t="str"/>
      <x:c r="W228" t="str"/>
      <x:c r="X228" t="n">
        <x:f>IF(W228="",0,LEN(W228)-LEN(SUBSTITUTE(W228,"/",""))+1)</x:f>
        <x:v>0</x:v>
      </x:c>
      <x:c r="Y228" t="str">
        <x:v>H</x:v>
      </x:c>
      <x:c r="Z228" s="32" t="n">
        <x:v>1.67</x:v>
      </x:c>
      <x:c r="AA228" s="32" t="n">
        <x:v>3</x:v>
      </x:c>
      <x:c r="AB228" s="32" t="str">
        <x:v>Blue Wool Scale / UV 150h</x:v>
      </x:c>
      <x:c r="AC228" t="str">
        <x:v>#F38BB4</x:v>
      </x:c>
      <x:c r="AD228" s="34" t="n">
        <x:v>243</x:v>
      </x:c>
      <x:c r="AE228" s="34" t="n">
        <x:v>139</x:v>
      </x:c>
      <x:c r="AF228" s="34" t="n">
        <x:v>180</x:v>
      </x:c>
      <x:c r="AG228" s="32" t="n">
        <x:v>336.35</x:v>
      </x:c>
      <x:c r="AH228" s="32" t="n">
        <x:v>81.25</x:v>
      </x:c>
      <x:c r="AI228" s="32" t="n">
        <x:v>74.9</x:v>
      </x:c>
      <x:c r="AJ228" s="32" t="n">
        <x:v>70.05</x:v>
      </x:c>
      <x:c r="AK228" s="32" t="n">
        <x:v>44.32</x:v>
      </x:c>
      <x:c r="AL228" s="32" t="n">
        <x:v>-4.05</x:v>
      </x:c>
      <x:c r="AM228" s="32" t="str">
        <x:v>#000000</x:v>
      </x:c>
      <x:c r="AN228" s="32" t="str">
        <x:v>Black</x:v>
      </x:c>
      <x:c r="AO228" s="32" t="n">
        <x:v>9.16</x:v>
      </x:c>
      <x:c r="AP228" s="32" t="n">
        <x:v>9.16</x:v>
      </x:c>
      <x:c r="AQ228" s="32" t="n">
        <x:v>2.29</x:v>
      </x:c>
      <x:c r="AR228" s="32" t="n">
        <x:v>0.408152</x:v>
      </x:c>
      <x:c r="AS228" t="str">
        <x:v>PASS</x:v>
      </x:c>
      <x:c r="AT228" t="str">
        <x:v>--cda-sup-280</x:v>
      </x:c>
      <x:c r="AU228" t="str">
        <x:v>var(--cda-sup-280)</x:v>
      </x:c>
      <x:c r="AV228" t="str">
        <x:v>Median RGB from official PDF swatch (screen reference only)</x:v>
      </x:c>
      <x:c r="AW228" t="str">
        <x:v>https://www.carandache.com/content_files/uploaded_doc/product/11426/Colour_Chart_Supracolor-BD3.pdf</x:v>
      </x:c>
      <x:c r="AX228" t="n">
        <x:v>1</x:v>
      </x:c>
      <x:c r="AY228" t="str">
        <x:v>Official</x:v>
      </x:c>
      <x:c r="AZ228" t="str">
        <x:v>Official where available; curated Traditional Chinese/Japanese otherwise</x:v>
      </x:c>
      <x:c r="BA228" t="str">
        <x:v>Verified from official chart; digital HEX is approximate</x:v>
      </x:c>
      <x:c r="BB228" t="str">
        <x:v>Physical media appearance varies by paper, pressure, layering, water and scan/display profile.</x:v>
      </x:c>
    </x:row>
    <x:row r="229">
      <x:c r="A229" t="str">
        <x:f>G229&amp;"|"&amp;L229</x:f>
        <x:v>SUP|270</x:v>
      </x:c>
      <x:c r="B229" t="str">
        <x:v>d4b32d7c-130e-5714-9d9d-a673fc9b8790</x:v>
      </x:c>
      <x:c r="C229" t="str">
        <x:v>CDA-SUP-270</x:v>
      </x:c>
      <x:c r="D229" t="str">
        <x:v>7fed9c50-7917-5c2c-949a-4fc34a33385f</x:v>
      </x:c>
      <x:c r="E229" t="str">
        <x:v>CDA-CODE-270</x:v>
      </x:c>
      <x:c r="F229" t="str">
        <x:v>Caran d’Ache</x:v>
      </x:c>
      <x:c r="G229" t="str">
        <x:v>SUP</x:v>
      </x:c>
      <x:c r="H229" t="str">
        <x:v>SUPRACOLOR Soft Aquarelle</x:v>
      </x:c>
      <x:c r="I229" t="str">
        <x:v>Water-soluble coloured pencil</x:v>
      </x:c>
      <x:c r="J229" t="str">
        <x:v>Artist</x:v>
      </x:c>
      <x:c r="K229" s="30" t="n">
        <x:v>8</x:v>
      </x:c>
      <x:c r="L229" s="30" t="str">
        <x:v>270</x:v>
      </x:c>
      <x:c r="M229" t="str">
        <x:v>Raspberry red</x:v>
      </x:c>
      <x:c r="N229" t="str">
        <x:v>覆盆子紅</x:v>
      </x:c>
      <x:c r="O229" t="str">
        <x:v>ラズベリーレッド</x:v>
      </x:c>
      <x:c r="P229" t="str"/>
      <x:c r="Q229" t="str">
        <x:v>Rouge framboise</x:v>
      </x:c>
      <x:c r="R229" t="str">
        <x:v>Himbeerrot</x:v>
      </x:c>
      <x:c r="S229" t="str">
        <x:v>Rosso lampone</x:v>
      </x:c>
      <x:c r="T229" t="str">
        <x:v>Rojo frambuesa</x:v>
      </x:c>
      <x:c r="U229" t="str"/>
      <x:c r="V229" t="str"/>
      <x:c r="W229" t="str"/>
      <x:c r="X229" t="n">
        <x:f>IF(W229="",0,LEN(W229)-LEN(SUBSTITUTE(W229,"/",""))+1)</x:f>
        <x:v>0</x:v>
      </x:c>
      <x:c r="Y229" t="str">
        <x:v>H</x:v>
      </x:c>
      <x:c r="Z229" s="32" t="n">
        <x:v>1.67</x:v>
      </x:c>
      <x:c r="AA229" s="32" t="n">
        <x:v>3</x:v>
      </x:c>
      <x:c r="AB229" s="32" t="str">
        <x:v>Blue Wool Scale / UV 150h</x:v>
      </x:c>
      <x:c r="AC229" t="str">
        <x:v>#F592AC</x:v>
      </x:c>
      <x:c r="AD229" s="34" t="n">
        <x:v>245</x:v>
      </x:c>
      <x:c r="AE229" s="34" t="n">
        <x:v>146</x:v>
      </x:c>
      <x:c r="AF229" s="34" t="n">
        <x:v>172</x:v>
      </x:c>
      <x:c r="AG229" s="32" t="n">
        <x:v>344.24</x:v>
      </x:c>
      <x:c r="AH229" s="32" t="n">
        <x:v>83.19</x:v>
      </x:c>
      <x:c r="AI229" s="32" t="n">
        <x:v>76.67</x:v>
      </x:c>
      <x:c r="AJ229" s="32" t="n">
        <x:v>71.52</x:v>
      </x:c>
      <x:c r="AK229" s="32" t="n">
        <x:v>40.37</x:v>
      </x:c>
      <x:c r="AL229" s="32" t="n">
        <x:v>2.6</x:v>
      </x:c>
      <x:c r="AM229" s="32" t="str">
        <x:v>#000000</x:v>
      </x:c>
      <x:c r="AN229" s="32" t="str">
        <x:v>Black</x:v>
      </x:c>
      <x:c r="AO229" s="32" t="n">
        <x:v>9.59</x:v>
      </x:c>
      <x:c r="AP229" s="32" t="n">
        <x:v>9.59</x:v>
      </x:c>
      <x:c r="AQ229" s="32" t="n">
        <x:v>2.19</x:v>
      </x:c>
      <x:c r="AR229" s="32" t="n">
        <x:v>0.429488</x:v>
      </x:c>
      <x:c r="AS229" t="str">
        <x:v>PASS</x:v>
      </x:c>
      <x:c r="AT229" t="str">
        <x:v>--cda-sup-270</x:v>
      </x:c>
      <x:c r="AU229" t="str">
        <x:v>var(--cda-sup-270)</x:v>
      </x:c>
      <x:c r="AV229" t="str">
        <x:v>Median RGB from official PDF swatch (screen reference only)</x:v>
      </x:c>
      <x:c r="AW229" t="str">
        <x:v>https://www.carandache.com/content_files/uploaded_doc/product/11426/Colour_Chart_Supracolor-BD3.pdf</x:v>
      </x:c>
      <x:c r="AX229" t="n">
        <x:v>1</x:v>
      </x:c>
      <x:c r="AY229" t="str">
        <x:v>Official</x:v>
      </x:c>
      <x:c r="AZ229" t="str">
        <x:v>Official where available; curated Traditional Chinese/Japanese otherwise</x:v>
      </x:c>
      <x:c r="BA229" t="str">
        <x:v>Verified from official chart; digital HEX is approximate</x:v>
      </x:c>
      <x:c r="BB229" t="str">
        <x:v>Physical media appearance varies by paper, pressure, layering, water and scan/display profile.</x:v>
      </x:c>
    </x:row>
    <x:row r="230">
      <x:c r="A230" t="str">
        <x:f>G230&amp;"|"&amp;L230</x:f>
        <x:v>SUP|081</x:v>
      </x:c>
      <x:c r="B230" t="str">
        <x:v>84caf829-9e4e-53c5-894b-d15a747fb1f9</x:v>
      </x:c>
      <x:c r="C230" t="str">
        <x:v>CDA-SUP-081</x:v>
      </x:c>
      <x:c r="D230" t="str">
        <x:v>211a5e8d-3ee2-580c-9d09-b2a3736b420e</x:v>
      </x:c>
      <x:c r="E230" t="str">
        <x:v>CDA-CODE-081</x:v>
      </x:c>
      <x:c r="F230" t="str">
        <x:v>Caran d’Ache</x:v>
      </x:c>
      <x:c r="G230" t="str">
        <x:v>SUP</x:v>
      </x:c>
      <x:c r="H230" t="str">
        <x:v>SUPRACOLOR Soft Aquarelle</x:v>
      </x:c>
      <x:c r="I230" t="str">
        <x:v>Water-soluble coloured pencil</x:v>
      </x:c>
      <x:c r="J230" t="str">
        <x:v>Artist</x:v>
      </x:c>
      <x:c r="K230" s="30" t="n">
        <x:v>9</x:v>
      </x:c>
      <x:c r="L230" s="30" t="str">
        <x:v>081</x:v>
      </x:c>
      <x:c r="M230" t="str">
        <x:v>Pink</x:v>
      </x:c>
      <x:c r="N230" t="str">
        <x:v>粉紅色</x:v>
      </x:c>
      <x:c r="O230" t="str">
        <x:v>ピンク</x:v>
      </x:c>
      <x:c r="P230" t="str"/>
      <x:c r="Q230" t="str">
        <x:v>Rose</x:v>
      </x:c>
      <x:c r="R230" t="str">
        <x:v>Rosa</x:v>
      </x:c>
      <x:c r="S230" t="str">
        <x:v>Rosa</x:v>
      </x:c>
      <x:c r="T230" t="str">
        <x:v>Rosa</x:v>
      </x:c>
      <x:c r="U230" t="str"/>
      <x:c r="V230" t="str"/>
      <x:c r="W230" t="str"/>
      <x:c r="X230" t="n">
        <x:f>IF(W230="",0,LEN(W230)-LEN(SUBSTITUTE(W230,"/",""))+1)</x:f>
        <x:v>0</x:v>
      </x:c>
      <x:c r="Y230" t="str">
        <x:v>H</x:v>
      </x:c>
      <x:c r="Z230" s="32" t="n">
        <x:v>1.67</x:v>
      </x:c>
      <x:c r="AA230" s="32" t="n">
        <x:v>3</x:v>
      </x:c>
      <x:c r="AB230" s="32" t="str">
        <x:v>Blue Wool Scale / UV 150h</x:v>
      </x:c>
      <x:c r="AC230" t="str">
        <x:v>#F6CBDF</x:v>
      </x:c>
      <x:c r="AD230" s="34" t="n">
        <x:v>246</x:v>
      </x:c>
      <x:c r="AE230" s="34" t="n">
        <x:v>203</x:v>
      </x:c>
      <x:c r="AF230" s="34" t="n">
        <x:v>223</x:v>
      </x:c>
      <x:c r="AG230" s="32" t="n">
        <x:v>332.09</x:v>
      </x:c>
      <x:c r="AH230" s="32" t="n">
        <x:v>70.49</x:v>
      </x:c>
      <x:c r="AI230" s="32" t="n">
        <x:v>88.04</x:v>
      </x:c>
      <x:c r="AJ230" s="32" t="n">
        <x:v>85.82</x:v>
      </x:c>
      <x:c r="AK230" s="32" t="n">
        <x:v>18.33</x:v>
      </x:c>
      <x:c r="AL230" s="32" t="n">
        <x:v>-4.18</x:v>
      </x:c>
      <x:c r="AM230" s="32" t="str">
        <x:v>#000000</x:v>
      </x:c>
      <x:c r="AN230" s="32" t="str">
        <x:v>Black</x:v>
      </x:c>
      <x:c r="AO230" s="32" t="n">
        <x:v>14.53</x:v>
      </x:c>
      <x:c r="AP230" s="32" t="n">
        <x:v>14.53</x:v>
      </x:c>
      <x:c r="AQ230" s="32" t="n">
        <x:v>1.45</x:v>
      </x:c>
      <x:c r="AR230" s="32" t="n">
        <x:v>0.676324</x:v>
      </x:c>
      <x:c r="AS230" t="str">
        <x:v>PASS</x:v>
      </x:c>
      <x:c r="AT230" t="str">
        <x:v>--cda-sup-081</x:v>
      </x:c>
      <x:c r="AU230" t="str">
        <x:v>var(--cda-sup-081)</x:v>
      </x:c>
      <x:c r="AV230" t="str">
        <x:v>Median RGB from official PDF swatch (screen reference only)</x:v>
      </x:c>
      <x:c r="AW230" t="str">
        <x:v>https://www.carandache.com/content_files/uploaded_doc/product/11426/Colour_Chart_Supracolor-BD3.pdf</x:v>
      </x:c>
      <x:c r="AX230" t="n">
        <x:v>1</x:v>
      </x:c>
      <x:c r="AY230" t="str">
        <x:v>Official</x:v>
      </x:c>
      <x:c r="AZ230" t="str">
        <x:v>Official where available; curated Traditional Chinese/Japanese otherwise</x:v>
      </x:c>
      <x:c r="BA230" t="str">
        <x:v>Verified from official chart; digital HEX is approximate</x:v>
      </x:c>
      <x:c r="BB230" t="str">
        <x:v>Physical media appearance varies by paper, pressure, layering, water and scan/display profile.</x:v>
      </x:c>
    </x:row>
    <x:row r="231">
      <x:c r="A231" t="str">
        <x:f>G231&amp;"|"&amp;L231</x:f>
        <x:v>SUP|082</x:v>
      </x:c>
      <x:c r="B231" t="str">
        <x:v>0d880c7a-d8bc-5367-8fe5-8ffc158ccef5</x:v>
      </x:c>
      <x:c r="C231" t="str">
        <x:v>CDA-SUP-082</x:v>
      </x:c>
      <x:c r="D231" t="str">
        <x:v>255654d8-dd32-544f-b3c0-e9e35ab2568f</x:v>
      </x:c>
      <x:c r="E231" t="str">
        <x:v>CDA-CODE-082</x:v>
      </x:c>
      <x:c r="F231" t="str">
        <x:v>Caran d’Ache</x:v>
      </x:c>
      <x:c r="G231" t="str">
        <x:v>SUP</x:v>
      </x:c>
      <x:c r="H231" t="str">
        <x:v>SUPRACOLOR Soft Aquarelle</x:v>
      </x:c>
      <x:c r="I231" t="str">
        <x:v>Water-soluble coloured pencil</x:v>
      </x:c>
      <x:c r="J231" t="str">
        <x:v>Artist</x:v>
      </x:c>
      <x:c r="K231" s="30" t="n">
        <x:v>10</x:v>
      </x:c>
      <x:c r="L231" s="30" t="str">
        <x:v>082</x:v>
      </x:c>
      <x:c r="M231" t="str">
        <x:v>Old pink</x:v>
      </x:c>
      <x:c r="N231" t="str">
        <x:v>復古粉紅</x:v>
      </x:c>
      <x:c r="O231" t="str">
        <x:v>オールドピンク</x:v>
      </x:c>
      <x:c r="P231" t="str"/>
      <x:c r="Q231" t="str">
        <x:v>Vieux rose</x:v>
      </x:c>
      <x:c r="R231" t="str">
        <x:v>Altrosa</x:v>
      </x:c>
      <x:c r="S231" t="str">
        <x:v>Rosa anticot</x:v>
      </x:c>
      <x:c r="T231" t="str">
        <x:v>Rosa viejo</x:v>
      </x:c>
      <x:c r="U231" t="str"/>
      <x:c r="V231" t="str"/>
      <x:c r="W231" t="str"/>
      <x:c r="X231" t="n">
        <x:f>IF(W231="",0,LEN(W231)-LEN(SUBSTITUTE(W231,"/",""))+1)</x:f>
        <x:v>0</x:v>
      </x:c>
      <x:c r="Y231" t="str">
        <x:v>H</x:v>
      </x:c>
      <x:c r="Z231" s="32" t="n">
        <x:v>1.67</x:v>
      </x:c>
      <x:c r="AA231" s="32" t="n">
        <x:v>3</x:v>
      </x:c>
      <x:c r="AB231" s="32" t="str">
        <x:v>Blue Wool Scale / UV 150h</x:v>
      </x:c>
      <x:c r="AC231" t="str">
        <x:v>#F7B8CF</x:v>
      </x:c>
      <x:c r="AD231" s="34" t="n">
        <x:v>247</x:v>
      </x:c>
      <x:c r="AE231" s="34" t="n">
        <x:v>184</x:v>
      </x:c>
      <x:c r="AF231" s="34" t="n">
        <x:v>207</x:v>
      </x:c>
      <x:c r="AG231" s="32" t="n">
        <x:v>338.1</x:v>
      </x:c>
      <x:c r="AH231" s="32" t="n">
        <x:v>79.75</x:v>
      </x:c>
      <x:c r="AI231" s="32" t="n">
        <x:v>84.51</x:v>
      </x:c>
      <x:c r="AJ231" s="32" t="n">
        <x:v>81.05</x:v>
      </x:c>
      <x:c r="AK231" s="32" t="n">
        <x:v>26.14</x:v>
      </x:c>
      <x:c r="AL231" s="32" t="n">
        <x:v>-2.62</x:v>
      </x:c>
      <x:c r="AM231" s="32" t="str">
        <x:v>#000000</x:v>
      </x:c>
      <x:c r="AN231" s="32" t="str">
        <x:v>Black</x:v>
      </x:c>
      <x:c r="AO231" s="32" t="n">
        <x:v>12.71</x:v>
      </x:c>
      <x:c r="AP231" s="32" t="n">
        <x:v>12.71</x:v>
      </x:c>
      <x:c r="AQ231" s="32" t="n">
        <x:v>1.65</x:v>
      </x:c>
      <x:c r="AR231" s="32" t="n">
        <x:v>0.585601</x:v>
      </x:c>
      <x:c r="AS231" t="str">
        <x:v>PASS</x:v>
      </x:c>
      <x:c r="AT231" t="str">
        <x:v>--cda-sup-082</x:v>
      </x:c>
      <x:c r="AU231" t="str">
        <x:v>var(--cda-sup-082)</x:v>
      </x:c>
      <x:c r="AV231" t="str">
        <x:v>Median RGB from official PDF swatch (screen reference only)</x:v>
      </x:c>
      <x:c r="AW231" t="str">
        <x:v>https://www.carandache.com/content_files/uploaded_doc/product/11426/Colour_Chart_Supracolor-BD3.pdf</x:v>
      </x:c>
      <x:c r="AX231" t="n">
        <x:v>1</x:v>
      </x:c>
      <x:c r="AY231" t="str">
        <x:v>Official</x:v>
      </x:c>
      <x:c r="AZ231" t="str">
        <x:v>Official where available; curated Traditional Chinese/Japanese otherwise</x:v>
      </x:c>
      <x:c r="BA231" t="str">
        <x:v>Verified from official chart; digital HEX is approximate</x:v>
      </x:c>
      <x:c r="BB231" t="str">
        <x:v>Physical media appearance varies by paper, pressure, layering, water and scan/display profile.</x:v>
      </x:c>
    </x:row>
    <x:row r="232">
      <x:c r="A232" t="str">
        <x:f>G232&amp;"|"&amp;L232</x:f>
        <x:v>SUP|071</x:v>
      </x:c>
      <x:c r="B232" t="str">
        <x:v>e7dacbd1-3d3d-599c-bfe6-0112cb75a16c</x:v>
      </x:c>
      <x:c r="C232" t="str">
        <x:v>CDA-SUP-071</x:v>
      </x:c>
      <x:c r="D232" t="str">
        <x:v>ee2773c8-482d-51ce-83d3-72cc028e5a61</x:v>
      </x:c>
      <x:c r="E232" t="str">
        <x:v>CDA-CODE-071</x:v>
      </x:c>
      <x:c r="F232" t="str">
        <x:v>Caran d’Ache</x:v>
      </x:c>
      <x:c r="G232" t="str">
        <x:v>SUP</x:v>
      </x:c>
      <x:c r="H232" t="str">
        <x:v>SUPRACOLOR Soft Aquarelle</x:v>
      </x:c>
      <x:c r="I232" t="str">
        <x:v>Water-soluble coloured pencil</x:v>
      </x:c>
      <x:c r="J232" t="str">
        <x:v>Artist</x:v>
      </x:c>
      <x:c r="K232" s="30" t="n">
        <x:v>11</x:v>
      </x:c>
      <x:c r="L232" s="30" t="str">
        <x:v>071</x:v>
      </x:c>
      <x:c r="M232" t="str">
        <x:v>Salmon pink</x:v>
      </x:c>
      <x:c r="N232" t="str">
        <x:v>鮭魚粉紅</x:v>
      </x:c>
      <x:c r="O232" t="str">
        <x:v>サーモンピンク</x:v>
      </x:c>
      <x:c r="P232" t="str"/>
      <x:c r="Q232" t="str">
        <x:v>Saumon rose</x:v>
      </x:c>
      <x:c r="R232" t="str">
        <x:v>Rosarot</x:v>
      </x:c>
      <x:c r="S232" t="str">
        <x:v>Salmone rosato</x:v>
      </x:c>
      <x:c r="T232" t="str">
        <x:v>Salmón rosa</x:v>
      </x:c>
      <x:c r="U232" t="str"/>
      <x:c r="V232" t="str"/>
      <x:c r="W232" t="str"/>
      <x:c r="X232" t="n">
        <x:f>IF(W232="",0,LEN(W232)-LEN(SUBSTITUTE(W232,"/",""))+1)</x:f>
        <x:v>0</x:v>
      </x:c>
      <x:c r="Y232" t="str">
        <x:v>H</x:v>
      </x:c>
      <x:c r="Z232" s="32" t="n">
        <x:v>1.67</x:v>
      </x:c>
      <x:c r="AA232" s="32" t="n">
        <x:v>3</x:v>
      </x:c>
      <x:c r="AB232" s="32" t="str">
        <x:v>Blue Wool Scale / UV 150h</x:v>
      </x:c>
      <x:c r="AC232" t="str">
        <x:v>#F9BFB4</x:v>
      </x:c>
      <x:c r="AD232" s="34" t="n">
        <x:v>249</x:v>
      </x:c>
      <x:c r="AE232" s="34" t="n">
        <x:v>191</x:v>
      </x:c>
      <x:c r="AF232" s="34" t="n">
        <x:v>180</x:v>
      </x:c>
      <x:c r="AG232" s="32" t="n">
        <x:v>9.57</x:v>
      </x:c>
      <x:c r="AH232" s="32" t="n">
        <x:v>85.19</x:v>
      </x:c>
      <x:c r="AI232" s="32" t="n">
        <x:v>84.12</x:v>
      </x:c>
      <x:c r="AJ232" s="32" t="n">
        <x:v>82.22</x:v>
      </x:c>
      <x:c r="AK232" s="32" t="n">
        <x:v>19.27</x:v>
      </x:c>
      <x:c r="AL232" s="32" t="n">
        <x:v>13.6</x:v>
      </x:c>
      <x:c r="AM232" s="32" t="str">
        <x:v>#000000</x:v>
      </x:c>
      <x:c r="AN232" s="32" t="str">
        <x:v>Black</x:v>
      </x:c>
      <x:c r="AO232" s="32" t="n">
        <x:v>13.14</x:v>
      </x:c>
      <x:c r="AP232" s="32" t="n">
        <x:v>13.14</x:v>
      </x:c>
      <x:c r="AQ232" s="32" t="n">
        <x:v>1.6</x:v>
      </x:c>
      <x:c r="AR232" s="32" t="n">
        <x:v>0.606966</x:v>
      </x:c>
      <x:c r="AS232" t="str">
        <x:v>PASS</x:v>
      </x:c>
      <x:c r="AT232" t="str">
        <x:v>--cda-sup-071</x:v>
      </x:c>
      <x:c r="AU232" t="str">
        <x:v>var(--cda-sup-071)</x:v>
      </x:c>
      <x:c r="AV232" t="str">
        <x:v>Median RGB from official PDF swatch (screen reference only)</x:v>
      </x:c>
      <x:c r="AW232" t="str">
        <x:v>https://www.carandache.com/content_files/uploaded_doc/product/11426/Colour_Chart_Supracolor-BD3.pdf</x:v>
      </x:c>
      <x:c r="AX232" t="n">
        <x:v>1</x:v>
      </x:c>
      <x:c r="AY232" t="str">
        <x:v>Official</x:v>
      </x:c>
      <x:c r="AZ232" t="str">
        <x:v>Official where available; curated Traditional Chinese/Japanese otherwise</x:v>
      </x:c>
      <x:c r="BA232" t="str">
        <x:v>Verified from official chart; digital HEX is approximate</x:v>
      </x:c>
      <x:c r="BB232" t="str">
        <x:v>Physical media appearance varies by paper, pressure, layering, water and scan/display profile.</x:v>
      </x:c>
    </x:row>
    <x:row r="233">
      <x:c r="A233" t="str">
        <x:f>G233&amp;"|"&amp;L233</x:f>
        <x:v>SUP|051</x:v>
      </x:c>
      <x:c r="B233" t="str">
        <x:v>80275c07-4709-582e-a55f-ab097c9c330d</x:v>
      </x:c>
      <x:c r="C233" t="str">
        <x:v>CDA-SUP-051</x:v>
      </x:c>
      <x:c r="D233" t="str">
        <x:v>ba3d6fa0-5853-50ec-bfad-2bc45415ef04</x:v>
      </x:c>
      <x:c r="E233" t="str">
        <x:v>CDA-CODE-051</x:v>
      </x:c>
      <x:c r="F233" t="str">
        <x:v>Caran d’Ache</x:v>
      </x:c>
      <x:c r="G233" t="str">
        <x:v>SUP</x:v>
      </x:c>
      <x:c r="H233" t="str">
        <x:v>SUPRACOLOR Soft Aquarelle</x:v>
      </x:c>
      <x:c r="I233" t="str">
        <x:v>Water-soluble coloured pencil</x:v>
      </x:c>
      <x:c r="J233" t="str">
        <x:v>Artist</x:v>
      </x:c>
      <x:c r="K233" s="30" t="n">
        <x:v>12</x:v>
      </x:c>
      <x:c r="L233" s="30" t="str">
        <x:v>051</x:v>
      </x:c>
      <x:c r="M233" t="str">
        <x:v>Salmon</x:v>
      </x:c>
      <x:c r="N233" t="str">
        <x:v>鮭魚色</x:v>
      </x:c>
      <x:c r="O233" t="str">
        <x:v>サーモン</x:v>
      </x:c>
      <x:c r="P233" t="str"/>
      <x:c r="Q233" t="str">
        <x:v>Saumon</x:v>
      </x:c>
      <x:c r="R233" t="str">
        <x:v>Lachsrot</x:v>
      </x:c>
      <x:c r="S233" t="str">
        <x:v>Salmone</x:v>
      </x:c>
      <x:c r="T233" t="str">
        <x:v>Salmón</x:v>
      </x:c>
      <x:c r="U233" t="str"/>
      <x:c r="V233" t="str"/>
      <x:c r="W233" t="str"/>
      <x:c r="X233" t="n">
        <x:f>IF(W233="",0,LEN(W233)-LEN(SUBSTITUTE(W233,"/",""))+1)</x:f>
        <x:v>0</x:v>
      </x:c>
      <x:c r="Y233" t="str">
        <x:v>H</x:v>
      </x:c>
      <x:c r="Z233" s="32" t="n">
        <x:v>1.67</x:v>
      </x:c>
      <x:c r="AA233" s="32" t="n">
        <x:v>3</x:v>
      </x:c>
      <x:c r="AB233" s="32" t="str">
        <x:v>Blue Wool Scale / UV 150h</x:v>
      </x:c>
      <x:c r="AC233" t="str">
        <x:v>#FBCDB5</x:v>
      </x:c>
      <x:c r="AD233" s="34" t="n">
        <x:v>251</x:v>
      </x:c>
      <x:c r="AE233" s="34" t="n">
        <x:v>205</x:v>
      </x:c>
      <x:c r="AF233" s="34" t="n">
        <x:v>181</x:v>
      </x:c>
      <x:c r="AG233" s="32" t="n">
        <x:v>20.57</x:v>
      </x:c>
      <x:c r="AH233" s="32" t="n">
        <x:v>89.74</x:v>
      </x:c>
      <x:c r="AI233" s="32" t="n">
        <x:v>84.71</x:v>
      </x:c>
      <x:c r="AJ233" s="32" t="n">
        <x:v>85.76</x:v>
      </x:c>
      <x:c r="AK233" s="32" t="n">
        <x:v>12.81</x:v>
      </x:c>
      <x:c r="AL233" s="32" t="n">
        <x:v>18.07</x:v>
      </x:c>
      <x:c r="AM233" s="32" t="str">
        <x:v>#000000</x:v>
      </x:c>
      <x:c r="AN233" s="32" t="str">
        <x:v>Black</x:v>
      </x:c>
      <x:c r="AO233" s="32" t="n">
        <x:v>14.5</x:v>
      </x:c>
      <x:c r="AP233" s="32" t="n">
        <x:v>14.5</x:v>
      </x:c>
      <x:c r="AQ233" s="32" t="n">
        <x:v>1.45</x:v>
      </x:c>
      <x:c r="AR233" s="32" t="n">
        <x:v>0.675081</x:v>
      </x:c>
      <x:c r="AS233" t="str">
        <x:v>PASS</x:v>
      </x:c>
      <x:c r="AT233" t="str">
        <x:v>--cda-sup-051</x:v>
      </x:c>
      <x:c r="AU233" t="str">
        <x:v>var(--cda-sup-051)</x:v>
      </x:c>
      <x:c r="AV233" t="str">
        <x:v>Median RGB from official PDF swatch (screen reference only)</x:v>
      </x:c>
      <x:c r="AW233" t="str">
        <x:v>https://www.carandache.com/content_files/uploaded_doc/product/11426/Colour_Chart_Supracolor-BD3.pdf</x:v>
      </x:c>
      <x:c r="AX233" t="n">
        <x:v>1</x:v>
      </x:c>
      <x:c r="AY233" t="str">
        <x:v>Official</x:v>
      </x:c>
      <x:c r="AZ233" t="str">
        <x:v>Official where available; curated Traditional Chinese/Japanese otherwise</x:v>
      </x:c>
      <x:c r="BA233" t="str">
        <x:v>Verified from official chart; digital HEX is approximate</x:v>
      </x:c>
      <x:c r="BB233" t="str">
        <x:v>Physical media appearance varies by paper, pressure, layering, water and scan/display profile.</x:v>
      </x:c>
    </x:row>
    <x:row r="234">
      <x:c r="A234" t="str">
        <x:f>G234&amp;"|"&amp;L234</x:f>
        <x:v>SUP|041</x:v>
      </x:c>
      <x:c r="B234" t="str">
        <x:v>551ccc31-2d72-5cfd-b669-8902b6af50cc</x:v>
      </x:c>
      <x:c r="C234" t="str">
        <x:v>CDA-SUP-041</x:v>
      </x:c>
      <x:c r="D234" t="str">
        <x:v>ceca6685-d7aa-5cc6-ae9f-101c1861f467</x:v>
      </x:c>
      <x:c r="E234" t="str">
        <x:v>CDA-CODE-041</x:v>
      </x:c>
      <x:c r="F234" t="str">
        <x:v>Caran d’Ache</x:v>
      </x:c>
      <x:c r="G234" t="str">
        <x:v>SUP</x:v>
      </x:c>
      <x:c r="H234" t="str">
        <x:v>SUPRACOLOR Soft Aquarelle</x:v>
      </x:c>
      <x:c r="I234" t="str">
        <x:v>Water-soluble coloured pencil</x:v>
      </x:c>
      <x:c r="J234" t="str">
        <x:v>Artist</x:v>
      </x:c>
      <x:c r="K234" s="30" t="n">
        <x:v>13</x:v>
      </x:c>
      <x:c r="L234" s="30" t="str">
        <x:v>041</x:v>
      </x:c>
      <x:c r="M234" t="str">
        <x:v>Apricot</x:v>
      </x:c>
      <x:c r="N234" t="str">
        <x:v>杏色</x:v>
      </x:c>
      <x:c r="O234" t="str">
        <x:v>アプリコット</x:v>
      </x:c>
      <x:c r="P234" t="str"/>
      <x:c r="Q234" t="str">
        <x:v>Abricot</x:v>
      </x:c>
      <x:c r="R234" t="str">
        <x:v>Aprikose</x:v>
      </x:c>
      <x:c r="S234" t="str">
        <x:v>Albicocca</x:v>
      </x:c>
      <x:c r="T234" t="str">
        <x:v>Albaricoque</x:v>
      </x:c>
      <x:c r="U234" t="str"/>
      <x:c r="V234" t="str"/>
      <x:c r="W234" t="str"/>
      <x:c r="X234" t="n">
        <x:f>IF(W234="",0,LEN(W234)-LEN(SUBSTITUTE(W234,"/",""))+1)</x:f>
        <x:v>0</x:v>
      </x:c>
      <x:c r="Y234" t="str">
        <x:v>H</x:v>
      </x:c>
      <x:c r="Z234" s="32" t="n">
        <x:v>1.67</x:v>
      </x:c>
      <x:c r="AA234" s="32" t="n">
        <x:v>3</x:v>
      </x:c>
      <x:c r="AB234" s="32" t="str">
        <x:v>Blue Wool Scale / UV 150h</x:v>
      </x:c>
      <x:c r="AC234" t="str">
        <x:v>#FFDE8C</x:v>
      </x:c>
      <x:c r="AD234" s="34" t="n">
        <x:v>255</x:v>
      </x:c>
      <x:c r="AE234" s="34" t="n">
        <x:v>222</x:v>
      </x:c>
      <x:c r="AF234" s="34" t="n">
        <x:v>140</x:v>
      </x:c>
      <x:c r="AG234" s="32" t="n">
        <x:v>42.78</x:v>
      </x:c>
      <x:c r="AH234" s="32" t="n">
        <x:v>100</x:v>
      </x:c>
      <x:c r="AI234" s="32" t="n">
        <x:v>77.45</x:v>
      </x:c>
      <x:c r="AJ234" s="32" t="n">
        <x:v>89.58</x:v>
      </x:c>
      <x:c r="AK234" s="32" t="n">
        <x:v>0.91</x:v>
      </x:c>
      <x:c r="AL234" s="32" t="n">
        <x:v>44.3</x:v>
      </x:c>
      <x:c r="AM234" s="32" t="str">
        <x:v>#000000</x:v>
      </x:c>
      <x:c r="AN234" s="32" t="str">
        <x:v>Black</x:v>
      </x:c>
      <x:c r="AO234" s="32" t="n">
        <x:v>16.08</x:v>
      </x:c>
      <x:c r="AP234" s="32" t="n">
        <x:v>16.08</x:v>
      </x:c>
      <x:c r="AQ234" s="32" t="n">
        <x:v>1.31</x:v>
      </x:c>
      <x:c r="AR234" s="32" t="n">
        <x:v>0.75396</x:v>
      </x:c>
      <x:c r="AS234" t="str">
        <x:v>PASS</x:v>
      </x:c>
      <x:c r="AT234" t="str">
        <x:v>--cda-sup-041</x:v>
      </x:c>
      <x:c r="AU234" t="str">
        <x:v>var(--cda-sup-041)</x:v>
      </x:c>
      <x:c r="AV234" t="str">
        <x:v>Median RGB from official PDF swatch (screen reference only)</x:v>
      </x:c>
      <x:c r="AW234" t="str">
        <x:v>https://www.carandache.com/content_files/uploaded_doc/product/11426/Colour_Chart_Supracolor-BD3.pdf</x:v>
      </x:c>
      <x:c r="AX234" t="n">
        <x:v>1</x:v>
      </x:c>
      <x:c r="AY234" t="str">
        <x:v>Official</x:v>
      </x:c>
      <x:c r="AZ234" t="str">
        <x:v>Official where available; curated Traditional Chinese/Japanese otherwise</x:v>
      </x:c>
      <x:c r="BA234" t="str">
        <x:v>Verified from official chart; digital HEX is approximate</x:v>
      </x:c>
      <x:c r="BB234" t="str">
        <x:v>Physical media appearance varies by paper, pressure, layering, water and scan/display profile.</x:v>
      </x:c>
    </x:row>
    <x:row r="235">
      <x:c r="A235" t="str">
        <x:f>G235&amp;"|"&amp;L235</x:f>
        <x:v>SUP|493</x:v>
      </x:c>
      <x:c r="B235" t="str">
        <x:v>fd93c6b7-1999-53ba-8540-b5810c4370d8</x:v>
      </x:c>
      <x:c r="C235" t="str">
        <x:v>CDA-SUP-493</x:v>
      </x:c>
      <x:c r="D235" t="str">
        <x:v>1f225a02-e19a-5ba5-afe7-19744aaa8e3e</x:v>
      </x:c>
      <x:c r="E235" t="str">
        <x:v>CDA-CODE-493</x:v>
      </x:c>
      <x:c r="F235" t="str">
        <x:v>Caran d’Ache</x:v>
      </x:c>
      <x:c r="G235" t="str">
        <x:v>SUP</x:v>
      </x:c>
      <x:c r="H235" t="str">
        <x:v>SUPRACOLOR Soft Aquarelle</x:v>
      </x:c>
      <x:c r="I235" t="str">
        <x:v>Water-soluble coloured pencil</x:v>
      </x:c>
      <x:c r="J235" t="str">
        <x:v>Artist</x:v>
      </x:c>
      <x:c r="K235" s="30" t="n">
        <x:v>14</x:v>
      </x:c>
      <x:c r="L235" s="30" t="str">
        <x:v>493</x:v>
      </x:c>
      <x:c r="M235" t="str">
        <x:v>Granite rose</x:v>
      </x:c>
      <x:c r="N235" t="str">
        <x:v>花崗岩粉紅</x:v>
      </x:c>
      <x:c r="O235" t="str">
        <x:v>グラナイトローズ</x:v>
      </x:c>
      <x:c r="P235" t="str"/>
      <x:c r="Q235" t="str">
        <x:v>Granit rose</x:v>
      </x:c>
      <x:c r="R235" t="str">
        <x:v>Rosagranit</x:v>
      </x:c>
      <x:c r="S235" t="str">
        <x:v>Granito rosa</x:v>
      </x:c>
      <x:c r="T235" t="str">
        <x:v>Rosa granito</x:v>
      </x:c>
      <x:c r="U235" t="str"/>
      <x:c r="V235" t="str"/>
      <x:c r="W235" t="str"/>
      <x:c r="X235" t="n">
        <x:f>IF(W235="",0,LEN(W235)-LEN(SUBSTITUTE(W235,"/",""))+1)</x:f>
        <x:v>0</x:v>
      </x:c>
      <x:c r="Y235" t="str">
        <x:v>H</x:v>
      </x:c>
      <x:c r="Z235" s="32" t="n">
        <x:v>1.67</x:v>
      </x:c>
      <x:c r="AA235" s="32" t="n">
        <x:v>3</x:v>
      </x:c>
      <x:c r="AB235" s="32" t="str">
        <x:v>Blue Wool Scale / UV 150h</x:v>
      </x:c>
      <x:c r="AC235" t="str">
        <x:v>#FCDBC7</x:v>
      </x:c>
      <x:c r="AD235" s="34" t="n">
        <x:v>252</x:v>
      </x:c>
      <x:c r="AE235" s="34" t="n">
        <x:v>219</x:v>
      </x:c>
      <x:c r="AF235" s="34" t="n">
        <x:v>199</x:v>
      </x:c>
      <x:c r="AG235" s="32" t="n">
        <x:v>22.64</x:v>
      </x:c>
      <x:c r="AH235" s="32" t="n">
        <x:v>89.83</x:v>
      </x:c>
      <x:c r="AI235" s="32" t="n">
        <x:v>88.43</x:v>
      </x:c>
      <x:c r="AJ235" s="32" t="n">
        <x:v>89.62</x:v>
      </x:c>
      <x:c r="AK235" s="32" t="n">
        <x:v>8.39</x:v>
      </x:c>
      <x:c r="AL235" s="32" t="n">
        <x:v>14.05</x:v>
      </x:c>
      <x:c r="AM235" s="32" t="str">
        <x:v>#000000</x:v>
      </x:c>
      <x:c r="AN235" s="32" t="str">
        <x:v>Black</x:v>
      </x:c>
      <x:c r="AO235" s="32" t="n">
        <x:v>16.1</x:v>
      </x:c>
      <x:c r="AP235" s="32" t="n">
        <x:v>16.1</x:v>
      </x:c>
      <x:c r="AQ235" s="32" t="n">
        <x:v>1.3</x:v>
      </x:c>
      <x:c r="AR235" s="32" t="n">
        <x:v>0.75482</x:v>
      </x:c>
      <x:c r="AS235" t="str">
        <x:v>PASS</x:v>
      </x:c>
      <x:c r="AT235" t="str">
        <x:v>--cda-sup-493</x:v>
      </x:c>
      <x:c r="AU235" t="str">
        <x:v>var(--cda-sup-493)</x:v>
      </x:c>
      <x:c r="AV235" t="str">
        <x:v>Median RGB from official PDF swatch (screen reference only)</x:v>
      </x:c>
      <x:c r="AW235" t="str">
        <x:v>https://www.carandache.com/content_files/uploaded_doc/product/11426/Colour_Chart_Supracolor-BD3.pdf</x:v>
      </x:c>
      <x:c r="AX235" t="n">
        <x:v>1</x:v>
      </x:c>
      <x:c r="AY235" t="str">
        <x:v>Official</x:v>
      </x:c>
      <x:c r="AZ235" t="str">
        <x:v>Official where available; curated Traditional Chinese/Japanese otherwise</x:v>
      </x:c>
      <x:c r="BA235" t="str">
        <x:v>Verified from official chart; digital HEX is approximate</x:v>
      </x:c>
      <x:c r="BB235" t="str">
        <x:v>Physical media appearance varies by paper, pressure, layering, water and scan/display profile.</x:v>
      </x:c>
    </x:row>
    <x:row r="236">
      <x:c r="A236" t="str">
        <x:f>G236&amp;"|"&amp;L236</x:f>
        <x:v>SUP|091</x:v>
      </x:c>
      <x:c r="B236" t="str">
        <x:v>9534f1a4-abeb-5e8d-9809-9ebe5dcf2ae4</x:v>
      </x:c>
      <x:c r="C236" t="str">
        <x:v>CDA-SUP-091</x:v>
      </x:c>
      <x:c r="D236" t="str">
        <x:v>71bb4cc3-85d7-5434-9cba-24e15796e725</x:v>
      </x:c>
      <x:c r="E236" t="str">
        <x:v>CDA-CODE-091</x:v>
      </x:c>
      <x:c r="F236" t="str">
        <x:v>Caran d’Ache</x:v>
      </x:c>
      <x:c r="G236" t="str">
        <x:v>SUP</x:v>
      </x:c>
      <x:c r="H236" t="str">
        <x:v>SUPRACOLOR Soft Aquarelle</x:v>
      </x:c>
      <x:c r="I236" t="str">
        <x:v>Water-soluble coloured pencil</x:v>
      </x:c>
      <x:c r="J236" t="str">
        <x:v>Artist</x:v>
      </x:c>
      <x:c r="K236" s="30" t="n">
        <x:v>15</x:v>
      </x:c>
      <x:c r="L236" s="30" t="str">
        <x:v>091</x:v>
      </x:c>
      <x:c r="M236" t="str">
        <x:v>Light purple</x:v>
      </x:c>
      <x:c r="N236" t="str">
        <x:v>淺紫色</x:v>
      </x:c>
      <x:c r="O236" t="str">
        <x:v>ライトパープル</x:v>
      </x:c>
      <x:c r="P236" t="str"/>
      <x:c r="Q236" t="str">
        <x:v>Pourpre clair</x:v>
      </x:c>
      <x:c r="R236" t="str">
        <x:v>Hellpurpur</x:v>
      </x:c>
      <x:c r="S236" t="str">
        <x:v>Porpora chiaro</x:v>
      </x:c>
      <x:c r="T236" t="str">
        <x:v>Púrpura claro</x:v>
      </x:c>
      <x:c r="U236" t="str"/>
      <x:c r="V236" t="str"/>
      <x:c r="W236" t="str"/>
      <x:c r="X236" t="n">
        <x:f>IF(W236="",0,LEN(W236)-LEN(SUBSTITUTE(W236,"/",""))+1)</x:f>
        <x:v>0</x:v>
      </x:c>
      <x:c r="Y236" t="str">
        <x:v>H</x:v>
      </x:c>
      <x:c r="Z236" s="32" t="n">
        <x:v>1.67</x:v>
      </x:c>
      <x:c r="AA236" s="32" t="n">
        <x:v>3</x:v>
      </x:c>
      <x:c r="AB236" s="32" t="str">
        <x:v>Blue Wool Scale / UV 150h</x:v>
      </x:c>
      <x:c r="AC236" t="str">
        <x:v>#F7BAD3</x:v>
      </x:c>
      <x:c r="AD236" s="34" t="n">
        <x:v>247</x:v>
      </x:c>
      <x:c r="AE236" s="34" t="n">
        <x:v>186</x:v>
      </x:c>
      <x:c r="AF236" s="34" t="n">
        <x:v>211</x:v>
      </x:c>
      <x:c r="AG236" s="32" t="n">
        <x:v>335.41</x:v>
      </x:c>
      <x:c r="AH236" s="32" t="n">
        <x:v>79.22</x:v>
      </x:c>
      <x:c r="AI236" s="32" t="n">
        <x:v>84.9</x:v>
      </x:c>
      <x:c r="AJ236" s="32" t="n">
        <x:v>81.62</x:v>
      </x:c>
      <x:c r="AK236" s="32" t="n">
        <x:v>25.7</x:v>
      </x:c>
      <x:c r="AL236" s="32" t="n">
        <x:v>-3.94</x:v>
      </x:c>
      <x:c r="AM236" s="32" t="str">
        <x:v>#000000</x:v>
      </x:c>
      <x:c r="AN236" s="32" t="str">
        <x:v>Black</x:v>
      </x:c>
      <x:c r="AO236" s="32" t="n">
        <x:v>12.92</x:v>
      </x:c>
      <x:c r="AP236" s="32" t="n">
        <x:v>12.92</x:v>
      </x:c>
      <x:c r="AQ236" s="32" t="n">
        <x:v>1.63</x:v>
      </x:c>
      <x:c r="AR236" s="32" t="n">
        <x:v>0.595951</x:v>
      </x:c>
      <x:c r="AS236" t="str">
        <x:v>PASS</x:v>
      </x:c>
      <x:c r="AT236" t="str">
        <x:v>--cda-sup-091</x:v>
      </x:c>
      <x:c r="AU236" t="str">
        <x:v>var(--cda-sup-091)</x:v>
      </x:c>
      <x:c r="AV236" t="str">
        <x:v>Median RGB from official PDF swatch (screen reference only)</x:v>
      </x:c>
      <x:c r="AW236" t="str">
        <x:v>https://www.carandache.com/content_files/uploaded_doc/product/11426/Colour_Chart_Supracolor-BD3.pdf</x:v>
      </x:c>
      <x:c r="AX236" t="n">
        <x:v>1</x:v>
      </x:c>
      <x:c r="AY236" t="str">
        <x:v>Official</x:v>
      </x:c>
      <x:c r="AZ236" t="str">
        <x:v>Official where available; curated Traditional Chinese/Japanese otherwise</x:v>
      </x:c>
      <x:c r="BA236" t="str">
        <x:v>Verified from official chart; digital HEX is approximate</x:v>
      </x:c>
      <x:c r="BB236" t="str">
        <x:v>Physical media appearance varies by paper, pressure, layering, water and scan/display profile.</x:v>
      </x:c>
    </x:row>
    <x:row r="237">
      <x:c r="A237" t="str">
        <x:f>G237&amp;"|"&amp;L237</x:f>
        <x:v>SUP|350</x:v>
      </x:c>
      <x:c r="B237" t="str">
        <x:v>12e314a3-9e9a-5e75-9411-d75a2fc0daef</x:v>
      </x:c>
      <x:c r="C237" t="str">
        <x:v>CDA-SUP-350</x:v>
      </x:c>
      <x:c r="D237" t="str">
        <x:v>39bf01fa-a31a-593e-a617-859ebd045d80</x:v>
      </x:c>
      <x:c r="E237" t="str">
        <x:v>CDA-CODE-350</x:v>
      </x:c>
      <x:c r="F237" t="str">
        <x:v>Caran d’Ache</x:v>
      </x:c>
      <x:c r="G237" t="str">
        <x:v>SUP</x:v>
      </x:c>
      <x:c r="H237" t="str">
        <x:v>SUPRACOLOR Soft Aquarelle</x:v>
      </x:c>
      <x:c r="I237" t="str">
        <x:v>Water-soluble coloured pencil</x:v>
      </x:c>
      <x:c r="J237" t="str">
        <x:v>Artist</x:v>
      </x:c>
      <x:c r="K237" s="30" t="n">
        <x:v>16</x:v>
      </x:c>
      <x:c r="L237" s="30" t="str">
        <x:v>350</x:v>
      </x:c>
      <x:c r="M237" t="str">
        <x:v>Purplish red</x:v>
      </x:c>
      <x:c r="N237" t="str">
        <x:v>紫紅色</x:v>
      </x:c>
      <x:c r="O237" t="str">
        <x:v>パープリッシュレッド</x:v>
      </x:c>
      <x:c r="P237" t="str"/>
      <x:c r="Q237" t="str">
        <x:v>Rouge pourpre</x:v>
      </x:c>
      <x:c r="R237" t="str">
        <x:v>Purpurrot</x:v>
      </x:c>
      <x:c r="S237" t="str">
        <x:v>Rosso porpora</x:v>
      </x:c>
      <x:c r="T237" t="str">
        <x:v>Rojo púrpura</x:v>
      </x:c>
      <x:c r="U237" t="str"/>
      <x:c r="V237" t="str"/>
      <x:c r="W237" t="str"/>
      <x:c r="X237" t="n">
        <x:f>IF(W237="",0,LEN(W237)-LEN(SUBSTITUTE(W237,"/",""))+1)</x:f>
        <x:v>0</x:v>
      </x:c>
      <x:c r="Y237" t="str">
        <x:v>H</x:v>
      </x:c>
      <x:c r="Z237" s="32" t="n">
        <x:v>1.67</x:v>
      </x:c>
      <x:c r="AA237" s="32" t="n">
        <x:v>3</x:v>
      </x:c>
      <x:c r="AB237" s="32" t="str">
        <x:v>Blue Wool Scale / UV 150h</x:v>
      </x:c>
      <x:c r="AC237" t="str">
        <x:v>#E56BA8</x:v>
      </x:c>
      <x:c r="AD237" s="34" t="n">
        <x:v>229</x:v>
      </x:c>
      <x:c r="AE237" s="34" t="n">
        <x:v>107</x:v>
      </x:c>
      <x:c r="AF237" s="34" t="n">
        <x:v>168</x:v>
      </x:c>
      <x:c r="AG237" s="32" t="n">
        <x:v>330</x:v>
      </x:c>
      <x:c r="AH237" s="32" t="n">
        <x:v>70.11</x:v>
      </x:c>
      <x:c r="AI237" s="32" t="n">
        <x:v>65.88</x:v>
      </x:c>
      <x:c r="AJ237" s="32" t="n">
        <x:v>61.66</x:v>
      </x:c>
      <x:c r="AK237" s="32" t="n">
        <x:v>53.92</x:v>
      </x:c>
      <x:c r="AL237" s="32" t="n">
        <x:v>-9.92</x:v>
      </x:c>
      <x:c r="AM237" s="32" t="str">
        <x:v>#000000</x:v>
      </x:c>
      <x:c r="AN237" s="32" t="str">
        <x:v>Black</x:v>
      </x:c>
      <x:c r="AO237" s="32" t="n">
        <x:v>7</x:v>
      </x:c>
      <x:c r="AP237" s="32" t="n">
        <x:v>7</x:v>
      </x:c>
      <x:c r="AQ237" s="32" t="n">
        <x:v>3</x:v>
      </x:c>
      <x:c r="AR237" s="32" t="n">
        <x:v>0.300006</x:v>
      </x:c>
      <x:c r="AS237" t="str">
        <x:v>PASS</x:v>
      </x:c>
      <x:c r="AT237" t="str">
        <x:v>--cda-sup-350</x:v>
      </x:c>
      <x:c r="AU237" t="str">
        <x:v>var(--cda-sup-350)</x:v>
      </x:c>
      <x:c r="AV237" t="str">
        <x:v>Median RGB from official PDF swatch (screen reference only)</x:v>
      </x:c>
      <x:c r="AW237" t="str">
        <x:v>https://www.carandache.com/content_files/uploaded_doc/product/11426/Colour_Chart_Supracolor-BD3.pdf</x:v>
      </x:c>
      <x:c r="AX237" t="n">
        <x:v>1</x:v>
      </x:c>
      <x:c r="AY237" t="str">
        <x:v>Official</x:v>
      </x:c>
      <x:c r="AZ237" t="str">
        <x:v>Official where available; curated Traditional Chinese/Japanese otherwise</x:v>
      </x:c>
      <x:c r="BA237" t="str">
        <x:v>Verified from official chart; digital HEX is approximate</x:v>
      </x:c>
      <x:c r="BB237" t="str">
        <x:v>Physical media appearance varies by paper, pressure, layering, water and scan/display profile.</x:v>
      </x:c>
    </x:row>
    <x:row r="238">
      <x:c r="A238" t="str">
        <x:f>G238&amp;"|"&amp;L238</x:f>
        <x:v>SUP|090</x:v>
      </x:c>
      <x:c r="B238" t="str">
        <x:v>e5c055d3-cbfd-5114-b331-7bdf4ce99e0b</x:v>
      </x:c>
      <x:c r="C238" t="str">
        <x:v>CDA-SUP-090</x:v>
      </x:c>
      <x:c r="D238" t="str">
        <x:v>b72cc0ea-a75f-581d-91e3-da56df96481d</x:v>
      </x:c>
      <x:c r="E238" t="str">
        <x:v>CDA-CODE-090</x:v>
      </x:c>
      <x:c r="F238" t="str">
        <x:v>Caran d’Ache</x:v>
      </x:c>
      <x:c r="G238" t="str">
        <x:v>SUP</x:v>
      </x:c>
      <x:c r="H238" t="str">
        <x:v>SUPRACOLOR Soft Aquarelle</x:v>
      </x:c>
      <x:c r="I238" t="str">
        <x:v>Water-soluble coloured pencil</x:v>
      </x:c>
      <x:c r="J238" t="str">
        <x:v>Artist</x:v>
      </x:c>
      <x:c r="K238" s="30" t="n">
        <x:v>17</x:v>
      </x:c>
      <x:c r="L238" s="30" t="str">
        <x:v>090</x:v>
      </x:c>
      <x:c r="M238" t="str">
        <x:v>Purple</x:v>
      </x:c>
      <x:c r="N238" t="str">
        <x:v>紫色</x:v>
      </x:c>
      <x:c r="O238" t="str">
        <x:v>パープル</x:v>
      </x:c>
      <x:c r="P238" t="str"/>
      <x:c r="Q238" t="str">
        <x:v>Pourpre</x:v>
      </x:c>
      <x:c r="R238" t="str">
        <x:v>Purpur</x:v>
      </x:c>
      <x:c r="S238" t="str">
        <x:v>Porpora</x:v>
      </x:c>
      <x:c r="T238" t="str">
        <x:v>Púrpura</x:v>
      </x:c>
      <x:c r="U238" t="str"/>
      <x:c r="V238" t="str"/>
      <x:c r="W238" t="str"/>
      <x:c r="X238" t="n">
        <x:f>IF(W238="",0,LEN(W238)-LEN(SUBSTITUTE(W238,"/",""))+1)</x:f>
        <x:v>0</x:v>
      </x:c>
      <x:c r="Y238" t="str">
        <x:v>H</x:v>
      </x:c>
      <x:c r="Z238" s="32" t="n">
        <x:v>1.67</x:v>
      </x:c>
      <x:c r="AA238" s="32" t="n">
        <x:v>3</x:v>
      </x:c>
      <x:c r="AB238" s="32" t="str">
        <x:v>Blue Wool Scale / UV 150h</x:v>
      </x:c>
      <x:c r="AC238" t="str">
        <x:v>#E6A6CA</x:v>
      </x:c>
      <x:c r="AD238" s="34" t="n">
        <x:v>230</x:v>
      </x:c>
      <x:c r="AE238" s="34" t="n">
        <x:v>166</x:v>
      </x:c>
      <x:c r="AF238" s="34" t="n">
        <x:v>202</x:v>
      </x:c>
      <x:c r="AG238" s="32" t="n">
        <x:v>326.25</x:v>
      </x:c>
      <x:c r="AH238" s="32" t="n">
        <x:v>56.14</x:v>
      </x:c>
      <x:c r="AI238" s="32" t="n">
        <x:v>77.65</x:v>
      </x:c>
      <x:c r="AJ238" s="32" t="n">
        <x:v>75.05</x:v>
      </x:c>
      <x:c r="AK238" s="32" t="n">
        <x:v>29</x:v>
      </x:c>
      <x:c r="AL238" s="32" t="n">
        <x:v>-8.96</x:v>
      </x:c>
      <x:c r="AM238" s="32" t="str">
        <x:v>#000000</x:v>
      </x:c>
      <x:c r="AN238" s="32" t="str">
        <x:v>Black</x:v>
      </x:c>
      <x:c r="AO238" s="32" t="n">
        <x:v>10.67</x:v>
      </x:c>
      <x:c r="AP238" s="32" t="n">
        <x:v>10.67</x:v>
      </x:c>
      <x:c r="AQ238" s="32" t="n">
        <x:v>1.97</x:v>
      </x:c>
      <x:c r="AR238" s="32" t="n">
        <x:v>0.483597</x:v>
      </x:c>
      <x:c r="AS238" t="str">
        <x:v>PASS</x:v>
      </x:c>
      <x:c r="AT238" t="str">
        <x:v>--cda-sup-090</x:v>
      </x:c>
      <x:c r="AU238" t="str">
        <x:v>var(--cda-sup-090)</x:v>
      </x:c>
      <x:c r="AV238" t="str">
        <x:v>Median RGB from official PDF swatch (screen reference only)</x:v>
      </x:c>
      <x:c r="AW238" t="str">
        <x:v>https://www.carandache.com/content_files/uploaded_doc/product/11426/Colour_Chart_Supracolor-BD3.pdf</x:v>
      </x:c>
      <x:c r="AX238" t="n">
        <x:v>1</x:v>
      </x:c>
      <x:c r="AY238" t="str">
        <x:v>Official</x:v>
      </x:c>
      <x:c r="AZ238" t="str">
        <x:v>Official where available; curated Traditional Chinese/Japanese otherwise</x:v>
      </x:c>
      <x:c r="BA238" t="str">
        <x:v>Verified from official chart; digital HEX is approximate</x:v>
      </x:c>
      <x:c r="BB238" t="str">
        <x:v>Physical media appearance varies by paper, pressure, layering, water and scan/display profile.</x:v>
      </x:c>
    </x:row>
    <x:row r="239">
      <x:c r="A239" t="str">
        <x:f>G239&amp;"|"&amp;L239</x:f>
        <x:v>SUP|100</x:v>
      </x:c>
      <x:c r="B239" t="str">
        <x:v>1c2145d9-808d-5b5d-91dd-b94f7fb84f7b</x:v>
      </x:c>
      <x:c r="C239" t="str">
        <x:v>CDA-SUP-100</x:v>
      </x:c>
      <x:c r="D239" t="str">
        <x:v>7d7a2fc3-34ef-554f-8f35-f3e2c4355962</x:v>
      </x:c>
      <x:c r="E239" t="str">
        <x:v>CDA-CODE-100</x:v>
      </x:c>
      <x:c r="F239" t="str">
        <x:v>Caran d’Ache</x:v>
      </x:c>
      <x:c r="G239" t="str">
        <x:v>SUP</x:v>
      </x:c>
      <x:c r="H239" t="str">
        <x:v>SUPRACOLOR Soft Aquarelle</x:v>
      </x:c>
      <x:c r="I239" t="str">
        <x:v>Water-soluble coloured pencil</x:v>
      </x:c>
      <x:c r="J239" t="str">
        <x:v>Artist</x:v>
      </x:c>
      <x:c r="K239" s="30" t="n">
        <x:v>18</x:v>
      </x:c>
      <x:c r="L239" s="30" t="str">
        <x:v>100</x:v>
      </x:c>
      <x:c r="M239" t="str">
        <x:v>Purple violet</x:v>
      </x:c>
      <x:c r="N239" t="str">
        <x:v>紫羅蘭</x:v>
      </x:c>
      <x:c r="O239" t="str">
        <x:v>パープルバイオレット</x:v>
      </x:c>
      <x:c r="P239" t="str"/>
      <x:c r="Q239" t="str">
        <x:v>Violet pourpre</x:v>
      </x:c>
      <x:c r="R239" t="str">
        <x:v>Purpurviolett</x:v>
      </x:c>
      <x:c r="S239" t="str">
        <x:v>Viola porpora</x:v>
      </x:c>
      <x:c r="T239" t="str">
        <x:v>Violeta púrpura</x:v>
      </x:c>
      <x:c r="U239" t="str"/>
      <x:c r="V239" t="str"/>
      <x:c r="W239" t="str"/>
      <x:c r="X239" t="n">
        <x:f>IF(W239="",0,LEN(W239)-LEN(SUBSTITUTE(W239,"/",""))+1)</x:f>
        <x:v>0</x:v>
      </x:c>
      <x:c r="Y239" t="str">
        <x:v>H</x:v>
      </x:c>
      <x:c r="Z239" s="32" t="n">
        <x:v>1.67</x:v>
      </x:c>
      <x:c r="AA239" s="32" t="n">
        <x:v>3</x:v>
      </x:c>
      <x:c r="AB239" s="32" t="str">
        <x:v>Blue Wool Scale / UV 150h</x:v>
      </x:c>
      <x:c r="AC239" t="str">
        <x:v>#ECC7DC</x:v>
      </x:c>
      <x:c r="AD239" s="34" t="n">
        <x:v>236</x:v>
      </x:c>
      <x:c r="AE239" s="34" t="n">
        <x:v>199</x:v>
      </x:c>
      <x:c r="AF239" s="34" t="n">
        <x:v>220</x:v>
      </x:c>
      <x:c r="AG239" s="32" t="n">
        <x:v>325.95</x:v>
      </x:c>
      <x:c r="AH239" s="32" t="n">
        <x:v>49.33</x:v>
      </x:c>
      <x:c r="AI239" s="32" t="n">
        <x:v>85.29</x:v>
      </x:c>
      <x:c r="AJ239" s="32" t="n">
        <x:v>83.89</x:v>
      </x:c>
      <x:c r="AK239" s="32" t="n">
        <x:v>16.5</x:v>
      </x:c>
      <x:c r="AL239" s="32" t="n">
        <x:v>-5.54</x:v>
      </x:c>
      <x:c r="AM239" s="32" t="str">
        <x:v>#000000</x:v>
      </x:c>
      <x:c r="AN239" s="32" t="str">
        <x:v>Black</x:v>
      </x:c>
      <x:c r="AO239" s="32" t="n">
        <x:v>13.77</x:v>
      </x:c>
      <x:c r="AP239" s="32" t="n">
        <x:v>13.77</x:v>
      </x:c>
      <x:c r="AQ239" s="32" t="n">
        <x:v>1.53</x:v>
      </x:c>
      <x:c r="AR239" s="32" t="n">
        <x:v>0.63847</x:v>
      </x:c>
      <x:c r="AS239" t="str">
        <x:v>PASS</x:v>
      </x:c>
      <x:c r="AT239" t="str">
        <x:v>--cda-sup-100</x:v>
      </x:c>
      <x:c r="AU239" t="str">
        <x:v>var(--cda-sup-100)</x:v>
      </x:c>
      <x:c r="AV239" t="str">
        <x:v>Median RGB from official PDF swatch (screen reference only)</x:v>
      </x:c>
      <x:c r="AW239" t="str">
        <x:v>https://www.carandache.com/content_files/uploaded_doc/product/11426/Colour_Chart_Supracolor-BD3.pdf</x:v>
      </x:c>
      <x:c r="AX239" t="n">
        <x:v>1</x:v>
      </x:c>
      <x:c r="AY239" t="str">
        <x:v>Official</x:v>
      </x:c>
      <x:c r="AZ239" t="str">
        <x:v>Official where available; curated Traditional Chinese/Japanese otherwise</x:v>
      </x:c>
      <x:c r="BA239" t="str">
        <x:v>Verified from official chart; digital HEX is approximate</x:v>
      </x:c>
      <x:c r="BB239" t="str">
        <x:v>Physical media appearance varies by paper, pressure, layering, water and scan/display profile.</x:v>
      </x:c>
    </x:row>
    <x:row r="240">
      <x:c r="A240" t="str">
        <x:f>G240&amp;"|"&amp;L240</x:f>
        <x:v>SUP|110</x:v>
      </x:c>
      <x:c r="B240" t="str">
        <x:v>128aee8a-e03a-5cdb-a716-66a78296c66a</x:v>
      </x:c>
      <x:c r="C240" t="str">
        <x:v>CDA-SUP-110</x:v>
      </x:c>
      <x:c r="D240" t="str">
        <x:v>f0a08db4-689d-598f-a25b-26913808fa89</x:v>
      </x:c>
      <x:c r="E240" t="str">
        <x:v>CDA-CODE-110</x:v>
      </x:c>
      <x:c r="F240" t="str">
        <x:v>Caran d’Ache</x:v>
      </x:c>
      <x:c r="G240" t="str">
        <x:v>SUP</x:v>
      </x:c>
      <x:c r="H240" t="str">
        <x:v>SUPRACOLOR Soft Aquarelle</x:v>
      </x:c>
      <x:c r="I240" t="str">
        <x:v>Water-soluble coloured pencil</x:v>
      </x:c>
      <x:c r="J240" t="str">
        <x:v>Artist</x:v>
      </x:c>
      <x:c r="K240" s="30" t="n">
        <x:v>19</x:v>
      </x:c>
      <x:c r="L240" s="30" t="str">
        <x:v>110</x:v>
      </x:c>
      <x:c r="M240" t="str">
        <x:v>Lilac</x:v>
      </x:c>
      <x:c r="N240" t="str">
        <x:v>丁香紫</x:v>
      </x:c>
      <x:c r="O240" t="str">
        <x:v>ライラック</x:v>
      </x:c>
      <x:c r="P240" t="str"/>
      <x:c r="Q240" t="str">
        <x:v>Lilas</x:v>
      </x:c>
      <x:c r="R240" t="str">
        <x:v>Lila</x:v>
      </x:c>
      <x:c r="S240" t="str">
        <x:v>Lilla</x:v>
      </x:c>
      <x:c r="T240" t="str">
        <x:v>Lila</x:v>
      </x:c>
      <x:c r="U240" t="str"/>
      <x:c r="V240" t="str"/>
      <x:c r="W240" t="str"/>
      <x:c r="X240" t="n">
        <x:f>IF(W240="",0,LEN(W240)-LEN(SUBSTITUTE(W240,"/",""))+1)</x:f>
        <x:v>0</x:v>
      </x:c>
      <x:c r="Y240" t="str">
        <x:v>H</x:v>
      </x:c>
      <x:c r="Z240" s="32" t="n">
        <x:v>1.67</x:v>
      </x:c>
      <x:c r="AA240" s="32" t="n">
        <x:v>3</x:v>
      </x:c>
      <x:c r="AB240" s="32" t="str">
        <x:v>Blue Wool Scale / UV 150h</x:v>
      </x:c>
      <x:c r="AC240" t="str">
        <x:v>#E5A1C6</x:v>
      </x:c>
      <x:c r="AD240" s="34" t="n">
        <x:v>229</x:v>
      </x:c>
      <x:c r="AE240" s="34" t="n">
        <x:v>161</x:v>
      </x:c>
      <x:c r="AF240" s="34" t="n">
        <x:v>198</x:v>
      </x:c>
      <x:c r="AG240" s="32" t="n">
        <x:v>327.35</x:v>
      </x:c>
      <x:c r="AH240" s="32" t="n">
        <x:v>56.67</x:v>
      </x:c>
      <x:c r="AI240" s="32" t="n">
        <x:v>76.47</x:v>
      </x:c>
      <x:c r="AJ240" s="32" t="n">
        <x:v>73.69</x:v>
      </x:c>
      <x:c r="AK240" s="32" t="n">
        <x:v>30.68</x:v>
      </x:c>
      <x:c r="AL240" s="32" t="n">
        <x:v>-8.8</x:v>
      </x:c>
      <x:c r="AM240" s="32" t="str">
        <x:v>#000000</x:v>
      </x:c>
      <x:c r="AN240" s="32" t="str">
        <x:v>Black</x:v>
      </x:c>
      <x:c r="AO240" s="32" t="n">
        <x:v>10.24</x:v>
      </x:c>
      <x:c r="AP240" s="32" t="n">
        <x:v>10.24</x:v>
      </x:c>
      <x:c r="AQ240" s="32" t="n">
        <x:v>2.05</x:v>
      </x:c>
      <x:c r="AR240" s="32" t="n">
        <x:v>0.46225</x:v>
      </x:c>
      <x:c r="AS240" t="str">
        <x:v>PASS</x:v>
      </x:c>
      <x:c r="AT240" t="str">
        <x:v>--cda-sup-110</x:v>
      </x:c>
      <x:c r="AU240" t="str">
        <x:v>var(--cda-sup-110)</x:v>
      </x:c>
      <x:c r="AV240" t="str">
        <x:v>Median RGB from official PDF swatch (screen reference only)</x:v>
      </x:c>
      <x:c r="AW240" t="str">
        <x:v>https://www.carandache.com/content_files/uploaded_doc/product/11426/Colour_Chart_Supracolor-BD3.pdf</x:v>
      </x:c>
      <x:c r="AX240" t="n">
        <x:v>1</x:v>
      </x:c>
      <x:c r="AY240" t="str">
        <x:v>Official</x:v>
      </x:c>
      <x:c r="AZ240" t="str">
        <x:v>Official where available; curated Traditional Chinese/Japanese otherwise</x:v>
      </x:c>
      <x:c r="BA240" t="str">
        <x:v>Verified from official chart; digital HEX is approximate</x:v>
      </x:c>
      <x:c r="BB240" t="str">
        <x:v>Physical media appearance varies by paper, pressure, layering, water and scan/display profile.</x:v>
      </x:c>
    </x:row>
    <x:row r="241">
      <x:c r="A241" t="str">
        <x:f>G241&amp;"|"&amp;L241</x:f>
        <x:v>SUP|099</x:v>
      </x:c>
      <x:c r="B241" t="str">
        <x:v>23accfee-cecb-57e9-b51b-9d84b01f25c1</x:v>
      </x:c>
      <x:c r="C241" t="str">
        <x:v>CDA-SUP-099</x:v>
      </x:c>
      <x:c r="D241" t="str">
        <x:v>b1a53e2d-72a1-560f-827c-7dd3d112decc</x:v>
      </x:c>
      <x:c r="E241" t="str">
        <x:v>CDA-CODE-099</x:v>
      </x:c>
      <x:c r="F241" t="str">
        <x:v>Caran d’Ache</x:v>
      </x:c>
      <x:c r="G241" t="str">
        <x:v>SUP</x:v>
      </x:c>
      <x:c r="H241" t="str">
        <x:v>SUPRACOLOR Soft Aquarelle</x:v>
      </x:c>
      <x:c r="I241" t="str">
        <x:v>Water-soluble coloured pencil</x:v>
      </x:c>
      <x:c r="J241" t="str">
        <x:v>Artist</x:v>
      </x:c>
      <x:c r="K241" s="30" t="n">
        <x:v>20</x:v>
      </x:c>
      <x:c r="L241" s="30" t="str">
        <x:v>099</x:v>
      </x:c>
      <x:c r="M241" t="str">
        <x:v>Aubergine</x:v>
      </x:c>
      <x:c r="N241" t="str">
        <x:v>茄紫色</x:v>
      </x:c>
      <x:c r="O241" t="str">
        <x:v>オーベルジーヌ</x:v>
      </x:c>
      <x:c r="P241" t="str"/>
      <x:c r="Q241" t="str">
        <x:v>Aubergine</x:v>
      </x:c>
      <x:c r="R241" t="str">
        <x:v>Aubergine</x:v>
      </x:c>
      <x:c r="S241" t="str">
        <x:v>Melanzana</x:v>
      </x:c>
      <x:c r="T241" t="str">
        <x:v>Berenjena</x:v>
      </x:c>
      <x:c r="U241" t="str"/>
      <x:c r="V241" t="str"/>
      <x:c r="W241" t="str"/>
      <x:c r="X241" t="n">
        <x:f>IF(W241="",0,LEN(W241)-LEN(SUBSTITUTE(W241,"/",""))+1)</x:f>
        <x:v>0</x:v>
      </x:c>
      <x:c r="Y241" t="str">
        <x:v>H</x:v>
      </x:c>
      <x:c r="Z241" s="32" t="n">
        <x:v>1.67</x:v>
      </x:c>
      <x:c r="AA241" s="32" t="n">
        <x:v>3</x:v>
      </x:c>
      <x:c r="AB241" s="32" t="str">
        <x:v>Blue Wool Scale / UV 150h</x:v>
      </x:c>
      <x:c r="AC241" t="str">
        <x:v>#D8B6C0</x:v>
      </x:c>
      <x:c r="AD241" s="34" t="n">
        <x:v>216</x:v>
      </x:c>
      <x:c r="AE241" s="34" t="n">
        <x:v>182</x:v>
      </x:c>
      <x:c r="AF241" s="34" t="n">
        <x:v>192</x:v>
      </x:c>
      <x:c r="AG241" s="32" t="n">
        <x:v>342.35</x:v>
      </x:c>
      <x:c r="AH241" s="32" t="n">
        <x:v>30.36</x:v>
      </x:c>
      <x:c r="AI241" s="32" t="n">
        <x:v>78.04</x:v>
      </x:c>
      <x:c r="AJ241" s="32" t="n">
        <x:v>77.2</x:v>
      </x:c>
      <x:c r="AK241" s="32" t="n">
        <x:v>13.83</x:v>
      </x:c>
      <x:c r="AL241" s="32" t="n">
        <x:v>-0.5</x:v>
      </x:c>
      <x:c r="AM241" s="32" t="str">
        <x:v>#000000</x:v>
      </x:c>
      <x:c r="AN241" s="32" t="str">
        <x:v>Black</x:v>
      </x:c>
      <x:c r="AO241" s="32" t="n">
        <x:v>11.37</x:v>
      </x:c>
      <x:c r="AP241" s="32" t="n">
        <x:v>11.37</x:v>
      </x:c>
      <x:c r="AQ241" s="32" t="n">
        <x:v>1.85</x:v>
      </x:c>
      <x:c r="AR241" s="32" t="n">
        <x:v>0.518606</x:v>
      </x:c>
      <x:c r="AS241" t="str">
        <x:v>PASS</x:v>
      </x:c>
      <x:c r="AT241" t="str">
        <x:v>--cda-sup-099</x:v>
      </x:c>
      <x:c r="AU241" t="str">
        <x:v>var(--cda-sup-099)</x:v>
      </x:c>
      <x:c r="AV241" t="str">
        <x:v>Median RGB from official PDF swatch (screen reference only)</x:v>
      </x:c>
      <x:c r="AW241" t="str">
        <x:v>https://www.carandache.com/content_files/uploaded_doc/product/11426/Colour_Chart_Supracolor-BD3.pdf</x:v>
      </x:c>
      <x:c r="AX241" t="n">
        <x:v>1</x:v>
      </x:c>
      <x:c r="AY241" t="str">
        <x:v>Official</x:v>
      </x:c>
      <x:c r="AZ241" t="str">
        <x:v>Official where available; curated Traditional Chinese/Japanese otherwise</x:v>
      </x:c>
      <x:c r="BA241" t="str">
        <x:v>Verified from official chart; digital HEX is approximate</x:v>
      </x:c>
      <x:c r="BB241" t="str">
        <x:v>Physical media appearance varies by paper, pressure, layering, water and scan/display profile.</x:v>
      </x:c>
    </x:row>
    <x:row r="242">
      <x:c r="A242" t="str">
        <x:f>G242&amp;"|"&amp;L242</x:f>
        <x:v>SUP|111</x:v>
      </x:c>
      <x:c r="B242" t="str">
        <x:v>69b294d3-dbcd-5572-a76c-39ba3980af18</x:v>
      </x:c>
      <x:c r="C242" t="str">
        <x:v>CDA-SUP-111</x:v>
      </x:c>
      <x:c r="D242" t="str">
        <x:v>ed48de5b-9fa5-5c31-aede-7207b4fc5200</x:v>
      </x:c>
      <x:c r="E242" t="str">
        <x:v>CDA-CODE-111</x:v>
      </x:c>
      <x:c r="F242" t="str">
        <x:v>Caran d’Ache</x:v>
      </x:c>
      <x:c r="G242" t="str">
        <x:v>SUP</x:v>
      </x:c>
      <x:c r="H242" t="str">
        <x:v>SUPRACOLOR Soft Aquarelle</x:v>
      </x:c>
      <x:c r="I242" t="str">
        <x:v>Water-soluble coloured pencil</x:v>
      </x:c>
      <x:c r="J242" t="str">
        <x:v>Artist</x:v>
      </x:c>
      <x:c r="K242" s="30" t="n">
        <x:v>21</x:v>
      </x:c>
      <x:c r="L242" s="30" t="str">
        <x:v>111</x:v>
      </x:c>
      <x:c r="M242" t="str">
        <x:v>Mauve</x:v>
      </x:c>
      <x:c r="N242" t="str">
        <x:v>淡紫色</x:v>
      </x:c>
      <x:c r="O242" t="str">
        <x:v>モーブ</x:v>
      </x:c>
      <x:c r="P242" t="str"/>
      <x:c r="Q242" t="str">
        <x:v>Mauve</x:v>
      </x:c>
      <x:c r="R242" t="str">
        <x:v>Hellrotviolett</x:v>
      </x:c>
      <x:c r="S242" t="str">
        <x:v>Malva</x:v>
      </x:c>
      <x:c r="T242" t="str">
        <x:v>Malva</x:v>
      </x:c>
      <x:c r="U242" t="str"/>
      <x:c r="V242" t="str"/>
      <x:c r="W242" t="str"/>
      <x:c r="X242" t="n">
        <x:f>IF(W242="",0,LEN(W242)-LEN(SUBSTITUTE(W242,"/",""))+1)</x:f>
        <x:v>0</x:v>
      </x:c>
      <x:c r="Y242" t="str">
        <x:v>H</x:v>
      </x:c>
      <x:c r="Z242" s="32" t="n">
        <x:v>1.67</x:v>
      </x:c>
      <x:c r="AA242" s="32" t="n">
        <x:v>3</x:v>
      </x:c>
      <x:c r="AB242" s="32" t="str">
        <x:v>Blue Wool Scale / UV 150h</x:v>
      </x:c>
      <x:c r="AC242" t="str">
        <x:v>#F3BED7</x:v>
      </x:c>
      <x:c r="AD242" s="34" t="n">
        <x:v>243</x:v>
      </x:c>
      <x:c r="AE242" s="34" t="n">
        <x:v>190</x:v>
      </x:c>
      <x:c r="AF242" s="34" t="n">
        <x:v>215</x:v>
      </x:c>
      <x:c r="AG242" s="32" t="n">
        <x:v>331.7</x:v>
      </x:c>
      <x:c r="AH242" s="32" t="n">
        <x:v>68.83</x:v>
      </x:c>
      <x:c r="AI242" s="32" t="n">
        <x:v>84.9</x:v>
      </x:c>
      <x:c r="AJ242" s="32" t="n">
        <x:v>82.27</x:v>
      </x:c>
      <x:c r="AK242" s="32" t="n">
        <x:v>22.84</x:v>
      </x:c>
      <x:c r="AL242" s="32" t="n">
        <x:v>-5.18</x:v>
      </x:c>
      <x:c r="AM242" s="32" t="str">
        <x:v>#000000</x:v>
      </x:c>
      <x:c r="AN242" s="32" t="str">
        <x:v>Black</x:v>
      </x:c>
      <x:c r="AO242" s="32" t="n">
        <x:v>13.16</x:v>
      </x:c>
      <x:c r="AP242" s="32" t="n">
        <x:v>13.16</x:v>
      </x:c>
      <x:c r="AQ242" s="32" t="n">
        <x:v>1.6</x:v>
      </x:c>
      <x:c r="AR242" s="32" t="n">
        <x:v>0.607879</x:v>
      </x:c>
      <x:c r="AS242" t="str">
        <x:v>PASS</x:v>
      </x:c>
      <x:c r="AT242" t="str">
        <x:v>--cda-sup-111</x:v>
      </x:c>
      <x:c r="AU242" t="str">
        <x:v>var(--cda-sup-111)</x:v>
      </x:c>
      <x:c r="AV242" t="str">
        <x:v>Median RGB from official PDF swatch (screen reference only)</x:v>
      </x:c>
      <x:c r="AW242" t="str">
        <x:v>https://www.carandache.com/content_files/uploaded_doc/product/11426/Colour_Chart_Supracolor-BD3.pdf</x:v>
      </x:c>
      <x:c r="AX242" t="n">
        <x:v>1</x:v>
      </x:c>
      <x:c r="AY242" t="str">
        <x:v>Official</x:v>
      </x:c>
      <x:c r="AZ242" t="str">
        <x:v>Official where available; curated Traditional Chinese/Japanese otherwise</x:v>
      </x:c>
      <x:c r="BA242" t="str">
        <x:v>Verified from official chart; digital HEX is approximate</x:v>
      </x:c>
      <x:c r="BB242" t="str">
        <x:v>Physical media appearance varies by paper, pressure, layering, water and scan/display profile.</x:v>
      </x:c>
    </x:row>
    <x:row r="243">
      <x:c r="A243" t="str">
        <x:f>G243&amp;"|"&amp;L243</x:f>
        <x:v>SUP|131</x:v>
      </x:c>
      <x:c r="B243" t="str">
        <x:v>3b3b56f2-bf68-57e3-8bd5-08b52e557afb</x:v>
      </x:c>
      <x:c r="C243" t="str">
        <x:v>CDA-SUP-131</x:v>
      </x:c>
      <x:c r="D243" t="str">
        <x:v>e0da0eb4-8bbe-57dd-a5fe-0cf6204da565</x:v>
      </x:c>
      <x:c r="E243" t="str">
        <x:v>CDA-CODE-131</x:v>
      </x:c>
      <x:c r="F243" t="str">
        <x:v>Caran d’Ache</x:v>
      </x:c>
      <x:c r="G243" t="str">
        <x:v>SUP</x:v>
      </x:c>
      <x:c r="H243" t="str">
        <x:v>SUPRACOLOR Soft Aquarelle</x:v>
      </x:c>
      <x:c r="I243" t="str">
        <x:v>Water-soluble coloured pencil</x:v>
      </x:c>
      <x:c r="J243" t="str">
        <x:v>Artist</x:v>
      </x:c>
      <x:c r="K243" s="30" t="n">
        <x:v>22</x:v>
      </x:c>
      <x:c r="L243" s="30" t="str">
        <x:v>131</x:v>
      </x:c>
      <x:c r="M243" t="str">
        <x:v>Periwinkle blue</x:v>
      </x:c>
      <x:c r="N243" t="str">
        <x:v>長春花藍</x:v>
      </x:c>
      <x:c r="O243" t="str">
        <x:v>ペリウィンクルブルー</x:v>
      </x:c>
      <x:c r="P243" t="str"/>
      <x:c r="Q243" t="str">
        <x:v>Pervenche</x:v>
      </x:c>
      <x:c r="R243" t="str">
        <x:v>Hellviolett</x:v>
      </x:c>
      <x:c r="S243" t="str">
        <x:v>Blu pervinca</x:v>
      </x:c>
      <x:c r="T243" t="str">
        <x:v>Pervenche</x:v>
      </x:c>
      <x:c r="U243" t="str"/>
      <x:c r="V243" t="str"/>
      <x:c r="W243" t="str"/>
      <x:c r="X243" t="n">
        <x:f>IF(W243="",0,LEN(W243)-LEN(SUBSTITUTE(W243,"/",""))+1)</x:f>
        <x:v>0</x:v>
      </x:c>
      <x:c r="Y243" t="str">
        <x:v>H</x:v>
      </x:c>
      <x:c r="Z243" s="32" t="n">
        <x:v>1.67</x:v>
      </x:c>
      <x:c r="AA243" s="32" t="n">
        <x:v>3</x:v>
      </x:c>
      <x:c r="AB243" s="32" t="str">
        <x:v>Blue Wool Scale / UV 150h</x:v>
      </x:c>
      <x:c r="AC243" t="str">
        <x:v>#D8AFCE</x:v>
      </x:c>
      <x:c r="AD243" s="34" t="n">
        <x:v>216</x:v>
      </x:c>
      <x:c r="AE243" s="34" t="n">
        <x:v>175</x:v>
      </x:c>
      <x:c r="AF243" s="34" t="n">
        <x:v>206</x:v>
      </x:c>
      <x:c r="AG243" s="32" t="n">
        <x:v>314.63</x:v>
      </x:c>
      <x:c r="AH243" s="32" t="n">
        <x:v>34.45</x:v>
      </x:c>
      <x:c r="AI243" s="32" t="n">
        <x:v>76.67</x:v>
      </x:c>
      <x:c r="AJ243" s="32" t="n">
        <x:v>75.89</x:v>
      </x:c>
      <x:c r="AK243" s="32" t="n">
        <x:v>20.02</x:v>
      </x:c>
      <x:c r="AL243" s="32" t="n">
        <x:v>-10.04</x:v>
      </x:c>
      <x:c r="AM243" s="32" t="str">
        <x:v>#000000</x:v>
      </x:c>
      <x:c r="AN243" s="32" t="str">
        <x:v>Black</x:v>
      </x:c>
      <x:c r="AO243" s="32" t="n">
        <x:v>10.94</x:v>
      </x:c>
      <x:c r="AP243" s="32" t="n">
        <x:v>10.94</x:v>
      </x:c>
      <x:c r="AQ243" s="32" t="n">
        <x:v>1.92</x:v>
      </x:c>
      <x:c r="AR243" s="32" t="n">
        <x:v>0.497151</x:v>
      </x:c>
      <x:c r="AS243" t="str">
        <x:v>PASS</x:v>
      </x:c>
      <x:c r="AT243" t="str">
        <x:v>--cda-sup-131</x:v>
      </x:c>
      <x:c r="AU243" t="str">
        <x:v>var(--cda-sup-131)</x:v>
      </x:c>
      <x:c r="AV243" t="str">
        <x:v>Median RGB from official PDF swatch (screen reference only)</x:v>
      </x:c>
      <x:c r="AW243" t="str">
        <x:v>https://www.carandache.com/content_files/uploaded_doc/product/11426/Colour_Chart_Supracolor-BD3.pdf</x:v>
      </x:c>
      <x:c r="AX243" t="n">
        <x:v>1</x:v>
      </x:c>
      <x:c r="AY243" t="str">
        <x:v>Official</x:v>
      </x:c>
      <x:c r="AZ243" t="str">
        <x:v>Official where available; curated Traditional Chinese/Japanese otherwise</x:v>
      </x:c>
      <x:c r="BA243" t="str">
        <x:v>Verified from official chart; digital HEX is approximate</x:v>
      </x:c>
      <x:c r="BB243" t="str">
        <x:v>Physical media appearance varies by paper, pressure, layering, water and scan/display profile.</x:v>
      </x:c>
    </x:row>
    <x:row r="244">
      <x:c r="A244" t="str">
        <x:f>G244&amp;"|"&amp;L244</x:f>
        <x:v>SUP|130</x:v>
      </x:c>
      <x:c r="B244" t="str">
        <x:v>a007c5c2-edcb-524e-b2a0-3962607e0a8c</x:v>
      </x:c>
      <x:c r="C244" t="str">
        <x:v>CDA-SUP-130</x:v>
      </x:c>
      <x:c r="D244" t="str">
        <x:v>43c027dd-6187-531d-b042-64d6d78c816b</x:v>
      </x:c>
      <x:c r="E244" t="str">
        <x:v>CDA-CODE-130</x:v>
      </x:c>
      <x:c r="F244" t="str">
        <x:v>Caran d’Ache</x:v>
      </x:c>
      <x:c r="G244" t="str">
        <x:v>SUP</x:v>
      </x:c>
      <x:c r="H244" t="str">
        <x:v>SUPRACOLOR Soft Aquarelle</x:v>
      </x:c>
      <x:c r="I244" t="str">
        <x:v>Water-soluble coloured pencil</x:v>
      </x:c>
      <x:c r="J244" t="str">
        <x:v>Artist</x:v>
      </x:c>
      <x:c r="K244" s="30" t="n">
        <x:v>23</x:v>
      </x:c>
      <x:c r="L244" s="30" t="str">
        <x:v>130</x:v>
      </x:c>
      <x:c r="M244" t="str">
        <x:v>Royal blue</x:v>
      </x:c>
      <x:c r="N244" t="str">
        <x:v>皇家藍</x:v>
      </x:c>
      <x:c r="O244" t="str">
        <x:v>ロイヤルブルー</x:v>
      </x:c>
      <x:c r="P244" t="str"/>
      <x:c r="Q244" t="str">
        <x:v>Bleu royal</x:v>
      </x:c>
      <x:c r="R244" t="str">
        <x:v>Königsblau</x:v>
      </x:c>
      <x:c r="S244" t="str">
        <x:v>Blu royal</x:v>
      </x:c>
      <x:c r="T244" t="str">
        <x:v>Azul real</x:v>
      </x:c>
      <x:c r="U244" t="str"/>
      <x:c r="V244" t="str"/>
      <x:c r="W244" t="str"/>
      <x:c r="X244" t="n">
        <x:f>IF(W244="",0,LEN(W244)-LEN(SUBSTITUTE(W244,"/",""))+1)</x:f>
        <x:v>0</x:v>
      </x:c>
      <x:c r="Y244" t="str">
        <x:v>H</x:v>
      </x:c>
      <x:c r="Z244" s="32" t="n">
        <x:v>1.67</x:v>
      </x:c>
      <x:c r="AA244" s="32" t="n">
        <x:v>3</x:v>
      </x:c>
      <x:c r="AB244" s="32" t="str">
        <x:v>Blue Wool Scale / UV 150h</x:v>
      </x:c>
      <x:c r="AC244" t="str">
        <x:v>#9C8FC4</x:v>
      </x:c>
      <x:c r="AD244" s="34" t="n">
        <x:v>156</x:v>
      </x:c>
      <x:c r="AE244" s="34" t="n">
        <x:v>143</x:v>
      </x:c>
      <x:c r="AF244" s="34" t="n">
        <x:v>196</x:v>
      </x:c>
      <x:c r="AG244" s="32" t="n">
        <x:v>254.72</x:v>
      </x:c>
      <x:c r="AH244" s="32" t="n">
        <x:v>30.99</x:v>
      </x:c>
      <x:c r="AI244" s="32" t="n">
        <x:v>66.47</x:v>
      </x:c>
      <x:c r="AJ244" s="32" t="n">
        <x:v>62.25</x:v>
      </x:c>
      <x:c r="AK244" s="32" t="n">
        <x:v>15.87</x:v>
      </x:c>
      <x:c r="AL244" s="32" t="n">
        <x:v>-25.68</x:v>
      </x:c>
      <x:c r="AM244" s="32" t="str">
        <x:v>#000000</x:v>
      </x:c>
      <x:c r="AN244" s="32" t="str">
        <x:v>Black</x:v>
      </x:c>
      <x:c r="AO244" s="32" t="n">
        <x:v>7.14</x:v>
      </x:c>
      <x:c r="AP244" s="32" t="n">
        <x:v>7.14</x:v>
      </x:c>
      <x:c r="AQ244" s="32" t="n">
        <x:v>2.94</x:v>
      </x:c>
      <x:c r="AR244" s="32" t="n">
        <x:v>0.306984</x:v>
      </x:c>
      <x:c r="AS244" t="str">
        <x:v>PASS</x:v>
      </x:c>
      <x:c r="AT244" t="str">
        <x:v>--cda-sup-130</x:v>
      </x:c>
      <x:c r="AU244" t="str">
        <x:v>var(--cda-sup-130)</x:v>
      </x:c>
      <x:c r="AV244" t="str">
        <x:v>Median RGB from official PDF swatch (screen reference only)</x:v>
      </x:c>
      <x:c r="AW244" t="str">
        <x:v>https://www.carandache.com/content_files/uploaded_doc/product/11426/Colour_Chart_Supracolor-BD3.pdf</x:v>
      </x:c>
      <x:c r="AX244" t="n">
        <x:v>1</x:v>
      </x:c>
      <x:c r="AY244" t="str">
        <x:v>Official</x:v>
      </x:c>
      <x:c r="AZ244" t="str">
        <x:v>Official where available; curated Traditional Chinese/Japanese otherwise</x:v>
      </x:c>
      <x:c r="BA244" t="str">
        <x:v>Verified from official chart; digital HEX is approximate</x:v>
      </x:c>
      <x:c r="BB244" t="str">
        <x:v>Physical media appearance varies by paper, pressure, layering, water and scan/display profile.</x:v>
      </x:c>
    </x:row>
    <x:row r="245">
      <x:c r="A245" t="str">
        <x:f>G245&amp;"|"&amp;L245</x:f>
        <x:v>SUP|120</x:v>
      </x:c>
      <x:c r="B245" t="str">
        <x:v>20a357f5-010e-5ff5-a3a6-68c6259a1562</x:v>
      </x:c>
      <x:c r="C245" t="str">
        <x:v>CDA-SUP-120</x:v>
      </x:c>
      <x:c r="D245" t="str">
        <x:v>fee913f0-b01c-52a4-9be8-3e5be4c01b51</x:v>
      </x:c>
      <x:c r="E245" t="str">
        <x:v>CDA-CODE-120</x:v>
      </x:c>
      <x:c r="F245" t="str">
        <x:v>Caran d’Ache</x:v>
      </x:c>
      <x:c r="G245" t="str">
        <x:v>SUP</x:v>
      </x:c>
      <x:c r="H245" t="str">
        <x:v>SUPRACOLOR Soft Aquarelle</x:v>
      </x:c>
      <x:c r="I245" t="str">
        <x:v>Water-soluble coloured pencil</x:v>
      </x:c>
      <x:c r="J245" t="str">
        <x:v>Artist</x:v>
      </x:c>
      <x:c r="K245" s="30" t="n">
        <x:v>24</x:v>
      </x:c>
      <x:c r="L245" s="30" t="str">
        <x:v>120</x:v>
      </x:c>
      <x:c r="M245" t="str">
        <x:v>Violet</x:v>
      </x:c>
      <x:c r="N245" t="str">
        <x:v>紫羅蘭色</x:v>
      </x:c>
      <x:c r="O245" t="str">
        <x:v>バイオレット</x:v>
      </x:c>
      <x:c r="P245" t="str"/>
      <x:c r="Q245" t="str">
        <x:v>Violet</x:v>
      </x:c>
      <x:c r="R245" t="str">
        <x:v>Violett</x:v>
      </x:c>
      <x:c r="S245" t="str">
        <x:v>Violetto</x:v>
      </x:c>
      <x:c r="T245" t="str">
        <x:v>Violeta</x:v>
      </x:c>
      <x:c r="U245" t="str"/>
      <x:c r="V245" t="str"/>
      <x:c r="W245" t="str"/>
      <x:c r="X245" t="n">
        <x:f>IF(W245="",0,LEN(W245)-LEN(SUBSTITUTE(W245,"/",""))+1)</x:f>
        <x:v>0</x:v>
      </x:c>
      <x:c r="Y245" t="str">
        <x:v>H</x:v>
      </x:c>
      <x:c r="Z245" s="32" t="n">
        <x:v>1.67</x:v>
      </x:c>
      <x:c r="AA245" s="32" t="n">
        <x:v>3</x:v>
      </x:c>
      <x:c r="AB245" s="32" t="str">
        <x:v>Blue Wool Scale / UV 150h</x:v>
      </x:c>
      <x:c r="AC245" t="str">
        <x:v>#9679B7</x:v>
      </x:c>
      <x:c r="AD245" s="34" t="n">
        <x:v>150</x:v>
      </x:c>
      <x:c r="AE245" s="34" t="n">
        <x:v>121</x:v>
      </x:c>
      <x:c r="AF245" s="34" t="n">
        <x:v>183</x:v>
      </x:c>
      <x:c r="AG245" s="32" t="n">
        <x:v>268.06</x:v>
      </x:c>
      <x:c r="AH245" s="32" t="n">
        <x:v>30.1</x:v>
      </x:c>
      <x:c r="AI245" s="32" t="n">
        <x:v>59.61</x:v>
      </x:c>
      <x:c r="AJ245" s="32" t="n">
        <x:v>55.66</x:v>
      </x:c>
      <x:c r="AK245" s="32" t="n">
        <x:v>23.65</x:v>
      </x:c>
      <x:c r="AL245" s="32" t="n">
        <x:v>-28.52</x:v>
      </x:c>
      <x:c r="AM245" s="32" t="str">
        <x:v>#000000</x:v>
      </x:c>
      <x:c r="AN245" s="32" t="str">
        <x:v>Black</x:v>
      </x:c>
      <x:c r="AO245" s="32" t="n">
        <x:v>5.72</x:v>
      </x:c>
      <x:c r="AP245" s="32" t="n">
        <x:v>5.72</x:v>
      </x:c>
      <x:c r="AQ245" s="32" t="n">
        <x:v>3.67</x:v>
      </x:c>
      <x:c r="AR245" s="32" t="n">
        <x:v>0.235777</x:v>
      </x:c>
      <x:c r="AS245" t="str">
        <x:v>PASS</x:v>
      </x:c>
      <x:c r="AT245" t="str">
        <x:v>--cda-sup-120</x:v>
      </x:c>
      <x:c r="AU245" t="str">
        <x:v>var(--cda-sup-120)</x:v>
      </x:c>
      <x:c r="AV245" t="str">
        <x:v>Median RGB from official PDF swatch (screen reference only)</x:v>
      </x:c>
      <x:c r="AW245" t="str">
        <x:v>https://www.carandache.com/content_files/uploaded_doc/product/11426/Colour_Chart_Supracolor-BD3.pdf</x:v>
      </x:c>
      <x:c r="AX245" t="n">
        <x:v>1</x:v>
      </x:c>
      <x:c r="AY245" t="str">
        <x:v>Official</x:v>
      </x:c>
      <x:c r="AZ245" t="str">
        <x:v>Official where available; curated Traditional Chinese/Japanese otherwise</x:v>
      </x:c>
      <x:c r="BA245" t="str">
        <x:v>Verified from official chart; digital HEX is approximate</x:v>
      </x:c>
      <x:c r="BB245" t="str">
        <x:v>Physical media appearance varies by paper, pressure, layering, water and scan/display profile.</x:v>
      </x:c>
    </x:row>
    <x:row r="246">
      <x:c r="A246" t="str">
        <x:f>G246&amp;"|"&amp;L246</x:f>
        <x:v>SUP|139</x:v>
      </x:c>
      <x:c r="B246" t="str">
        <x:v>13fc2035-32e5-5473-be63-a6af511549a3</x:v>
      </x:c>
      <x:c r="C246" t="str">
        <x:v>CDA-SUP-139</x:v>
      </x:c>
      <x:c r="D246" t="str">
        <x:v>82319dcf-1981-54ac-8bc2-b72f5862f24d</x:v>
      </x:c>
      <x:c r="E246" t="str">
        <x:v>CDA-CODE-139</x:v>
      </x:c>
      <x:c r="F246" t="str">
        <x:v>Caran d’Ache</x:v>
      </x:c>
      <x:c r="G246" t="str">
        <x:v>SUP</x:v>
      </x:c>
      <x:c r="H246" t="str">
        <x:v>SUPRACOLOR Soft Aquarelle</x:v>
      </x:c>
      <x:c r="I246" t="str">
        <x:v>Water-soluble coloured pencil</x:v>
      </x:c>
      <x:c r="J246" t="str">
        <x:v>Artist</x:v>
      </x:c>
      <x:c r="K246" s="30" t="n">
        <x:v>25</x:v>
      </x:c>
      <x:c r="L246" s="30" t="str">
        <x:v>139</x:v>
      </x:c>
      <x:c r="M246" t="str">
        <x:v>Indigo blue</x:v>
      </x:c>
      <x:c r="N246" t="str">
        <x:v>靛藍</x:v>
      </x:c>
      <x:c r="O246" t="str">
        <x:v>インディゴブルー</x:v>
      </x:c>
      <x:c r="P246" t="str"/>
      <x:c r="Q246" t="str">
        <x:v>Bleu indigo</x:v>
      </x:c>
      <x:c r="R246" t="str">
        <x:v>Indigoblau</x:v>
      </x:c>
      <x:c r="S246" t="str">
        <x:v>Indaco</x:v>
      </x:c>
      <x:c r="T246" t="str">
        <x:v>Azul índigo</x:v>
      </x:c>
      <x:c r="U246" t="str"/>
      <x:c r="V246" t="str"/>
      <x:c r="W246" t="str"/>
      <x:c r="X246" t="n">
        <x:f>IF(W246="",0,LEN(W246)-LEN(SUBSTITUTE(W246,"/",""))+1)</x:f>
        <x:v>0</x:v>
      </x:c>
      <x:c r="Y246" t="str">
        <x:v>H</x:v>
      </x:c>
      <x:c r="Z246" s="32" t="n">
        <x:v>1.67</x:v>
      </x:c>
      <x:c r="AA246" s="32" t="n">
        <x:v>3</x:v>
      </x:c>
      <x:c r="AB246" s="32" t="str">
        <x:v>Blue Wool Scale / UV 150h</x:v>
      </x:c>
      <x:c r="AC246" t="str">
        <x:v>#9C95C8</x:v>
      </x:c>
      <x:c r="AD246" s="34" t="n">
        <x:v>156</x:v>
      </x:c>
      <x:c r="AE246" s="34" t="n">
        <x:v>149</x:v>
      </x:c>
      <x:c r="AF246" s="34" t="n">
        <x:v>200</x:v>
      </x:c>
      <x:c r="AG246" s="32" t="n">
        <x:v>248.24</x:v>
      </x:c>
      <x:c r="AH246" s="32" t="n">
        <x:v>31.68</x:v>
      </x:c>
      <x:c r="AI246" s="32" t="n">
        <x:v>68.43</x:v>
      </x:c>
      <x:c r="AJ246" s="32" t="n">
        <x:v>63.94</x:v>
      </x:c>
      <x:c r="AK246" s="32" t="n">
        <x:v>13.39</x:v>
      </x:c>
      <x:c r="AL246" s="32" t="n">
        <x:v>-25.32</x:v>
      </x:c>
      <x:c r="AM246" s="32" t="str">
        <x:v>#000000</x:v>
      </x:c>
      <x:c r="AN246" s="32" t="str">
        <x:v>Black</x:v>
      </x:c>
      <x:c r="AO246" s="32" t="n">
        <x:v>7.55</x:v>
      </x:c>
      <x:c r="AP246" s="32" t="n">
        <x:v>7.55</x:v>
      </x:c>
      <x:c r="AQ246" s="32" t="n">
        <x:v>2.78</x:v>
      </x:c>
      <x:c r="AR246" s="32" t="n">
        <x:v>0.327329</x:v>
      </x:c>
      <x:c r="AS246" t="str">
        <x:v>PASS</x:v>
      </x:c>
      <x:c r="AT246" t="str">
        <x:v>--cda-sup-139</x:v>
      </x:c>
      <x:c r="AU246" t="str">
        <x:v>var(--cda-sup-139)</x:v>
      </x:c>
      <x:c r="AV246" t="str">
        <x:v>Median RGB from official PDF swatch (screen reference only)</x:v>
      </x:c>
      <x:c r="AW246" t="str">
        <x:v>https://www.carandache.com/content_files/uploaded_doc/product/11426/Colour_Chart_Supracolor-BD3.pdf</x:v>
      </x:c>
      <x:c r="AX246" t="n">
        <x:v>1</x:v>
      </x:c>
      <x:c r="AY246" t="str">
        <x:v>Official</x:v>
      </x:c>
      <x:c r="AZ246" t="str">
        <x:v>Official where available; curated Traditional Chinese/Japanese otherwise</x:v>
      </x:c>
      <x:c r="BA246" t="str">
        <x:v>Verified from official chart; digital HEX is approximate</x:v>
      </x:c>
      <x:c r="BB246" t="str">
        <x:v>Physical media appearance varies by paper, pressure, layering, water and scan/display profile.</x:v>
      </x:c>
    </x:row>
    <x:row r="247">
      <x:c r="A247" t="str">
        <x:f>G247&amp;"|"&amp;L247</x:f>
        <x:v>SUP|159</x:v>
      </x:c>
      <x:c r="B247" t="str">
        <x:v>43c8a10c-f802-5ec9-aa23-e6701aef4fc3</x:v>
      </x:c>
      <x:c r="C247" t="str">
        <x:v>CDA-SUP-159</x:v>
      </x:c>
      <x:c r="D247" t="str">
        <x:v>08addc77-b004-586f-abb1-86a724f3b33e</x:v>
      </x:c>
      <x:c r="E247" t="str">
        <x:v>CDA-CODE-159</x:v>
      </x:c>
      <x:c r="F247" t="str">
        <x:v>Caran d’Ache</x:v>
      </x:c>
      <x:c r="G247" t="str">
        <x:v>SUP</x:v>
      </x:c>
      <x:c r="H247" t="str">
        <x:v>SUPRACOLOR Soft Aquarelle</x:v>
      </x:c>
      <x:c r="I247" t="str">
        <x:v>Water-soluble coloured pencil</x:v>
      </x:c>
      <x:c r="J247" t="str">
        <x:v>Artist</x:v>
      </x:c>
      <x:c r="K247" s="30" t="n">
        <x:v>26</x:v>
      </x:c>
      <x:c r="L247" s="30" t="str">
        <x:v>159</x:v>
      </x:c>
      <x:c r="M247" t="str">
        <x:v>Prussian blue</x:v>
      </x:c>
      <x:c r="N247" t="str">
        <x:v>普魯士藍</x:v>
      </x:c>
      <x:c r="O247" t="str">
        <x:v>プルシャンブルー</x:v>
      </x:c>
      <x:c r="P247" t="str"/>
      <x:c r="Q247" t="str">
        <x:v>Bleu de Prusse</x:v>
      </x:c>
      <x:c r="R247" t="str">
        <x:v>Preussischblau</x:v>
      </x:c>
      <x:c r="S247" t="str">
        <x:v>Blu di Prussia</x:v>
      </x:c>
      <x:c r="T247" t="str">
        <x:v>Azul de Prusia</x:v>
      </x:c>
      <x:c r="U247" t="str"/>
      <x:c r="V247" t="str"/>
      <x:c r="W247" t="str"/>
      <x:c r="X247" t="n">
        <x:f>IF(W247="",0,LEN(W247)-LEN(SUBSTITUTE(W247,"/",""))+1)</x:f>
        <x:v>0</x:v>
      </x:c>
      <x:c r="Y247" t="str">
        <x:v>H</x:v>
      </x:c>
      <x:c r="Z247" s="32" t="n">
        <x:v>1.67</x:v>
      </x:c>
      <x:c r="AA247" s="32" t="n">
        <x:v>3</x:v>
      </x:c>
      <x:c r="AB247" s="32" t="str">
        <x:v>Blue Wool Scale / UV 150h</x:v>
      </x:c>
      <x:c r="AC247" t="str">
        <x:v>#5B9DD4</x:v>
      </x:c>
      <x:c r="AD247" s="34" t="n">
        <x:v>91</x:v>
      </x:c>
      <x:c r="AE247" s="34" t="n">
        <x:v>157</x:v>
      </x:c>
      <x:c r="AF247" s="34" t="n">
        <x:v>212</x:v>
      </x:c>
      <x:c r="AG247" s="32" t="n">
        <x:v>207.27</x:v>
      </x:c>
      <x:c r="AH247" s="32" t="n">
        <x:v>58.45</x:v>
      </x:c>
      <x:c r="AI247" s="32" t="n">
        <x:v>59.41</x:v>
      </x:c>
      <x:c r="AJ247" s="32" t="n">
        <x:v>62.58</x:v>
      </x:c>
      <x:c r="AK247" s="32" t="n">
        <x:v>-5.04</x:v>
      </x:c>
      <x:c r="AL247" s="32" t="n">
        <x:v>-34.44</x:v>
      </x:c>
      <x:c r="AM247" s="32" t="str">
        <x:v>#000000</x:v>
      </x:c>
      <x:c r="AN247" s="32" t="str">
        <x:v>Black</x:v>
      </x:c>
      <x:c r="AO247" s="32" t="n">
        <x:v>7.22</x:v>
      </x:c>
      <x:c r="AP247" s="32" t="n">
        <x:v>7.22</x:v>
      </x:c>
      <x:c r="AQ247" s="32" t="n">
        <x:v>2.91</x:v>
      </x:c>
      <x:c r="AR247" s="32" t="n">
        <x:v>0.310916</x:v>
      </x:c>
      <x:c r="AS247" t="str">
        <x:v>PASS</x:v>
      </x:c>
      <x:c r="AT247" t="str">
        <x:v>--cda-sup-159</x:v>
      </x:c>
      <x:c r="AU247" t="str">
        <x:v>var(--cda-sup-159)</x:v>
      </x:c>
      <x:c r="AV247" t="str">
        <x:v>Median RGB from official PDF swatch (screen reference only)</x:v>
      </x:c>
      <x:c r="AW247" t="str">
        <x:v>https://www.carandache.com/content_files/uploaded_doc/product/11426/Colour_Chart_Supracolor-BD3.pdf</x:v>
      </x:c>
      <x:c r="AX247" t="n">
        <x:v>1</x:v>
      </x:c>
      <x:c r="AY247" t="str">
        <x:v>Official</x:v>
      </x:c>
      <x:c r="AZ247" t="str">
        <x:v>Official where available; curated Traditional Chinese/Japanese otherwise</x:v>
      </x:c>
      <x:c r="BA247" t="str">
        <x:v>Verified from official chart; digital HEX is approximate</x:v>
      </x:c>
      <x:c r="BB247" t="str">
        <x:v>Physical media appearance varies by paper, pressure, layering, water and scan/display profile.</x:v>
      </x:c>
    </x:row>
    <x:row r="248">
      <x:c r="A248" t="str">
        <x:f>G248&amp;"|"&amp;L248</x:f>
        <x:v>SUP|140</x:v>
      </x:c>
      <x:c r="B248" t="str">
        <x:v>88d95f3c-cfe7-5ffb-8072-181a8f1ae624</x:v>
      </x:c>
      <x:c r="C248" t="str">
        <x:v>CDA-SUP-140</x:v>
      </x:c>
      <x:c r="D248" t="str">
        <x:v>1cc51d9d-3506-5022-8478-a1ae9af587e8</x:v>
      </x:c>
      <x:c r="E248" t="str">
        <x:v>CDA-CODE-140</x:v>
      </x:c>
      <x:c r="F248" t="str">
        <x:v>Caran d’Ache</x:v>
      </x:c>
      <x:c r="G248" t="str">
        <x:v>SUP</x:v>
      </x:c>
      <x:c r="H248" t="str">
        <x:v>SUPRACOLOR Soft Aquarelle</x:v>
      </x:c>
      <x:c r="I248" t="str">
        <x:v>Water-soluble coloured pencil</x:v>
      </x:c>
      <x:c r="J248" t="str">
        <x:v>Artist</x:v>
      </x:c>
      <x:c r="K248" s="30" t="n">
        <x:v>27</x:v>
      </x:c>
      <x:c r="L248" s="30" t="str">
        <x:v>140</x:v>
      </x:c>
      <x:c r="M248" t="str">
        <x:v>Ultramarine</x:v>
      </x:c>
      <x:c r="N248" t="str">
        <x:v>群青</x:v>
      </x:c>
      <x:c r="O248" t="str">
        <x:v>ウルトラマリン</x:v>
      </x:c>
      <x:c r="P248" t="str"/>
      <x:c r="Q248" t="str">
        <x:v>Bleu outremer</x:v>
      </x:c>
      <x:c r="R248" t="str">
        <x:v>Ultramarinblau</x:v>
      </x:c>
      <x:c r="S248" t="str">
        <x:v>Blu oltremare</x:v>
      </x:c>
      <x:c r="T248" t="str">
        <x:v>Azul ultramar</x:v>
      </x:c>
      <x:c r="U248" t="str"/>
      <x:c r="V248" t="str"/>
      <x:c r="W248" t="str"/>
      <x:c r="X248" t="n">
        <x:f>IF(W248="",0,LEN(W248)-LEN(SUBSTITUTE(W248,"/",""))+1)</x:f>
        <x:v>0</x:v>
      </x:c>
      <x:c r="Y248" t="str">
        <x:v>H</x:v>
      </x:c>
      <x:c r="Z248" s="32" t="n">
        <x:v>1.67</x:v>
      </x:c>
      <x:c r="AA248" s="32" t="n">
        <x:v>3</x:v>
      </x:c>
      <x:c r="AB248" s="32" t="str">
        <x:v>Blue Wool Scale / UV 150h</x:v>
      </x:c>
      <x:c r="AC248" t="str">
        <x:v>#6C9DD4</x:v>
      </x:c>
      <x:c r="AD248" s="34" t="n">
        <x:v>108</x:v>
      </x:c>
      <x:c r="AE248" s="34" t="n">
        <x:v>157</x:v>
      </x:c>
      <x:c r="AF248" s="34" t="n">
        <x:v>212</x:v>
      </x:c>
      <x:c r="AG248" s="32" t="n">
        <x:v>211.73</x:v>
      </x:c>
      <x:c r="AH248" s="32" t="n">
        <x:v>54.74</x:v>
      </x:c>
      <x:c r="AI248" s="32" t="n">
        <x:v>62.75</x:v>
      </x:c>
      <x:c r="AJ248" s="32" t="n">
        <x:v>63.39</x:v>
      </x:c>
      <x:c r="AK248" s="32" t="n">
        <x:v>-1.3</x:v>
      </x:c>
      <x:c r="AL248" s="32" t="n">
        <x:v>-33.13</x:v>
      </x:c>
      <x:c r="AM248" s="32" t="str">
        <x:v>#000000</x:v>
      </x:c>
      <x:c r="AN248" s="32" t="str">
        <x:v>Black</x:v>
      </x:c>
      <x:c r="AO248" s="32" t="n">
        <x:v>7.41</x:v>
      </x:c>
      <x:c r="AP248" s="32" t="n">
        <x:v>7.41</x:v>
      </x:c>
      <x:c r="AQ248" s="32" t="n">
        <x:v>2.83</x:v>
      </x:c>
      <x:c r="AR248" s="32" t="n">
        <x:v>0.320556</x:v>
      </x:c>
      <x:c r="AS248" t="str">
        <x:v>PASS</x:v>
      </x:c>
      <x:c r="AT248" t="str">
        <x:v>--cda-sup-140</x:v>
      </x:c>
      <x:c r="AU248" t="str">
        <x:v>var(--cda-sup-140)</x:v>
      </x:c>
      <x:c r="AV248" t="str">
        <x:v>Median RGB from official PDF swatch (screen reference only)</x:v>
      </x:c>
      <x:c r="AW248" t="str">
        <x:v>https://www.carandache.com/content_files/uploaded_doc/product/11426/Colour_Chart_Supracolor-BD3.pdf</x:v>
      </x:c>
      <x:c r="AX248" t="n">
        <x:v>1</x:v>
      </x:c>
      <x:c r="AY248" t="str">
        <x:v>Official</x:v>
      </x:c>
      <x:c r="AZ248" t="str">
        <x:v>Official where available; curated Traditional Chinese/Japanese otherwise</x:v>
      </x:c>
      <x:c r="BA248" t="str">
        <x:v>Verified from official chart; digital HEX is approximate</x:v>
      </x:c>
      <x:c r="BB248" t="str">
        <x:v>Physical media appearance varies by paper, pressure, layering, water and scan/display profile.</x:v>
      </x:c>
    </x:row>
    <x:row r="249">
      <x:c r="A249" t="str">
        <x:f>G249&amp;"|"&amp;L249</x:f>
        <x:v>SUP|149</x:v>
      </x:c>
      <x:c r="B249" t="str">
        <x:v>6a1a97da-3e16-5bf2-a6b1-224abd53dcd2</x:v>
      </x:c>
      <x:c r="C249" t="str">
        <x:v>CDA-SUP-149</x:v>
      </x:c>
      <x:c r="D249" t="str">
        <x:v>b0b0f599-0beb-5dd7-b398-ef01ad96ff1b</x:v>
      </x:c>
      <x:c r="E249" t="str">
        <x:v>CDA-CODE-149</x:v>
      </x:c>
      <x:c r="F249" t="str">
        <x:v>Caran d’Ache</x:v>
      </x:c>
      <x:c r="G249" t="str">
        <x:v>SUP</x:v>
      </x:c>
      <x:c r="H249" t="str">
        <x:v>SUPRACOLOR Soft Aquarelle</x:v>
      </x:c>
      <x:c r="I249" t="str">
        <x:v>Water-soluble coloured pencil</x:v>
      </x:c>
      <x:c r="J249" t="str">
        <x:v>Artist</x:v>
      </x:c>
      <x:c r="K249" s="30" t="n">
        <x:v>28</x:v>
      </x:c>
      <x:c r="L249" s="30" t="str">
        <x:v>149</x:v>
      </x:c>
      <x:c r="M249" t="str">
        <x:v>Night blue</x:v>
      </x:c>
      <x:c r="N249" t="str">
        <x:v>夜藍</x:v>
      </x:c>
      <x:c r="O249" t="str">
        <x:v>ナイトブルー</x:v>
      </x:c>
      <x:c r="P249" t="str"/>
      <x:c r="Q249" t="str">
        <x:v>Bleu nuit</x:v>
      </x:c>
      <x:c r="R249" t="str">
        <x:v>Nachtblau</x:v>
      </x:c>
      <x:c r="S249" t="str">
        <x:v>Blu notte</x:v>
      </x:c>
      <x:c r="T249" t="str">
        <x:v>Azul noche</x:v>
      </x:c>
      <x:c r="U249" t="str"/>
      <x:c r="V249" t="str"/>
      <x:c r="W249" t="str"/>
      <x:c r="X249" t="n">
        <x:f>IF(W249="",0,LEN(W249)-LEN(SUBSTITUTE(W249,"/",""))+1)</x:f>
        <x:v>0</x:v>
      </x:c>
      <x:c r="Y249" t="str">
        <x:v>H</x:v>
      </x:c>
      <x:c r="Z249" s="32" t="n">
        <x:v>1.67</x:v>
      </x:c>
      <x:c r="AA249" s="32" t="n">
        <x:v>3</x:v>
      </x:c>
      <x:c r="AB249" s="32" t="str">
        <x:v>Blue Wool Scale / UV 150h</x:v>
      </x:c>
      <x:c r="AC249" t="str">
        <x:v>#5B9DD4</x:v>
      </x:c>
      <x:c r="AD249" s="34" t="n">
        <x:v>91</x:v>
      </x:c>
      <x:c r="AE249" s="34" t="n">
        <x:v>157</x:v>
      </x:c>
      <x:c r="AF249" s="34" t="n">
        <x:v>212</x:v>
      </x:c>
      <x:c r="AG249" s="32" t="n">
        <x:v>207.27</x:v>
      </x:c>
      <x:c r="AH249" s="32" t="n">
        <x:v>58.45</x:v>
      </x:c>
      <x:c r="AI249" s="32" t="n">
        <x:v>59.41</x:v>
      </x:c>
      <x:c r="AJ249" s="32" t="n">
        <x:v>62.58</x:v>
      </x:c>
      <x:c r="AK249" s="32" t="n">
        <x:v>-5.04</x:v>
      </x:c>
      <x:c r="AL249" s="32" t="n">
        <x:v>-34.44</x:v>
      </x:c>
      <x:c r="AM249" s="32" t="str">
        <x:v>#000000</x:v>
      </x:c>
      <x:c r="AN249" s="32" t="str">
        <x:v>Black</x:v>
      </x:c>
      <x:c r="AO249" s="32" t="n">
        <x:v>7.22</x:v>
      </x:c>
      <x:c r="AP249" s="32" t="n">
        <x:v>7.22</x:v>
      </x:c>
      <x:c r="AQ249" s="32" t="n">
        <x:v>2.91</x:v>
      </x:c>
      <x:c r="AR249" s="32" t="n">
        <x:v>0.310916</x:v>
      </x:c>
      <x:c r="AS249" t="str">
        <x:v>PASS</x:v>
      </x:c>
      <x:c r="AT249" t="str">
        <x:v>--cda-sup-149</x:v>
      </x:c>
      <x:c r="AU249" t="str">
        <x:v>var(--cda-sup-149)</x:v>
      </x:c>
      <x:c r="AV249" t="str">
        <x:v>Median RGB from official PDF swatch (screen reference only)</x:v>
      </x:c>
      <x:c r="AW249" t="str">
        <x:v>https://www.carandache.com/content_files/uploaded_doc/product/11426/Colour_Chart_Supracolor-BD3.pdf</x:v>
      </x:c>
      <x:c r="AX249" t="n">
        <x:v>1</x:v>
      </x:c>
      <x:c r="AY249" t="str">
        <x:v>Official</x:v>
      </x:c>
      <x:c r="AZ249" t="str">
        <x:v>Official where available; curated Traditional Chinese/Japanese otherwise</x:v>
      </x:c>
      <x:c r="BA249" t="str">
        <x:v>Verified from official chart; digital HEX is approximate</x:v>
      </x:c>
      <x:c r="BB249" t="str">
        <x:v>Physical media appearance varies by paper, pressure, layering, water and scan/display profile.</x:v>
      </x:c>
    </x:row>
    <x:row r="250">
      <x:c r="A250" t="str">
        <x:f>G250&amp;"|"&amp;L250</x:f>
        <x:v>SUP|150</x:v>
      </x:c>
      <x:c r="B250" t="str">
        <x:v>e5f23b9c-fda1-5ff4-8ead-b1cc8f10b6a0</x:v>
      </x:c>
      <x:c r="C250" t="str">
        <x:v>CDA-SUP-150</x:v>
      </x:c>
      <x:c r="D250" t="str">
        <x:v>1efcdfd5-1f9c-5830-a849-7c18919825be</x:v>
      </x:c>
      <x:c r="E250" t="str">
        <x:v>CDA-CODE-150</x:v>
      </x:c>
      <x:c r="F250" t="str">
        <x:v>Caran d’Ache</x:v>
      </x:c>
      <x:c r="G250" t="str">
        <x:v>SUP</x:v>
      </x:c>
      <x:c r="H250" t="str">
        <x:v>SUPRACOLOR Soft Aquarelle</x:v>
      </x:c>
      <x:c r="I250" t="str">
        <x:v>Water-soluble coloured pencil</x:v>
      </x:c>
      <x:c r="J250" t="str">
        <x:v>Artist</x:v>
      </x:c>
      <x:c r="K250" s="30" t="n">
        <x:v>29</x:v>
      </x:c>
      <x:c r="L250" s="30" t="str">
        <x:v>150</x:v>
      </x:c>
      <x:c r="M250" t="str">
        <x:v>Sapphire blue</x:v>
      </x:c>
      <x:c r="N250" t="str">
        <x:v>藍寶石藍</x:v>
      </x:c>
      <x:c r="O250" t="str">
        <x:v>サファイアブルー</x:v>
      </x:c>
      <x:c r="P250" t="str"/>
      <x:c r="Q250" t="str">
        <x:v>Bleu saphir</x:v>
      </x:c>
      <x:c r="R250" t="str">
        <x:v>Saphirblau</x:v>
      </x:c>
      <x:c r="S250" t="str">
        <x:v>Blu zaffiro</x:v>
      </x:c>
      <x:c r="T250" t="str">
        <x:v>Azul zafiro</x:v>
      </x:c>
      <x:c r="U250" t="str"/>
      <x:c r="V250" t="str"/>
      <x:c r="W250" t="str"/>
      <x:c r="X250" t="n">
        <x:f>IF(W250="",0,LEN(W250)-LEN(SUBSTITUTE(W250,"/",""))+1)</x:f>
        <x:v>0</x:v>
      </x:c>
      <x:c r="Y250" t="str">
        <x:v>H</x:v>
      </x:c>
      <x:c r="Z250" s="32" t="n">
        <x:v>1.67</x:v>
      </x:c>
      <x:c r="AA250" s="32" t="n">
        <x:v>3</x:v>
      </x:c>
      <x:c r="AB250" s="32" t="str">
        <x:v>Blue Wool Scale / UV 150h</x:v>
      </x:c>
      <x:c r="AC250" t="str">
        <x:v>#5FC6EA</x:v>
      </x:c>
      <x:c r="AD250" s="34" t="n">
        <x:v>95</x:v>
      </x:c>
      <x:c r="AE250" s="34" t="n">
        <x:v>198</x:v>
      </x:c>
      <x:c r="AF250" s="34" t="n">
        <x:v>234</x:v>
      </x:c>
      <x:c r="AG250" s="32" t="n">
        <x:v>195.54</x:v>
      </x:c>
      <x:c r="AH250" s="32" t="n">
        <x:v>76.8</x:v>
      </x:c>
      <x:c r="AI250" s="32" t="n">
        <x:v>64.51</x:v>
      </x:c>
      <x:c r="AJ250" s="32" t="n">
        <x:v>75.3</x:v>
      </x:c>
      <x:c r="AK250" s="32" t="n">
        <x:v>-19.6</x:v>
      </x:c>
      <x:c r="AL250" s="32" t="n">
        <x:v>-26.84</x:v>
      </x:c>
      <x:c r="AM250" s="32" t="str">
        <x:v>#000000</x:v>
      </x:c>
      <x:c r="AN250" s="32" t="str">
        <x:v>Black</x:v>
      </x:c>
      <x:c r="AO250" s="32" t="n">
        <x:v>10.75</x:v>
      </x:c>
      <x:c r="AP250" s="32" t="n">
        <x:v>10.75</x:v>
      </x:c>
      <x:c r="AQ250" s="32" t="n">
        <x:v>1.95</x:v>
      </x:c>
      <x:c r="AR250" s="32" t="n">
        <x:v>0.487616</x:v>
      </x:c>
      <x:c r="AS250" t="str">
        <x:v>PASS</x:v>
      </x:c>
      <x:c r="AT250" t="str">
        <x:v>--cda-sup-150</x:v>
      </x:c>
      <x:c r="AU250" t="str">
        <x:v>var(--cda-sup-150)</x:v>
      </x:c>
      <x:c r="AV250" t="str">
        <x:v>Median RGB from official PDF swatch (screen reference only)</x:v>
      </x:c>
      <x:c r="AW250" t="str">
        <x:v>https://www.carandache.com/content_files/uploaded_doc/product/11426/Colour_Chart_Supracolor-BD3.pdf</x:v>
      </x:c>
      <x:c r="AX250" t="n">
        <x:v>1</x:v>
      </x:c>
      <x:c r="AY250" t="str">
        <x:v>Official</x:v>
      </x:c>
      <x:c r="AZ250" t="str">
        <x:v>Official where available; curated Traditional Chinese/Japanese otherwise</x:v>
      </x:c>
      <x:c r="BA250" t="str">
        <x:v>Verified from official chart; digital HEX is approximate</x:v>
      </x:c>
      <x:c r="BB250" t="str">
        <x:v>Physical media appearance varies by paper, pressure, layering, water and scan/display profile.</x:v>
      </x:c>
    </x:row>
    <x:row r="251">
      <x:c r="A251" t="str">
        <x:f>G251&amp;"|"&amp;L251</x:f>
        <x:v>SUP|260</x:v>
      </x:c>
      <x:c r="B251" t="str">
        <x:v>7095b9c4-f17b-50f1-a7dc-bb3df7430667</x:v>
      </x:c>
      <x:c r="C251" t="str">
        <x:v>CDA-SUP-260</x:v>
      </x:c>
      <x:c r="D251" t="str">
        <x:v>06d5be45-8f90-573d-a96f-05ec46073790</x:v>
      </x:c>
      <x:c r="E251" t="str">
        <x:v>CDA-CODE-260</x:v>
      </x:c>
      <x:c r="F251" t="str">
        <x:v>Caran d’Ache</x:v>
      </x:c>
      <x:c r="G251" t="str">
        <x:v>SUP</x:v>
      </x:c>
      <x:c r="H251" t="str">
        <x:v>SUPRACOLOR Soft Aquarelle</x:v>
      </x:c>
      <x:c r="I251" t="str">
        <x:v>Water-soluble coloured pencil</x:v>
      </x:c>
      <x:c r="J251" t="str">
        <x:v>Artist</x:v>
      </x:c>
      <x:c r="K251" s="30" t="n">
        <x:v>30</x:v>
      </x:c>
      <x:c r="L251" s="30" t="str">
        <x:v>260</x:v>
      </x:c>
      <x:c r="M251" t="str">
        <x:v>Blue</x:v>
      </x:c>
      <x:c r="N251" t="str">
        <x:v>藍色</x:v>
      </x:c>
      <x:c r="O251" t="str">
        <x:v>ブルー</x:v>
      </x:c>
      <x:c r="P251" t="str"/>
      <x:c r="Q251" t="str">
        <x:v>Bleu</x:v>
      </x:c>
      <x:c r="R251" t="str">
        <x:v>Blau</x:v>
      </x:c>
      <x:c r="S251" t="str">
        <x:v>Blu</x:v>
      </x:c>
      <x:c r="T251" t="str">
        <x:v>Azul</x:v>
      </x:c>
      <x:c r="U251" t="str"/>
      <x:c r="V251" t="str"/>
      <x:c r="W251" t="str"/>
      <x:c r="X251" t="n">
        <x:f>IF(W251="",0,LEN(W251)-LEN(SUBSTITUTE(W251,"/",""))+1)</x:f>
        <x:v>0</x:v>
      </x:c>
      <x:c r="Y251" t="str">
        <x:v>H</x:v>
      </x:c>
      <x:c r="Z251" s="32" t="n">
        <x:v>1.67</x:v>
      </x:c>
      <x:c r="AA251" s="32" t="n">
        <x:v>3</x:v>
      </x:c>
      <x:c r="AB251" s="32" t="str">
        <x:v>Blue Wool Scale / UV 150h</x:v>
      </x:c>
      <x:c r="AC251" t="str">
        <x:v>#54B1E3</x:v>
      </x:c>
      <x:c r="AD251" s="34" t="n">
        <x:v>84</x:v>
      </x:c>
      <x:c r="AE251" s="34" t="n">
        <x:v>177</x:v>
      </x:c>
      <x:c r="AF251" s="34" t="n">
        <x:v>227</x:v>
      </x:c>
      <x:c r="AG251" s="32" t="n">
        <x:v>200.98</x:v>
      </x:c>
      <x:c r="AH251" s="32" t="n">
        <x:v>71.86</x:v>
      </x:c>
      <x:c r="AI251" s="32" t="n">
        <x:v>60.98</x:v>
      </x:c>
      <x:c r="AJ251" s="32" t="n">
        <x:v>68.66</x:v>
      </x:c>
      <x:c r="AK251" s="32" t="n">
        <x:v>-12.64</x:v>
      </x:c>
      <x:c r="AL251" s="32" t="n">
        <x:v>-33.3</x:v>
      </x:c>
      <x:c r="AM251" s="32" t="str">
        <x:v>#000000</x:v>
      </x:c>
      <x:c r="AN251" s="32" t="str">
        <x:v>Black</x:v>
      </x:c>
      <x:c r="AO251" s="32" t="n">
        <x:v>8.78</x:v>
      </x:c>
      <x:c r="AP251" s="32" t="n">
        <x:v>8.78</x:v>
      </x:c>
      <x:c r="AQ251" s="32" t="n">
        <x:v>2.39</x:v>
      </x:c>
      <x:c r="AR251" s="32" t="n">
        <x:v>0.388752</x:v>
      </x:c>
      <x:c r="AS251" t="str">
        <x:v>PASS</x:v>
      </x:c>
      <x:c r="AT251" t="str">
        <x:v>--cda-sup-260</x:v>
      </x:c>
      <x:c r="AU251" t="str">
        <x:v>var(--cda-sup-260)</x:v>
      </x:c>
      <x:c r="AV251" t="str">
        <x:v>Median RGB from official PDF swatch (screen reference only)</x:v>
      </x:c>
      <x:c r="AW251" t="str">
        <x:v>https://www.carandache.com/content_files/uploaded_doc/product/11426/Colour_Chart_Supracolor-BD3.pdf</x:v>
      </x:c>
      <x:c r="AX251" t="n">
        <x:v>1</x:v>
      </x:c>
      <x:c r="AY251" t="str">
        <x:v>Official</x:v>
      </x:c>
      <x:c r="AZ251" t="str">
        <x:v>Official where available; curated Traditional Chinese/Japanese otherwise</x:v>
      </x:c>
      <x:c r="BA251" t="str">
        <x:v>Verified from official chart; digital HEX is approximate</x:v>
      </x:c>
      <x:c r="BB251" t="str">
        <x:v>Physical media appearance varies by paper, pressure, layering, water and scan/display profile.</x:v>
      </x:c>
    </x:row>
    <x:row r="252">
      <x:c r="A252" t="str">
        <x:f>G252&amp;"|"&amp;L252</x:f>
        <x:v>SUP|169</x:v>
      </x:c>
      <x:c r="B252" t="str">
        <x:v>94da450e-7bfa-5537-af47-f08cc6a17fb1</x:v>
      </x:c>
      <x:c r="C252" t="str">
        <x:v>CDA-SUP-169</x:v>
      </x:c>
      <x:c r="D252" t="str">
        <x:v>ec221387-abf8-5daf-a96e-3e77a16b0173</x:v>
      </x:c>
      <x:c r="E252" t="str">
        <x:v>CDA-CODE-169</x:v>
      </x:c>
      <x:c r="F252" t="str">
        <x:v>Caran d’Ache</x:v>
      </x:c>
      <x:c r="G252" t="str">
        <x:v>SUP</x:v>
      </x:c>
      <x:c r="H252" t="str">
        <x:v>SUPRACOLOR Soft Aquarelle</x:v>
      </x:c>
      <x:c r="I252" t="str">
        <x:v>Water-soluble coloured pencil</x:v>
      </x:c>
      <x:c r="J252" t="str">
        <x:v>Artist</x:v>
      </x:c>
      <x:c r="K252" s="30" t="n">
        <x:v>31</x:v>
      </x:c>
      <x:c r="L252" s="30" t="str">
        <x:v>169</x:v>
      </x:c>
      <x:c r="M252" t="str">
        <x:v>Marine blue</x:v>
      </x:c>
      <x:c r="N252" t="str">
        <x:v>海軍藍</x:v>
      </x:c>
      <x:c r="O252" t="str">
        <x:v>マリンブルー</x:v>
      </x:c>
      <x:c r="P252" t="str"/>
      <x:c r="Q252" t="str">
        <x:v>Bleu marine</x:v>
      </x:c>
      <x:c r="R252" t="str">
        <x:v>Marineblau</x:v>
      </x:c>
      <x:c r="S252" t="str">
        <x:v>Blu marino</x:v>
      </x:c>
      <x:c r="T252" t="str">
        <x:v>Azul marino</x:v>
      </x:c>
      <x:c r="U252" t="str"/>
      <x:c r="V252" t="str"/>
      <x:c r="W252" t="str"/>
      <x:c r="X252" t="n">
        <x:f>IF(W252="",0,LEN(W252)-LEN(SUBSTITUTE(W252,"/",""))+1)</x:f>
        <x:v>0</x:v>
      </x:c>
      <x:c r="Y252" t="str">
        <x:v>H</x:v>
      </x:c>
      <x:c r="Z252" s="32" t="n">
        <x:v>1.67</x:v>
      </x:c>
      <x:c r="AA252" s="32" t="n">
        <x:v>3</x:v>
      </x:c>
      <x:c r="AB252" s="32" t="str">
        <x:v>Blue Wool Scale / UV 150h</x:v>
      </x:c>
      <x:c r="AC252" t="str">
        <x:v>#57C9EB</x:v>
      </x:c>
      <x:c r="AD252" s="34" t="n">
        <x:v>87</x:v>
      </x:c>
      <x:c r="AE252" s="34" t="n">
        <x:v>201</x:v>
      </x:c>
      <x:c r="AF252" s="34" t="n">
        <x:v>235</x:v>
      </x:c>
      <x:c r="AG252" s="32" t="n">
        <x:v>193.78</x:v>
      </x:c>
      <x:c r="AH252" s="32" t="n">
        <x:v>78.72</x:v>
      </x:c>
      <x:c r="AI252" s="32" t="n">
        <x:v>63.14</x:v>
      </x:c>
      <x:c r="AJ252" s="32" t="n">
        <x:v>75.94</x:v>
      </x:c>
      <x:c r="AK252" s="32" t="n">
        <x:v>-22.21</x:v>
      </x:c>
      <x:c r="AL252" s="32" t="n">
        <x:v>-26.42</x:v>
      </x:c>
      <x:c r="AM252" s="32" t="str">
        <x:v>#000000</x:v>
      </x:c>
      <x:c r="AN252" s="32" t="str">
        <x:v>Black</x:v>
      </x:c>
      <x:c r="AO252" s="32" t="n">
        <x:v>10.96</x:v>
      </x:c>
      <x:c r="AP252" s="32" t="n">
        <x:v>10.96</x:v>
      </x:c>
      <x:c r="AQ252" s="32" t="n">
        <x:v>1.92</x:v>
      </x:c>
      <x:c r="AR252" s="32" t="n">
        <x:v>0.497977</x:v>
      </x:c>
      <x:c r="AS252" t="str">
        <x:v>PASS</x:v>
      </x:c>
      <x:c r="AT252" t="str">
        <x:v>--cda-sup-169</x:v>
      </x:c>
      <x:c r="AU252" t="str">
        <x:v>var(--cda-sup-169)</x:v>
      </x:c>
      <x:c r="AV252" t="str">
        <x:v>Median RGB from official PDF swatch (screen reference only)</x:v>
      </x:c>
      <x:c r="AW252" t="str">
        <x:v>https://www.carandache.com/content_files/uploaded_doc/product/11426/Colour_Chart_Supracolor-BD3.pdf</x:v>
      </x:c>
      <x:c r="AX252" t="n">
        <x:v>1</x:v>
      </x:c>
      <x:c r="AY252" t="str">
        <x:v>Official</x:v>
      </x:c>
      <x:c r="AZ252" t="str">
        <x:v>Official where available; curated Traditional Chinese/Japanese otherwise</x:v>
      </x:c>
      <x:c r="BA252" t="str">
        <x:v>Verified from official chart; digital HEX is approximate</x:v>
      </x:c>
      <x:c r="BB252" t="str">
        <x:v>Physical media appearance varies by paper, pressure, layering, water and scan/display profile.</x:v>
      </x:c>
    </x:row>
    <x:row r="253">
      <x:c r="A253" t="str">
        <x:f>G253&amp;"|"&amp;L253</x:f>
        <x:v>SUP|145</x:v>
      </x:c>
      <x:c r="B253" t="str">
        <x:v>e2564d26-ae1d-5305-8ec2-5851f2682249</x:v>
      </x:c>
      <x:c r="C253" t="str">
        <x:v>CDA-SUP-145</x:v>
      </x:c>
      <x:c r="D253" t="str">
        <x:v>8580dae2-477a-5d0e-afcb-89e0a00e77a6</x:v>
      </x:c>
      <x:c r="E253" t="str">
        <x:v>CDA-CODE-145</x:v>
      </x:c>
      <x:c r="F253" t="str">
        <x:v>Caran d’Ache</x:v>
      </x:c>
      <x:c r="G253" t="str">
        <x:v>SUP</x:v>
      </x:c>
      <x:c r="H253" t="str">
        <x:v>SUPRACOLOR Soft Aquarelle</x:v>
      </x:c>
      <x:c r="I253" t="str">
        <x:v>Water-soluble coloured pencil</x:v>
      </x:c>
      <x:c r="J253" t="str">
        <x:v>Artist</x:v>
      </x:c>
      <x:c r="K253" s="30" t="n">
        <x:v>32</x:v>
      </x:c>
      <x:c r="L253" s="30" t="str">
        <x:v>145</x:v>
      </x:c>
      <x:c r="M253" t="str">
        <x:v>Bluish grey</x:v>
      </x:c>
      <x:c r="N253" t="str">
        <x:v>藍灰色</x:v>
      </x:c>
      <x:c r="O253" t="str">
        <x:v>ブルーグレー</x:v>
      </x:c>
      <x:c r="P253" t="str"/>
      <x:c r="Q253" t="str">
        <x:v>Bleu gris</x:v>
      </x:c>
      <x:c r="R253" t="str">
        <x:v>Graublau</x:v>
      </x:c>
      <x:c r="S253" t="str">
        <x:v>Blu grigio</x:v>
      </x:c>
      <x:c r="T253" t="str">
        <x:v>Azul gris</x:v>
      </x:c>
      <x:c r="U253" t="str"/>
      <x:c r="V253" t="str"/>
      <x:c r="W253" t="str"/>
      <x:c r="X253" t="n">
        <x:f>IF(W253="",0,LEN(W253)-LEN(SUBSTITUTE(W253,"/",""))+1)</x:f>
        <x:v>0</x:v>
      </x:c>
      <x:c r="Y253" t="str">
        <x:v>H</x:v>
      </x:c>
      <x:c r="Z253" s="32" t="n">
        <x:v>1.67</x:v>
      </x:c>
      <x:c r="AA253" s="32" t="n">
        <x:v>3</x:v>
      </x:c>
      <x:c r="AB253" s="32" t="str">
        <x:v>Blue Wool Scale / UV 150h</x:v>
      </x:c>
      <x:c r="AC253" t="str">
        <x:v>#8BC2EA</x:v>
      </x:c>
      <x:c r="AD253" s="34" t="n">
        <x:v>139</x:v>
      </x:c>
      <x:c r="AE253" s="34" t="n">
        <x:v>194</x:v>
      </x:c>
      <x:c r="AF253" s="34" t="n">
        <x:v>234</x:v>
      </x:c>
      <x:c r="AG253" s="32" t="n">
        <x:v>205.26</x:v>
      </x:c>
      <x:c r="AH253" s="32" t="n">
        <x:v>69.34</x:v>
      </x:c>
      <x:c r="AI253" s="32" t="n">
        <x:v>73.14</x:v>
      </x:c>
      <x:c r="AJ253" s="32" t="n">
        <x:v>76.08</x:v>
      </x:c>
      <x:c r="AK253" s="32" t="n">
        <x:v>-7.8</x:v>
      </x:c>
      <x:c r="AL253" s="32" t="n">
        <x:v>-25.49</x:v>
      </x:c>
      <x:c r="AM253" s="32" t="str">
        <x:v>#000000</x:v>
      </x:c>
      <x:c r="AN253" s="32" t="str">
        <x:v>Black</x:v>
      </x:c>
      <x:c r="AO253" s="32" t="n">
        <x:v>11</x:v>
      </x:c>
      <x:c r="AP253" s="32" t="n">
        <x:v>11</x:v>
      </x:c>
      <x:c r="AQ253" s="32" t="n">
        <x:v>1.91</x:v>
      </x:c>
      <x:c r="AR253" s="32" t="n">
        <x:v>0.500131</x:v>
      </x:c>
      <x:c r="AS253" t="str">
        <x:v>PASS</x:v>
      </x:c>
      <x:c r="AT253" t="str">
        <x:v>--cda-sup-145</x:v>
      </x:c>
      <x:c r="AU253" t="str">
        <x:v>var(--cda-sup-145)</x:v>
      </x:c>
      <x:c r="AV253" t="str">
        <x:v>Median RGB from official PDF swatch (screen reference only)</x:v>
      </x:c>
      <x:c r="AW253" t="str">
        <x:v>https://www.carandache.com/content_files/uploaded_doc/product/11426/Colour_Chart_Supracolor-BD3.pdf</x:v>
      </x:c>
      <x:c r="AX253" t="n">
        <x:v>1</x:v>
      </x:c>
      <x:c r="AY253" t="str">
        <x:v>Official</x:v>
      </x:c>
      <x:c r="AZ253" t="str">
        <x:v>Official where available; curated Traditional Chinese/Japanese otherwise</x:v>
      </x:c>
      <x:c r="BA253" t="str">
        <x:v>Verified from official chart; digital HEX is approximate</x:v>
      </x:c>
      <x:c r="BB253" t="str">
        <x:v>Physical media appearance varies by paper, pressure, layering, water and scan/display profile.</x:v>
      </x:c>
    </x:row>
    <x:row r="254">
      <x:c r="A254" t="str">
        <x:f>G254&amp;"|"&amp;L254</x:f>
        <x:v>SUP|370</x:v>
      </x:c>
      <x:c r="B254" t="str">
        <x:v>a4e14f9a-90e3-5736-b025-fbac97d84019</x:v>
      </x:c>
      <x:c r="C254" t="str">
        <x:v>CDA-SUP-370</x:v>
      </x:c>
      <x:c r="D254" t="str">
        <x:v>af4c8d4a-7fbd-5dbe-9455-0e110ad4b140</x:v>
      </x:c>
      <x:c r="E254" t="str">
        <x:v>CDA-CODE-370</x:v>
      </x:c>
      <x:c r="F254" t="str">
        <x:v>Caran d’Ache</x:v>
      </x:c>
      <x:c r="G254" t="str">
        <x:v>SUP</x:v>
      </x:c>
      <x:c r="H254" t="str">
        <x:v>SUPRACOLOR Soft Aquarelle</x:v>
      </x:c>
      <x:c r="I254" t="str">
        <x:v>Water-soluble coloured pencil</x:v>
      </x:c>
      <x:c r="J254" t="str">
        <x:v>Artist</x:v>
      </x:c>
      <x:c r="K254" s="30" t="n">
        <x:v>33</x:v>
      </x:c>
      <x:c r="L254" s="30" t="str">
        <x:v>370</x:v>
      </x:c>
      <x:c r="M254" t="str">
        <x:v>Gentian blue</x:v>
      </x:c>
      <x:c r="N254" t="str">
        <x:v>龍膽藍</x:v>
      </x:c>
      <x:c r="O254" t="str">
        <x:v>ゲンチアンブルー</x:v>
      </x:c>
      <x:c r="P254" t="str"/>
      <x:c r="Q254" t="str">
        <x:v>Bleu gentiane</x:v>
      </x:c>
      <x:c r="R254" t="str">
        <x:v>Enzianblau</x:v>
      </x:c>
      <x:c r="S254" t="str">
        <x:v>Blu genziana</x:v>
      </x:c>
      <x:c r="T254" t="str">
        <x:v>Azul genciana</x:v>
      </x:c>
      <x:c r="U254" t="str"/>
      <x:c r="V254" t="str"/>
      <x:c r="W254" t="str"/>
      <x:c r="X254" t="n">
        <x:f>IF(W254="",0,LEN(W254)-LEN(SUBSTITUTE(W254,"/",""))+1)</x:f>
        <x:v>0</x:v>
      </x:c>
      <x:c r="Y254" t="str">
        <x:v>H</x:v>
      </x:c>
      <x:c r="Z254" s="32" t="n">
        <x:v>1.67</x:v>
      </x:c>
      <x:c r="AA254" s="32" t="n">
        <x:v>3</x:v>
      </x:c>
      <x:c r="AB254" s="32" t="str">
        <x:v>Blue Wool Scale / UV 150h</x:v>
      </x:c>
      <x:c r="AC254" t="str">
        <x:v>#9DD8E7</x:v>
      </x:c>
      <x:c r="AD254" s="34" t="n">
        <x:v>157</x:v>
      </x:c>
      <x:c r="AE254" s="34" t="n">
        <x:v>216</x:v>
      </x:c>
      <x:c r="AF254" s="34" t="n">
        <x:v>231</x:v>
      </x:c>
      <x:c r="AG254" s="32" t="n">
        <x:v>192.16</x:v>
      </x:c>
      <x:c r="AH254" s="32" t="n">
        <x:v>60.66</x:v>
      </x:c>
      <x:c r="AI254" s="32" t="n">
        <x:v>76.08</x:v>
      </x:c>
      <x:c r="AJ254" s="32" t="n">
        <x:v>82.94</x:v>
      </x:c>
      <x:c r="AK254" s="32" t="n">
        <x:v>-15.23</x:v>
      </x:c>
      <x:c r="AL254" s="32" t="n">
        <x:v>-13.41</x:v>
      </x:c>
      <x:c r="AM254" s="32" t="str">
        <x:v>#000000</x:v>
      </x:c>
      <x:c r="AN254" s="32" t="str">
        <x:v>Black</x:v>
      </x:c>
      <x:c r="AO254" s="32" t="n">
        <x:v>13.41</x:v>
      </x:c>
      <x:c r="AP254" s="32" t="n">
        <x:v>13.41</x:v>
      </x:c>
      <x:c r="AQ254" s="32" t="n">
        <x:v>1.57</x:v>
      </x:c>
      <x:c r="AR254" s="32" t="n">
        <x:v>0.620494</x:v>
      </x:c>
      <x:c r="AS254" t="str">
        <x:v>PASS</x:v>
      </x:c>
      <x:c r="AT254" t="str">
        <x:v>--cda-sup-370</x:v>
      </x:c>
      <x:c r="AU254" t="str">
        <x:v>var(--cda-sup-370)</x:v>
      </x:c>
      <x:c r="AV254" t="str">
        <x:v>Median RGB from official PDF swatch (screen reference only)</x:v>
      </x:c>
      <x:c r="AW254" t="str">
        <x:v>https://www.carandache.com/content_files/uploaded_doc/product/11426/Colour_Chart_Supracolor-BD3.pdf</x:v>
      </x:c>
      <x:c r="AX254" t="n">
        <x:v>1</x:v>
      </x:c>
      <x:c r="AY254" t="str">
        <x:v>Official</x:v>
      </x:c>
      <x:c r="AZ254" t="str">
        <x:v>Official where available; curated Traditional Chinese/Japanese otherwise</x:v>
      </x:c>
      <x:c r="BA254" t="str">
        <x:v>Verified from official chart; digital HEX is approximate</x:v>
      </x:c>
      <x:c r="BB254" t="str">
        <x:v>Physical media appearance varies by paper, pressure, layering, water and scan/display profile.</x:v>
      </x:c>
    </x:row>
    <x:row r="255">
      <x:c r="A255" t="str">
        <x:f>G255&amp;"|"&amp;L255</x:f>
        <x:v>SUP|141</x:v>
      </x:c>
      <x:c r="B255" t="str">
        <x:v>80913db8-b351-5f6b-8829-ca248595814d</x:v>
      </x:c>
      <x:c r="C255" t="str">
        <x:v>CDA-SUP-141</x:v>
      </x:c>
      <x:c r="D255" t="str">
        <x:v>2820208d-5c41-5753-be02-69641858efec</x:v>
      </x:c>
      <x:c r="E255" t="str">
        <x:v>CDA-CODE-141</x:v>
      </x:c>
      <x:c r="F255" t="str">
        <x:v>Caran d’Ache</x:v>
      </x:c>
      <x:c r="G255" t="str">
        <x:v>SUP</x:v>
      </x:c>
      <x:c r="H255" t="str">
        <x:v>SUPRACOLOR Soft Aquarelle</x:v>
      </x:c>
      <x:c r="I255" t="str">
        <x:v>Water-soluble coloured pencil</x:v>
      </x:c>
      <x:c r="J255" t="str">
        <x:v>Artist</x:v>
      </x:c>
      <x:c r="K255" s="30" t="n">
        <x:v>34</x:v>
      </x:c>
      <x:c r="L255" s="30" t="str">
        <x:v>141</x:v>
      </x:c>
      <x:c r="M255" t="str">
        <x:v>Sky blue</x:v>
      </x:c>
      <x:c r="N255" t="str">
        <x:v>天空藍</x:v>
      </x:c>
      <x:c r="O255" t="str">
        <x:v>スカイブルー</x:v>
      </x:c>
      <x:c r="P255" t="str"/>
      <x:c r="Q255" t="str">
        <x:v>Bleu lavande</x:v>
      </x:c>
      <x:c r="R255" t="str">
        <x:v>Hellultramarin</x:v>
      </x:c>
      <x:c r="S255" t="str">
        <x:v>Blu lavanda</x:v>
      </x:c>
      <x:c r="T255" t="str">
        <x:v>Azul lavanda</x:v>
      </x:c>
      <x:c r="U255" t="str"/>
      <x:c r="V255" t="str"/>
      <x:c r="W255" t="str"/>
      <x:c r="X255" t="n">
        <x:f>IF(W255="",0,LEN(W255)-LEN(SUBSTITUTE(W255,"/",""))+1)</x:f>
        <x:v>0</x:v>
      </x:c>
      <x:c r="Y255" t="str">
        <x:v>H</x:v>
      </x:c>
      <x:c r="Z255" s="32" t="n">
        <x:v>1.67</x:v>
      </x:c>
      <x:c r="AA255" s="32" t="n">
        <x:v>3</x:v>
      </x:c>
      <x:c r="AB255" s="32" t="str">
        <x:v>Blue Wool Scale / UV 150h</x:v>
      </x:c>
      <x:c r="AC255" t="str">
        <x:v>#B6DFEE</x:v>
      </x:c>
      <x:c r="AD255" s="34" t="n">
        <x:v>182</x:v>
      </x:c>
      <x:c r="AE255" s="34" t="n">
        <x:v>223</x:v>
      </x:c>
      <x:c r="AF255" s="34" t="n">
        <x:v>238</x:v>
      </x:c>
      <x:c r="AG255" s="32" t="n">
        <x:v>196.07</x:v>
      </x:c>
      <x:c r="AH255" s="32" t="n">
        <x:v>62.22</x:v>
      </x:c>
      <x:c r="AI255" s="32" t="n">
        <x:v>82.35</x:v>
      </x:c>
      <x:c r="AJ255" s="32" t="n">
        <x:v>86.45</x:v>
      </x:c>
      <x:c r="AK255" s="32" t="n">
        <x:v>-10.06</x:v>
      </x:c>
      <x:c r="AL255" s="32" t="n">
        <x:v>-11.72</x:v>
      </x:c>
      <x:c r="AM255" s="32" t="str">
        <x:v>#000000</x:v>
      </x:c>
      <x:c r="AN255" s="32" t="str">
        <x:v>Black</x:v>
      </x:c>
      <x:c r="AO255" s="32" t="n">
        <x:v>14.78</x:v>
      </x:c>
      <x:c r="AP255" s="32" t="n">
        <x:v>14.78</x:v>
      </x:c>
      <x:c r="AQ255" s="32" t="n">
        <x:v>1.42</x:v>
      </x:c>
      <x:c r="AR255" s="32" t="n">
        <x:v>0.688935</x:v>
      </x:c>
      <x:c r="AS255" t="str">
        <x:v>PASS</x:v>
      </x:c>
      <x:c r="AT255" t="str">
        <x:v>--cda-sup-141</x:v>
      </x:c>
      <x:c r="AU255" t="str">
        <x:v>var(--cda-sup-141)</x:v>
      </x:c>
      <x:c r="AV255" t="str">
        <x:v>Median RGB from official PDF swatch (screen reference only)</x:v>
      </x:c>
      <x:c r="AW255" t="str">
        <x:v>https://www.carandache.com/content_files/uploaded_doc/product/11426/Colour_Chart_Supracolor-BD3.pdf</x:v>
      </x:c>
      <x:c r="AX255" t="n">
        <x:v>1</x:v>
      </x:c>
      <x:c r="AY255" t="str">
        <x:v>Official</x:v>
      </x:c>
      <x:c r="AZ255" t="str">
        <x:v>Official where available; curated Traditional Chinese/Japanese otherwise</x:v>
      </x:c>
      <x:c r="BA255" t="str">
        <x:v>Verified from official chart; digital HEX is approximate</x:v>
      </x:c>
      <x:c r="BB255" t="str">
        <x:v>Physical media appearance varies by paper, pressure, layering, water and scan/display profile.</x:v>
      </x:c>
    </x:row>
    <x:row r="256">
      <x:c r="A256" t="str">
        <x:f>G256&amp;"|"&amp;L256</x:f>
        <x:v>SUP|155</x:v>
      </x:c>
      <x:c r="B256" t="str">
        <x:v>03b3e55b-852d-5756-b93f-cd520e725210</x:v>
      </x:c>
      <x:c r="C256" t="str">
        <x:v>CDA-SUP-155</x:v>
      </x:c>
      <x:c r="D256" t="str">
        <x:v>3c5db537-6064-5064-a505-fe605b85a67d</x:v>
      </x:c>
      <x:c r="E256" t="str">
        <x:v>CDA-CODE-155</x:v>
      </x:c>
      <x:c r="F256" t="str">
        <x:v>Caran d’Ache</x:v>
      </x:c>
      <x:c r="G256" t="str">
        <x:v>SUP</x:v>
      </x:c>
      <x:c r="H256" t="str">
        <x:v>SUPRACOLOR Soft Aquarelle</x:v>
      </x:c>
      <x:c r="I256" t="str">
        <x:v>Water-soluble coloured pencil</x:v>
      </x:c>
      <x:c r="J256" t="str">
        <x:v>Artist</x:v>
      </x:c>
      <x:c r="K256" s="30" t="n">
        <x:v>35</x:v>
      </x:c>
      <x:c r="L256" s="30" t="str">
        <x:v>155</x:v>
      </x:c>
      <x:c r="M256" t="str">
        <x:v>Blue jeans</x:v>
      </x:c>
      <x:c r="N256" t="str">
        <x:v>牛仔藍</x:v>
      </x:c>
      <x:c r="O256" t="str">
        <x:v>ブルージーンズ</x:v>
      </x:c>
      <x:c r="P256" t="str"/>
      <x:c r="Q256" t="str">
        <x:v>Bleu jeans</x:v>
      </x:c>
      <x:c r="R256" t="str">
        <x:v>Jeansblau</x:v>
      </x:c>
      <x:c r="S256" t="str">
        <x:v>Blu jeans</x:v>
      </x:c>
      <x:c r="T256" t="str">
        <x:v>Azul tejano</x:v>
      </x:c>
      <x:c r="U256" t="str"/>
      <x:c r="V256" t="str"/>
      <x:c r="W256" t="str"/>
      <x:c r="X256" t="n">
        <x:f>IF(W256="",0,LEN(W256)-LEN(SUBSTITUTE(W256,"/",""))+1)</x:f>
        <x:v>0</x:v>
      </x:c>
      <x:c r="Y256" t="str">
        <x:v>H</x:v>
      </x:c>
      <x:c r="Z256" s="32" t="n">
        <x:v>1.67</x:v>
      </x:c>
      <x:c r="AA256" s="32" t="n">
        <x:v>3</x:v>
      </x:c>
      <x:c r="AB256" s="32" t="str">
        <x:v>Blue Wool Scale / UV 150h</x:v>
      </x:c>
      <x:c r="AC256" t="str">
        <x:v>#A2DAEC</x:v>
      </x:c>
      <x:c r="AD256" s="34" t="n">
        <x:v>162</x:v>
      </x:c>
      <x:c r="AE256" s="34" t="n">
        <x:v>218</x:v>
      </x:c>
      <x:c r="AF256" s="34" t="n">
        <x:v>236</x:v>
      </x:c>
      <x:c r="AG256" s="32" t="n">
        <x:v>194.59</x:v>
      </x:c>
      <x:c r="AH256" s="32" t="n">
        <x:v>66.07</x:v>
      </x:c>
      <x:c r="AI256" s="32" t="n">
        <x:v>78.04</x:v>
      </x:c>
      <x:c r="AJ256" s="32" t="n">
        <x:v>83.9</x:v>
      </x:c>
      <x:c r="AK256" s="32" t="n">
        <x:v>-13.69</x:v>
      </x:c>
      <x:c r="AL256" s="32" t="n">
        <x:v>-14.59</x:v>
      </x:c>
      <x:c r="AM256" s="32" t="str">
        <x:v>#000000</x:v>
      </x:c>
      <x:c r="AN256" s="32" t="str">
        <x:v>Black</x:v>
      </x:c>
      <x:c r="AO256" s="32" t="n">
        <x:v>13.78</x:v>
      </x:c>
      <x:c r="AP256" s="32" t="n">
        <x:v>13.78</x:v>
      </x:c>
      <x:c r="AQ256" s="32" t="n">
        <x:v>1.52</x:v>
      </x:c>
      <x:c r="AR256" s="32" t="n">
        <x:v>0.638803</x:v>
      </x:c>
      <x:c r="AS256" t="str">
        <x:v>PASS</x:v>
      </x:c>
      <x:c r="AT256" t="str">
        <x:v>--cda-sup-155</x:v>
      </x:c>
      <x:c r="AU256" t="str">
        <x:v>var(--cda-sup-155)</x:v>
      </x:c>
      <x:c r="AV256" t="str">
        <x:v>Median RGB from official PDF swatch (screen reference only)</x:v>
      </x:c>
      <x:c r="AW256" t="str">
        <x:v>https://www.carandache.com/content_files/uploaded_doc/product/11426/Colour_Chart_Supracolor-BD3.pdf</x:v>
      </x:c>
      <x:c r="AX256" t="n">
        <x:v>1</x:v>
      </x:c>
      <x:c r="AY256" t="str">
        <x:v>Official</x:v>
      </x:c>
      <x:c r="AZ256" t="str">
        <x:v>Official where available; curated Traditional Chinese/Japanese otherwise</x:v>
      </x:c>
      <x:c r="BA256" t="str">
        <x:v>Verified from official chart; digital HEX is approximate</x:v>
      </x:c>
      <x:c r="BB256" t="str">
        <x:v>Physical media appearance varies by paper, pressure, layering, water and scan/display profile.</x:v>
      </x:c>
    </x:row>
    <x:row r="257">
      <x:c r="A257" t="str">
        <x:f>G257&amp;"|"&amp;L257</x:f>
        <x:v>SUP|151</x:v>
      </x:c>
      <x:c r="B257" t="str">
        <x:v>4fd5a636-e9f8-51d7-810f-6c49b73496c9</x:v>
      </x:c>
      <x:c r="C257" t="str">
        <x:v>CDA-SUP-151</x:v>
      </x:c>
      <x:c r="D257" t="str">
        <x:v>30993ab0-8b94-5684-8677-1c4f2f02bb8e</x:v>
      </x:c>
      <x:c r="E257" t="str">
        <x:v>CDA-CODE-151</x:v>
      </x:c>
      <x:c r="F257" t="str">
        <x:v>Caran d’Ache</x:v>
      </x:c>
      <x:c r="G257" t="str">
        <x:v>SUP</x:v>
      </x:c>
      <x:c r="H257" t="str">
        <x:v>SUPRACOLOR Soft Aquarelle</x:v>
      </x:c>
      <x:c r="I257" t="str">
        <x:v>Water-soluble coloured pencil</x:v>
      </x:c>
      <x:c r="J257" t="str">
        <x:v>Artist</x:v>
      </x:c>
      <x:c r="K257" s="30" t="n">
        <x:v>36</x:v>
      </x:c>
      <x:c r="L257" s="30" t="str">
        <x:v>151</x:v>
      </x:c>
      <x:c r="M257" t="str">
        <x:v>Pastel blue</x:v>
      </x:c>
      <x:c r="N257" t="str">
        <x:v>粉彩藍</x:v>
      </x:c>
      <x:c r="O257" t="str">
        <x:v>パステルブルー</x:v>
      </x:c>
      <x:c r="P257" t="str"/>
      <x:c r="Q257" t="str">
        <x:v>Bleu pastel</x:v>
      </x:c>
      <x:c r="R257" t="str">
        <x:v>Pastelblau</x:v>
      </x:c>
      <x:c r="S257" t="str">
        <x:v>Blu pastello</x:v>
      </x:c>
      <x:c r="T257" t="str">
        <x:v>Azul pastel</x:v>
      </x:c>
      <x:c r="U257" t="str"/>
      <x:c r="V257" t="str"/>
      <x:c r="W257" t="str"/>
      <x:c r="X257" t="n">
        <x:f>IF(W257="",0,LEN(W257)-LEN(SUBSTITUTE(W257,"/",""))+1)</x:f>
        <x:v>0</x:v>
      </x:c>
      <x:c r="Y257" t="str">
        <x:v>H</x:v>
      </x:c>
      <x:c r="Z257" s="32" t="n">
        <x:v>1.67</x:v>
      </x:c>
      <x:c r="AA257" s="32" t="n">
        <x:v>3</x:v>
      </x:c>
      <x:c r="AB257" s="32" t="str">
        <x:v>Blue Wool Scale / UV 150h</x:v>
      </x:c>
      <x:c r="AC257" t="str">
        <x:v>#96D6EE</x:v>
      </x:c>
      <x:c r="AD257" s="34" t="n">
        <x:v>150</x:v>
      </x:c>
      <x:c r="AE257" s="34" t="n">
        <x:v>214</x:v>
      </x:c>
      <x:c r="AF257" s="34" t="n">
        <x:v>238</x:v>
      </x:c>
      <x:c r="AG257" s="32" t="n">
        <x:v>196.36</x:v>
      </x:c>
      <x:c r="AH257" s="32" t="n">
        <x:v>72.13</x:v>
      </x:c>
      <x:c r="AI257" s="32" t="n">
        <x:v>76.08</x:v>
      </x:c>
      <x:c r="AJ257" s="32" t="n">
        <x:v>82.24</x:v>
      </x:c>
      <x:c r="AK257" s="32" t="n">
        <x:v>-14.39</x:v>
      </x:c>
      <x:c r="AL257" s="32" t="n">
        <x:v>-18.21</x:v>
      </x:c>
      <x:c r="AM257" s="32" t="str">
        <x:v>#000000</x:v>
      </x:c>
      <x:c r="AN257" s="32" t="str">
        <x:v>Black</x:v>
      </x:c>
      <x:c r="AO257" s="32" t="n">
        <x:v>13.15</x:v>
      </x:c>
      <x:c r="AP257" s="32" t="n">
        <x:v>13.15</x:v>
      </x:c>
      <x:c r="AQ257" s="32" t="n">
        <x:v>1.6</x:v>
      </x:c>
      <x:c r="AR257" s="32" t="n">
        <x:v>0.607502</x:v>
      </x:c>
      <x:c r="AS257" t="str">
        <x:v>PASS</x:v>
      </x:c>
      <x:c r="AT257" t="str">
        <x:v>--cda-sup-151</x:v>
      </x:c>
      <x:c r="AU257" t="str">
        <x:v>var(--cda-sup-151)</x:v>
      </x:c>
      <x:c r="AV257" t="str">
        <x:v>Median RGB from official PDF swatch (screen reference only)</x:v>
      </x:c>
      <x:c r="AW257" t="str">
        <x:v>https://www.carandache.com/content_files/uploaded_doc/product/11426/Colour_Chart_Supracolor-BD3.pdf</x:v>
      </x:c>
      <x:c r="AX257" t="n">
        <x:v>1</x:v>
      </x:c>
      <x:c r="AY257" t="str">
        <x:v>Official</x:v>
      </x:c>
      <x:c r="AZ257" t="str">
        <x:v>Official where available; curated Traditional Chinese/Japanese otherwise</x:v>
      </x:c>
      <x:c r="BA257" t="str">
        <x:v>Verified from official chart; digital HEX is approximate</x:v>
      </x:c>
      <x:c r="BB257" t="str">
        <x:v>Physical media appearance varies by paper, pressure, layering, water and scan/display profile.</x:v>
      </x:c>
    </x:row>
    <x:row r="258">
      <x:c r="A258" t="str">
        <x:f>G258&amp;"|"&amp;L258</x:f>
        <x:v>SUP|161</x:v>
      </x:c>
      <x:c r="B258" t="str">
        <x:v>0383c72c-faf1-5adc-b0d9-455dff75159b</x:v>
      </x:c>
      <x:c r="C258" t="str">
        <x:v>CDA-SUP-161</x:v>
      </x:c>
      <x:c r="D258" t="str">
        <x:v>6ffc111a-0ad6-541a-8290-6ab5dc59fcce</x:v>
      </x:c>
      <x:c r="E258" t="str">
        <x:v>CDA-CODE-161</x:v>
      </x:c>
      <x:c r="F258" t="str">
        <x:v>Caran d’Ache</x:v>
      </x:c>
      <x:c r="G258" t="str">
        <x:v>SUP</x:v>
      </x:c>
      <x:c r="H258" t="str">
        <x:v>SUPRACOLOR Soft Aquarelle</x:v>
      </x:c>
      <x:c r="I258" t="str">
        <x:v>Water-soluble coloured pencil</x:v>
      </x:c>
      <x:c r="J258" t="str">
        <x:v>Artist</x:v>
      </x:c>
      <x:c r="K258" s="30" t="n">
        <x:v>37</x:v>
      </x:c>
      <x:c r="L258" s="30" t="str">
        <x:v>161</x:v>
      </x:c>
      <x:c r="M258" t="str">
        <x:v>Light blue</x:v>
      </x:c>
      <x:c r="N258" t="str">
        <x:v>淺藍色</x:v>
      </x:c>
      <x:c r="O258" t="str">
        <x:v>ライトブルー</x:v>
      </x:c>
      <x:c r="P258" t="str"/>
      <x:c r="Q258" t="str">
        <x:v>Bleu clair</x:v>
      </x:c>
      <x:c r="R258" t="str">
        <x:v>Hellblau</x:v>
      </x:c>
      <x:c r="S258" t="str">
        <x:v>Azzurro chiaro</x:v>
      </x:c>
      <x:c r="T258" t="str">
        <x:v>Azul claro</x:v>
      </x:c>
      <x:c r="U258" t="str"/>
      <x:c r="V258" t="str"/>
      <x:c r="W258" t="str"/>
      <x:c r="X258" t="n">
        <x:f>IF(W258="",0,LEN(W258)-LEN(SUBSTITUTE(W258,"/",""))+1)</x:f>
        <x:v>0</x:v>
      </x:c>
      <x:c r="Y258" t="str">
        <x:v>H</x:v>
      </x:c>
      <x:c r="Z258" s="32" t="n">
        <x:v>1.67</x:v>
      </x:c>
      <x:c r="AA258" s="32" t="n">
        <x:v>3</x:v>
      </x:c>
      <x:c r="AB258" s="32" t="str">
        <x:v>Blue Wool Scale / UV 150h</x:v>
      </x:c>
      <x:c r="AC258" t="str">
        <x:v>#72CCEF</x:v>
      </x:c>
      <x:c r="AD258" s="34" t="n">
        <x:v>114</x:v>
      </x:c>
      <x:c r="AE258" s="34" t="n">
        <x:v>204</x:v>
      </x:c>
      <x:c r="AF258" s="34" t="n">
        <x:v>239</x:v>
      </x:c>
      <x:c r="AG258" s="32" t="n">
        <x:v>196.8</x:v>
      </x:c>
      <x:c r="AH258" s="32" t="n">
        <x:v>79.62</x:v>
      </x:c>
      <x:c r="AI258" s="32" t="n">
        <x:v>69.22</x:v>
      </x:c>
      <x:c r="AJ258" s="32" t="n">
        <x:v>77.87</x:v>
      </x:c>
      <x:c r="AK258" s="32" t="n">
        <x:v>-17.51</x:v>
      </x:c>
      <x:c r="AL258" s="32" t="n">
        <x:v>-25.54</x:v>
      </x:c>
      <x:c r="AM258" s="32" t="str">
        <x:v>#000000</x:v>
      </x:c>
      <x:c r="AN258" s="32" t="str">
        <x:v>Black</x:v>
      </x:c>
      <x:c r="AO258" s="32" t="n">
        <x:v>11.6</x:v>
      </x:c>
      <x:c r="AP258" s="32" t="n">
        <x:v>11.6</x:v>
      </x:c>
      <x:c r="AQ258" s="32" t="n">
        <x:v>1.81</x:v>
      </x:c>
      <x:c r="AR258" s="32" t="n">
        <x:v>0.529951</x:v>
      </x:c>
      <x:c r="AS258" t="str">
        <x:v>PASS</x:v>
      </x:c>
      <x:c r="AT258" t="str">
        <x:v>--cda-sup-161</x:v>
      </x:c>
      <x:c r="AU258" t="str">
        <x:v>var(--cda-sup-161)</x:v>
      </x:c>
      <x:c r="AV258" t="str">
        <x:v>Median RGB from official PDF swatch (screen reference only)</x:v>
      </x:c>
      <x:c r="AW258" t="str">
        <x:v>https://www.carandache.com/content_files/uploaded_doc/product/11426/Colour_Chart_Supracolor-BD3.pdf</x:v>
      </x:c>
      <x:c r="AX258" t="n">
        <x:v>1</x:v>
      </x:c>
      <x:c r="AY258" t="str">
        <x:v>Official</x:v>
      </x:c>
      <x:c r="AZ258" t="str">
        <x:v>Official where available; curated Traditional Chinese/Japanese otherwise</x:v>
      </x:c>
      <x:c r="BA258" t="str">
        <x:v>Verified from official chart; digital HEX is approximate</x:v>
      </x:c>
      <x:c r="BB258" t="str">
        <x:v>Physical media appearance varies by paper, pressure, layering, water and scan/display profile.</x:v>
      </x:c>
    </x:row>
    <x:row r="259">
      <x:c r="A259" t="str">
        <x:f>G259&amp;"|"&amp;L259</x:f>
        <x:v>SUP|171</x:v>
      </x:c>
      <x:c r="B259" t="str">
        <x:v>bf696919-8226-5198-b33c-7d227573f50c</x:v>
      </x:c>
      <x:c r="C259" t="str">
        <x:v>CDA-SUP-171</x:v>
      </x:c>
      <x:c r="D259" t="str">
        <x:v>8af82ae3-1ed6-53f3-82c5-825de5d678dc</x:v>
      </x:c>
      <x:c r="E259" t="str">
        <x:v>CDA-CODE-171</x:v>
      </x:c>
      <x:c r="F259" t="str">
        <x:v>Caran d’Ache</x:v>
      </x:c>
      <x:c r="G259" t="str">
        <x:v>SUP</x:v>
      </x:c>
      <x:c r="H259" t="str">
        <x:v>SUPRACOLOR Soft Aquarelle</x:v>
      </x:c>
      <x:c r="I259" t="str">
        <x:v>Water-soluble coloured pencil</x:v>
      </x:c>
      <x:c r="J259" t="str">
        <x:v>Artist</x:v>
      </x:c>
      <x:c r="K259" s="30" t="n">
        <x:v>38</x:v>
      </x:c>
      <x:c r="L259" s="30" t="str">
        <x:v>171</x:v>
      </x:c>
      <x:c r="M259" t="str">
        <x:v>Turquoise blue</x:v>
      </x:c>
      <x:c r="N259" t="str">
        <x:v>土耳其藍</x:v>
      </x:c>
      <x:c r="O259" t="str">
        <x:v>ターコイズブルー</x:v>
      </x:c>
      <x:c r="P259" t="str"/>
      <x:c r="Q259" t="str">
        <x:v>Bleu turquoise</x:v>
      </x:c>
      <x:c r="R259" t="str">
        <x:v>Türkisblau</x:v>
      </x:c>
      <x:c r="S259" t="str">
        <x:v>Blu turchese</x:v>
      </x:c>
      <x:c r="T259" t="str">
        <x:v>Azul turquesa</x:v>
      </x:c>
      <x:c r="U259" t="str"/>
      <x:c r="V259" t="str"/>
      <x:c r="W259" t="str"/>
      <x:c r="X259" t="n">
        <x:f>IF(W259="",0,LEN(W259)-LEN(SUBSTITUTE(W259,"/",""))+1)</x:f>
        <x:v>0</x:v>
      </x:c>
      <x:c r="Y259" t="str">
        <x:v>H</x:v>
      </x:c>
      <x:c r="Z259" s="32" t="n">
        <x:v>1.67</x:v>
      </x:c>
      <x:c r="AA259" s="32" t="n">
        <x:v>3</x:v>
      </x:c>
      <x:c r="AB259" s="32" t="str">
        <x:v>Blue Wool Scale / UV 150h</x:v>
      </x:c>
      <x:c r="AC259" t="str">
        <x:v>#81CFD5</x:v>
      </x:c>
      <x:c r="AD259" s="34" t="n">
        <x:v>129</x:v>
      </x:c>
      <x:c r="AE259" s="34" t="n">
        <x:v>207</x:v>
      </x:c>
      <x:c r="AF259" s="34" t="n">
        <x:v>213</x:v>
      </x:c>
      <x:c r="AG259" s="32" t="n">
        <x:v>184.29</x:v>
      </x:c>
      <x:c r="AH259" s="32" t="n">
        <x:v>50</x:v>
      </x:c>
      <x:c r="AI259" s="32" t="n">
        <x:v>67.06</x:v>
      </x:c>
      <x:c r="AJ259" s="32" t="n">
        <x:v>78.52</x:v>
      </x:c>
      <x:c r="AK259" s="32" t="n">
        <x:v>-22.46</x:v>
      </x:c>
      <x:c r="AL259" s="32" t="n">
        <x:v>-10.55</x:v>
      </x:c>
      <x:c r="AM259" s="32" t="str">
        <x:v>#000000</x:v>
      </x:c>
      <x:c r="AN259" s="32" t="str">
        <x:v>Black</x:v>
      </x:c>
      <x:c r="AO259" s="32" t="n">
        <x:v>11.82</x:v>
      </x:c>
      <x:c r="AP259" s="32" t="n">
        <x:v>11.82</x:v>
      </x:c>
      <x:c r="AQ259" s="32" t="n">
        <x:v>1.78</x:v>
      </x:c>
      <x:c r="AR259" s="32" t="n">
        <x:v>0.540969</x:v>
      </x:c>
      <x:c r="AS259" t="str">
        <x:v>PASS</x:v>
      </x:c>
      <x:c r="AT259" t="str">
        <x:v>--cda-sup-171</x:v>
      </x:c>
      <x:c r="AU259" t="str">
        <x:v>var(--cda-sup-171)</x:v>
      </x:c>
      <x:c r="AV259" t="str">
        <x:v>Median RGB from official PDF swatch (screen reference only)</x:v>
      </x:c>
      <x:c r="AW259" t="str">
        <x:v>https://www.carandache.com/content_files/uploaded_doc/product/11426/Colour_Chart_Supracolor-BD3.pdf</x:v>
      </x:c>
      <x:c r="AX259" t="n">
        <x:v>1</x:v>
      </x:c>
      <x:c r="AY259" t="str">
        <x:v>Official</x:v>
      </x:c>
      <x:c r="AZ259" t="str">
        <x:v>Official where available; curated Traditional Chinese/Japanese otherwise</x:v>
      </x:c>
      <x:c r="BA259" t="str">
        <x:v>Verified from official chart; digital HEX is approximate</x:v>
      </x:c>
      <x:c r="BB259" t="str">
        <x:v>Physical media appearance varies by paper, pressure, layering, water and scan/display profile.</x:v>
      </x:c>
    </x:row>
    <x:row r="260">
      <x:c r="A260" t="str">
        <x:f>G260&amp;"|"&amp;L260</x:f>
        <x:v>SUP|181</x:v>
      </x:c>
      <x:c r="B260" t="str">
        <x:v>3289f274-f158-56bb-a633-ef5f5f6e870b</x:v>
      </x:c>
      <x:c r="C260" t="str">
        <x:v>CDA-SUP-181</x:v>
      </x:c>
      <x:c r="D260" t="str">
        <x:v>af2a2944-e566-5dee-8ba8-64d621eb0cbf</x:v>
      </x:c>
      <x:c r="E260" t="str">
        <x:v>CDA-CODE-181</x:v>
      </x:c>
      <x:c r="F260" t="str">
        <x:v>Caran d’Ache</x:v>
      </x:c>
      <x:c r="G260" t="str">
        <x:v>SUP</x:v>
      </x:c>
      <x:c r="H260" t="str">
        <x:v>SUPRACOLOR Soft Aquarelle</x:v>
      </x:c>
      <x:c r="I260" t="str">
        <x:v>Water-soluble coloured pencil</x:v>
      </x:c>
      <x:c r="J260" t="str">
        <x:v>Artist</x:v>
      </x:c>
      <x:c r="K260" s="30" t="n">
        <x:v>39</x:v>
      </x:c>
      <x:c r="L260" s="30" t="str">
        <x:v>181</x:v>
      </x:c>
      <x:c r="M260" t="str">
        <x:v>Light malachite green</x:v>
      </x:c>
      <x:c r="N260" t="str">
        <x:v>淺孔雀石綠</x:v>
      </x:c>
      <x:c r="O260" t="str">
        <x:v>ライトマラカイトグリーン</x:v>
      </x:c>
      <x:c r="P260" t="str"/>
      <x:c r="Q260" t="str">
        <x:v>Vert malachite clair</x:v>
      </x:c>
      <x:c r="R260" t="str">
        <x:v>Hellmalachitgrün</x:v>
      </x:c>
      <x:c r="S260" t="str">
        <x:v>Verde malachite chiaro</x:v>
      </x:c>
      <x:c r="T260" t="str">
        <x:v>Verde malaquita claro</x:v>
      </x:c>
      <x:c r="U260" t="str"/>
      <x:c r="V260" t="str"/>
      <x:c r="W260" t="str"/>
      <x:c r="X260" t="n">
        <x:f>IF(W260="",0,LEN(W260)-LEN(SUBSTITUTE(W260,"/",""))+1)</x:f>
        <x:v>0</x:v>
      </x:c>
      <x:c r="Y260" t="str">
        <x:v>H</x:v>
      </x:c>
      <x:c r="Z260" s="32" t="n">
        <x:v>1.67</x:v>
      </x:c>
      <x:c r="AA260" s="32" t="n">
        <x:v>3</x:v>
      </x:c>
      <x:c r="AB260" s="32" t="str">
        <x:v>Blue Wool Scale / UV 150h</x:v>
      </x:c>
      <x:c r="AC260" t="str">
        <x:v>#B6DEDB</x:v>
      </x:c>
      <x:c r="AD260" s="34" t="n">
        <x:v>182</x:v>
      </x:c>
      <x:c r="AE260" s="34" t="n">
        <x:v>222</x:v>
      </x:c>
      <x:c r="AF260" s="34" t="n">
        <x:v>219</x:v>
      </x:c>
      <x:c r="AG260" s="32" t="n">
        <x:v>175.5</x:v>
      </x:c>
      <x:c r="AH260" s="32" t="n">
        <x:v>37.74</x:v>
      </x:c>
      <x:c r="AI260" s="32" t="n">
        <x:v>79.22</x:v>
      </x:c>
      <x:c r="AJ260" s="32" t="n">
        <x:v>85.66</x:v>
      </x:c>
      <x:c r="AK260" s="32" t="n">
        <x:v>-13.6</x:v>
      </x:c>
      <x:c r="AL260" s="32" t="n">
        <x:v>-2.86</x:v>
      </x:c>
      <x:c r="AM260" s="32" t="str">
        <x:v>#000000</x:v>
      </x:c>
      <x:c r="AN260" s="32" t="str">
        <x:v>Black</x:v>
      </x:c>
      <x:c r="AO260" s="32" t="n">
        <x:v>14.46</x:v>
      </x:c>
      <x:c r="AP260" s="32" t="n">
        <x:v>14.46</x:v>
      </x:c>
      <x:c r="AQ260" s="32" t="n">
        <x:v>1.45</x:v>
      </x:c>
      <x:c r="AR260" s="32" t="n">
        <x:v>0.673021</x:v>
      </x:c>
      <x:c r="AS260" t="str">
        <x:v>PASS</x:v>
      </x:c>
      <x:c r="AT260" t="str">
        <x:v>--cda-sup-181</x:v>
      </x:c>
      <x:c r="AU260" t="str">
        <x:v>var(--cda-sup-181)</x:v>
      </x:c>
      <x:c r="AV260" t="str">
        <x:v>Median RGB from official PDF swatch (screen reference only)</x:v>
      </x:c>
      <x:c r="AW260" t="str">
        <x:v>https://www.carandache.com/content_files/uploaded_doc/product/11426/Colour_Chart_Supracolor-BD3.pdf</x:v>
      </x:c>
      <x:c r="AX260" t="n">
        <x:v>1</x:v>
      </x:c>
      <x:c r="AY260" t="str">
        <x:v>Official</x:v>
      </x:c>
      <x:c r="AZ260" t="str">
        <x:v>Official where available; curated Traditional Chinese/Japanese otherwise</x:v>
      </x:c>
      <x:c r="BA260" t="str">
        <x:v>Verified from official chart; digital HEX is approximate</x:v>
      </x:c>
      <x:c r="BB260" t="str">
        <x:v>Physical media appearance varies by paper, pressure, layering, water and scan/display profile.</x:v>
      </x:c>
    </x:row>
    <x:row r="261">
      <x:c r="A261" t="str">
        <x:f>G261&amp;"|"&amp;L261</x:f>
        <x:v>SUP|191</x:v>
      </x:c>
      <x:c r="B261" t="str">
        <x:v>ad0de187-40d1-594a-9b55-2c8a0ab4e8e0</x:v>
      </x:c>
      <x:c r="C261" t="str">
        <x:v>CDA-SUP-191</x:v>
      </x:c>
      <x:c r="D261" t="str">
        <x:v>295c1c8c-f3a3-598e-9fb8-99b3a59852df</x:v>
      </x:c>
      <x:c r="E261" t="str">
        <x:v>CDA-CODE-191</x:v>
      </x:c>
      <x:c r="F261" t="str">
        <x:v>Caran d’Ache</x:v>
      </x:c>
      <x:c r="G261" t="str">
        <x:v>SUP</x:v>
      </x:c>
      <x:c r="H261" t="str">
        <x:v>SUPRACOLOR Soft Aquarelle</x:v>
      </x:c>
      <x:c r="I261" t="str">
        <x:v>Water-soluble coloured pencil</x:v>
      </x:c>
      <x:c r="J261" t="str">
        <x:v>Artist</x:v>
      </x:c>
      <x:c r="K261" s="30" t="n">
        <x:v>40</x:v>
      </x:c>
      <x:c r="L261" s="30" t="str">
        <x:v>191</x:v>
      </x:c>
      <x:c r="M261" t="str">
        <x:v>Turquoise</x:v>
      </x:c>
      <x:c r="N261" t="str">
        <x:v>綠松石色</x:v>
      </x:c>
      <x:c r="O261" t="str">
        <x:v>ターコイズ</x:v>
      </x:c>
      <x:c r="P261" t="str"/>
      <x:c r="Q261" t="str">
        <x:v>Vert turquoise</x:v>
      </x:c>
      <x:c r="R261" t="str">
        <x:v>Türkischgrün</x:v>
      </x:c>
      <x:c r="S261" t="str">
        <x:v>Verde turchese</x:v>
      </x:c>
      <x:c r="T261" t="str">
        <x:v>Turquesa</x:v>
      </x:c>
      <x:c r="U261" t="str"/>
      <x:c r="V261" t="str"/>
      <x:c r="W261" t="str"/>
      <x:c r="X261" t="n">
        <x:f>IF(W261="",0,LEN(W261)-LEN(SUBSTITUTE(W261,"/",""))+1)</x:f>
        <x:v>0</x:v>
      </x:c>
      <x:c r="Y261" t="str">
        <x:v>H</x:v>
      </x:c>
      <x:c r="Z261" s="32" t="n">
        <x:v>1.67</x:v>
      </x:c>
      <x:c r="AA261" s="32" t="n">
        <x:v>3</x:v>
      </x:c>
      <x:c r="AB261" s="32" t="str">
        <x:v>Blue Wool Scale / UV 150h</x:v>
      </x:c>
      <x:c r="AC261" t="str">
        <x:v>#7BCBC4</x:v>
      </x:c>
      <x:c r="AD261" s="34" t="n">
        <x:v>123</x:v>
      </x:c>
      <x:c r="AE261" s="34" t="n">
        <x:v>203</x:v>
      </x:c>
      <x:c r="AF261" s="34" t="n">
        <x:v>196</x:v>
      </x:c>
      <x:c r="AG261" s="32" t="n">
        <x:v>174.75</x:v>
      </x:c>
      <x:c r="AH261" s="32" t="n">
        <x:v>43.48</x:v>
      </x:c>
      <x:c r="AI261" s="32" t="n">
        <x:v>63.92</x:v>
      </x:c>
      <x:c r="AJ261" s="32" t="n">
        <x:v>76.62</x:v>
      </x:c>
      <x:c r="AK261" s="32" t="n">
        <x:v>-26.15</x:v>
      </x:c>
      <x:c r="AL261" s="32" t="n">
        <x:v>-4.24</x:v>
      </x:c>
      <x:c r="AM261" s="32" t="str">
        <x:v>#000000</x:v>
      </x:c>
      <x:c r="AN261" s="32" t="str">
        <x:v>Black</x:v>
      </x:c>
      <x:c r="AO261" s="32" t="n">
        <x:v>11.18</x:v>
      </x:c>
      <x:c r="AP261" s="32" t="n">
        <x:v>11.18</x:v>
      </x:c>
      <x:c r="AQ261" s="32" t="n">
        <x:v>1.88</x:v>
      </x:c>
      <x:c r="AR261" s="32" t="n">
        <x:v>0.509083</x:v>
      </x:c>
      <x:c r="AS261" t="str">
        <x:v>PASS</x:v>
      </x:c>
      <x:c r="AT261" t="str">
        <x:v>--cda-sup-191</x:v>
      </x:c>
      <x:c r="AU261" t="str">
        <x:v>var(--cda-sup-191)</x:v>
      </x:c>
      <x:c r="AV261" t="str">
        <x:v>Median RGB from official PDF swatch (screen reference only)</x:v>
      </x:c>
      <x:c r="AW261" t="str">
        <x:v>https://www.carandache.com/content_files/uploaded_doc/product/11426/Colour_Chart_Supracolor-BD3.pdf</x:v>
      </x:c>
      <x:c r="AX261" t="n">
        <x:v>1</x:v>
      </x:c>
      <x:c r="AY261" t="str">
        <x:v>Official</x:v>
      </x:c>
      <x:c r="AZ261" t="str">
        <x:v>Official where available; curated Traditional Chinese/Japanese otherwise</x:v>
      </x:c>
      <x:c r="BA261" t="str">
        <x:v>Verified from official chart; digital HEX is approximate</x:v>
      </x:c>
      <x:c r="BB261" t="str">
        <x:v>Physical media appearance varies by paper, pressure, layering, water and scan/display profile.</x:v>
      </x:c>
    </x:row>
    <x:row r="262">
      <x:c r="A262" t="str">
        <x:f>G262&amp;"|"&amp;L262</x:f>
        <x:v>SUP|011</x:v>
      </x:c>
      <x:c r="B262" t="str">
        <x:v>7db1261b-bcca-567e-8f36-4b979c19ec2b</x:v>
      </x:c>
      <x:c r="C262" t="str">
        <x:v>CDA-SUP-011</x:v>
      </x:c>
      <x:c r="D262" t="str">
        <x:v>43a8d005-d4eb-5d75-b7e7-67ed5cabd5f4</x:v>
      </x:c>
      <x:c r="E262" t="str">
        <x:v>CDA-CODE-011</x:v>
      </x:c>
      <x:c r="F262" t="str">
        <x:v>Caran d’Ache</x:v>
      </x:c>
      <x:c r="G262" t="str">
        <x:v>SUP</x:v>
      </x:c>
      <x:c r="H262" t="str">
        <x:v>SUPRACOLOR Soft Aquarelle</x:v>
      </x:c>
      <x:c r="I262" t="str">
        <x:v>Water-soluble coloured pencil</x:v>
      </x:c>
      <x:c r="J262" t="str">
        <x:v>Artist</x:v>
      </x:c>
      <x:c r="K262" s="30" t="n">
        <x:v>41</x:v>
      </x:c>
      <x:c r="L262" s="30" t="str">
        <x:v>011</x:v>
      </x:c>
      <x:c r="M262" t="str">
        <x:v>Pale yellow</x:v>
      </x:c>
      <x:c r="N262" t="str">
        <x:v>淡黃色</x:v>
      </x:c>
      <x:c r="O262" t="str">
        <x:v>ペールイエロー</x:v>
      </x:c>
      <x:c r="P262" t="str"/>
      <x:c r="Q262" t="str">
        <x:v>Jaune lumière</x:v>
      </x:c>
      <x:c r="R262" t="str">
        <x:v>Lichtgelb</x:v>
      </x:c>
      <x:c r="S262" t="str">
        <x:v>Giallo chiaro</x:v>
      </x:c>
      <x:c r="T262" t="str">
        <x:v>Amarillo luminoso</x:v>
      </x:c>
      <x:c r="U262" t="str"/>
      <x:c r="V262" t="str"/>
      <x:c r="W262" t="str"/>
      <x:c r="X262" t="n">
        <x:f>IF(W262="",0,LEN(W262)-LEN(SUBSTITUTE(W262,"/",""))+1)</x:f>
        <x:v>0</x:v>
      </x:c>
      <x:c r="Y262" t="str">
        <x:v>H</x:v>
      </x:c>
      <x:c r="Z262" s="32" t="n">
        <x:v>1.67</x:v>
      </x:c>
      <x:c r="AA262" s="32" t="n">
        <x:v>3</x:v>
      </x:c>
      <x:c r="AB262" s="32" t="str">
        <x:v>Blue Wool Scale / UV 150h</x:v>
      </x:c>
      <x:c r="AC262" t="str">
        <x:v>#FAF4AF</x:v>
      </x:c>
      <x:c r="AD262" s="34" t="n">
        <x:v>250</x:v>
      </x:c>
      <x:c r="AE262" s="34" t="n">
        <x:v>244</x:v>
      </x:c>
      <x:c r="AF262" s="34" t="n">
        <x:v>175</x:v>
      </x:c>
      <x:c r="AG262" s="32" t="n">
        <x:v>55.2</x:v>
      </x:c>
      <x:c r="AH262" s="32" t="n">
        <x:v>88.24</x:v>
      </x:c>
      <x:c r="AI262" s="32" t="n">
        <x:v>83.33</x:v>
      </x:c>
      <x:c r="AJ262" s="32" t="n">
        <x:v>95.21</x:v>
      </x:c>
      <x:c r="AK262" s="32" t="n">
        <x:v>-8.24</x:v>
      </x:c>
      <x:c r="AL262" s="32" t="n">
        <x:v>34.05</x:v>
      </x:c>
      <x:c r="AM262" s="32" t="str">
        <x:v>#000000</x:v>
      </x:c>
      <x:c r="AN262" s="32" t="str">
        <x:v>Black</x:v>
      </x:c>
      <x:c r="AO262" s="32" t="n">
        <x:v>18.62</x:v>
      </x:c>
      <x:c r="AP262" s="32" t="n">
        <x:v>18.62</x:v>
      </x:c>
      <x:c r="AQ262" s="32" t="n">
        <x:v>1.13</x:v>
      </x:c>
      <x:c r="AR262" s="32" t="n">
        <x:v>0.881205</x:v>
      </x:c>
      <x:c r="AS262" t="str">
        <x:v>PASS</x:v>
      </x:c>
      <x:c r="AT262" t="str">
        <x:v>--cda-sup-011</x:v>
      </x:c>
      <x:c r="AU262" t="str">
        <x:v>var(--cda-sup-011)</x:v>
      </x:c>
      <x:c r="AV262" t="str">
        <x:v>Median RGB from official PDF swatch (screen reference only)</x:v>
      </x:c>
      <x:c r="AW262" t="str">
        <x:v>https://www.carandache.com/content_files/uploaded_doc/product/11426/Colour_Chart_Supracolor-BD3.pdf</x:v>
      </x:c>
      <x:c r="AX262" t="n">
        <x:v>1</x:v>
      </x:c>
      <x:c r="AY262" t="str">
        <x:v>Official</x:v>
      </x:c>
      <x:c r="AZ262" t="str">
        <x:v>Official where available; curated Traditional Chinese/Japanese otherwise</x:v>
      </x:c>
      <x:c r="BA262" t="str">
        <x:v>Verified from official chart; digital HEX is approximate</x:v>
      </x:c>
      <x:c r="BB262" t="str">
        <x:v>Physical media appearance varies by paper, pressure, layering, water and scan/display profile.</x:v>
      </x:c>
    </x:row>
    <x:row r="263">
      <x:c r="A263" t="str">
        <x:f>G263&amp;"|"&amp;L263</x:f>
        <x:v>SUP|250</x:v>
      </x:c>
      <x:c r="B263" t="str">
        <x:v>dc6445bf-ec95-53fc-bfd3-900c1a30b1c6</x:v>
      </x:c>
      <x:c r="C263" t="str">
        <x:v>CDA-SUP-250</x:v>
      </x:c>
      <x:c r="D263" t="str">
        <x:v>a36f41da-2a4f-5347-af79-4684b0317670</x:v>
      </x:c>
      <x:c r="E263" t="str">
        <x:v>CDA-CODE-250</x:v>
      </x:c>
      <x:c r="F263" t="str">
        <x:v>Caran d’Ache</x:v>
      </x:c>
      <x:c r="G263" t="str">
        <x:v>SUP</x:v>
      </x:c>
      <x:c r="H263" t="str">
        <x:v>SUPRACOLOR Soft Aquarelle</x:v>
      </x:c>
      <x:c r="I263" t="str">
        <x:v>Water-soluble coloured pencil</x:v>
      </x:c>
      <x:c r="J263" t="str">
        <x:v>Artist</x:v>
      </x:c>
      <x:c r="K263" s="30" t="n">
        <x:v>42</x:v>
      </x:c>
      <x:c r="L263" s="30" t="str">
        <x:v>250</x:v>
      </x:c>
      <x:c r="M263" t="str">
        <x:v>Canary yellow</x:v>
      </x:c>
      <x:c r="N263" t="str">
        <x:v>金絲雀黃</x:v>
      </x:c>
      <x:c r="O263" t="str">
        <x:v>カナリアイエロー</x:v>
      </x:c>
      <x:c r="P263" t="str"/>
      <x:c r="Q263" t="str">
        <x:v>Jaune canari</x:v>
      </x:c>
      <x:c r="R263" t="str">
        <x:v>Kanariengelb</x:v>
      </x:c>
      <x:c r="S263" t="str">
        <x:v>Giallo canarino</x:v>
      </x:c>
      <x:c r="T263" t="str">
        <x:v>Amarillo canário</x:v>
      </x:c>
      <x:c r="U263" t="str"/>
      <x:c r="V263" t="str"/>
      <x:c r="W263" t="str"/>
      <x:c r="X263" t="n">
        <x:f>IF(W263="",0,LEN(W263)-LEN(SUBSTITUTE(W263,"/",""))+1)</x:f>
        <x:v>0</x:v>
      </x:c>
      <x:c r="Y263" t="str">
        <x:v>H</x:v>
      </x:c>
      <x:c r="Z263" s="32" t="n">
        <x:v>1.67</x:v>
      </x:c>
      <x:c r="AA263" s="32" t="n">
        <x:v>3</x:v>
      </x:c>
      <x:c r="AB263" s="32" t="str">
        <x:v>Blue Wool Scale / UV 150h</x:v>
      </x:c>
      <x:c r="AC263" t="str">
        <x:v>#FDF185</x:v>
      </x:c>
      <x:c r="AD263" s="34" t="n">
        <x:v>253</x:v>
      </x:c>
      <x:c r="AE263" s="34" t="n">
        <x:v>241</x:v>
      </x:c>
      <x:c r="AF263" s="34" t="n">
        <x:v>133</x:v>
      </x:c>
      <x:c r="AG263" s="32" t="n">
        <x:v>54</x:v>
      </x:c>
      <x:c r="AH263" s="32" t="n">
        <x:v>96.77</x:v>
      </x:c>
      <x:c r="AI263" s="32" t="n">
        <x:v>75.69</x:v>
      </x:c>
      <x:c r="AJ263" s="32" t="n">
        <x:v>94.09</x:v>
      </x:c>
      <x:c r="AK263" s="32" t="n">
        <x:v>-10.05</x:v>
      </x:c>
      <x:c r="AL263" s="32" t="n">
        <x:v>53.24</x:v>
      </x:c>
      <x:c r="AM263" s="32" t="str">
        <x:v>#000000</x:v>
      </x:c>
      <x:c r="AN263" s="32" t="str">
        <x:v>Black</x:v>
      </x:c>
      <x:c r="AO263" s="32" t="n">
        <x:v>18.1</x:v>
      </x:c>
      <x:c r="AP263" s="32" t="n">
        <x:v>18.1</x:v>
      </x:c>
      <x:c r="AQ263" s="32" t="n">
        <x:v>1.16</x:v>
      </x:c>
      <x:c r="AR263" s="32" t="n">
        <x:v>0.854867</x:v>
      </x:c>
      <x:c r="AS263" t="str">
        <x:v>PASS</x:v>
      </x:c>
      <x:c r="AT263" t="str">
        <x:v>--cda-sup-250</x:v>
      </x:c>
      <x:c r="AU263" t="str">
        <x:v>var(--cda-sup-250)</x:v>
      </x:c>
      <x:c r="AV263" t="str">
        <x:v>Median RGB from official PDF swatch (screen reference only)</x:v>
      </x:c>
      <x:c r="AW263" t="str">
        <x:v>https://www.carandache.com/content_files/uploaded_doc/product/11426/Colour_Chart_Supracolor-BD3.pdf</x:v>
      </x:c>
      <x:c r="AX263" t="n">
        <x:v>1</x:v>
      </x:c>
      <x:c r="AY263" t="str">
        <x:v>Official</x:v>
      </x:c>
      <x:c r="AZ263" t="str">
        <x:v>Official where available; curated Traditional Chinese/Japanese otherwise</x:v>
      </x:c>
      <x:c r="BA263" t="str">
        <x:v>Verified from official chart; digital HEX is approximate</x:v>
      </x:c>
      <x:c r="BB263" t="str">
        <x:v>Physical media appearance varies by paper, pressure, layering, water and scan/display profile.</x:v>
      </x:c>
    </x:row>
    <x:row r="264">
      <x:c r="A264" t="str">
        <x:f>G264&amp;"|"&amp;L264</x:f>
        <x:v>SUP|240</x:v>
      </x:c>
      <x:c r="B264" t="str">
        <x:v>8e4438bc-7bac-5603-87a0-97d07eee99e7</x:v>
      </x:c>
      <x:c r="C264" t="str">
        <x:v>CDA-SUP-240</x:v>
      </x:c>
      <x:c r="D264" t="str">
        <x:v>e71849e5-e37c-518f-99a0-9189b6af2b63</x:v>
      </x:c>
      <x:c r="E264" t="str">
        <x:v>CDA-CODE-240</x:v>
      </x:c>
      <x:c r="F264" t="str">
        <x:v>Caran d’Ache</x:v>
      </x:c>
      <x:c r="G264" t="str">
        <x:v>SUP</x:v>
      </x:c>
      <x:c r="H264" t="str">
        <x:v>SUPRACOLOR Soft Aquarelle</x:v>
      </x:c>
      <x:c r="I264" t="str">
        <x:v>Water-soluble coloured pencil</x:v>
      </x:c>
      <x:c r="J264" t="str">
        <x:v>Artist</x:v>
      </x:c>
      <x:c r="K264" s="30" t="n">
        <x:v>43</x:v>
      </x:c>
      <x:c r="L264" s="30" t="str">
        <x:v>240</x:v>
      </x:c>
      <x:c r="M264" t="str">
        <x:v>Lemon yellow</x:v>
      </x:c>
      <x:c r="N264" t="str">
        <x:v>檸檬黃</x:v>
      </x:c>
      <x:c r="O264" t="str">
        <x:v>レモンイエロー</x:v>
      </x:c>
      <x:c r="P264" t="str"/>
      <x:c r="Q264" t="str">
        <x:v>Jaune citron</x:v>
      </x:c>
      <x:c r="R264" t="str">
        <x:v>Zitronengelb</x:v>
      </x:c>
      <x:c r="S264" t="str">
        <x:v>Giallo limone</x:v>
      </x:c>
      <x:c r="T264" t="str">
        <x:v>Amarillo limón</x:v>
      </x:c>
      <x:c r="U264" t="str"/>
      <x:c r="V264" t="str"/>
      <x:c r="W264" t="str"/>
      <x:c r="X264" t="n">
        <x:f>IF(W264="",0,LEN(W264)-LEN(SUBSTITUTE(W264,"/",""))+1)</x:f>
        <x:v>0</x:v>
      </x:c>
      <x:c r="Y264" t="str">
        <x:v>H</x:v>
      </x:c>
      <x:c r="Z264" s="32" t="n">
        <x:v>1.67</x:v>
      </x:c>
      <x:c r="AA264" s="32" t="n">
        <x:v>3</x:v>
      </x:c>
      <x:c r="AB264" s="32" t="str">
        <x:v>Blue Wool Scale / UV 150h</x:v>
      </x:c>
      <x:c r="AC264" t="str">
        <x:v>#F0EC7E</x:v>
      </x:c>
      <x:c r="AD264" s="34" t="n">
        <x:v>240</x:v>
      </x:c>
      <x:c r="AE264" s="34" t="n">
        <x:v>236</x:v>
      </x:c>
      <x:c r="AF264" s="34" t="n">
        <x:v>126</x:v>
      </x:c>
      <x:c r="AG264" s="32" t="n">
        <x:v>57.89</x:v>
      </x:c>
      <x:c r="AH264" s="32" t="n">
        <x:v>79.17</x:v>
      </x:c>
      <x:c r="AI264" s="32" t="n">
        <x:v>71.76</x:v>
      </x:c>
      <x:c r="AJ264" s="32" t="n">
        <x:v>91.7</x:v>
      </x:c>
      <x:c r="AK264" s="32" t="n">
        <x:v>-13.32</x:v>
      </x:c>
      <x:c r="AL264" s="32" t="n">
        <x:v>53.39</x:v>
      </x:c>
      <x:c r="AM264" s="32" t="str">
        <x:v>#000000</x:v>
      </x:c>
      <x:c r="AN264" s="32" t="str">
        <x:v>Black</x:v>
      </x:c>
      <x:c r="AO264" s="32" t="n">
        <x:v>17</x:v>
      </x:c>
      <x:c r="AP264" s="32" t="n">
        <x:v>17</x:v>
      </x:c>
      <x:c r="AQ264" s="32" t="n">
        <x:v>1.23</x:v>
      </x:c>
      <x:c r="AR264" s="32" t="n">
        <x:v>0.800225</x:v>
      </x:c>
      <x:c r="AS264" t="str">
        <x:v>PASS</x:v>
      </x:c>
      <x:c r="AT264" t="str">
        <x:v>--cda-sup-240</x:v>
      </x:c>
      <x:c r="AU264" t="str">
        <x:v>var(--cda-sup-240)</x:v>
      </x:c>
      <x:c r="AV264" t="str">
        <x:v>Median RGB from official PDF swatch (screen reference only)</x:v>
      </x:c>
      <x:c r="AW264" t="str">
        <x:v>https://www.carandache.com/content_files/uploaded_doc/product/11426/Colour_Chart_Supracolor-BD3.pdf</x:v>
      </x:c>
      <x:c r="AX264" t="n">
        <x:v>1</x:v>
      </x:c>
      <x:c r="AY264" t="str">
        <x:v>Official</x:v>
      </x:c>
      <x:c r="AZ264" t="str">
        <x:v>Official where available; curated Traditional Chinese/Japanese otherwise</x:v>
      </x:c>
      <x:c r="BA264" t="str">
        <x:v>Verified from official chart; digital HEX is approximate</x:v>
      </x:c>
      <x:c r="BB264" t="str">
        <x:v>Physical media appearance varies by paper, pressure, layering, water and scan/display profile.</x:v>
      </x:c>
    </x:row>
    <x:row r="265">
      <x:c r="A265" t="str">
        <x:f>G265&amp;"|"&amp;L265</x:f>
        <x:v>SUP|021</x:v>
      </x:c>
      <x:c r="B265" t="str">
        <x:v>7c3311c5-080a-5da0-85c6-6bbd31be7237</x:v>
      </x:c>
      <x:c r="C265" t="str">
        <x:v>CDA-SUP-021</x:v>
      </x:c>
      <x:c r="D265" t="str">
        <x:v>1727780c-fec6-5bde-9cc2-92c8617cddc2</x:v>
      </x:c>
      <x:c r="E265" t="str">
        <x:v>CDA-CODE-021</x:v>
      </x:c>
      <x:c r="F265" t="str">
        <x:v>Caran d’Ache</x:v>
      </x:c>
      <x:c r="G265" t="str">
        <x:v>SUP</x:v>
      </x:c>
      <x:c r="H265" t="str">
        <x:v>SUPRACOLOR Soft Aquarelle</x:v>
      </x:c>
      <x:c r="I265" t="str">
        <x:v>Water-soluble coloured pencil</x:v>
      </x:c>
      <x:c r="J265" t="str">
        <x:v>Artist</x:v>
      </x:c>
      <x:c r="K265" s="30" t="n">
        <x:v>44</x:v>
      </x:c>
      <x:c r="L265" s="30" t="str">
        <x:v>021</x:v>
      </x:c>
      <x:c r="M265" t="str">
        <x:v>Naples yellow</x:v>
      </x:c>
      <x:c r="N265" t="str">
        <x:v>那不勒斯黃</x:v>
      </x:c>
      <x:c r="O265" t="str">
        <x:v>ネープルスイエロー</x:v>
      </x:c>
      <x:c r="P265" t="str"/>
      <x:c r="Q265" t="str">
        <x:v>Jaune de Naples</x:v>
      </x:c>
      <x:c r="R265" t="str">
        <x:v>Neapelgelb</x:v>
      </x:c>
      <x:c r="S265" t="str">
        <x:v>Giallo di Napoli</x:v>
      </x:c>
      <x:c r="T265" t="str">
        <x:v>Amarillo de Nápoles</x:v>
      </x:c>
      <x:c r="U265" t="str"/>
      <x:c r="V265" t="str"/>
      <x:c r="W265" t="str"/>
      <x:c r="X265" t="n">
        <x:f>IF(W265="",0,LEN(W265)-LEN(SUBSTITUTE(W265,"/",""))+1)</x:f>
        <x:v>0</x:v>
      </x:c>
      <x:c r="Y265" t="str">
        <x:v>H</x:v>
      </x:c>
      <x:c r="Z265" s="32" t="n">
        <x:v>1.67</x:v>
      </x:c>
      <x:c r="AA265" s="32" t="n">
        <x:v>3</x:v>
      </x:c>
      <x:c r="AB265" s="32" t="str">
        <x:v>Blue Wool Scale / UV 150h</x:v>
      </x:c>
      <x:c r="AC265" t="str">
        <x:v>#FFF491</x:v>
      </x:c>
      <x:c r="AD265" s="34" t="n">
        <x:v>255</x:v>
      </x:c>
      <x:c r="AE265" s="34" t="n">
        <x:v>244</x:v>
      </x:c>
      <x:c r="AF265" s="34" t="n">
        <x:v>145</x:v>
      </x:c>
      <x:c r="AG265" s="32" t="n">
        <x:v>54</x:v>
      </x:c>
      <x:c r="AH265" s="32" t="n">
        <x:v>100</x:v>
      </x:c>
      <x:c r="AI265" s="32" t="n">
        <x:v>78.43</x:v>
      </x:c>
      <x:c r="AJ265" s="32" t="n">
        <x:v>95.16</x:v>
      </x:c>
      <x:c r="AK265" s="32" t="n">
        <x:v>-9.64</x:v>
      </x:c>
      <x:c r="AL265" s="32" t="n">
        <x:v>48.87</x:v>
      </x:c>
      <x:c r="AM265" s="32" t="str">
        <x:v>#000000</x:v>
      </x:c>
      <x:c r="AN265" s="32" t="str">
        <x:v>Black</x:v>
      </x:c>
      <x:c r="AO265" s="32" t="n">
        <x:v>18.6</x:v>
      </x:c>
      <x:c r="AP265" s="32" t="n">
        <x:v>18.6</x:v>
      </x:c>
      <x:c r="AQ265" s="32" t="n">
        <x:v>1.13</x:v>
      </x:c>
      <x:c r="AR265" s="32" t="n">
        <x:v>0.880057</x:v>
      </x:c>
      <x:c r="AS265" t="str">
        <x:v>PASS</x:v>
      </x:c>
      <x:c r="AT265" t="str">
        <x:v>--cda-sup-021</x:v>
      </x:c>
      <x:c r="AU265" t="str">
        <x:v>var(--cda-sup-021)</x:v>
      </x:c>
      <x:c r="AV265" t="str">
        <x:v>Median RGB from official PDF swatch (screen reference only)</x:v>
      </x:c>
      <x:c r="AW265" t="str">
        <x:v>https://www.carandache.com/content_files/uploaded_doc/product/11426/Colour_Chart_Supracolor-BD3.pdf</x:v>
      </x:c>
      <x:c r="AX265" t="n">
        <x:v>1</x:v>
      </x:c>
      <x:c r="AY265" t="str">
        <x:v>Official</x:v>
      </x:c>
      <x:c r="AZ265" t="str">
        <x:v>Official where available; curated Traditional Chinese/Japanese otherwise</x:v>
      </x:c>
      <x:c r="BA265" t="str">
        <x:v>Verified from official chart; digital HEX is approximate</x:v>
      </x:c>
      <x:c r="BB265" t="str">
        <x:v>Physical media appearance varies by paper, pressure, layering, water and scan/display profile.</x:v>
      </x:c>
    </x:row>
    <x:row r="266">
      <x:c r="A266" t="str">
        <x:f>G266&amp;"|"&amp;L266</x:f>
        <x:v>SUP|010</x:v>
      </x:c>
      <x:c r="B266" t="str">
        <x:v>ee4a80bc-672d-5378-adb2-81d370895111</x:v>
      </x:c>
      <x:c r="C266" t="str">
        <x:v>CDA-SUP-010</x:v>
      </x:c>
      <x:c r="D266" t="str">
        <x:v>2eb703d0-d144-5025-ac87-72936a922e7c</x:v>
      </x:c>
      <x:c r="E266" t="str">
        <x:v>CDA-CODE-010</x:v>
      </x:c>
      <x:c r="F266" t="str">
        <x:v>Caran d’Ache</x:v>
      </x:c>
      <x:c r="G266" t="str">
        <x:v>SUP</x:v>
      </x:c>
      <x:c r="H266" t="str">
        <x:v>SUPRACOLOR Soft Aquarelle</x:v>
      </x:c>
      <x:c r="I266" t="str">
        <x:v>Water-soluble coloured pencil</x:v>
      </x:c>
      <x:c r="J266" t="str">
        <x:v>Artist</x:v>
      </x:c>
      <x:c r="K266" s="30" t="n">
        <x:v>45</x:v>
      </x:c>
      <x:c r="L266" s="30" t="str">
        <x:v>010</x:v>
      </x:c>
      <x:c r="M266" t="str">
        <x:v>Yellow</x:v>
      </x:c>
      <x:c r="N266" t="str">
        <x:v>黃色</x:v>
      </x:c>
      <x:c r="O266" t="str">
        <x:v>イエロー</x:v>
      </x:c>
      <x:c r="P266" t="str"/>
      <x:c r="Q266" t="str">
        <x:v>Jaune</x:v>
      </x:c>
      <x:c r="R266" t="str">
        <x:v>Gelb</x:v>
      </x:c>
      <x:c r="S266" t="str">
        <x:v>Giallo</x:v>
      </x:c>
      <x:c r="T266" t="str">
        <x:v>Amarillo</x:v>
      </x:c>
      <x:c r="U266" t="str"/>
      <x:c r="V266" t="str"/>
      <x:c r="W266" t="str"/>
      <x:c r="X266" t="n">
        <x:f>IF(W266="",0,LEN(W266)-LEN(SUBSTITUTE(W266,"/",""))+1)</x:f>
        <x:v>0</x:v>
      </x:c>
      <x:c r="Y266" t="str">
        <x:v>H</x:v>
      </x:c>
      <x:c r="Z266" s="32" t="n">
        <x:v>1.67</x:v>
      </x:c>
      <x:c r="AA266" s="32" t="n">
        <x:v>3</x:v>
      </x:c>
      <x:c r="AB266" s="32" t="str">
        <x:v>Blue Wool Scale / UV 150h</x:v>
      </x:c>
      <x:c r="AC266" t="str">
        <x:v>#FFF167</x:v>
      </x:c>
      <x:c r="AD266" s="34" t="n">
        <x:v>255</x:v>
      </x:c>
      <x:c r="AE266" s="34" t="n">
        <x:v>241</x:v>
      </x:c>
      <x:c r="AF266" s="34" t="n">
        <x:v>103</x:v>
      </x:c>
      <x:c r="AG266" s="32" t="n">
        <x:v>54.47</x:v>
      </x:c>
      <x:c r="AH266" s="32" t="n">
        <x:v>100</x:v>
      </x:c>
      <x:c r="AI266" s="32" t="n">
        <x:v>70.2</x:v>
      </x:c>
      <x:c r="AJ266" s="32" t="n">
        <x:v>93.95</x:v>
      </x:c>
      <x:c r="AK266" s="32" t="n">
        <x:v>-11.58</x:v>
      </x:c>
      <x:c r="AL266" s="32" t="n">
        <x:v>66.6</x:v>
      </x:c>
      <x:c r="AM266" s="32" t="str">
        <x:v>#000000</x:v>
      </x:c>
      <x:c r="AN266" s="32" t="str">
        <x:v>Black</x:v>
      </x:c>
      <x:c r="AO266" s="32" t="n">
        <x:v>18.03</x:v>
      </x:c>
      <x:c r="AP266" s="32" t="n">
        <x:v>18.03</x:v>
      </x:c>
      <x:c r="AQ266" s="32" t="n">
        <x:v>1.16</x:v>
      </x:c>
      <x:c r="AR266" s="32" t="n">
        <x:v>0.851499</x:v>
      </x:c>
      <x:c r="AS266" t="str">
        <x:v>PASS</x:v>
      </x:c>
      <x:c r="AT266" t="str">
        <x:v>--cda-sup-010</x:v>
      </x:c>
      <x:c r="AU266" t="str">
        <x:v>var(--cda-sup-010)</x:v>
      </x:c>
      <x:c r="AV266" t="str">
        <x:v>Median RGB from official PDF swatch (screen reference only)</x:v>
      </x:c>
      <x:c r="AW266" t="str">
        <x:v>https://www.carandache.com/content_files/uploaded_doc/product/11426/Colour_Chart_Supracolor-BD3.pdf</x:v>
      </x:c>
      <x:c r="AX266" t="n">
        <x:v>1</x:v>
      </x:c>
      <x:c r="AY266" t="str">
        <x:v>Official</x:v>
      </x:c>
      <x:c r="AZ266" t="str">
        <x:v>Official where available; curated Traditional Chinese/Japanese otherwise</x:v>
      </x:c>
      <x:c r="BA266" t="str">
        <x:v>Verified from official chart; digital HEX is approximate</x:v>
      </x:c>
      <x:c r="BB266" t="str">
        <x:v>Physical media appearance varies by paper, pressure, layering, water and scan/display profile.</x:v>
      </x:c>
    </x:row>
    <x:row r="267">
      <x:c r="A267" t="str">
        <x:f>G267&amp;"|"&amp;L267</x:f>
        <x:v>SUP|020</x:v>
      </x:c>
      <x:c r="B267" t="str">
        <x:v>97cdb096-8bf3-57d8-a0ce-654167ef96fa</x:v>
      </x:c>
      <x:c r="C267" t="str">
        <x:v>CDA-SUP-020</x:v>
      </x:c>
      <x:c r="D267" t="str">
        <x:v>6505c891-c1b2-502b-bed0-6adb7d50721c</x:v>
      </x:c>
      <x:c r="E267" t="str">
        <x:v>CDA-CODE-020</x:v>
      </x:c>
      <x:c r="F267" t="str">
        <x:v>Caran d’Ache</x:v>
      </x:c>
      <x:c r="G267" t="str">
        <x:v>SUP</x:v>
      </x:c>
      <x:c r="H267" t="str">
        <x:v>SUPRACOLOR Soft Aquarelle</x:v>
      </x:c>
      <x:c r="I267" t="str">
        <x:v>Water-soluble coloured pencil</x:v>
      </x:c>
      <x:c r="J267" t="str">
        <x:v>Artist</x:v>
      </x:c>
      <x:c r="K267" s="30" t="n">
        <x:v>46</x:v>
      </x:c>
      <x:c r="L267" s="30" t="str">
        <x:v>020</x:v>
      </x:c>
      <x:c r="M267" t="str">
        <x:v>Golden yellow</x:v>
      </x:c>
      <x:c r="N267" t="str">
        <x:v>金黃色</x:v>
      </x:c>
      <x:c r="O267" t="str">
        <x:v>ゴールデンイエロー</x:v>
      </x:c>
      <x:c r="P267" t="str"/>
      <x:c r="Q267" t="str">
        <x:v>Jaune d’or</x:v>
      </x:c>
      <x:c r="R267" t="str">
        <x:v>Goldgelb</x:v>
      </x:c>
      <x:c r="S267" t="str">
        <x:v>Giallo oro</x:v>
      </x:c>
      <x:c r="T267" t="str">
        <x:v>Amarillo oro</x:v>
      </x:c>
      <x:c r="U267" t="str"/>
      <x:c r="V267" t="str"/>
      <x:c r="W267" t="str"/>
      <x:c r="X267" t="n">
        <x:f>IF(W267="",0,LEN(W267)-LEN(SUBSTITUTE(W267,"/",""))+1)</x:f>
        <x:v>0</x:v>
      </x:c>
      <x:c r="Y267" t="str">
        <x:v>H</x:v>
      </x:c>
      <x:c r="Z267" s="32" t="n">
        <x:v>1.67</x:v>
      </x:c>
      <x:c r="AA267" s="32" t="n">
        <x:v>3</x:v>
      </x:c>
      <x:c r="AB267" s="32" t="str">
        <x:v>Blue Wool Scale / UV 150h</x:v>
      </x:c>
      <x:c r="AC267" t="str">
        <x:v>#FFF172</x:v>
      </x:c>
      <x:c r="AD267" s="34" t="n">
        <x:v>255</x:v>
      </x:c>
      <x:c r="AE267" s="34" t="n">
        <x:v>241</x:v>
      </x:c>
      <x:c r="AF267" s="34" t="n">
        <x:v>114</x:v>
      </x:c>
      <x:c r="AG267" s="32" t="n">
        <x:v>54.04</x:v>
      </x:c>
      <x:c r="AH267" s="32" t="n">
        <x:v>100</x:v>
      </x:c>
      <x:c r="AI267" s="32" t="n">
        <x:v>72.35</x:v>
      </x:c>
      <x:c r="AJ267" s="32" t="n">
        <x:v>94.05</x:v>
      </x:c>
      <x:c r="AK267" s="32" t="n">
        <x:v>-10.81</x:v>
      </x:c>
      <x:c r="AL267" s="32" t="n">
        <x:v>61.94</x:v>
      </x:c>
      <x:c r="AM267" s="32" t="str">
        <x:v>#000000</x:v>
      </x:c>
      <x:c r="AN267" s="32" t="str">
        <x:v>Black</x:v>
      </x:c>
      <x:c r="AO267" s="32" t="n">
        <x:v>18.08</x:v>
      </x:c>
      <x:c r="AP267" s="32" t="n">
        <x:v>18.08</x:v>
      </x:c>
      <x:c r="AQ267" s="32" t="n">
        <x:v>1.16</x:v>
      </x:c>
      <x:c r="AR267" s="32" t="n">
        <x:v>0.853855</x:v>
      </x:c>
      <x:c r="AS267" t="str">
        <x:v>PASS</x:v>
      </x:c>
      <x:c r="AT267" t="str">
        <x:v>--cda-sup-020</x:v>
      </x:c>
      <x:c r="AU267" t="str">
        <x:v>var(--cda-sup-020)</x:v>
      </x:c>
      <x:c r="AV267" t="str">
        <x:v>Median RGB from official PDF swatch (screen reference only)</x:v>
      </x:c>
      <x:c r="AW267" t="str">
        <x:v>https://www.carandache.com/content_files/uploaded_doc/product/11426/Colour_Chart_Supracolor-BD3.pdf</x:v>
      </x:c>
      <x:c r="AX267" t="n">
        <x:v>1</x:v>
      </x:c>
      <x:c r="AY267" t="str">
        <x:v>Official</x:v>
      </x:c>
      <x:c r="AZ267" t="str">
        <x:v>Official where available; curated Traditional Chinese/Japanese otherwise</x:v>
      </x:c>
      <x:c r="BA267" t="str">
        <x:v>Verified from official chart; digital HEX is approximate</x:v>
      </x:c>
      <x:c r="BB267" t="str">
        <x:v>Physical media appearance varies by paper, pressure, layering, water and scan/display profile.</x:v>
      </x:c>
    </x:row>
    <x:row r="268">
      <x:c r="A268" t="str">
        <x:f>G268&amp;"|"&amp;L268</x:f>
        <x:v>SUP|300</x:v>
      </x:c>
      <x:c r="B268" t="str">
        <x:v>56012451-2f2e-5a11-ac48-8c7d2432f588</x:v>
      </x:c>
      <x:c r="C268" t="str">
        <x:v>CDA-SUP-300</x:v>
      </x:c>
      <x:c r="D268" t="str">
        <x:v>a0ce686f-7535-53f8-b53e-5ecadedba3d5</x:v>
      </x:c>
      <x:c r="E268" t="str">
        <x:v>CDA-CODE-300</x:v>
      </x:c>
      <x:c r="F268" t="str">
        <x:v>Caran d’Ache</x:v>
      </x:c>
      <x:c r="G268" t="str">
        <x:v>SUP</x:v>
      </x:c>
      <x:c r="H268" t="str">
        <x:v>SUPRACOLOR Soft Aquarelle</x:v>
      </x:c>
      <x:c r="I268" t="str">
        <x:v>Water-soluble coloured pencil</x:v>
      </x:c>
      <x:c r="J268" t="str">
        <x:v>Artist</x:v>
      </x:c>
      <x:c r="K268" s="30" t="n">
        <x:v>47</x:v>
      </x:c>
      <x:c r="L268" s="30" t="str">
        <x:v>300</x:v>
      </x:c>
      <x:c r="M268" t="str">
        <x:v>Fast orange</x:v>
      </x:c>
      <x:c r="N268" t="str">
        <x:v>耐久橙</x:v>
      </x:c>
      <x:c r="O268" t="str">
        <x:v>ファストオレンジ</x:v>
      </x:c>
      <x:c r="P268" t="str"/>
      <x:c r="Q268" t="str">
        <x:v>Orange solide</x:v>
      </x:c>
      <x:c r="R268" t="str">
        <x:v>Echtorange</x:v>
      </x:c>
      <x:c r="S268" t="str">
        <x:v>Arancio permanente</x:v>
      </x:c>
      <x:c r="T268" t="str">
        <x:v>Naranja sólido</x:v>
      </x:c>
      <x:c r="U268" t="str"/>
      <x:c r="V268" t="str"/>
      <x:c r="W268" t="str"/>
      <x:c r="X268" t="n">
        <x:f>IF(W268="",0,LEN(W268)-LEN(SUBSTITUTE(W268,"/",""))+1)</x:f>
        <x:v>0</x:v>
      </x:c>
      <x:c r="Y268" t="str">
        <x:v>H</x:v>
      </x:c>
      <x:c r="Z268" s="32" t="n">
        <x:v>1.67</x:v>
      </x:c>
      <x:c r="AA268" s="32" t="n">
        <x:v>3</x:v>
      </x:c>
      <x:c r="AB268" s="32" t="str">
        <x:v>Blue Wool Scale / UV 150h</x:v>
      </x:c>
      <x:c r="AC268" t="str">
        <x:v>#FEDC6A</x:v>
      </x:c>
      <x:c r="AD268" s="34" t="n">
        <x:v>254</x:v>
      </x:c>
      <x:c r="AE268" s="34" t="n">
        <x:v>220</x:v>
      </x:c>
      <x:c r="AF268" s="34" t="n">
        <x:v>106</x:v>
      </x:c>
      <x:c r="AG268" s="32" t="n">
        <x:v>46.22</x:v>
      </x:c>
      <x:c r="AH268" s="32" t="n">
        <x:v>98.67</x:v>
      </x:c>
      <x:c r="AI268" s="32" t="n">
        <x:v>70.59</x:v>
      </x:c>
      <x:c r="AJ268" s="32" t="n">
        <x:v>88.59</x:v>
      </x:c>
      <x:c r="AK268" s="32" t="n">
        <x:v>-1.3</x:v>
      </x:c>
      <x:c r="AL268" s="32" t="n">
        <x:v>59.28</x:v>
      </x:c>
      <x:c r="AM268" s="32" t="str">
        <x:v>#000000</x:v>
      </x:c>
      <x:c r="AN268" s="32" t="str">
        <x:v>Black</x:v>
      </x:c>
      <x:c r="AO268" s="32" t="n">
        <x:v>15.66</x:v>
      </x:c>
      <x:c r="AP268" s="32" t="n">
        <x:v>15.66</x:v>
      </x:c>
      <x:c r="AQ268" s="32" t="n">
        <x:v>1.34</x:v>
      </x:c>
      <x:c r="AR268" s="32" t="n">
        <x:v>0.732978</x:v>
      </x:c>
      <x:c r="AS268" t="str">
        <x:v>PASS</x:v>
      </x:c>
      <x:c r="AT268" t="str">
        <x:v>--cda-sup-300</x:v>
      </x:c>
      <x:c r="AU268" t="str">
        <x:v>var(--cda-sup-300)</x:v>
      </x:c>
      <x:c r="AV268" t="str">
        <x:v>Median RGB from official PDF swatch (screen reference only)</x:v>
      </x:c>
      <x:c r="AW268" t="str">
        <x:v>https://www.carandache.com/content_files/uploaded_doc/product/11426/Colour_Chart_Supracolor-BD3.pdf</x:v>
      </x:c>
      <x:c r="AX268" t="n">
        <x:v>1</x:v>
      </x:c>
      <x:c r="AY268" t="str">
        <x:v>Official</x:v>
      </x:c>
      <x:c r="AZ268" t="str">
        <x:v>Official where available; curated Traditional Chinese/Japanese otherwise</x:v>
      </x:c>
      <x:c r="BA268" t="str">
        <x:v>Verified from official chart; digital HEX is approximate</x:v>
      </x:c>
      <x:c r="BB268" t="str">
        <x:v>Physical media appearance varies by paper, pressure, layering, water and scan/display profile.</x:v>
      </x:c>
    </x:row>
    <x:row r="269">
      <x:c r="A269" t="str">
        <x:f>G269&amp;"|"&amp;L269</x:f>
        <x:v>SUP|030</x:v>
      </x:c>
      <x:c r="B269" t="str">
        <x:v>aeb695bf-5219-56f4-b90f-0cecdd9e906e</x:v>
      </x:c>
      <x:c r="C269" t="str">
        <x:v>CDA-SUP-030</x:v>
      </x:c>
      <x:c r="D269" t="str">
        <x:v>ebda54ca-102e-54e3-a9ae-065baab1ac50</x:v>
      </x:c>
      <x:c r="E269" t="str">
        <x:v>CDA-CODE-030</x:v>
      </x:c>
      <x:c r="F269" t="str">
        <x:v>Caran d’Ache</x:v>
      </x:c>
      <x:c r="G269" t="str">
        <x:v>SUP</x:v>
      </x:c>
      <x:c r="H269" t="str">
        <x:v>SUPRACOLOR Soft Aquarelle</x:v>
      </x:c>
      <x:c r="I269" t="str">
        <x:v>Water-soluble coloured pencil</x:v>
      </x:c>
      <x:c r="J269" t="str">
        <x:v>Artist</x:v>
      </x:c>
      <x:c r="K269" s="30" t="n">
        <x:v>48</x:v>
      </x:c>
      <x:c r="L269" s="30" t="str">
        <x:v>030</x:v>
      </x:c>
      <x:c r="M269" t="str">
        <x:v>Orange</x:v>
      </x:c>
      <x:c r="N269" t="str">
        <x:v>橙色</x:v>
      </x:c>
      <x:c r="O269" t="str">
        <x:v>オレンジ</x:v>
      </x:c>
      <x:c r="P269" t="str"/>
      <x:c r="Q269" t="str">
        <x:v>Orange</x:v>
      </x:c>
      <x:c r="R269" t="str">
        <x:v>Orange</x:v>
      </x:c>
      <x:c r="S269" t="str">
        <x:v>Arancio</x:v>
      </x:c>
      <x:c r="T269" t="str">
        <x:v>Naranja</x:v>
      </x:c>
      <x:c r="U269" t="str"/>
      <x:c r="V269" t="str"/>
      <x:c r="W269" t="str"/>
      <x:c r="X269" t="n">
        <x:f>IF(W269="",0,LEN(W269)-LEN(SUBSTITUTE(W269,"/",""))+1)</x:f>
        <x:v>0</x:v>
      </x:c>
      <x:c r="Y269" t="str">
        <x:v>H</x:v>
      </x:c>
      <x:c r="Z269" s="32" t="n">
        <x:v>1.67</x:v>
      </x:c>
      <x:c r="AA269" s="32" t="n">
        <x:v>3</x:v>
      </x:c>
      <x:c r="AB269" s="32" t="str">
        <x:v>Blue Wool Scale / UV 150h</x:v>
      </x:c>
      <x:c r="AC269" t="str">
        <x:v>#FECA4F</x:v>
      </x:c>
      <x:c r="AD269" s="34" t="n">
        <x:v>254</x:v>
      </x:c>
      <x:c r="AE269" s="34" t="n">
        <x:v>202</x:v>
      </x:c>
      <x:c r="AF269" s="34" t="n">
        <x:v>79</x:v>
      </x:c>
      <x:c r="AG269" s="32" t="n">
        <x:v>42.17</x:v>
      </x:c>
      <x:c r="AH269" s="32" t="n">
        <x:v>98.87</x:v>
      </x:c>
      <x:c r="AI269" s="32" t="n">
        <x:v>65.29</x:v>
      </x:c>
      <x:c r="AJ269" s="32" t="n">
        <x:v>83.9</x:v>
      </x:c>
      <x:c r="AK269" s="32" t="n">
        <x:v>6.27</x:v>
      </x:c>
      <x:c r="AL269" s="32" t="n">
        <x:v>65.87</x:v>
      </x:c>
      <x:c r="AM269" s="32" t="str">
        <x:v>#000000</x:v>
      </x:c>
      <x:c r="AN269" s="32" t="str">
        <x:v>Black</x:v>
      </x:c>
      <x:c r="AO269" s="32" t="n">
        <x:v>13.78</x:v>
      </x:c>
      <x:c r="AP269" s="32" t="n">
        <x:v>13.78</x:v>
      </x:c>
      <x:c r="AQ269" s="32" t="n">
        <x:v>1.52</x:v>
      </x:c>
      <x:c r="AR269" s="32" t="n">
        <x:v>0.638764</x:v>
      </x:c>
      <x:c r="AS269" t="str">
        <x:v>PASS</x:v>
      </x:c>
      <x:c r="AT269" t="str">
        <x:v>--cda-sup-030</x:v>
      </x:c>
      <x:c r="AU269" t="str">
        <x:v>var(--cda-sup-030)</x:v>
      </x:c>
      <x:c r="AV269" t="str">
        <x:v>Median RGB from official PDF swatch (screen reference only)</x:v>
      </x:c>
      <x:c r="AW269" t="str">
        <x:v>https://www.carandache.com/content_files/uploaded_doc/product/11426/Colour_Chart_Supracolor-BD3.pdf</x:v>
      </x:c>
      <x:c r="AX269" t="n">
        <x:v>1</x:v>
      </x:c>
      <x:c r="AY269" t="str">
        <x:v>Official</x:v>
      </x:c>
      <x:c r="AZ269" t="str">
        <x:v>Official where available; curated Traditional Chinese/Japanese otherwise</x:v>
      </x:c>
      <x:c r="BA269" t="str">
        <x:v>Verified from official chart; digital HEX is approximate</x:v>
      </x:c>
      <x:c r="BB269" t="str">
        <x:v>Physical media appearance varies by paper, pressure, layering, water and scan/display profile.</x:v>
      </x:c>
    </x:row>
    <x:row r="270">
      <x:c r="A270" t="str">
        <x:f>G270&amp;"|"&amp;L270</x:f>
        <x:v>SUP|040</x:v>
      </x:c>
      <x:c r="B270" t="str">
        <x:v>232ae3d3-83ec-5938-ae2b-87884eaf94ea</x:v>
      </x:c>
      <x:c r="C270" t="str">
        <x:v>CDA-SUP-040</x:v>
      </x:c>
      <x:c r="D270" t="str">
        <x:v>c0d22832-3f13-580d-986f-0f285f98a6c1</x:v>
      </x:c>
      <x:c r="E270" t="str">
        <x:v>CDA-CODE-040</x:v>
      </x:c>
      <x:c r="F270" t="str">
        <x:v>Caran d’Ache</x:v>
      </x:c>
      <x:c r="G270" t="str">
        <x:v>SUP</x:v>
      </x:c>
      <x:c r="H270" t="str">
        <x:v>SUPRACOLOR Soft Aquarelle</x:v>
      </x:c>
      <x:c r="I270" t="str">
        <x:v>Water-soluble coloured pencil</x:v>
      </x:c>
      <x:c r="J270" t="str">
        <x:v>Artist</x:v>
      </x:c>
      <x:c r="K270" s="30" t="n">
        <x:v>49</x:v>
      </x:c>
      <x:c r="L270" s="30" t="str">
        <x:v>040</x:v>
      </x:c>
      <x:c r="M270" t="str">
        <x:v>Reddish yellow</x:v>
      </x:c>
      <x:c r="N270" t="str">
        <x:v>紅黃色</x:v>
      </x:c>
      <x:c r="O270" t="str">
        <x:v>レディッシュイエロー</x:v>
      </x:c>
      <x:c r="P270" t="str"/>
      <x:c r="Q270" t="str">
        <x:v>Rouge jaune</x:v>
      </x:c>
      <x:c r="R270" t="str">
        <x:v>Rotgelb</x:v>
      </x:c>
      <x:c r="S270" t="str">
        <x:v>Rosso giallo</x:v>
      </x:c>
      <x:c r="T270" t="str">
        <x:v>Rojo amarillo</x:v>
      </x:c>
      <x:c r="U270" t="str"/>
      <x:c r="V270" t="str"/>
      <x:c r="W270" t="str"/>
      <x:c r="X270" t="n">
        <x:f>IF(W270="",0,LEN(W270)-LEN(SUBSTITUTE(W270,"/",""))+1)</x:f>
        <x:v>0</x:v>
      </x:c>
      <x:c r="Y270" t="str">
        <x:v>H</x:v>
      </x:c>
      <x:c r="Z270" s="32" t="n">
        <x:v>1.67</x:v>
      </x:c>
      <x:c r="AA270" s="32" t="n">
        <x:v>3</x:v>
      </x:c>
      <x:c r="AB270" s="32" t="str">
        <x:v>Blue Wool Scale / UV 150h</x:v>
      </x:c>
      <x:c r="AC270" t="str">
        <x:v>#FCB662</x:v>
      </x:c>
      <x:c r="AD270" s="34" t="n">
        <x:v>252</x:v>
      </x:c>
      <x:c r="AE270" s="34" t="n">
        <x:v>182</x:v>
      </x:c>
      <x:c r="AF270" s="34" t="n">
        <x:v>98</x:v>
      </x:c>
      <x:c r="AG270" s="32" t="n">
        <x:v>32.73</x:v>
      </x:c>
      <x:c r="AH270" s="32" t="n">
        <x:v>96.25</x:v>
      </x:c>
      <x:c r="AI270" s="32" t="n">
        <x:v>68.63</x:v>
      </x:c>
      <x:c r="AJ270" s="32" t="n">
        <x:v>79.06</x:v>
      </x:c>
      <x:c r="AK270" s="32" t="n">
        <x:v>16.96</x:v>
      </x:c>
      <x:c r="AL270" s="32" t="n">
        <x:v>52.01</x:v>
      </x:c>
      <x:c r="AM270" s="32" t="str">
        <x:v>#000000</x:v>
      </x:c>
      <x:c r="AN270" s="32" t="str">
        <x:v>Black</x:v>
      </x:c>
      <x:c r="AO270" s="32" t="n">
        <x:v>12.01</x:v>
      </x:c>
      <x:c r="AP270" s="32" t="n">
        <x:v>12.01</x:v>
      </x:c>
      <x:c r="AQ270" s="32" t="n">
        <x:v>1.75</x:v>
      </x:c>
      <x:c r="AR270" s="32" t="n">
        <x:v>0.550332</x:v>
      </x:c>
      <x:c r="AS270" t="str">
        <x:v>PASS</x:v>
      </x:c>
      <x:c r="AT270" t="str">
        <x:v>--cda-sup-040</x:v>
      </x:c>
      <x:c r="AU270" t="str">
        <x:v>var(--cda-sup-040)</x:v>
      </x:c>
      <x:c r="AV270" t="str">
        <x:v>Median RGB from official PDF swatch (screen reference only)</x:v>
      </x:c>
      <x:c r="AW270" t="str">
        <x:v>https://www.carandache.com/content_files/uploaded_doc/product/11426/Colour_Chart_Supracolor-BD3.pdf</x:v>
      </x:c>
      <x:c r="AX270" t="n">
        <x:v>1</x:v>
      </x:c>
      <x:c r="AY270" t="str">
        <x:v>Official</x:v>
      </x:c>
      <x:c r="AZ270" t="str">
        <x:v>Official where available; curated Traditional Chinese/Japanese otherwise</x:v>
      </x:c>
      <x:c r="BA270" t="str">
        <x:v>Verified from official chart; digital HEX is approximate</x:v>
      </x:c>
      <x:c r="BB270" t="str">
        <x:v>Physical media appearance varies by paper, pressure, layering, water and scan/display profile.</x:v>
      </x:c>
    </x:row>
    <x:row r="271">
      <x:c r="A271" t="str">
        <x:f>G271&amp;"|"&amp;L271</x:f>
        <x:v>SUP|050</x:v>
      </x:c>
      <x:c r="B271" t="str">
        <x:v>bdca4a5f-7bdb-5356-8276-5aa5383c9501</x:v>
      </x:c>
      <x:c r="C271" t="str">
        <x:v>CDA-SUP-050</x:v>
      </x:c>
      <x:c r="D271" t="str">
        <x:v>b1fdf016-f65e-52a7-837f-bacfacf86acf</x:v>
      </x:c>
      <x:c r="E271" t="str">
        <x:v>CDA-CODE-050</x:v>
      </x:c>
      <x:c r="F271" t="str">
        <x:v>Caran d’Ache</x:v>
      </x:c>
      <x:c r="G271" t="str">
        <x:v>SUP</x:v>
      </x:c>
      <x:c r="H271" t="str">
        <x:v>SUPRACOLOR Soft Aquarelle</x:v>
      </x:c>
      <x:c r="I271" t="str">
        <x:v>Water-soluble coloured pencil</x:v>
      </x:c>
      <x:c r="J271" t="str">
        <x:v>Artist</x:v>
      </x:c>
      <x:c r="K271" s="30" t="n">
        <x:v>50</x:v>
      </x:c>
      <x:c r="L271" s="30" t="str">
        <x:v>050</x:v>
      </x:c>
      <x:c r="M271" t="str">
        <x:v>Flame red</x:v>
      </x:c>
      <x:c r="N271" t="str">
        <x:v>火焰紅</x:v>
      </x:c>
      <x:c r="O271" t="str">
        <x:v>フレームレッド</x:v>
      </x:c>
      <x:c r="P271" t="str"/>
      <x:c r="Q271" t="str">
        <x:v>Rouge orangé</x:v>
      </x:c>
      <x:c r="R271" t="str">
        <x:v>Rotorange</x:v>
      </x:c>
      <x:c r="S271" t="str">
        <x:v>Rosso arancio</x:v>
      </x:c>
      <x:c r="T271" t="str">
        <x:v>Rojo anaranjado</x:v>
      </x:c>
      <x:c r="U271" t="str"/>
      <x:c r="V271" t="str"/>
      <x:c r="W271" t="str"/>
      <x:c r="X271" t="n">
        <x:f>IF(W271="",0,LEN(W271)-LEN(SUBSTITUTE(W271,"/",""))+1)</x:f>
        <x:v>0</x:v>
      </x:c>
      <x:c r="Y271" t="str">
        <x:v>H</x:v>
      </x:c>
      <x:c r="Z271" s="32" t="n">
        <x:v>1.67</x:v>
      </x:c>
      <x:c r="AA271" s="32" t="n">
        <x:v>3</x:v>
      </x:c>
      <x:c r="AB271" s="32" t="str">
        <x:v>Blue Wool Scale / UV 150h</x:v>
      </x:c>
      <x:c r="AC271" t="str">
        <x:v>#FDC57A</x:v>
      </x:c>
      <x:c r="AD271" s="34" t="n">
        <x:v>253</x:v>
      </x:c>
      <x:c r="AE271" s="34" t="n">
        <x:v>197</x:v>
      </x:c>
      <x:c r="AF271" s="34" t="n">
        <x:v>122</x:v>
      </x:c>
      <x:c r="AG271" s="32" t="n">
        <x:v>34.35</x:v>
      </x:c>
      <x:c r="AH271" s="32" t="n">
        <x:v>97.04</x:v>
      </x:c>
      <x:c r="AI271" s="32" t="n">
        <x:v>73.53</x:v>
      </x:c>
      <x:c r="AJ271" s="32" t="n">
        <x:v>83.03</x:v>
      </x:c>
      <x:c r="AK271" s="32" t="n">
        <x:v>11.36</x:v>
      </x:c>
      <x:c r="AL271" s="32" t="n">
        <x:v>45.02</x:v>
      </x:c>
      <x:c r="AM271" s="32" t="str">
        <x:v>#000000</x:v>
      </x:c>
      <x:c r="AN271" s="32" t="str">
        <x:v>Black</x:v>
      </x:c>
      <x:c r="AO271" s="32" t="n">
        <x:v>13.44</x:v>
      </x:c>
      <x:c r="AP271" s="32" t="n">
        <x:v>13.44</x:v>
      </x:c>
      <x:c r="AQ271" s="32" t="n">
        <x:v>1.56</x:v>
      </x:c>
      <x:c r="AR271" s="32" t="n">
        <x:v>0.622203</x:v>
      </x:c>
      <x:c r="AS271" t="str">
        <x:v>PASS</x:v>
      </x:c>
      <x:c r="AT271" t="str">
        <x:v>--cda-sup-050</x:v>
      </x:c>
      <x:c r="AU271" t="str">
        <x:v>var(--cda-sup-050)</x:v>
      </x:c>
      <x:c r="AV271" t="str">
        <x:v>Median RGB from official PDF swatch (screen reference only)</x:v>
      </x:c>
      <x:c r="AW271" t="str">
        <x:v>https://www.carandache.com/content_files/uploaded_doc/product/11426/Colour_Chart_Supracolor-BD3.pdf</x:v>
      </x:c>
      <x:c r="AX271" t="n">
        <x:v>1</x:v>
      </x:c>
      <x:c r="AY271" t="str">
        <x:v>Official</x:v>
      </x:c>
      <x:c r="AZ271" t="str">
        <x:v>Official where available; curated Traditional Chinese/Japanese otherwise</x:v>
      </x:c>
      <x:c r="BA271" t="str">
        <x:v>Verified from official chart; digital HEX is approximate</x:v>
      </x:c>
      <x:c r="BB271" t="str">
        <x:v>Physical media appearance varies by paper, pressure, layering, water and scan/display profile.</x:v>
      </x:c>
    </x:row>
    <x:row r="272">
      <x:c r="A272" t="str">
        <x:f>G272&amp;"|"&amp;L272</x:f>
        <x:v>SUP|060</x:v>
      </x:c>
      <x:c r="B272" t="str">
        <x:v>ce5d1aad-ac4f-5325-8150-1679b8d81dea</x:v>
      </x:c>
      <x:c r="C272" t="str">
        <x:v>CDA-SUP-060</x:v>
      </x:c>
      <x:c r="D272" t="str">
        <x:v>332db2c4-d0e9-5445-b3ee-924c107cece4</x:v>
      </x:c>
      <x:c r="E272" t="str">
        <x:v>CDA-CODE-060</x:v>
      </x:c>
      <x:c r="F272" t="str">
        <x:v>Caran d’Ache</x:v>
      </x:c>
      <x:c r="G272" t="str">
        <x:v>SUP</x:v>
      </x:c>
      <x:c r="H272" t="str">
        <x:v>SUPRACOLOR Soft Aquarelle</x:v>
      </x:c>
      <x:c r="I272" t="str">
        <x:v>Water-soluble coloured pencil</x:v>
      </x:c>
      <x:c r="J272" t="str">
        <x:v>Artist</x:v>
      </x:c>
      <x:c r="K272" s="30" t="n">
        <x:v>51</x:v>
      </x:c>
      <x:c r="L272" s="30" t="str">
        <x:v>060</x:v>
      </x:c>
      <x:c r="M272" t="str">
        <x:v>Vermilion</x:v>
      </x:c>
      <x:c r="N272" t="str">
        <x:v>朱紅</x:v>
      </x:c>
      <x:c r="O272" t="str">
        <x:v>バーミリオン</x:v>
      </x:c>
      <x:c r="P272" t="str"/>
      <x:c r="Q272" t="str">
        <x:v>Vermillon</x:v>
      </x:c>
      <x:c r="R272" t="str">
        <x:v>Zinnoberrot</x:v>
      </x:c>
      <x:c r="S272" t="str">
        <x:v>Vermiglione</x:v>
      </x:c>
      <x:c r="T272" t="str">
        <x:v>Bermellón</x:v>
      </x:c>
      <x:c r="U272" t="str"/>
      <x:c r="V272" t="str"/>
      <x:c r="W272" t="str"/>
      <x:c r="X272" t="n">
        <x:f>IF(W272="",0,LEN(W272)-LEN(SUBSTITUTE(W272,"/",""))+1)</x:f>
        <x:v>0</x:v>
      </x:c>
      <x:c r="Y272" t="str">
        <x:v>H</x:v>
      </x:c>
      <x:c r="Z272" s="32" t="n">
        <x:v>1.67</x:v>
      </x:c>
      <x:c r="AA272" s="32" t="n">
        <x:v>3</x:v>
      </x:c>
      <x:c r="AB272" s="32" t="str">
        <x:v>Blue Wool Scale / UV 150h</x:v>
      </x:c>
      <x:c r="AC272" t="str">
        <x:v>#F89F76</x:v>
      </x:c>
      <x:c r="AD272" s="34" t="n">
        <x:v>248</x:v>
      </x:c>
      <x:c r="AE272" s="34" t="n">
        <x:v>159</x:v>
      </x:c>
      <x:c r="AF272" s="34" t="n">
        <x:v>118</x:v>
      </x:c>
      <x:c r="AG272" s="32" t="n">
        <x:v>18.92</x:v>
      </x:c>
      <x:c r="AH272" s="32" t="n">
        <x:v>90.28</x:v>
      </x:c>
      <x:c r="AI272" s="32" t="n">
        <x:v>71.76</x:v>
      </x:c>
      <x:c r="AJ272" s="32" t="n">
        <x:v>73.59</x:v>
      </x:c>
      <x:c r="AK272" s="32" t="n">
        <x:v>28.94</x:v>
      </x:c>
      <x:c r="AL272" s="32" t="n">
        <x:v>35.07</x:v>
      </x:c>
      <x:c r="AM272" s="32" t="str">
        <x:v>#000000</x:v>
      </x:c>
      <x:c r="AN272" s="32" t="str">
        <x:v>Black</x:v>
      </x:c>
      <x:c r="AO272" s="32" t="n">
        <x:v>10.21</x:v>
      </x:c>
      <x:c r="AP272" s="32" t="n">
        <x:v>10.21</x:v>
      </x:c>
      <x:c r="AQ272" s="32" t="n">
        <x:v>2.06</x:v>
      </x:c>
      <x:c r="AR272" s="32" t="n">
        <x:v>0.460607</x:v>
      </x:c>
      <x:c r="AS272" t="str">
        <x:v>PASS</x:v>
      </x:c>
      <x:c r="AT272" t="str">
        <x:v>--cda-sup-060</x:v>
      </x:c>
      <x:c r="AU272" t="str">
        <x:v>var(--cda-sup-060)</x:v>
      </x:c>
      <x:c r="AV272" t="str">
        <x:v>Median RGB from official PDF swatch (screen reference only)</x:v>
      </x:c>
      <x:c r="AW272" t="str">
        <x:v>https://www.carandache.com/content_files/uploaded_doc/product/11426/Colour_Chart_Supracolor-BD3.pdf</x:v>
      </x:c>
      <x:c r="AX272" t="n">
        <x:v>1</x:v>
      </x:c>
      <x:c r="AY272" t="str">
        <x:v>Official</x:v>
      </x:c>
      <x:c r="AZ272" t="str">
        <x:v>Official where available; curated Traditional Chinese/Japanese otherwise</x:v>
      </x:c>
      <x:c r="BA272" t="str">
        <x:v>Verified from official chart; digital HEX is approximate</x:v>
      </x:c>
      <x:c r="BB272" t="str">
        <x:v>Physical media appearance varies by paper, pressure, layering, water and scan/display profile.</x:v>
      </x:c>
    </x:row>
    <x:row r="273">
      <x:c r="A273" t="str">
        <x:f>G273&amp;"|"&amp;L273</x:f>
        <x:v>SUP|070</x:v>
      </x:c>
      <x:c r="B273" t="str">
        <x:v>8d649264-723e-5068-a96b-fd425c328584</x:v>
      </x:c>
      <x:c r="C273" t="str">
        <x:v>CDA-SUP-070</x:v>
      </x:c>
      <x:c r="D273" t="str">
        <x:v>2dcedd03-0d82-5dc4-a34e-7ed1c317e71e</x:v>
      </x:c>
      <x:c r="E273" t="str">
        <x:v>CDA-CODE-070</x:v>
      </x:c>
      <x:c r="F273" t="str">
        <x:v>Caran d’Ache</x:v>
      </x:c>
      <x:c r="G273" t="str">
        <x:v>SUP</x:v>
      </x:c>
      <x:c r="H273" t="str">
        <x:v>SUPRACOLOR Soft Aquarelle</x:v>
      </x:c>
      <x:c r="I273" t="str">
        <x:v>Water-soluble coloured pencil</x:v>
      </x:c>
      <x:c r="J273" t="str">
        <x:v>Artist</x:v>
      </x:c>
      <x:c r="K273" s="30" t="n">
        <x:v>52</x:v>
      </x:c>
      <x:c r="L273" s="30" t="str">
        <x:v>070</x:v>
      </x:c>
      <x:c r="M273" t="str">
        <x:v>Scarlet</x:v>
      </x:c>
      <x:c r="N273" t="str">
        <x:v>猩紅</x:v>
      </x:c>
      <x:c r="O273" t="str">
        <x:v>スカーレット</x:v>
      </x:c>
      <x:c r="P273" t="str"/>
      <x:c r="Q273" t="str">
        <x:v>Ecarlate</x:v>
      </x:c>
      <x:c r="R273" t="str">
        <x:v>Scharlachrot</x:v>
      </x:c>
      <x:c r="S273" t="str">
        <x:v>Scarlatto</x:v>
      </x:c>
      <x:c r="T273" t="str">
        <x:v>Escarlata</x:v>
      </x:c>
      <x:c r="U273" t="str"/>
      <x:c r="V273" t="str"/>
      <x:c r="W273" t="str"/>
      <x:c r="X273" t="n">
        <x:f>IF(W273="",0,LEN(W273)-LEN(SUBSTITUTE(W273,"/",""))+1)</x:f>
        <x:v>0</x:v>
      </x:c>
      <x:c r="Y273" t="str">
        <x:v>H</x:v>
      </x:c>
      <x:c r="Z273" s="32" t="n">
        <x:v>1.67</x:v>
      </x:c>
      <x:c r="AA273" s="32" t="n">
        <x:v>3</x:v>
      </x:c>
      <x:c r="AB273" s="32" t="str">
        <x:v>Blue Wool Scale / UV 150h</x:v>
      </x:c>
      <x:c r="AC273" t="str">
        <x:v>#F6947E</x:v>
      </x:c>
      <x:c r="AD273" s="34" t="n">
        <x:v>246</x:v>
      </x:c>
      <x:c r="AE273" s="34" t="n">
        <x:v>148</x:v>
      </x:c>
      <x:c r="AF273" s="34" t="n">
        <x:v>126</x:v>
      </x:c>
      <x:c r="AG273" s="32" t="n">
        <x:v>11</x:v>
      </x:c>
      <x:c r="AH273" s="32" t="n">
        <x:v>86.96</x:v>
      </x:c>
      <x:c r="AI273" s="32" t="n">
        <x:v>72.94</x:v>
      </x:c>
      <x:c r="AJ273" s="32" t="n">
        <x:v>71.07</x:v>
      </x:c>
      <x:c r="AK273" s="32" t="n">
        <x:v>34.61</x:v>
      </x:c>
      <x:c r="AL273" s="32" t="n">
        <x:v>27.42</x:v>
      </x:c>
      <x:c r="AM273" s="32" t="str">
        <x:v>#000000</x:v>
      </x:c>
      <x:c r="AN273" s="32" t="str">
        <x:v>Black</x:v>
      </x:c>
      <x:c r="AO273" s="32" t="n">
        <x:v>9.46</x:v>
      </x:c>
      <x:c r="AP273" s="32" t="n">
        <x:v>9.46</x:v>
      </x:c>
      <x:c r="AQ273" s="32" t="n">
        <x:v>2.22</x:v>
      </x:c>
      <x:c r="AR273" s="32" t="n">
        <x:v>0.42279</x:v>
      </x:c>
      <x:c r="AS273" t="str">
        <x:v>PASS</x:v>
      </x:c>
      <x:c r="AT273" t="str">
        <x:v>--cda-sup-070</x:v>
      </x:c>
      <x:c r="AU273" t="str">
        <x:v>var(--cda-sup-070)</x:v>
      </x:c>
      <x:c r="AV273" t="str">
        <x:v>Median RGB from official PDF swatch (screen reference only)</x:v>
      </x:c>
      <x:c r="AW273" t="str">
        <x:v>https://www.carandache.com/content_files/uploaded_doc/product/11426/Colour_Chart_Supracolor-BD3.pdf</x:v>
      </x:c>
      <x:c r="AX273" t="n">
        <x:v>1</x:v>
      </x:c>
      <x:c r="AY273" t="str">
        <x:v>Official</x:v>
      </x:c>
      <x:c r="AZ273" t="str">
        <x:v>Official where available; curated Traditional Chinese/Japanese otherwise</x:v>
      </x:c>
      <x:c r="BA273" t="str">
        <x:v>Verified from official chart; digital HEX is approximate</x:v>
      </x:c>
      <x:c r="BB273" t="str">
        <x:v>Physical media appearance varies by paper, pressure, layering, water and scan/display profile.</x:v>
      </x:c>
    </x:row>
    <x:row r="274">
      <x:c r="A274" t="str">
        <x:f>G274&amp;"|"&amp;L274</x:f>
        <x:v>SUP|069</x:v>
      </x:c>
      <x:c r="B274" t="str">
        <x:v>8c8a5206-67cd-582a-94bd-4265459e96b0</x:v>
      </x:c>
      <x:c r="C274" t="str">
        <x:v>CDA-SUP-069</x:v>
      </x:c>
      <x:c r="D274" t="str">
        <x:v>cc93e1eb-34d0-5610-9562-5e234935f63d</x:v>
      </x:c>
      <x:c r="E274" t="str">
        <x:v>CDA-CODE-069</x:v>
      </x:c>
      <x:c r="F274" t="str">
        <x:v>Caran d’Ache</x:v>
      </x:c>
      <x:c r="G274" t="str">
        <x:v>SUP</x:v>
      </x:c>
      <x:c r="H274" t="str">
        <x:v>SUPRACOLOR Soft Aquarelle</x:v>
      </x:c>
      <x:c r="I274" t="str">
        <x:v>Water-soluble coloured pencil</x:v>
      </x:c>
      <x:c r="J274" t="str">
        <x:v>Artist</x:v>
      </x:c>
      <x:c r="K274" s="30" t="n">
        <x:v>53</x:v>
      </x:c>
      <x:c r="L274" s="30" t="str">
        <x:v>069</x:v>
      </x:c>
      <x:c r="M274" t="str">
        <x:v>Burnt Siena</x:v>
      </x:c>
      <x:c r="N274" t="str">
        <x:v>熟赭紅</x:v>
      </x:c>
      <x:c r="O274" t="str">
        <x:v>バーントシェンナ</x:v>
      </x:c>
      <x:c r="P274" t="str"/>
      <x:c r="Q274" t="str">
        <x:v>Sienne brûlée</x:v>
      </x:c>
      <x:c r="R274" t="str">
        <x:v>Siena gebrannt</x:v>
      </x:c>
      <x:c r="S274" t="str">
        <x:v>Siena bruciata</x:v>
      </x:c>
      <x:c r="T274" t="str">
        <x:v>Siena quemada</x:v>
      </x:c>
      <x:c r="U274" t="str"/>
      <x:c r="V274" t="str"/>
      <x:c r="W274" t="str"/>
      <x:c r="X274" t="n">
        <x:f>IF(W274="",0,LEN(W274)-LEN(SUBSTITUTE(W274,"/",""))+1)</x:f>
        <x:v>0</x:v>
      </x:c>
      <x:c r="Y274" t="str">
        <x:v>H</x:v>
      </x:c>
      <x:c r="Z274" s="32" t="n">
        <x:v>1.67</x:v>
      </x:c>
      <x:c r="AA274" s="32" t="n">
        <x:v>3</x:v>
      </x:c>
      <x:c r="AB274" s="32" t="str">
        <x:v>Blue Wool Scale / UV 150h</x:v>
      </x:c>
      <x:c r="AC274" t="str">
        <x:v>#D28C7D</x:v>
      </x:c>
      <x:c r="AD274" s="34" t="n">
        <x:v>210</x:v>
      </x:c>
      <x:c r="AE274" s="34" t="n">
        <x:v>140</x:v>
      </x:c>
      <x:c r="AF274" s="34" t="n">
        <x:v>125</x:v>
      </x:c>
      <x:c r="AG274" s="32" t="n">
        <x:v>10.59</x:v>
      </x:c>
      <x:c r="AH274" s="32" t="n">
        <x:v>48.57</x:v>
      </x:c>
      <x:c r="AI274" s="32" t="n">
        <x:v>65.69</x:v>
      </x:c>
      <x:c r="AJ274" s="32" t="n">
        <x:v>64.92</x:v>
      </x:c>
      <x:c r="AK274" s="32" t="n">
        <x:v>24.85</x:v>
      </x:c>
      <x:c r="AL274" s="32" t="n">
        <x:v>18.93</x:v>
      </x:c>
      <x:c r="AM274" s="32" t="str">
        <x:v>#000000</x:v>
      </x:c>
      <x:c r="AN274" s="32" t="str">
        <x:v>Black</x:v>
      </x:c>
      <x:c r="AO274" s="32" t="n">
        <x:v>7.79</x:v>
      </x:c>
      <x:c r="AP274" s="32" t="n">
        <x:v>7.79</x:v>
      </x:c>
      <x:c r="AQ274" s="32" t="n">
        <x:v>2.7</x:v>
      </x:c>
      <x:c r="AR274" s="32" t="n">
        <x:v>0.339385</x:v>
      </x:c>
      <x:c r="AS274" t="str">
        <x:v>PASS</x:v>
      </x:c>
      <x:c r="AT274" t="str">
        <x:v>--cda-sup-069</x:v>
      </x:c>
      <x:c r="AU274" t="str">
        <x:v>var(--cda-sup-069)</x:v>
      </x:c>
      <x:c r="AV274" t="str">
        <x:v>Median RGB from official PDF swatch (screen reference only)</x:v>
      </x:c>
      <x:c r="AW274" t="str">
        <x:v>https://www.carandache.com/content_files/uploaded_doc/product/11426/Colour_Chart_Supracolor-BD3.pdf</x:v>
      </x:c>
      <x:c r="AX274" t="n">
        <x:v>1</x:v>
      </x:c>
      <x:c r="AY274" t="str">
        <x:v>Official</x:v>
      </x:c>
      <x:c r="AZ274" t="str">
        <x:v>Official where available; curated Traditional Chinese/Japanese otherwise</x:v>
      </x:c>
      <x:c r="BA274" t="str">
        <x:v>Verified from official chart; digital HEX is approximate</x:v>
      </x:c>
      <x:c r="BB274" t="str">
        <x:v>Physical media appearance varies by paper, pressure, layering, water and scan/display profile.</x:v>
      </x:c>
    </x:row>
    <x:row r="275">
      <x:c r="A275" t="str">
        <x:f>G275&amp;"|"&amp;L275</x:f>
        <x:v>SUP|059</x:v>
      </x:c>
      <x:c r="B275" t="str">
        <x:v>17d5ee80-579d-54db-8938-7f5f94010502</x:v>
      </x:c>
      <x:c r="C275" t="str">
        <x:v>CDA-SUP-059</x:v>
      </x:c>
      <x:c r="D275" t="str">
        <x:v>82af754c-0796-57d3-b910-c32329865240</x:v>
      </x:c>
      <x:c r="E275" t="str">
        <x:v>CDA-CODE-059</x:v>
      </x:c>
      <x:c r="F275" t="str">
        <x:v>Caran d’Ache</x:v>
      </x:c>
      <x:c r="G275" t="str">
        <x:v>SUP</x:v>
      </x:c>
      <x:c r="H275" t="str">
        <x:v>SUPRACOLOR Soft Aquarelle</x:v>
      </x:c>
      <x:c r="I275" t="str">
        <x:v>Water-soluble coloured pencil</x:v>
      </x:c>
      <x:c r="J275" t="str">
        <x:v>Artist</x:v>
      </x:c>
      <x:c r="K275" s="30" t="n">
        <x:v>54</x:v>
      </x:c>
      <x:c r="L275" s="30" t="str">
        <x:v>059</x:v>
      </x:c>
      <x:c r="M275" t="str">
        <x:v>Brown</x:v>
      </x:c>
      <x:c r="N275" t="str">
        <x:v>棕色</x:v>
      </x:c>
      <x:c r="O275" t="str">
        <x:v>ブラウン</x:v>
      </x:c>
      <x:c r="P275" t="str"/>
      <x:c r="Q275" t="str">
        <x:v>Brun</x:v>
      </x:c>
      <x:c r="R275" t="str">
        <x:v>Braun</x:v>
      </x:c>
      <x:c r="S275" t="str">
        <x:v>Marrone</x:v>
      </x:c>
      <x:c r="T275" t="str">
        <x:v>Marrón</x:v>
      </x:c>
      <x:c r="U275" t="str"/>
      <x:c r="V275" t="str"/>
      <x:c r="W275" t="str"/>
      <x:c r="X275" t="n">
        <x:f>IF(W275="",0,LEN(W275)-LEN(SUBSTITUTE(W275,"/",""))+1)</x:f>
        <x:v>0</x:v>
      </x:c>
      <x:c r="Y275" t="str">
        <x:v>H</x:v>
      </x:c>
      <x:c r="Z275" s="32" t="n">
        <x:v>1.67</x:v>
      </x:c>
      <x:c r="AA275" s="32" t="n">
        <x:v>3</x:v>
      </x:c>
      <x:c r="AB275" s="32" t="str">
        <x:v>Blue Wool Scale / UV 150h</x:v>
      </x:c>
      <x:c r="AC275" t="str">
        <x:v>#F49D81</x:v>
      </x:c>
      <x:c r="AD275" s="34" t="n">
        <x:v>244</x:v>
      </x:c>
      <x:c r="AE275" s="34" t="n">
        <x:v>157</x:v>
      </x:c>
      <x:c r="AF275" s="34" t="n">
        <x:v>129</x:v>
      </x:c>
      <x:c r="AG275" s="32" t="n">
        <x:v>14.61</x:v>
      </x:c>
      <x:c r="AH275" s="32" t="n">
        <x:v>83.94</x:v>
      </x:c>
      <x:c r="AI275" s="32" t="n">
        <x:v>73.14</x:v>
      </x:c>
      <x:c r="AJ275" s="32" t="n">
        <x:v>72.85</x:v>
      </x:c>
      <x:c r="AK275" s="32" t="n">
        <x:v>29.42</x:v>
      </x:c>
      <x:c r="AL275" s="32" t="n">
        <x:v>28.12</x:v>
      </x:c>
      <x:c r="AM275" s="32" t="str">
        <x:v>#000000</x:v>
      </x:c>
      <x:c r="AN275" s="32" t="str">
        <x:v>Black</x:v>
      </x:c>
      <x:c r="AO275" s="32" t="n">
        <x:v>9.99</x:v>
      </x:c>
      <x:c r="AP275" s="32" t="n">
        <x:v>9.99</x:v>
      </x:c>
      <x:c r="AQ275" s="32" t="n">
        <x:v>2.1</x:v>
      </x:c>
      <x:c r="AR275" s="32" t="n">
        <x:v>0.44932</x:v>
      </x:c>
      <x:c r="AS275" t="str">
        <x:v>PASS</x:v>
      </x:c>
      <x:c r="AT275" t="str">
        <x:v>--cda-sup-059</x:v>
      </x:c>
      <x:c r="AU275" t="str">
        <x:v>var(--cda-sup-059)</x:v>
      </x:c>
      <x:c r="AV275" t="str">
        <x:v>Median RGB from official PDF swatch (screen reference only)</x:v>
      </x:c>
      <x:c r="AW275" t="str">
        <x:v>https://www.carandache.com/content_files/uploaded_doc/product/11426/Colour_Chart_Supracolor-BD3.pdf</x:v>
      </x:c>
      <x:c r="AX275" t="n">
        <x:v>1</x:v>
      </x:c>
      <x:c r="AY275" t="str">
        <x:v>Official</x:v>
      </x:c>
      <x:c r="AZ275" t="str">
        <x:v>Official where available; curated Traditional Chinese/Japanese otherwise</x:v>
      </x:c>
      <x:c r="BA275" t="str">
        <x:v>Verified from official chart; digital HEX is approximate</x:v>
      </x:c>
      <x:c r="BB275" t="str">
        <x:v>Physical media appearance varies by paper, pressure, layering, water and scan/display profile.</x:v>
      </x:c>
    </x:row>
    <x:row r="276">
      <x:c r="A276" t="str">
        <x:f>G276&amp;"|"&amp;L276</x:f>
        <x:v>SUP|065</x:v>
      </x:c>
      <x:c r="B276" t="str">
        <x:v>9422a3dc-807a-53fe-baba-2b30065a9d7c</x:v>
      </x:c>
      <x:c r="C276" t="str">
        <x:v>CDA-SUP-065</x:v>
      </x:c>
      <x:c r="D276" t="str">
        <x:v>91a3d2cf-6d79-536f-9dd3-6acea80af176</x:v>
      </x:c>
      <x:c r="E276" t="str">
        <x:v>CDA-CODE-065</x:v>
      </x:c>
      <x:c r="F276" t="str">
        <x:v>Caran d’Ache</x:v>
      </x:c>
      <x:c r="G276" t="str">
        <x:v>SUP</x:v>
      </x:c>
      <x:c r="H276" t="str">
        <x:v>SUPRACOLOR Soft Aquarelle</x:v>
      </x:c>
      <x:c r="I276" t="str">
        <x:v>Water-soluble coloured pencil</x:v>
      </x:c>
      <x:c r="J276" t="str">
        <x:v>Artist</x:v>
      </x:c>
      <x:c r="K276" s="30" t="n">
        <x:v>55</x:v>
      </x:c>
      <x:c r="L276" s="30" t="str">
        <x:v>065</x:v>
      </x:c>
      <x:c r="M276" t="str">
        <x:v>Russet</x:v>
      </x:c>
      <x:c r="N276" t="str">
        <x:v>赤褐色</x:v>
      </x:c>
      <x:c r="O276" t="str">
        <x:v>ラセット</x:v>
      </x:c>
      <x:c r="P276" t="str"/>
      <x:c r="Q276" t="str">
        <x:v>Sanguine</x:v>
      </x:c>
      <x:c r="R276" t="str">
        <x:v>Rotbraun</x:v>
      </x:c>
      <x:c r="S276" t="str">
        <x:v>Sanguigna</x:v>
      </x:c>
      <x:c r="T276" t="str">
        <x:v>Sanguina</x:v>
      </x:c>
      <x:c r="U276" t="str"/>
      <x:c r="V276" t="str"/>
      <x:c r="W276" t="str"/>
      <x:c r="X276" t="n">
        <x:f>IF(W276="",0,LEN(W276)-LEN(SUBSTITUTE(W276,"/",""))+1)</x:f>
        <x:v>0</x:v>
      </x:c>
      <x:c r="Y276" t="str">
        <x:v>H</x:v>
      </x:c>
      <x:c r="Z276" s="32" t="n">
        <x:v>1.67</x:v>
      </x:c>
      <x:c r="AA276" s="32" t="n">
        <x:v>3</x:v>
      </x:c>
      <x:c r="AB276" s="32" t="str">
        <x:v>Blue Wool Scale / UV 150h</x:v>
      </x:c>
      <x:c r="AC276" t="str">
        <x:v>#F7A576</x:v>
      </x:c>
      <x:c r="AD276" s="34" t="n">
        <x:v>247</x:v>
      </x:c>
      <x:c r="AE276" s="34" t="n">
        <x:v>165</x:v>
      </x:c>
      <x:c r="AF276" s="34" t="n">
        <x:v>118</x:v>
      </x:c>
      <x:c r="AG276" s="32" t="n">
        <x:v>21.86</x:v>
      </x:c>
      <x:c r="AH276" s="32" t="n">
        <x:v>88.97</x:v>
      </x:c>
      <x:c r="AI276" s="32" t="n">
        <x:v>71.57</x:v>
      </x:c>
      <x:c r="AJ276" s="32" t="n">
        <x:v>74.82</x:v>
      </x:c>
      <x:c r="AK276" s="32" t="n">
        <x:v>25.4</x:v>
      </x:c>
      <x:c r="AL276" s="32" t="n">
        <x:v>36.62</x:v>
      </x:c>
      <x:c r="AM276" s="32" t="str">
        <x:v>#000000</x:v>
      </x:c>
      <x:c r="AN276" s="32" t="str">
        <x:v>Black</x:v>
      </x:c>
      <x:c r="AO276" s="32" t="n">
        <x:v>10.6</x:v>
      </x:c>
      <x:c r="AP276" s="32" t="n">
        <x:v>10.6</x:v>
      </x:c>
      <x:c r="AQ276" s="32" t="n">
        <x:v>1.98</x:v>
      </x:c>
      <x:c r="AR276" s="32" t="n">
        <x:v>0.479924</x:v>
      </x:c>
      <x:c r="AS276" t="str">
        <x:v>PASS</x:v>
      </x:c>
      <x:c r="AT276" t="str">
        <x:v>--cda-sup-065</x:v>
      </x:c>
      <x:c r="AU276" t="str">
        <x:v>var(--cda-sup-065)</x:v>
      </x:c>
      <x:c r="AV276" t="str">
        <x:v>Median RGB from official PDF swatch (screen reference only)</x:v>
      </x:c>
      <x:c r="AW276" t="str">
        <x:v>https://www.carandache.com/content_files/uploaded_doc/product/11426/Colour_Chart_Supracolor-BD3.pdf</x:v>
      </x:c>
      <x:c r="AX276" t="n">
        <x:v>1</x:v>
      </x:c>
      <x:c r="AY276" t="str">
        <x:v>Official</x:v>
      </x:c>
      <x:c r="AZ276" t="str">
        <x:v>Official where available; curated Traditional Chinese/Japanese otherwise</x:v>
      </x:c>
      <x:c r="BA276" t="str">
        <x:v>Verified from official chart; digital HEX is approximate</x:v>
      </x:c>
      <x:c r="BB276" t="str">
        <x:v>Physical media appearance varies by paper, pressure, layering, water and scan/display profile.</x:v>
      </x:c>
    </x:row>
    <x:row r="277">
      <x:c r="A277" t="str">
        <x:f>G277&amp;"|"&amp;L277</x:f>
        <x:v>SUP|063</x:v>
      </x:c>
      <x:c r="B277" t="str">
        <x:v>dcf24438-afba-54bb-89a9-392af677fada</x:v>
      </x:c>
      <x:c r="C277" t="str">
        <x:v>CDA-SUP-063</x:v>
      </x:c>
      <x:c r="D277" t="str">
        <x:v>b4ecc4a2-7b75-5baf-8139-3a399957d6ec</x:v>
      </x:c>
      <x:c r="E277" t="str">
        <x:v>CDA-CODE-063</x:v>
      </x:c>
      <x:c r="F277" t="str">
        <x:v>Caran d’Ache</x:v>
      </x:c>
      <x:c r="G277" t="str">
        <x:v>SUP</x:v>
      </x:c>
      <x:c r="H277" t="str">
        <x:v>SUPRACOLOR Soft Aquarelle</x:v>
      </x:c>
      <x:c r="I277" t="str">
        <x:v>Water-soluble coloured pencil</x:v>
      </x:c>
      <x:c r="J277" t="str">
        <x:v>Artist</x:v>
      </x:c>
      <x:c r="K277" s="30" t="n">
        <x:v>56</x:v>
      </x:c>
      <x:c r="L277" s="30" t="str">
        <x:v>063</x:v>
      </x:c>
      <x:c r="M277" t="str">
        <x:v>English red</x:v>
      </x:c>
      <x:c r="N277" t="str">
        <x:v>英國紅</x:v>
      </x:c>
      <x:c r="O277" t="str">
        <x:v>イングリッシュレッド</x:v>
      </x:c>
      <x:c r="P277" t="str"/>
      <x:c r="Q277" t="str">
        <x:v>Rouge anglais</x:v>
      </x:c>
      <x:c r="R277" t="str">
        <x:v>Englischrot</x:v>
      </x:c>
      <x:c r="S277" t="str">
        <x:v>Rosso inglese</x:v>
      </x:c>
      <x:c r="T277" t="str">
        <x:v>Rojo inglés</x:v>
      </x:c>
      <x:c r="U277" t="str"/>
      <x:c r="V277" t="str"/>
      <x:c r="W277" t="str"/>
      <x:c r="X277" t="n">
        <x:f>IF(W277="",0,LEN(W277)-LEN(SUBSTITUTE(W277,"/",""))+1)</x:f>
        <x:v>0</x:v>
      </x:c>
      <x:c r="Y277" t="str">
        <x:v>H</x:v>
      </x:c>
      <x:c r="Z277" s="32" t="n">
        <x:v>1.67</x:v>
      </x:c>
      <x:c r="AA277" s="32" t="n">
        <x:v>3</x:v>
      </x:c>
      <x:c r="AB277" s="32" t="str">
        <x:v>Blue Wool Scale / UV 150h</x:v>
      </x:c>
      <x:c r="AC277" t="str">
        <x:v>#F79779</x:v>
      </x:c>
      <x:c r="AD277" s="34" t="n">
        <x:v>247</x:v>
      </x:c>
      <x:c r="AE277" s="34" t="n">
        <x:v>151</x:v>
      </x:c>
      <x:c r="AF277" s="34" t="n">
        <x:v>121</x:v>
      </x:c>
      <x:c r="AG277" s="32" t="n">
        <x:v>14.29</x:v>
      </x:c>
      <x:c r="AH277" s="32" t="n">
        <x:v>88.73</x:v>
      </x:c>
      <x:c r="AI277" s="32" t="n">
        <x:v>72.16</x:v>
      </x:c>
      <x:c r="AJ277" s="32" t="n">
        <x:v>71.75</x:v>
      </x:c>
      <x:c r="AK277" s="32" t="n">
        <x:v>32.98</x:v>
      </x:c>
      <x:c r="AL277" s="32" t="n">
        <x:v>31.06</x:v>
      </x:c>
      <x:c r="AM277" s="32" t="str">
        <x:v>#000000</x:v>
      </x:c>
      <x:c r="AN277" s="32" t="str">
        <x:v>Black</x:v>
      </x:c>
      <x:c r="AO277" s="32" t="n">
        <x:v>9.66</x:v>
      </x:c>
      <x:c r="AP277" s="32" t="n">
        <x:v>9.66</x:v>
      </x:c>
      <x:c r="AQ277" s="32" t="n">
        <x:v>2.17</x:v>
      </x:c>
      <x:c r="AR277" s="32" t="n">
        <x:v>0.432879</x:v>
      </x:c>
      <x:c r="AS277" t="str">
        <x:v>PASS</x:v>
      </x:c>
      <x:c r="AT277" t="str">
        <x:v>--cda-sup-063</x:v>
      </x:c>
      <x:c r="AU277" t="str">
        <x:v>var(--cda-sup-063)</x:v>
      </x:c>
      <x:c r="AV277" t="str">
        <x:v>Median RGB from official PDF swatch (screen reference only)</x:v>
      </x:c>
      <x:c r="AW277" t="str">
        <x:v>https://www.carandache.com/content_files/uploaded_doc/product/11426/Colour_Chart_Supracolor-BD3.pdf</x:v>
      </x:c>
      <x:c r="AX277" t="n">
        <x:v>1</x:v>
      </x:c>
      <x:c r="AY277" t="str">
        <x:v>Official</x:v>
      </x:c>
      <x:c r="AZ277" t="str">
        <x:v>Official where available; curated Traditional Chinese/Japanese otherwise</x:v>
      </x:c>
      <x:c r="BA277" t="str">
        <x:v>Verified from official chart; digital HEX is approximate</x:v>
      </x:c>
      <x:c r="BB277" t="str">
        <x:v>Physical media appearance varies by paper, pressure, layering, water and scan/display profile.</x:v>
      </x:c>
    </x:row>
    <x:row r="278">
      <x:c r="A278" t="str">
        <x:f>G278&amp;"|"&amp;L278</x:f>
        <x:v>SUP|062</x:v>
      </x:c>
      <x:c r="B278" t="str">
        <x:v>f5494fa5-7cae-5c48-9843-bcb7492471ab</x:v>
      </x:c>
      <x:c r="C278" t="str">
        <x:v>CDA-SUP-062</x:v>
      </x:c>
      <x:c r="D278" t="str">
        <x:v>cee145ad-620f-5518-8857-cb4c0f17272c</x:v>
      </x:c>
      <x:c r="E278" t="str">
        <x:v>CDA-CODE-062</x:v>
      </x:c>
      <x:c r="F278" t="str">
        <x:v>Caran d’Ache</x:v>
      </x:c>
      <x:c r="G278" t="str">
        <x:v>SUP</x:v>
      </x:c>
      <x:c r="H278" t="str">
        <x:v>SUPRACOLOR Soft Aquarelle</x:v>
      </x:c>
      <x:c r="I278" t="str">
        <x:v>Water-soluble coloured pencil</x:v>
      </x:c>
      <x:c r="J278" t="str">
        <x:v>Artist</x:v>
      </x:c>
      <x:c r="K278" s="30" t="n">
        <x:v>57</x:v>
      </x:c>
      <x:c r="L278" s="30" t="str">
        <x:v>062</x:v>
      </x:c>
      <x:c r="M278" t="str">
        <x:v>Venetian red</x:v>
      </x:c>
      <x:c r="N278" t="str">
        <x:v>威尼斯紅</x:v>
      </x:c>
      <x:c r="O278" t="str">
        <x:v>ベネチアンレッド</x:v>
      </x:c>
      <x:c r="P278" t="str"/>
      <x:c r="Q278" t="str">
        <x:v>Rouge de Venise</x:v>
      </x:c>
      <x:c r="R278" t="str">
        <x:v>Venezianerrot</x:v>
      </x:c>
      <x:c r="S278" t="str">
        <x:v>Rosso Venezia</x:v>
      </x:c>
      <x:c r="T278" t="str">
        <x:v>Rojo de Venecia</x:v>
      </x:c>
      <x:c r="U278" t="str"/>
      <x:c r="V278" t="str"/>
      <x:c r="W278" t="str"/>
      <x:c r="X278" t="n">
        <x:f>IF(W278="",0,LEN(W278)-LEN(SUBSTITUTE(W278,"/",""))+1)</x:f>
        <x:v>0</x:v>
      </x:c>
      <x:c r="Y278" t="str">
        <x:v>H</x:v>
      </x:c>
      <x:c r="Z278" s="32" t="n">
        <x:v>1.67</x:v>
      </x:c>
      <x:c r="AA278" s="32" t="n">
        <x:v>3</x:v>
      </x:c>
      <x:c r="AB278" s="32" t="str">
        <x:v>Blue Wool Scale / UV 150h</x:v>
      </x:c>
      <x:c r="AC278" t="str">
        <x:v>#F9AD85</x:v>
      </x:c>
      <x:c r="AD278" s="34" t="n">
        <x:v>249</x:v>
      </x:c>
      <x:c r="AE278" s="34" t="n">
        <x:v>173</x:v>
      </x:c>
      <x:c r="AF278" s="34" t="n">
        <x:v>133</x:v>
      </x:c>
      <x:c r="AG278" s="32" t="n">
        <x:v>20.69</x:v>
      </x:c>
      <x:c r="AH278" s="32" t="n">
        <x:v>90.63</x:v>
      </x:c>
      <x:c r="AI278" s="32" t="n">
        <x:v>74.9</x:v>
      </x:c>
      <x:c r="AJ278" s="32" t="n">
        <x:v>77.12</x:v>
      </x:c>
      <x:c r="AK278" s="32" t="n">
        <x:v>23.34</x:v>
      </x:c>
      <x:c r="AL278" s="32" t="n">
        <x:v>31.71</x:v>
      </x:c>
      <x:c r="AM278" s="32" t="str">
        <x:v>#000000</x:v>
      </x:c>
      <x:c r="AN278" s="32" t="str">
        <x:v>Black</x:v>
      </x:c>
      <x:c r="AO278" s="32" t="n">
        <x:v>11.34</x:v>
      </x:c>
      <x:c r="AP278" s="32" t="n">
        <x:v>11.34</x:v>
      </x:c>
      <x:c r="AQ278" s="32" t="n">
        <x:v>1.85</x:v>
      </x:c>
      <x:c r="AR278" s="32" t="n">
        <x:v>0.517203</x:v>
      </x:c>
      <x:c r="AS278" t="str">
        <x:v>PASS</x:v>
      </x:c>
      <x:c r="AT278" t="str">
        <x:v>--cda-sup-062</x:v>
      </x:c>
      <x:c r="AU278" t="str">
        <x:v>var(--cda-sup-062)</x:v>
      </x:c>
      <x:c r="AV278" t="str">
        <x:v>Median RGB from official PDF swatch (screen reference only)</x:v>
      </x:c>
      <x:c r="AW278" t="str">
        <x:v>https://www.carandache.com/content_files/uploaded_doc/product/11426/Colour_Chart_Supracolor-BD3.pdf</x:v>
      </x:c>
      <x:c r="AX278" t="n">
        <x:v>1</x:v>
      </x:c>
      <x:c r="AY278" t="str">
        <x:v>Official</x:v>
      </x:c>
      <x:c r="AZ278" t="str">
        <x:v>Official where available; curated Traditional Chinese/Japanese otherwise</x:v>
      </x:c>
      <x:c r="BA278" t="str">
        <x:v>Verified from official chart; digital HEX is approximate</x:v>
      </x:c>
      <x:c r="BB278" t="str">
        <x:v>Physical media appearance varies by paper, pressure, layering, water and scan/display profile.</x:v>
      </x:c>
    </x:row>
    <x:row r="279">
      <x:c r="A279" t="str">
        <x:f>G279&amp;"|"&amp;L279</x:f>
        <x:v>SUP|053</x:v>
      </x:c>
      <x:c r="B279" t="str">
        <x:v>2a1d1bad-e8db-5cb6-a431-54e0203db76f</x:v>
      </x:c>
      <x:c r="C279" t="str">
        <x:v>CDA-SUP-053</x:v>
      </x:c>
      <x:c r="D279" t="str">
        <x:v>3cc4e3a3-e432-5e8b-85f5-f35d40f449dc</x:v>
      </x:c>
      <x:c r="E279" t="str">
        <x:v>CDA-CODE-053</x:v>
      </x:c>
      <x:c r="F279" t="str">
        <x:v>Caran d’Ache</x:v>
      </x:c>
      <x:c r="G279" t="str">
        <x:v>SUP</x:v>
      </x:c>
      <x:c r="H279" t="str">
        <x:v>SUPRACOLOR Soft Aquarelle</x:v>
      </x:c>
      <x:c r="I279" t="str">
        <x:v>Water-soluble coloured pencil</x:v>
      </x:c>
      <x:c r="J279" t="str">
        <x:v>Artist</x:v>
      </x:c>
      <x:c r="K279" s="30" t="n">
        <x:v>58</x:v>
      </x:c>
      <x:c r="L279" s="30" t="str">
        <x:v>053</x:v>
      </x:c>
      <x:c r="M279" t="str">
        <x:v>Hazel</x:v>
      </x:c>
      <x:c r="N279" t="str">
        <x:v>榛果棕</x:v>
      </x:c>
      <x:c r="O279" t="str">
        <x:v>ヘーゼル</x:v>
      </x:c>
      <x:c r="P279" t="str"/>
      <x:c r="Q279" t="str">
        <x:v>Brun noisette</x:v>
      </x:c>
      <x:c r="R279" t="str">
        <x:v>Nussbraun</x:v>
      </x:c>
      <x:c r="S279" t="str">
        <x:v>Nocciola</x:v>
      </x:c>
      <x:c r="T279" t="str">
        <x:v>Avellana</x:v>
      </x:c>
      <x:c r="U279" t="str"/>
      <x:c r="V279" t="str"/>
      <x:c r="W279" t="str"/>
      <x:c r="X279" t="n">
        <x:f>IF(W279="",0,LEN(W279)-LEN(SUBSTITUTE(W279,"/",""))+1)</x:f>
        <x:v>0</x:v>
      </x:c>
      <x:c r="Y279" t="str">
        <x:v>H</x:v>
      </x:c>
      <x:c r="Z279" s="32" t="n">
        <x:v>1.67</x:v>
      </x:c>
      <x:c r="AA279" s="32" t="n">
        <x:v>3</x:v>
      </x:c>
      <x:c r="AB279" s="32" t="str">
        <x:v>Blue Wool Scale / UV 150h</x:v>
      </x:c>
      <x:c r="AC279" t="str">
        <x:v>#EFA66C</x:v>
      </x:c>
      <x:c r="AD279" s="34" t="n">
        <x:v>239</x:v>
      </x:c>
      <x:c r="AE279" s="34" t="n">
        <x:v>166</x:v>
      </x:c>
      <x:c r="AF279" s="34" t="n">
        <x:v>108</x:v>
      </x:c>
      <x:c r="AG279" s="32" t="n">
        <x:v>26.56</x:v>
      </x:c>
      <x:c r="AH279" s="32" t="n">
        <x:v>80.37</x:v>
      </x:c>
      <x:c r="AI279" s="32" t="n">
        <x:v>68.04</x:v>
      </x:c>
      <x:c r="AJ279" s="32" t="n">
        <x:v>74</x:v>
      </x:c>
      <x:c r="AK279" s="32" t="n">
        <x:v>20.84</x:v>
      </x:c>
      <x:c r="AL279" s="32" t="n">
        <x:v>40.62</x:v>
      </x:c>
      <x:c r="AM279" s="32" t="str">
        <x:v>#000000</x:v>
      </x:c>
      <x:c r="AN279" s="32" t="str">
        <x:v>Black</x:v>
      </x:c>
      <x:c r="AO279" s="32" t="n">
        <x:v>10.34</x:v>
      </x:c>
      <x:c r="AP279" s="32" t="n">
        <x:v>10.34</x:v>
      </x:c>
      <x:c r="AQ279" s="32" t="n">
        <x:v>2.03</x:v>
      </x:c>
      <x:c r="AR279" s="32" t="n">
        <x:v>0.467059</x:v>
      </x:c>
      <x:c r="AS279" t="str">
        <x:v>PASS</x:v>
      </x:c>
      <x:c r="AT279" t="str">
        <x:v>--cda-sup-053</x:v>
      </x:c>
      <x:c r="AU279" t="str">
        <x:v>var(--cda-sup-053)</x:v>
      </x:c>
      <x:c r="AV279" t="str">
        <x:v>Median RGB from official PDF swatch (screen reference only)</x:v>
      </x:c>
      <x:c r="AW279" t="str">
        <x:v>https://www.carandache.com/content_files/uploaded_doc/product/11426/Colour_Chart_Supracolor-BD3.pdf</x:v>
      </x:c>
      <x:c r="AX279" t="n">
        <x:v>1</x:v>
      </x:c>
      <x:c r="AY279" t="str">
        <x:v>Official</x:v>
      </x:c>
      <x:c r="AZ279" t="str">
        <x:v>Official where available; curated Traditional Chinese/Japanese otherwise</x:v>
      </x:c>
      <x:c r="BA279" t="str">
        <x:v>Verified from official chart; digital HEX is approximate</x:v>
      </x:c>
      <x:c r="BB279" t="str">
        <x:v>Physical media appearance varies by paper, pressure, layering, water and scan/display profile.</x:v>
      </x:c>
    </x:row>
    <x:row r="280">
      <x:c r="A280" t="str">
        <x:f>G280&amp;"|"&amp;L280</x:f>
        <x:v>SUP|057</x:v>
      </x:c>
      <x:c r="B280" t="str">
        <x:v>648b8180-2712-51e1-9085-cef2bca0091b</x:v>
      </x:c>
      <x:c r="C280" t="str">
        <x:v>CDA-SUP-057</x:v>
      </x:c>
      <x:c r="D280" t="str">
        <x:v>ea39b452-023c-5e72-a7d0-684cd549a60a</x:v>
      </x:c>
      <x:c r="E280" t="str">
        <x:v>CDA-CODE-057</x:v>
      </x:c>
      <x:c r="F280" t="str">
        <x:v>Caran d’Ache</x:v>
      </x:c>
      <x:c r="G280" t="str">
        <x:v>SUP</x:v>
      </x:c>
      <x:c r="H280" t="str">
        <x:v>SUPRACOLOR Soft Aquarelle</x:v>
      </x:c>
      <x:c r="I280" t="str">
        <x:v>Water-soluble coloured pencil</x:v>
      </x:c>
      <x:c r="J280" t="str">
        <x:v>Artist</x:v>
      </x:c>
      <x:c r="K280" s="30" t="n">
        <x:v>59</x:v>
      </x:c>
      <x:c r="L280" s="30" t="str">
        <x:v>057</x:v>
      </x:c>
      <x:c r="M280" t="str">
        <x:v>Chestnut</x:v>
      </x:c>
      <x:c r="N280" t="str">
        <x:v>栗棕色</x:v>
      </x:c>
      <x:c r="O280" t="str">
        <x:v>チェスナット</x:v>
      </x:c>
      <x:c r="P280" t="str"/>
      <x:c r="Q280" t="str">
        <x:v>Brun châtaigne</x:v>
      </x:c>
      <x:c r="R280" t="str">
        <x:v>Kastanienbraun</x:v>
      </x:c>
      <x:c r="S280" t="str">
        <x:v>Castano</x:v>
      </x:c>
      <x:c r="T280" t="str">
        <x:v>Castaña</x:v>
      </x:c>
      <x:c r="U280" t="str"/>
      <x:c r="V280" t="str"/>
      <x:c r="W280" t="str"/>
      <x:c r="X280" t="n">
        <x:f>IF(W280="",0,LEN(W280)-LEN(SUBSTITUTE(W280,"/",""))+1)</x:f>
        <x:v>0</x:v>
      </x:c>
      <x:c r="Y280" t="str">
        <x:v>H</x:v>
      </x:c>
      <x:c r="Z280" s="32" t="n">
        <x:v>1.67</x:v>
      </x:c>
      <x:c r="AA280" s="32" t="n">
        <x:v>3</x:v>
      </x:c>
      <x:c r="AB280" s="32" t="str">
        <x:v>Blue Wool Scale / UV 150h</x:v>
      </x:c>
      <x:c r="AC280" t="str">
        <x:v>#F5AC87</x:v>
      </x:c>
      <x:c r="AD280" s="34" t="n">
        <x:v>245</x:v>
      </x:c>
      <x:c r="AE280" s="34" t="n">
        <x:v>172</x:v>
      </x:c>
      <x:c r="AF280" s="34" t="n">
        <x:v>135</x:v>
      </x:c>
      <x:c r="AG280" s="32" t="n">
        <x:v>20.18</x:v>
      </x:c>
      <x:c r="AH280" s="32" t="n">
        <x:v>84.62</x:v>
      </x:c>
      <x:c r="AI280" s="32" t="n">
        <x:v>74.51</x:v>
      </x:c>
      <x:c r="AJ280" s="32" t="n">
        <x:v>76.48</x:v>
      </x:c>
      <x:c r="AK280" s="32" t="n">
        <x:v>22.5</x:v>
      </x:c>
      <x:c r="AL280" s="32" t="n">
        <x:v>29.73</x:v>
      </x:c>
      <x:c r="AM280" s="32" t="str">
        <x:v>#000000</x:v>
      </x:c>
      <x:c r="AN280" s="32" t="str">
        <x:v>Black</x:v>
      </x:c>
      <x:c r="AO280" s="32" t="n">
        <x:v>11.13</x:v>
      </x:c>
      <x:c r="AP280" s="32" t="n">
        <x:v>11.13</x:v>
      </x:c>
      <x:c r="AQ280" s="32" t="n">
        <x:v>1.89</x:v>
      </x:c>
      <x:c r="AR280" s="32" t="n">
        <x:v>0.506668</x:v>
      </x:c>
      <x:c r="AS280" t="str">
        <x:v>PASS</x:v>
      </x:c>
      <x:c r="AT280" t="str">
        <x:v>--cda-sup-057</x:v>
      </x:c>
      <x:c r="AU280" t="str">
        <x:v>var(--cda-sup-057)</x:v>
      </x:c>
      <x:c r="AV280" t="str">
        <x:v>Median RGB from official PDF swatch (screen reference only)</x:v>
      </x:c>
      <x:c r="AW280" t="str">
        <x:v>https://www.carandache.com/content_files/uploaded_doc/product/11426/Colour_Chart_Supracolor-BD3.pdf</x:v>
      </x:c>
      <x:c r="AX280" t="n">
        <x:v>1</x:v>
      </x:c>
      <x:c r="AY280" t="str">
        <x:v>Official</x:v>
      </x:c>
      <x:c r="AZ280" t="str">
        <x:v>Official where available; curated Traditional Chinese/Japanese otherwise</x:v>
      </x:c>
      <x:c r="BA280" t="str">
        <x:v>Verified from official chart; digital HEX is approximate</x:v>
      </x:c>
      <x:c r="BB280" t="str">
        <x:v>Physical media appearance varies by paper, pressure, layering, water and scan/display profile.</x:v>
      </x:c>
    </x:row>
    <x:row r="281">
      <x:c r="A281" t="str">
        <x:f>G281&amp;"|"&amp;L281</x:f>
        <x:v>SUP|055</x:v>
      </x:c>
      <x:c r="B281" t="str">
        <x:v>90431fc4-f71e-5148-97c2-470682e7d469</x:v>
      </x:c>
      <x:c r="C281" t="str">
        <x:v>CDA-SUP-055</x:v>
      </x:c>
      <x:c r="D281" t="str">
        <x:v>658096e9-f9b4-5937-8e83-5eee039511f9</x:v>
      </x:c>
      <x:c r="E281" t="str">
        <x:v>CDA-CODE-055</x:v>
      </x:c>
      <x:c r="F281" t="str">
        <x:v>Caran d’Ache</x:v>
      </x:c>
      <x:c r="G281" t="str">
        <x:v>SUP</x:v>
      </x:c>
      <x:c r="H281" t="str">
        <x:v>SUPRACOLOR Soft Aquarelle</x:v>
      </x:c>
      <x:c r="I281" t="str">
        <x:v>Water-soluble coloured pencil</x:v>
      </x:c>
      <x:c r="J281" t="str">
        <x:v>Artist</x:v>
      </x:c>
      <x:c r="K281" s="30" t="n">
        <x:v>60</x:v>
      </x:c>
      <x:c r="L281" s="30" t="str">
        <x:v>055</x:v>
      </x:c>
      <x:c r="M281" t="str">
        <x:v>Cinnamon</x:v>
      </x:c>
      <x:c r="N281" t="str">
        <x:v>肉桂色</x:v>
      </x:c>
      <x:c r="O281" t="str">
        <x:v>シナモン</x:v>
      </x:c>
      <x:c r="P281" t="str"/>
      <x:c r="Q281" t="str">
        <x:v>Cannelle</x:v>
      </x:c>
      <x:c r="R281" t="str">
        <x:v>Zimtbraun</x:v>
      </x:c>
      <x:c r="S281" t="str">
        <x:v>Cannella</x:v>
      </x:c>
      <x:c r="T281" t="str">
        <x:v>Canela</x:v>
      </x:c>
      <x:c r="U281" t="str"/>
      <x:c r="V281" t="str"/>
      <x:c r="W281" t="str"/>
      <x:c r="X281" t="n">
        <x:f>IF(W281="",0,LEN(W281)-LEN(SUBSTITUTE(W281,"/",""))+1)</x:f>
        <x:v>0</x:v>
      </x:c>
      <x:c r="Y281" t="str">
        <x:v>H</x:v>
      </x:c>
      <x:c r="Z281" s="32" t="n">
        <x:v>1.67</x:v>
      </x:c>
      <x:c r="AA281" s="32" t="n">
        <x:v>3</x:v>
      </x:c>
      <x:c r="AB281" s="32" t="str">
        <x:v>Blue Wool Scale / UV 150h</x:v>
      </x:c>
      <x:c r="AC281" t="str">
        <x:v>#F7AF81</x:v>
      </x:c>
      <x:c r="AD281" s="34" t="n">
        <x:v>247</x:v>
      </x:c>
      <x:c r="AE281" s="34" t="n">
        <x:v>175</x:v>
      </x:c>
      <x:c r="AF281" s="34" t="n">
        <x:v>129</x:v>
      </x:c>
      <x:c r="AG281" s="32" t="n">
        <x:v>23.39</x:v>
      </x:c>
      <x:c r="AH281" s="32" t="n">
        <x:v>88.06</x:v>
      </x:c>
      <x:c r="AI281" s="32" t="n">
        <x:v>73.73</x:v>
      </x:c>
      <x:c r="AJ281" s="32" t="n">
        <x:v>77.29</x:v>
      </x:c>
      <x:c r="AK281" s="32" t="n">
        <x:v>21.12</x:v>
      </x:c>
      <x:c r="AL281" s="32" t="n">
        <x:v>34.02</x:v>
      </x:c>
      <x:c r="AM281" s="32" t="str">
        <x:v>#000000</x:v>
      </x:c>
      <x:c r="AN281" s="32" t="str">
        <x:v>Black</x:v>
      </x:c>
      <x:c r="AO281" s="32" t="n">
        <x:v>11.4</x:v>
      </x:c>
      <x:c r="AP281" s="32" t="n">
        <x:v>11.4</x:v>
      </x:c>
      <x:c r="AQ281" s="32" t="n">
        <x:v>1.84</x:v>
      </x:c>
      <x:c r="AR281" s="32" t="n">
        <x:v>0.520191</x:v>
      </x:c>
      <x:c r="AS281" t="str">
        <x:v>PASS</x:v>
      </x:c>
      <x:c r="AT281" t="str">
        <x:v>--cda-sup-055</x:v>
      </x:c>
      <x:c r="AU281" t="str">
        <x:v>var(--cda-sup-055)</x:v>
      </x:c>
      <x:c r="AV281" t="str">
        <x:v>Median RGB from official PDF swatch (screen reference only)</x:v>
      </x:c>
      <x:c r="AW281" t="str">
        <x:v>https://www.carandache.com/content_files/uploaded_doc/product/11426/Colour_Chart_Supracolor-BD3.pdf</x:v>
      </x:c>
      <x:c r="AX281" t="n">
        <x:v>1</x:v>
      </x:c>
      <x:c r="AY281" t="str">
        <x:v>Official</x:v>
      </x:c>
      <x:c r="AZ281" t="str">
        <x:v>Official where available; curated Traditional Chinese/Japanese otherwise</x:v>
      </x:c>
      <x:c r="BA281" t="str">
        <x:v>Verified from official chart; digital HEX is approximate</x:v>
      </x:c>
      <x:c r="BB281" t="str">
        <x:v>Physical media appearance varies by paper, pressure, layering, water and scan/display profile.</x:v>
      </x:c>
    </x:row>
    <x:row r="282">
      <x:c r="A282" t="str">
        <x:f>G282&amp;"|"&amp;L282</x:f>
        <x:v>SUP|037</x:v>
      </x:c>
      <x:c r="B282" t="str">
        <x:v>2bb6f4dc-e3df-57a9-9bfd-83faee90ec5f</x:v>
      </x:c>
      <x:c r="C282" t="str">
        <x:v>CDA-SUP-037</x:v>
      </x:c>
      <x:c r="D282" t="str">
        <x:v>59b41d64-1bde-519b-97de-9680e20c652e</x:v>
      </x:c>
      <x:c r="E282" t="str">
        <x:v>CDA-CODE-037</x:v>
      </x:c>
      <x:c r="F282" t="str">
        <x:v>Caran d’Ache</x:v>
      </x:c>
      <x:c r="G282" t="str">
        <x:v>SUP</x:v>
      </x:c>
      <x:c r="H282" t="str">
        <x:v>SUPRACOLOR Soft Aquarelle</x:v>
      </x:c>
      <x:c r="I282" t="str">
        <x:v>Water-soluble coloured pencil</x:v>
      </x:c>
      <x:c r="J282" t="str">
        <x:v>Artist</x:v>
      </x:c>
      <x:c r="K282" s="30" t="n">
        <x:v>61</x:v>
      </x:c>
      <x:c r="L282" s="30" t="str">
        <x:v>037</x:v>
      </x:c>
      <x:c r="M282" t="str">
        <x:v>Brown ochre</x:v>
      </x:c>
      <x:c r="N282" t="str">
        <x:v>棕赭色</x:v>
      </x:c>
      <x:c r="O282" t="str">
        <x:v>ブラウンオーカー</x:v>
      </x:c>
      <x:c r="P282" t="str"/>
      <x:c r="Q282" t="str">
        <x:v>Ocre brun</x:v>
      </x:c>
      <x:c r="R282" t="str">
        <x:v>Braunocker</x:v>
      </x:c>
      <x:c r="S282" t="str">
        <x:v>Ocra bruna</x:v>
      </x:c>
      <x:c r="T282" t="str">
        <x:v>Ocre pardo</x:v>
      </x:c>
      <x:c r="U282" t="str"/>
      <x:c r="V282" t="str"/>
      <x:c r="W282" t="str"/>
      <x:c r="X282" t="n">
        <x:f>IF(W282="",0,LEN(W282)-LEN(SUBSTITUTE(W282,"/",""))+1)</x:f>
        <x:v>0</x:v>
      </x:c>
      <x:c r="Y282" t="str">
        <x:v>H</x:v>
      </x:c>
      <x:c r="Z282" s="32" t="n">
        <x:v>1.67</x:v>
      </x:c>
      <x:c r="AA282" s="32" t="n">
        <x:v>3</x:v>
      </x:c>
      <x:c r="AB282" s="32" t="str">
        <x:v>Blue Wool Scale / UV 150h</x:v>
      </x:c>
      <x:c r="AC282" t="str">
        <x:v>#E8AA74</x:v>
      </x:c>
      <x:c r="AD282" s="34" t="n">
        <x:v>232</x:v>
      </x:c>
      <x:c r="AE282" s="34" t="n">
        <x:v>170</x:v>
      </x:c>
      <x:c r="AF282" s="34" t="n">
        <x:v>116</x:v>
      </x:c>
      <x:c r="AG282" s="32" t="n">
        <x:v>27.93</x:v>
      </x:c>
      <x:c r="AH282" s="32" t="n">
        <x:v>71.6</x:v>
      </x:c>
      <x:c r="AI282" s="32" t="n">
        <x:v>68.24</x:v>
      </x:c>
      <x:c r="AJ282" s="32" t="n">
        <x:v>74.3</x:v>
      </x:c>
      <x:c r="AK282" s="32" t="n">
        <x:v>16.57</x:v>
      </x:c>
      <x:c r="AL282" s="32" t="n">
        <x:v>36.66</x:v>
      </x:c>
      <x:c r="AM282" s="32" t="str">
        <x:v>#000000</x:v>
      </x:c>
      <x:c r="AN282" s="32" t="str">
        <x:v>Black</x:v>
      </x:c>
      <x:c r="AO282" s="32" t="n">
        <x:v>10.43</x:v>
      </x:c>
      <x:c r="AP282" s="32" t="n">
        <x:v>10.43</x:v>
      </x:c>
      <x:c r="AQ282" s="32" t="n">
        <x:v>2.01</x:v>
      </x:c>
      <x:c r="AR282" s="32" t="n">
        <x:v>0.471662</x:v>
      </x:c>
      <x:c r="AS282" t="str">
        <x:v>PASS</x:v>
      </x:c>
      <x:c r="AT282" t="str">
        <x:v>--cda-sup-037</x:v>
      </x:c>
      <x:c r="AU282" t="str">
        <x:v>var(--cda-sup-037)</x:v>
      </x:c>
      <x:c r="AV282" t="str">
        <x:v>Median RGB from official PDF swatch (screen reference only)</x:v>
      </x:c>
      <x:c r="AW282" t="str">
        <x:v>https://www.carandache.com/content_files/uploaded_doc/product/11426/Colour_Chart_Supracolor-BD3.pdf</x:v>
      </x:c>
      <x:c r="AX282" t="n">
        <x:v>1</x:v>
      </x:c>
      <x:c r="AY282" t="str">
        <x:v>Official</x:v>
      </x:c>
      <x:c r="AZ282" t="str">
        <x:v>Official where available; curated Traditional Chinese/Japanese otherwise</x:v>
      </x:c>
      <x:c r="BA282" t="str">
        <x:v>Verified from official chart; digital HEX is approximate</x:v>
      </x:c>
      <x:c r="BB282" t="str">
        <x:v>Physical media appearance varies by paper, pressure, layering, water and scan/display profile.</x:v>
      </x:c>
    </x:row>
    <x:row r="283">
      <x:c r="A283" t="str">
        <x:f>G283&amp;"|"&amp;L283</x:f>
        <x:v>SUP|035</x:v>
      </x:c>
      <x:c r="B283" t="str">
        <x:v>8a78d712-8416-5647-be3a-ead37fd9b6cb</x:v>
      </x:c>
      <x:c r="C283" t="str">
        <x:v>CDA-SUP-035</x:v>
      </x:c>
      <x:c r="D283" t="str">
        <x:v>e6cc537a-bb6e-50c6-99e9-ab46db58910a</x:v>
      </x:c>
      <x:c r="E283" t="str">
        <x:v>CDA-CODE-035</x:v>
      </x:c>
      <x:c r="F283" t="str">
        <x:v>Caran d’Ache</x:v>
      </x:c>
      <x:c r="G283" t="str">
        <x:v>SUP</x:v>
      </x:c>
      <x:c r="H283" t="str">
        <x:v>SUPRACOLOR Soft Aquarelle</x:v>
      </x:c>
      <x:c r="I283" t="str">
        <x:v>Water-soluble coloured pencil</x:v>
      </x:c>
      <x:c r="J283" t="str">
        <x:v>Artist</x:v>
      </x:c>
      <x:c r="K283" s="30" t="n">
        <x:v>62</x:v>
      </x:c>
      <x:c r="L283" s="30" t="str">
        <x:v>035</x:v>
      </x:c>
      <x:c r="M283" t="str">
        <x:v>Ochre</x:v>
      </x:c>
      <x:c r="N283" t="str">
        <x:v>赭色</x:v>
      </x:c>
      <x:c r="O283" t="str">
        <x:v>オーカー</x:v>
      </x:c>
      <x:c r="P283" t="str"/>
      <x:c r="Q283" t="str">
        <x:v>Ocre</x:v>
      </x:c>
      <x:c r="R283" t="str">
        <x:v>Ocker</x:v>
      </x:c>
      <x:c r="S283" t="str">
        <x:v>Ocra</x:v>
      </x:c>
      <x:c r="T283" t="str">
        <x:v>Ocre</x:v>
      </x:c>
      <x:c r="U283" t="str"/>
      <x:c r="V283" t="str"/>
      <x:c r="W283" t="str"/>
      <x:c r="X283" t="n">
        <x:f>IF(W283="",0,LEN(W283)-LEN(SUBSTITUTE(W283,"/",""))+1)</x:f>
        <x:v>0</x:v>
      </x:c>
      <x:c r="Y283" t="str">
        <x:v>H</x:v>
      </x:c>
      <x:c r="Z283" s="32" t="n">
        <x:v>1.67</x:v>
      </x:c>
      <x:c r="AA283" s="32" t="n">
        <x:v>3</x:v>
      </x:c>
      <x:c r="AB283" s="32" t="str">
        <x:v>Blue Wool Scale / UV 150h</x:v>
      </x:c>
      <x:c r="AC283" t="str">
        <x:v>#FED48B</x:v>
      </x:c>
      <x:c r="AD283" s="34" t="n">
        <x:v>254</x:v>
      </x:c>
      <x:c r="AE283" s="34" t="n">
        <x:v>212</x:v>
      </x:c>
      <x:c r="AF283" s="34" t="n">
        <x:v>139</x:v>
      </x:c>
      <x:c r="AG283" s="32" t="n">
        <x:v>38.09</x:v>
      </x:c>
      <x:c r="AH283" s="32" t="n">
        <x:v>98.29</x:v>
      </x:c>
      <x:c r="AI283" s="32" t="n">
        <x:v>77.06</x:v>
      </x:c>
      <x:c r="AJ283" s="32" t="n">
        <x:v>87.01</x:v>
      </x:c>
      <x:c r="AK283" s="32" t="n">
        <x:v>5.54</x:v>
      </x:c>
      <x:c r="AL283" s="32" t="n">
        <x:v>41.52</x:v>
      </x:c>
      <x:c r="AM283" s="32" t="str">
        <x:v>#000000</x:v>
      </x:c>
      <x:c r="AN283" s="32" t="str">
        <x:v>Black</x:v>
      </x:c>
      <x:c r="AO283" s="32" t="n">
        <x:v>15</x:v>
      </x:c>
      <x:c r="AP283" s="32" t="n">
        <x:v>15</x:v>
      </x:c>
      <x:c r="AQ283" s="32" t="n">
        <x:v>1.4</x:v>
      </x:c>
      <x:c r="AR283" s="32" t="n">
        <x:v>0.700219</x:v>
      </x:c>
      <x:c r="AS283" t="str">
        <x:v>PASS</x:v>
      </x:c>
      <x:c r="AT283" t="str">
        <x:v>--cda-sup-035</x:v>
      </x:c>
      <x:c r="AU283" t="str">
        <x:v>var(--cda-sup-035)</x:v>
      </x:c>
      <x:c r="AV283" t="str">
        <x:v>Median RGB from official PDF swatch (screen reference only)</x:v>
      </x:c>
      <x:c r="AW283" t="str">
        <x:v>https://www.carandache.com/content_files/uploaded_doc/product/11426/Colour_Chart_Supracolor-BD3.pdf</x:v>
      </x:c>
      <x:c r="AX283" t="n">
        <x:v>1</x:v>
      </x:c>
      <x:c r="AY283" t="str">
        <x:v>Official</x:v>
      </x:c>
      <x:c r="AZ283" t="str">
        <x:v>Official where available; curated Traditional Chinese/Japanese otherwise</x:v>
      </x:c>
      <x:c r="BA283" t="str">
        <x:v>Verified from official chart; digital HEX is approximate</x:v>
      </x:c>
      <x:c r="BB283" t="str">
        <x:v>Physical media appearance varies by paper, pressure, layering, water and scan/display profile.</x:v>
      </x:c>
    </x:row>
    <x:row r="284">
      <x:c r="A284" t="str">
        <x:f>G284&amp;"|"&amp;L284</x:f>
        <x:v>SUP|033</x:v>
      </x:c>
      <x:c r="B284" t="str">
        <x:v>b72cebe3-5153-528b-a436-6f386ec94b9d</x:v>
      </x:c>
      <x:c r="C284" t="str">
        <x:v>CDA-SUP-033</x:v>
      </x:c>
      <x:c r="D284" t="str">
        <x:v>167a875a-a8c7-5497-a065-fd7076f6139c</x:v>
      </x:c>
      <x:c r="E284" t="str">
        <x:v>CDA-CODE-033</x:v>
      </x:c>
      <x:c r="F284" t="str">
        <x:v>Caran d’Ache</x:v>
      </x:c>
      <x:c r="G284" t="str">
        <x:v>SUP</x:v>
      </x:c>
      <x:c r="H284" t="str">
        <x:v>SUPRACOLOR Soft Aquarelle</x:v>
      </x:c>
      <x:c r="I284" t="str">
        <x:v>Water-soluble coloured pencil</x:v>
      </x:c>
      <x:c r="J284" t="str">
        <x:v>Artist</x:v>
      </x:c>
      <x:c r="K284" s="30" t="n">
        <x:v>63</x:v>
      </x:c>
      <x:c r="L284" s="30" t="str">
        <x:v>033</x:v>
      </x:c>
      <x:c r="M284" t="str">
        <x:v>Golden ochre</x:v>
      </x:c>
      <x:c r="N284" t="str">
        <x:v>金赭色</x:v>
      </x:c>
      <x:c r="O284" t="str">
        <x:v>ゴールデンオーカー</x:v>
      </x:c>
      <x:c r="P284" t="str"/>
      <x:c r="Q284" t="str">
        <x:v>Ocre d’or</x:v>
      </x:c>
      <x:c r="R284" t="str">
        <x:v>Goldocker</x:v>
      </x:c>
      <x:c r="S284" t="str">
        <x:v>Ocra d’oro</x:v>
      </x:c>
      <x:c r="T284" t="str">
        <x:v>Ocre oro</x:v>
      </x:c>
      <x:c r="U284" t="str"/>
      <x:c r="V284" t="str"/>
      <x:c r="W284" t="str"/>
      <x:c r="X284" t="n">
        <x:f>IF(W284="",0,LEN(W284)-LEN(SUBSTITUTE(W284,"/",""))+1)</x:f>
        <x:v>0</x:v>
      </x:c>
      <x:c r="Y284" t="str">
        <x:v>H</x:v>
      </x:c>
      <x:c r="Z284" s="32" t="n">
        <x:v>1.67</x:v>
      </x:c>
      <x:c r="AA284" s="32" t="n">
        <x:v>3</x:v>
      </x:c>
      <x:c r="AB284" s="32" t="str">
        <x:v>Blue Wool Scale / UV 150h</x:v>
      </x:c>
      <x:c r="AC284" t="str">
        <x:v>#FEDE8D</x:v>
      </x:c>
      <x:c r="AD284" s="34" t="n">
        <x:v>254</x:v>
      </x:c>
      <x:c r="AE284" s="34" t="n">
        <x:v>222</x:v>
      </x:c>
      <x:c r="AF284" s="34" t="n">
        <x:v>141</x:v>
      </x:c>
      <x:c r="AG284" s="32" t="n">
        <x:v>43.01</x:v>
      </x:c>
      <x:c r="AH284" s="32" t="n">
        <x:v>98.26</x:v>
      </x:c>
      <x:c r="AI284" s="32" t="n">
        <x:v>77.45</x:v>
      </x:c>
      <x:c r="AJ284" s="32" t="n">
        <x:v>89.51</x:v>
      </x:c>
      <x:c r="AK284" s="32" t="n">
        <x:v>0.62</x:v>
      </x:c>
      <x:c r="AL284" s="32" t="n">
        <x:v>43.69</x:v>
      </x:c>
      <x:c r="AM284" s="32" t="str">
        <x:v>#000000</x:v>
      </x:c>
      <x:c r="AN284" s="32" t="str">
        <x:v>Black</x:v>
      </x:c>
      <x:c r="AO284" s="32" t="n">
        <x:v>16.05</x:v>
      </x:c>
      <x:c r="AP284" s="32" t="n">
        <x:v>16.05</x:v>
      </x:c>
      <x:c r="AQ284" s="32" t="n">
        <x:v>1.31</x:v>
      </x:c>
      <x:c r="AR284" s="32" t="n">
        <x:v>0.752365</x:v>
      </x:c>
      <x:c r="AS284" t="str">
        <x:v>PASS</x:v>
      </x:c>
      <x:c r="AT284" t="str">
        <x:v>--cda-sup-033</x:v>
      </x:c>
      <x:c r="AU284" t="str">
        <x:v>var(--cda-sup-033)</x:v>
      </x:c>
      <x:c r="AV284" t="str">
        <x:v>Median RGB from official PDF swatch (screen reference only)</x:v>
      </x:c>
      <x:c r="AW284" t="str">
        <x:v>https://www.carandache.com/content_files/uploaded_doc/product/11426/Colour_Chart_Supracolor-BD3.pdf</x:v>
      </x:c>
      <x:c r="AX284" t="n">
        <x:v>1</x:v>
      </x:c>
      <x:c r="AY284" t="str">
        <x:v>Official</x:v>
      </x:c>
      <x:c r="AZ284" t="str">
        <x:v>Official where available; curated Traditional Chinese/Japanese otherwise</x:v>
      </x:c>
      <x:c r="BA284" t="str">
        <x:v>Verified from official chart; digital HEX is approximate</x:v>
      </x:c>
      <x:c r="BB284" t="str">
        <x:v>Physical media appearance varies by paper, pressure, layering, water and scan/display profile.</x:v>
      </x:c>
    </x:row>
    <x:row r="285">
      <x:c r="A285" t="str">
        <x:f>G285&amp;"|"&amp;L285</x:f>
        <x:v>SUP|032</x:v>
      </x:c>
      <x:c r="B285" t="str">
        <x:v>7a5241c7-8e9d-5d10-aed1-bafc7c5bb4b6</x:v>
      </x:c>
      <x:c r="C285" t="str">
        <x:v>CDA-SUP-032</x:v>
      </x:c>
      <x:c r="D285" t="str">
        <x:v>cf31a5ec-c7d9-568a-8f36-596b3b0b552c</x:v>
      </x:c>
      <x:c r="E285" t="str">
        <x:v>CDA-CODE-032</x:v>
      </x:c>
      <x:c r="F285" t="str">
        <x:v>Caran d’Ache</x:v>
      </x:c>
      <x:c r="G285" t="str">
        <x:v>SUP</x:v>
      </x:c>
      <x:c r="H285" t="str">
        <x:v>SUPRACOLOR Soft Aquarelle</x:v>
      </x:c>
      <x:c r="I285" t="str">
        <x:v>Water-soluble coloured pencil</x:v>
      </x:c>
      <x:c r="J285" t="str">
        <x:v>Artist</x:v>
      </x:c>
      <x:c r="K285" s="30" t="n">
        <x:v>64</x:v>
      </x:c>
      <x:c r="L285" s="30" t="str">
        <x:v>032</x:v>
      </x:c>
      <x:c r="M285" t="str">
        <x:v>Light ochre</x:v>
      </x:c>
      <x:c r="N285" t="str">
        <x:v>淺赭色</x:v>
      </x:c>
      <x:c r="O285" t="str">
        <x:v>ライトオーカー</x:v>
      </x:c>
      <x:c r="P285" t="str"/>
      <x:c r="Q285" t="str">
        <x:v>Ocre lumière</x:v>
      </x:c>
      <x:c r="R285" t="str">
        <x:v>Lichtocker</x:v>
      </x:c>
      <x:c r="S285" t="str">
        <x:v>Ocra chiaro</x:v>
      </x:c>
      <x:c r="T285" t="str">
        <x:v>Ocre luminoso</x:v>
      </x:c>
      <x:c r="U285" t="str"/>
      <x:c r="V285" t="str"/>
      <x:c r="W285" t="str"/>
      <x:c r="X285" t="n">
        <x:f>IF(W285="",0,LEN(W285)-LEN(SUBSTITUTE(W285,"/",""))+1)</x:f>
        <x:v>0</x:v>
      </x:c>
      <x:c r="Y285" t="str">
        <x:v>H</x:v>
      </x:c>
      <x:c r="Z285" s="32" t="n">
        <x:v>1.67</x:v>
      </x:c>
      <x:c r="AA285" s="32" t="n">
        <x:v>3</x:v>
      </x:c>
      <x:c r="AB285" s="32" t="str">
        <x:v>Blue Wool Scale / UV 150h</x:v>
      </x:c>
      <x:c r="AC285" t="str">
        <x:v>#FFDF89</x:v>
      </x:c>
      <x:c r="AD285" s="34" t="n">
        <x:v>255</x:v>
      </x:c>
      <x:c r="AE285" s="34" t="n">
        <x:v>223</x:v>
      </x:c>
      <x:c r="AF285" s="34" t="n">
        <x:v>137</x:v>
      </x:c>
      <x:c r="AG285" s="32" t="n">
        <x:v>43.73</x:v>
      </x:c>
      <x:c r="AH285" s="32" t="n">
        <x:v>100</x:v>
      </x:c>
      <x:c r="AI285" s="32" t="n">
        <x:v>76.86</x:v>
      </x:c>
      <x:c r="AJ285" s="32" t="n">
        <x:v>89.79</x:v>
      </x:c>
      <x:c r="AK285" s="32" t="n">
        <x:v>0.12</x:v>
      </x:c>
      <x:c r="AL285" s="32" t="n">
        <x:v>46.04</x:v>
      </x:c>
      <x:c r="AM285" s="32" t="str">
        <x:v>#000000</x:v>
      </x:c>
      <x:c r="AN285" s="32" t="str">
        <x:v>Black</x:v>
      </x:c>
      <x:c r="AO285" s="32" t="n">
        <x:v>16.17</x:v>
      </x:c>
      <x:c r="AP285" s="32" t="n">
        <x:v>16.17</x:v>
      </x:c>
      <x:c r="AQ285" s="32" t="n">
        <x:v>1.3</x:v>
      </x:c>
      <x:c r="AR285" s="32" t="n">
        <x:v>0.758415</x:v>
      </x:c>
      <x:c r="AS285" t="str">
        <x:v>PASS</x:v>
      </x:c>
      <x:c r="AT285" t="str">
        <x:v>--cda-sup-032</x:v>
      </x:c>
      <x:c r="AU285" t="str">
        <x:v>var(--cda-sup-032)</x:v>
      </x:c>
      <x:c r="AV285" t="str">
        <x:v>Median RGB from official PDF swatch (screen reference only)</x:v>
      </x:c>
      <x:c r="AW285" t="str">
        <x:v>https://www.carandache.com/content_files/uploaded_doc/product/11426/Colour_Chart_Supracolor-BD3.pdf</x:v>
      </x:c>
      <x:c r="AX285" t="n">
        <x:v>1</x:v>
      </x:c>
      <x:c r="AY285" t="str">
        <x:v>Official</x:v>
      </x:c>
      <x:c r="AZ285" t="str">
        <x:v>Official where available; curated Traditional Chinese/Japanese otherwise</x:v>
      </x:c>
      <x:c r="BA285" t="str">
        <x:v>Verified from official chart; digital HEX is approximate</x:v>
      </x:c>
      <x:c r="BB285" t="str">
        <x:v>Physical media appearance varies by paper, pressure, layering, water and scan/display profile.</x:v>
      </x:c>
    </x:row>
    <x:row r="286">
      <x:c r="A286" t="str">
        <x:f>G286&amp;"|"&amp;L286</x:f>
        <x:v>SUP|031</x:v>
      </x:c>
      <x:c r="B286" t="str">
        <x:v>71eafd65-a4bc-50b4-8f8a-93b4f6ea7b50</x:v>
      </x:c>
      <x:c r="C286" t="str">
        <x:v>CDA-SUP-031</x:v>
      </x:c>
      <x:c r="D286" t="str">
        <x:v>f7a139ed-9b9b-504e-8c44-0aed7906baf0</x:v>
      </x:c>
      <x:c r="E286" t="str">
        <x:v>CDA-CODE-031</x:v>
      </x:c>
      <x:c r="F286" t="str">
        <x:v>Caran d’Ache</x:v>
      </x:c>
      <x:c r="G286" t="str">
        <x:v>SUP</x:v>
      </x:c>
      <x:c r="H286" t="str">
        <x:v>SUPRACOLOR Soft Aquarelle</x:v>
      </x:c>
      <x:c r="I286" t="str">
        <x:v>Water-soluble coloured pencil</x:v>
      </x:c>
      <x:c r="J286" t="str">
        <x:v>Artist</x:v>
      </x:c>
      <x:c r="K286" s="30" t="n">
        <x:v>65</x:v>
      </x:c>
      <x:c r="L286" s="30" t="str">
        <x:v>031</x:v>
      </x:c>
      <x:c r="M286" t="str">
        <x:v>Orangish yellow</x:v>
      </x:c>
      <x:c r="N286" t="str">
        <x:v>橙黃色</x:v>
      </x:c>
      <x:c r="O286" t="str">
        <x:v>オレンジイエロー</x:v>
      </x:c>
      <x:c r="P286" t="str"/>
      <x:c r="Q286" t="str">
        <x:v>Jaune paille</x:v>
      </x:c>
      <x:c r="R286" t="str">
        <x:v>Hellorange</x:v>
      </x:c>
      <x:c r="S286" t="str">
        <x:v>Giallo paglia</x:v>
      </x:c>
      <x:c r="T286" t="str">
        <x:v>Amarillo paja</x:v>
      </x:c>
      <x:c r="U286" t="str"/>
      <x:c r="V286" t="str"/>
      <x:c r="W286" t="str"/>
      <x:c r="X286" t="n">
        <x:f>IF(W286="",0,LEN(W286)-LEN(SUBSTITUTE(W286,"/",""))+1)</x:f>
        <x:v>0</x:v>
      </x:c>
      <x:c r="Y286" t="str">
        <x:v>H</x:v>
      </x:c>
      <x:c r="Z286" s="32" t="n">
        <x:v>1.67</x:v>
      </x:c>
      <x:c r="AA286" s="32" t="n">
        <x:v>3</x:v>
      </x:c>
      <x:c r="AB286" s="32" t="str">
        <x:v>Blue Wool Scale / UV 150h</x:v>
      </x:c>
      <x:c r="AC286" t="str">
        <x:v>#FFDE7B</x:v>
      </x:c>
      <x:c r="AD286" s="34" t="n">
        <x:v>255</x:v>
      </x:c>
      <x:c r="AE286" s="34" t="n">
        <x:v>222</x:v>
      </x:c>
      <x:c r="AF286" s="34" t="n">
        <x:v>123</x:v>
      </x:c>
      <x:c r="AG286" s="32" t="n">
        <x:v>45</x:v>
      </x:c>
      <x:c r="AH286" s="32" t="n">
        <x:v>100</x:v>
      </x:c>
      <x:c r="AI286" s="32" t="n">
        <x:v>74.12</x:v>
      </x:c>
      <x:c r="AJ286" s="32" t="n">
        <x:v>89.36</x:v>
      </x:c>
      <x:c r="AK286" s="32" t="n">
        <x:v>-0.61</x:v>
      </x:c>
      <x:c r="AL286" s="32" t="n">
        <x:v>52.3</x:v>
      </x:c>
      <x:c r="AM286" s="32" t="str">
        <x:v>#000000</x:v>
      </x:c>
      <x:c r="AN286" s="32" t="str">
        <x:v>Black</x:v>
      </x:c>
      <x:c r="AO286" s="32" t="n">
        <x:v>15.99</x:v>
      </x:c>
      <x:c r="AP286" s="32" t="n">
        <x:v>15.99</x:v>
      </x:c>
      <x:c r="AQ286" s="32" t="n">
        <x:v>1.31</x:v>
      </x:c>
      <x:c r="AR286" s="32" t="n">
        <x:v>0.749326</x:v>
      </x:c>
      <x:c r="AS286" t="str">
        <x:v>PASS</x:v>
      </x:c>
      <x:c r="AT286" t="str">
        <x:v>--cda-sup-031</x:v>
      </x:c>
      <x:c r="AU286" t="str">
        <x:v>var(--cda-sup-031)</x:v>
      </x:c>
      <x:c r="AV286" t="str">
        <x:v>Median RGB from official PDF swatch (screen reference only)</x:v>
      </x:c>
      <x:c r="AW286" t="str">
        <x:v>https://www.carandache.com/content_files/uploaded_doc/product/11426/Colour_Chart_Supracolor-BD3.pdf</x:v>
      </x:c>
      <x:c r="AX286" t="n">
        <x:v>1</x:v>
      </x:c>
      <x:c r="AY286" t="str">
        <x:v>Official</x:v>
      </x:c>
      <x:c r="AZ286" t="str">
        <x:v>Official where available; curated Traditional Chinese/Japanese otherwise</x:v>
      </x:c>
      <x:c r="BA286" t="str">
        <x:v>Verified from official chart; digital HEX is approximate</x:v>
      </x:c>
      <x:c r="BB286" t="str">
        <x:v>Physical media appearance varies by paper, pressure, layering, water and scan/display profile.</x:v>
      </x:c>
    </x:row>
    <x:row r="287">
      <x:c r="A287" t="str">
        <x:f>G287&amp;"|"&amp;L287</x:f>
        <x:v>SUP|491</x:v>
      </x:c>
      <x:c r="B287" t="str">
        <x:v>048ad317-fff8-5a08-9b1a-ca9660b91beb</x:v>
      </x:c>
      <x:c r="C287" t="str">
        <x:v>CDA-SUP-491</x:v>
      </x:c>
      <x:c r="D287" t="str">
        <x:v>2677a322-c649-5014-8cdd-4123960858a3</x:v>
      </x:c>
      <x:c r="E287" t="str">
        <x:v>CDA-CODE-491</x:v>
      </x:c>
      <x:c r="F287" t="str">
        <x:v>Caran d’Ache</x:v>
      </x:c>
      <x:c r="G287" t="str">
        <x:v>SUP</x:v>
      </x:c>
      <x:c r="H287" t="str">
        <x:v>SUPRACOLOR Soft Aquarelle</x:v>
      </x:c>
      <x:c r="I287" t="str">
        <x:v>Water-soluble coloured pencil</x:v>
      </x:c>
      <x:c r="J287" t="str">
        <x:v>Artist</x:v>
      </x:c>
      <x:c r="K287" s="30" t="n">
        <x:v>66</x:v>
      </x:c>
      <x:c r="L287" s="30" t="str">
        <x:v>491</x:v>
      </x:c>
      <x:c r="M287" t="str">
        <x:v>Cream</x:v>
      </x:c>
      <x:c r="N287" t="str">
        <x:v>奶油色</x:v>
      </x:c>
      <x:c r="O287" t="str">
        <x:v>クリーム</x:v>
      </x:c>
      <x:c r="P287" t="str"/>
      <x:c r="Q287" t="str">
        <x:v>Crème</x:v>
      </x:c>
      <x:c r="R287" t="str">
        <x:v>Creme</x:v>
      </x:c>
      <x:c r="S287" t="str">
        <x:v>Crema</x:v>
      </x:c>
      <x:c r="T287" t="str">
        <x:v>Crema</x:v>
      </x:c>
      <x:c r="U287" t="str"/>
      <x:c r="V287" t="str"/>
      <x:c r="W287" t="str"/>
      <x:c r="X287" t="n">
        <x:f>IF(W287="",0,LEN(W287)-LEN(SUBSTITUTE(W287,"/",""))+1)</x:f>
        <x:v>0</x:v>
      </x:c>
      <x:c r="Y287" t="str">
        <x:v>H</x:v>
      </x:c>
      <x:c r="Z287" s="32" t="n">
        <x:v>1.67</x:v>
      </x:c>
      <x:c r="AA287" s="32" t="n">
        <x:v>3</x:v>
      </x:c>
      <x:c r="AB287" s="32" t="str">
        <x:v>Blue Wool Scale / UV 150h</x:v>
      </x:c>
      <x:c r="AC287" t="str">
        <x:v>#FFF1D5</x:v>
      </x:c>
      <x:c r="AD287" s="34" t="n">
        <x:v>255</x:v>
      </x:c>
      <x:c r="AE287" s="34" t="n">
        <x:v>241</x:v>
      </x:c>
      <x:c r="AF287" s="34" t="n">
        <x:v>213</x:v>
      </x:c>
      <x:c r="AG287" s="32" t="n">
        <x:v>40</x:v>
      </x:c>
      <x:c r="AH287" s="32" t="n">
        <x:v>100</x:v>
      </x:c>
      <x:c r="AI287" s="32" t="n">
        <x:v>91.76</x:v>
      </x:c>
      <x:c r="AJ287" s="32" t="n">
        <x:v>95.57</x:v>
      </x:c>
      <x:c r="AK287" s="32" t="n">
        <x:v>0.26</x:v>
      </x:c>
      <x:c r="AL287" s="32" t="n">
        <x:v>15.22</x:v>
      </x:c>
      <x:c r="AM287" s="32" t="str">
        <x:v>#000000</x:v>
      </x:c>
      <x:c r="AN287" s="32" t="str">
        <x:v>Black</x:v>
      </x:c>
      <x:c r="AO287" s="32" t="n">
        <x:v>18.79</x:v>
      </x:c>
      <x:c r="AP287" s="32" t="n">
        <x:v>18.79</x:v>
      </x:c>
      <x:c r="AQ287" s="32" t="n">
        <x:v>1.12</x:v>
      </x:c>
      <x:c r="AR287" s="32" t="n">
        <x:v>0.889747</x:v>
      </x:c>
      <x:c r="AS287" t="str">
        <x:v>PASS</x:v>
      </x:c>
      <x:c r="AT287" t="str">
        <x:v>--cda-sup-491</x:v>
      </x:c>
      <x:c r="AU287" t="str">
        <x:v>var(--cda-sup-491)</x:v>
      </x:c>
      <x:c r="AV287" t="str">
        <x:v>Median RGB from official PDF swatch (screen reference only)</x:v>
      </x:c>
      <x:c r="AW287" t="str">
        <x:v>https://www.carandache.com/content_files/uploaded_doc/product/11426/Colour_Chart_Supracolor-BD3.pdf</x:v>
      </x:c>
      <x:c r="AX287" t="n">
        <x:v>1</x:v>
      </x:c>
      <x:c r="AY287" t="str">
        <x:v>Official</x:v>
      </x:c>
      <x:c r="AZ287" t="str">
        <x:v>Official where available; curated Traditional Chinese/Japanese otherwise</x:v>
      </x:c>
      <x:c r="BA287" t="str">
        <x:v>Verified from official chart; digital HEX is approximate</x:v>
      </x:c>
      <x:c r="BB287" t="str">
        <x:v>Physical media appearance varies by paper, pressure, layering, water and scan/display profile.</x:v>
      </x:c>
    </x:row>
    <x:row r="288">
      <x:c r="A288" t="str">
        <x:f>G288&amp;"|"&amp;L288</x:f>
        <x:v>SUP|371</x:v>
      </x:c>
      <x:c r="B288" t="str">
        <x:v>772624f0-9817-52c9-93fe-e3b9f9466176</x:v>
      </x:c>
      <x:c r="C288" t="str">
        <x:v>CDA-SUP-371</x:v>
      </x:c>
      <x:c r="D288" t="str">
        <x:v>bed30998-0793-53b4-9881-02cd79e5aff0</x:v>
      </x:c>
      <x:c r="E288" t="str">
        <x:v>CDA-CODE-371</x:v>
      </x:c>
      <x:c r="F288" t="str">
        <x:v>Caran d’Ache</x:v>
      </x:c>
      <x:c r="G288" t="str">
        <x:v>SUP</x:v>
      </x:c>
      <x:c r="H288" t="str">
        <x:v>SUPRACOLOR Soft Aquarelle</x:v>
      </x:c>
      <x:c r="I288" t="str">
        <x:v>Water-soluble coloured pencil</x:v>
      </x:c>
      <x:c r="J288" t="str">
        <x:v>Artist</x:v>
      </x:c>
      <x:c r="K288" s="30" t="n">
        <x:v>67</x:v>
      </x:c>
      <x:c r="L288" s="30" t="str">
        <x:v>371</x:v>
      </x:c>
      <x:c r="M288" t="str">
        <x:v>Bluish pale</x:v>
      </x:c>
      <x:c r="N288" t="str">
        <x:v>淡藍色</x:v>
      </x:c>
      <x:c r="O288" t="str">
        <x:v>ペールブルー</x:v>
      </x:c>
      <x:c r="P288" t="str"/>
      <x:c r="Q288" t="str">
        <x:v>Bleu pâle</x:v>
      </x:c>
      <x:c r="R288" t="str">
        <x:v>Blassblau</x:v>
      </x:c>
      <x:c r="S288" t="str">
        <x:v>Blu palido</x:v>
      </x:c>
      <x:c r="T288" t="str">
        <x:v>Azul pálido</x:v>
      </x:c>
      <x:c r="U288" t="str"/>
      <x:c r="V288" t="str"/>
      <x:c r="W288" t="str"/>
      <x:c r="X288" t="n">
        <x:f>IF(W288="",0,LEN(W288)-LEN(SUBSTITUTE(W288,"/",""))+1)</x:f>
        <x:v>0</x:v>
      </x:c>
      <x:c r="Y288" t="str">
        <x:v>H</x:v>
      </x:c>
      <x:c r="Z288" s="32" t="n">
        <x:v>1.67</x:v>
      </x:c>
      <x:c r="AA288" s="32" t="n">
        <x:v>3</x:v>
      </x:c>
      <x:c r="AB288" s="32" t="str">
        <x:v>Blue Wool Scale / UV 150h</x:v>
      </x:c>
      <x:c r="AC288" t="str">
        <x:v>#C8E6EC</x:v>
      </x:c>
      <x:c r="AD288" s="34" t="n">
        <x:v>200</x:v>
      </x:c>
      <x:c r="AE288" s="34" t="n">
        <x:v>230</x:v>
      </x:c>
      <x:c r="AF288" s="34" t="n">
        <x:v>236</x:v>
      </x:c>
      <x:c r="AG288" s="32" t="n">
        <x:v>190</x:v>
      </x:c>
      <x:c r="AH288" s="32" t="n">
        <x:v>48.65</x:v>
      </x:c>
      <x:c r="AI288" s="32" t="n">
        <x:v>85.49</x:v>
      </x:c>
      <x:c r="AJ288" s="32" t="n">
        <x:v>89.36</x:v>
      </x:c>
      <x:c r="AK288" s="32" t="n">
        <x:v>-8.59</x:v>
      </x:c>
      <x:c r="AL288" s="32" t="n">
        <x:v>-6.22</x:v>
      </x:c>
      <x:c r="AM288" s="32" t="str">
        <x:v>#000000</x:v>
      </x:c>
      <x:c r="AN288" s="32" t="str">
        <x:v>Black</x:v>
      </x:c>
      <x:c r="AO288" s="32" t="n">
        <x:v>15.99</x:v>
      </x:c>
      <x:c r="AP288" s="32" t="n">
        <x:v>15.99</x:v>
      </x:c>
      <x:c r="AQ288" s="32" t="n">
        <x:v>1.31</x:v>
      </x:c>
      <x:c r="AR288" s="32" t="n">
        <x:v>0.749291</x:v>
      </x:c>
      <x:c r="AS288" t="str">
        <x:v>PASS</x:v>
      </x:c>
      <x:c r="AT288" t="str">
        <x:v>--cda-sup-371</x:v>
      </x:c>
      <x:c r="AU288" t="str">
        <x:v>var(--cda-sup-371)</x:v>
      </x:c>
      <x:c r="AV288" t="str">
        <x:v>Median RGB from official PDF swatch (screen reference only)</x:v>
      </x:c>
      <x:c r="AW288" t="str">
        <x:v>https://www.carandache.com/content_files/uploaded_doc/product/11426/Colour_Chart_Supracolor-BD3.pdf</x:v>
      </x:c>
      <x:c r="AX288" t="n">
        <x:v>1</x:v>
      </x:c>
      <x:c r="AY288" t="str">
        <x:v>Official</x:v>
      </x:c>
      <x:c r="AZ288" t="str">
        <x:v>Official where available; curated Traditional Chinese/Japanese otherwise</x:v>
      </x:c>
      <x:c r="BA288" t="str">
        <x:v>Verified from official chart; digital HEX is approximate</x:v>
      </x:c>
      <x:c r="BB288" t="str">
        <x:v>Physical media appearance varies by paper, pressure, layering, water and scan/display profile.</x:v>
      </x:c>
    </x:row>
    <x:row r="289">
      <x:c r="A289" t="str">
        <x:f>G289&amp;"|"&amp;L289</x:f>
        <x:v>SUP|002</x:v>
      </x:c>
      <x:c r="B289" t="str">
        <x:v>201aca9b-e5c0-51d0-95fc-94fc90b1b824</x:v>
      </x:c>
      <x:c r="C289" t="str">
        <x:v>CDA-SUP-002</x:v>
      </x:c>
      <x:c r="D289" t="str">
        <x:v>5bb6a1fa-d374-5bae-b129-520775dd165f</x:v>
      </x:c>
      <x:c r="E289" t="str">
        <x:v>CDA-CODE-002</x:v>
      </x:c>
      <x:c r="F289" t="str">
        <x:v>Caran d’Ache</x:v>
      </x:c>
      <x:c r="G289" t="str">
        <x:v>SUP</x:v>
      </x:c>
      <x:c r="H289" t="str">
        <x:v>SUPRACOLOR Soft Aquarelle</x:v>
      </x:c>
      <x:c r="I289" t="str">
        <x:v>Water-soluble coloured pencil</x:v>
      </x:c>
      <x:c r="J289" t="str">
        <x:v>Artist</x:v>
      </x:c>
      <x:c r="K289" s="30" t="n">
        <x:v>68</x:v>
      </x:c>
      <x:c r="L289" s="30" t="str">
        <x:v>002</x:v>
      </x:c>
      <x:c r="M289" t="str">
        <x:v>Silver grey</x:v>
      </x:c>
      <x:c r="N289" t="str">
        <x:v>銀灰色</x:v>
      </x:c>
      <x:c r="O289" t="str">
        <x:v>シルバーグレー</x:v>
      </x:c>
      <x:c r="P289" t="str"/>
      <x:c r="Q289" t="str">
        <x:v>Gris argenté</x:v>
      </x:c>
      <x:c r="R289" t="str">
        <x:v>Silbergrau</x:v>
      </x:c>
      <x:c r="S289" t="str">
        <x:v>Grigio argento</x:v>
      </x:c>
      <x:c r="T289" t="str">
        <x:v>Gris plateado</x:v>
      </x:c>
      <x:c r="U289" t="str"/>
      <x:c r="V289" t="str"/>
      <x:c r="W289" t="str"/>
      <x:c r="X289" t="n">
        <x:f>IF(W289="",0,LEN(W289)-LEN(SUBSTITUTE(W289,"/",""))+1)</x:f>
        <x:v>0</x:v>
      </x:c>
      <x:c r="Y289" t="str">
        <x:v>H</x:v>
      </x:c>
      <x:c r="Z289" s="32" t="n">
        <x:v>1.67</x:v>
      </x:c>
      <x:c r="AA289" s="32" t="n">
        <x:v>3</x:v>
      </x:c>
      <x:c r="AB289" s="32" t="str">
        <x:v>Blue Wool Scale / UV 150h</x:v>
      </x:c>
      <x:c r="AC289" t="str">
        <x:v>#F5F0EC</x:v>
      </x:c>
      <x:c r="AD289" s="34" t="n">
        <x:v>245</x:v>
      </x:c>
      <x:c r="AE289" s="34" t="n">
        <x:v>240</x:v>
      </x:c>
      <x:c r="AF289" s="34" t="n">
        <x:v>236</x:v>
      </x:c>
      <x:c r="AG289" s="32" t="n">
        <x:v>26.67</x:v>
      </x:c>
      <x:c r="AH289" s="32" t="n">
        <x:v>31.03</x:v>
      </x:c>
      <x:c r="AI289" s="32" t="n">
        <x:v>94.31</x:v>
      </x:c>
      <x:c r="AJ289" s="32" t="n">
        <x:v>95.07</x:v>
      </x:c>
      <x:c r="AK289" s="32" t="n">
        <x:v>0.98</x:v>
      </x:c>
      <x:c r="AL289" s="32" t="n">
        <x:v>2.52</x:v>
      </x:c>
      <x:c r="AM289" s="32" t="str">
        <x:v>#000000</x:v>
      </x:c>
      <x:c r="AN289" s="32" t="str">
        <x:v>Black</x:v>
      </x:c>
      <x:c r="AO289" s="32" t="n">
        <x:v>18.56</x:v>
      </x:c>
      <x:c r="AP289" s="32" t="n">
        <x:v>18.56</x:v>
      </x:c>
      <x:c r="AQ289" s="32" t="n">
        <x:v>1.13</x:v>
      </x:c>
      <x:c r="AR289" s="32" t="n">
        <x:v>0.877888</x:v>
      </x:c>
      <x:c r="AS289" t="str">
        <x:v>PASS</x:v>
      </x:c>
      <x:c r="AT289" t="str">
        <x:v>--cda-sup-002</x:v>
      </x:c>
      <x:c r="AU289" t="str">
        <x:v>var(--cda-sup-002)</x:v>
      </x:c>
      <x:c r="AV289" t="str">
        <x:v>Median RGB from official PDF swatch (screen reference only)</x:v>
      </x:c>
      <x:c r="AW289" t="str">
        <x:v>https://www.carandache.com/content_files/uploaded_doc/product/11426/Colour_Chart_Supracolor-BD3.pdf</x:v>
      </x:c>
      <x:c r="AX289" t="n">
        <x:v>1</x:v>
      </x:c>
      <x:c r="AY289" t="str">
        <x:v>Official</x:v>
      </x:c>
      <x:c r="AZ289" t="str">
        <x:v>Official where available; curated Traditional Chinese/Japanese otherwise</x:v>
      </x:c>
      <x:c r="BA289" t="str">
        <x:v>Verified from official chart; digital HEX is approximate</x:v>
      </x:c>
      <x:c r="BB289" t="str">
        <x:v>Physical media appearance varies by paper, pressure, layering, water and scan/display profile.</x:v>
      </x:c>
    </x:row>
    <x:row r="290">
      <x:c r="A290" t="str">
        <x:f>G290&amp;"|"&amp;L290</x:f>
        <x:v>SUP|003</x:v>
      </x:c>
      <x:c r="B290" t="str">
        <x:v>e6c21903-3785-5f39-b419-52f861eb65ac</x:v>
      </x:c>
      <x:c r="C290" t="str">
        <x:v>CDA-SUP-003</x:v>
      </x:c>
      <x:c r="D290" t="str">
        <x:v>0babc0cb-de09-5293-abe4-84adda5ee171</x:v>
      </x:c>
      <x:c r="E290" t="str">
        <x:v>CDA-CODE-003</x:v>
      </x:c>
      <x:c r="F290" t="str">
        <x:v>Caran d’Ache</x:v>
      </x:c>
      <x:c r="G290" t="str">
        <x:v>SUP</x:v>
      </x:c>
      <x:c r="H290" t="str">
        <x:v>SUPRACOLOR Soft Aquarelle</x:v>
      </x:c>
      <x:c r="I290" t="str">
        <x:v>Water-soluble coloured pencil</x:v>
      </x:c>
      <x:c r="J290" t="str">
        <x:v>Artist</x:v>
      </x:c>
      <x:c r="K290" s="30" t="n">
        <x:v>69</x:v>
      </x:c>
      <x:c r="L290" s="30" t="str">
        <x:v>003</x:v>
      </x:c>
      <x:c r="M290" t="str">
        <x:v>Light grey</x:v>
      </x:c>
      <x:c r="N290" t="str">
        <x:v>淺灰色</x:v>
      </x:c>
      <x:c r="O290" t="str">
        <x:v>ライトグレー</x:v>
      </x:c>
      <x:c r="P290" t="str"/>
      <x:c r="Q290" t="str">
        <x:v>Gris clair</x:v>
      </x:c>
      <x:c r="R290" t="str">
        <x:v>Hellgrau</x:v>
      </x:c>
      <x:c r="S290" t="str">
        <x:v>Grigio chiaro</x:v>
      </x:c>
      <x:c r="T290" t="str">
        <x:v>Gris claro</x:v>
      </x:c>
      <x:c r="U290" t="str"/>
      <x:c r="V290" t="str"/>
      <x:c r="W290" t="str"/>
      <x:c r="X290" t="n">
        <x:f>IF(W290="",0,LEN(W290)-LEN(SUBSTITUTE(W290,"/",""))+1)</x:f>
        <x:v>0</x:v>
      </x:c>
      <x:c r="Y290" t="str">
        <x:v>H</x:v>
      </x:c>
      <x:c r="Z290" s="32" t="n">
        <x:v>1.67</x:v>
      </x:c>
      <x:c r="AA290" s="32" t="n">
        <x:v>3</x:v>
      </x:c>
      <x:c r="AB290" s="32" t="str">
        <x:v>Blue Wool Scale / UV 150h</x:v>
      </x:c>
      <x:c r="AC290" t="str">
        <x:v>#E5E3DD</x:v>
      </x:c>
      <x:c r="AD290" s="34" t="n">
        <x:v>229</x:v>
      </x:c>
      <x:c r="AE290" s="34" t="n">
        <x:v>227</x:v>
      </x:c>
      <x:c r="AF290" s="34" t="n">
        <x:v>221</x:v>
      </x:c>
      <x:c r="AG290" s="32" t="n">
        <x:v>45</x:v>
      </x:c>
      <x:c r="AH290" s="32" t="n">
        <x:v>13.33</x:v>
      </x:c>
      <x:c r="AI290" s="32" t="n">
        <x:v>88.24</x:v>
      </x:c>
      <x:c r="AJ290" s="32" t="n">
        <x:v>90.24</x:v>
      </x:c>
      <x:c r="AK290" s="32" t="n">
        <x:v>-0.38</x:v>
      </x:c>
      <x:c r="AL290" s="32" t="n">
        <x:v>3.16</x:v>
      </x:c>
      <x:c r="AM290" s="32" t="str">
        <x:v>#000000</x:v>
      </x:c>
      <x:c r="AN290" s="32" t="str">
        <x:v>Black</x:v>
      </x:c>
      <x:c r="AO290" s="32" t="n">
        <x:v>16.36</x:v>
      </x:c>
      <x:c r="AP290" s="32" t="n">
        <x:v>16.36</x:v>
      </x:c>
      <x:c r="AQ290" s="32" t="n">
        <x:v>1.28</x:v>
      </x:c>
      <x:c r="AR290" s="32" t="n">
        <x:v>0.768166</x:v>
      </x:c>
      <x:c r="AS290" t="str">
        <x:v>PASS</x:v>
      </x:c>
      <x:c r="AT290" t="str">
        <x:v>--cda-sup-003</x:v>
      </x:c>
      <x:c r="AU290" t="str">
        <x:v>var(--cda-sup-003)</x:v>
      </x:c>
      <x:c r="AV290" t="str">
        <x:v>Median RGB from official PDF swatch (screen reference only)</x:v>
      </x:c>
      <x:c r="AW290" t="str">
        <x:v>https://www.carandache.com/content_files/uploaded_doc/product/11426/Colour_Chart_Supracolor-BD3.pdf</x:v>
      </x:c>
      <x:c r="AX290" t="n">
        <x:v>1</x:v>
      </x:c>
      <x:c r="AY290" t="str">
        <x:v>Official</x:v>
      </x:c>
      <x:c r="AZ290" t="str">
        <x:v>Official where available; curated Traditional Chinese/Japanese otherwise</x:v>
      </x:c>
      <x:c r="BA290" t="str">
        <x:v>Verified from official chart; digital HEX is approximate</x:v>
      </x:c>
      <x:c r="BB290" t="str">
        <x:v>Physical media appearance varies by paper, pressure, layering, water and scan/display profile.</x:v>
      </x:c>
    </x:row>
    <x:row r="291">
      <x:c r="A291" t="str">
        <x:f>G291&amp;"|"&amp;L291</x:f>
        <x:v>SUP|004</x:v>
      </x:c>
      <x:c r="B291" t="str">
        <x:v>10b1b104-cffd-5d89-aec7-ec22c432b8c5</x:v>
      </x:c>
      <x:c r="C291" t="str">
        <x:v>CDA-SUP-004</x:v>
      </x:c>
      <x:c r="D291" t="str">
        <x:v>de4df521-dec4-520d-ab19-51053b9c58ea</x:v>
      </x:c>
      <x:c r="E291" t="str">
        <x:v>CDA-CODE-004</x:v>
      </x:c>
      <x:c r="F291" t="str">
        <x:v>Caran d’Ache</x:v>
      </x:c>
      <x:c r="G291" t="str">
        <x:v>SUP</x:v>
      </x:c>
      <x:c r="H291" t="str">
        <x:v>SUPRACOLOR Soft Aquarelle</x:v>
      </x:c>
      <x:c r="I291" t="str">
        <x:v>Water-soluble coloured pencil</x:v>
      </x:c>
      <x:c r="J291" t="str">
        <x:v>Artist</x:v>
      </x:c>
      <x:c r="K291" s="30" t="n">
        <x:v>70</x:v>
      </x:c>
      <x:c r="L291" s="30" t="str">
        <x:v>004</x:v>
      </x:c>
      <x:c r="M291" t="str">
        <x:v>Steel grey</x:v>
      </x:c>
      <x:c r="N291" t="str">
        <x:v>鋼灰色</x:v>
      </x:c>
      <x:c r="O291" t="str">
        <x:v>スチールグレー</x:v>
      </x:c>
      <x:c r="P291" t="str"/>
      <x:c r="Q291" t="str">
        <x:v>Gris acier</x:v>
      </x:c>
      <x:c r="R291" t="str">
        <x:v>Stahlgrau</x:v>
      </x:c>
      <x:c r="S291" t="str">
        <x:v>Grigio acciaio</x:v>
      </x:c>
      <x:c r="T291" t="str">
        <x:v>Gris acero</x:v>
      </x:c>
      <x:c r="U291" t="str"/>
      <x:c r="V291" t="str"/>
      <x:c r="W291" t="str"/>
      <x:c r="X291" t="n">
        <x:f>IF(W291="",0,LEN(W291)-LEN(SUBSTITUTE(W291,"/",""))+1)</x:f>
        <x:v>0</x:v>
      </x:c>
      <x:c r="Y291" t="str">
        <x:v>H</x:v>
      </x:c>
      <x:c r="Z291" s="32" t="n">
        <x:v>1.67</x:v>
      </x:c>
      <x:c r="AA291" s="32" t="n">
        <x:v>3</x:v>
      </x:c>
      <x:c r="AB291" s="32" t="str">
        <x:v>Blue Wool Scale / UV 150h</x:v>
      </x:c>
      <x:c r="AC291" t="str">
        <x:v>#E1DCD9</x:v>
      </x:c>
      <x:c r="AD291" s="34" t="n">
        <x:v>225</x:v>
      </x:c>
      <x:c r="AE291" s="34" t="n">
        <x:v>220</x:v>
      </x:c>
      <x:c r="AF291" s="34" t="n">
        <x:v>217</x:v>
      </x:c>
      <x:c r="AG291" s="32" t="n">
        <x:v>22.5</x:v>
      </x:c>
      <x:c r="AH291" s="32" t="n">
        <x:v>11.76</x:v>
      </x:c>
      <x:c r="AI291" s="32" t="n">
        <x:v>86.67</x:v>
      </x:c>
      <x:c r="AJ291" s="32" t="n">
        <x:v>88.07</x:v>
      </x:c>
      <x:c r="AK291" s="32" t="n">
        <x:v>1.17</x:v>
      </x:c>
      <x:c r="AL291" s="32" t="n">
        <x:v>2.07</x:v>
      </x:c>
      <x:c r="AM291" s="32" t="str">
        <x:v>#000000</x:v>
      </x:c>
      <x:c r="AN291" s="32" t="str">
        <x:v>Black</x:v>
      </x:c>
      <x:c r="AO291" s="32" t="n">
        <x:v>15.44</x:v>
      </x:c>
      <x:c r="AP291" s="32" t="n">
        <x:v>15.44</x:v>
      </x:c>
      <x:c r="AQ291" s="32" t="n">
        <x:v>1.36</x:v>
      </x:c>
      <x:c r="AR291" s="32" t="n">
        <x:v>0.722037</x:v>
      </x:c>
      <x:c r="AS291" t="str">
        <x:v>PASS</x:v>
      </x:c>
      <x:c r="AT291" t="str">
        <x:v>--cda-sup-004</x:v>
      </x:c>
      <x:c r="AU291" t="str">
        <x:v>var(--cda-sup-004)</x:v>
      </x:c>
      <x:c r="AV291" t="str">
        <x:v>Median RGB from official PDF swatch (screen reference only)</x:v>
      </x:c>
      <x:c r="AW291" t="str">
        <x:v>https://www.carandache.com/content_files/uploaded_doc/product/11426/Colour_Chart_Supracolor-BD3.pdf</x:v>
      </x:c>
      <x:c r="AX291" t="n">
        <x:v>1</x:v>
      </x:c>
      <x:c r="AY291" t="str">
        <x:v>Official</x:v>
      </x:c>
      <x:c r="AZ291" t="str">
        <x:v>Official where available; curated Traditional Chinese/Japanese otherwise</x:v>
      </x:c>
      <x:c r="BA291" t="str">
        <x:v>Verified from official chart; digital HEX is approximate</x:v>
      </x:c>
      <x:c r="BB291" t="str">
        <x:v>Physical media appearance varies by paper, pressure, layering, water and scan/display profile.</x:v>
      </x:c>
    </x:row>
    <x:row r="292">
      <x:c r="A292" t="str">
        <x:f>G292&amp;"|"&amp;L292</x:f>
        <x:v>SUP|006</x:v>
      </x:c>
      <x:c r="B292" t="str">
        <x:v>03d47e8e-0799-50ba-b538-ba6a6407f40b</x:v>
      </x:c>
      <x:c r="C292" t="str">
        <x:v>CDA-SUP-006</x:v>
      </x:c>
      <x:c r="D292" t="str">
        <x:v>e1914c16-2ec2-5172-90dc-7bb50574eff7</x:v>
      </x:c>
      <x:c r="E292" t="str">
        <x:v>CDA-CODE-006</x:v>
      </x:c>
      <x:c r="F292" t="str">
        <x:v>Caran d’Ache</x:v>
      </x:c>
      <x:c r="G292" t="str">
        <x:v>SUP</x:v>
      </x:c>
      <x:c r="H292" t="str">
        <x:v>SUPRACOLOR Soft Aquarelle</x:v>
      </x:c>
      <x:c r="I292" t="str">
        <x:v>Water-soluble coloured pencil</x:v>
      </x:c>
      <x:c r="J292" t="str">
        <x:v>Artist</x:v>
      </x:c>
      <x:c r="K292" s="30" t="n">
        <x:v>71</x:v>
      </x:c>
      <x:c r="L292" s="30" t="str">
        <x:v>006</x:v>
      </x:c>
      <x:c r="M292" t="str">
        <x:v>Mouse grey</x:v>
      </x:c>
      <x:c r="N292" t="str">
        <x:v>鼠灰色</x:v>
      </x:c>
      <x:c r="O292" t="str">
        <x:v>マウスグレー</x:v>
      </x:c>
      <x:c r="P292" t="str"/>
      <x:c r="Q292" t="str">
        <x:v>Gris souris</x:v>
      </x:c>
      <x:c r="R292" t="str">
        <x:v>Mausgrau</x:v>
      </x:c>
      <x:c r="S292" t="str">
        <x:v>Grigio topo</x:v>
      </x:c>
      <x:c r="T292" t="str">
        <x:v>Gris rata</x:v>
      </x:c>
      <x:c r="U292" t="str"/>
      <x:c r="V292" t="str"/>
      <x:c r="W292" t="str"/>
      <x:c r="X292" t="n">
        <x:f>IF(W292="",0,LEN(W292)-LEN(SUBSTITUTE(W292,"/",""))+1)</x:f>
        <x:v>0</x:v>
      </x:c>
      <x:c r="Y292" t="str">
        <x:v>H</x:v>
      </x:c>
      <x:c r="Z292" s="32" t="n">
        <x:v>1.67</x:v>
      </x:c>
      <x:c r="AA292" s="32" t="n">
        <x:v>3</x:v>
      </x:c>
      <x:c r="AB292" s="32" t="str">
        <x:v>Blue Wool Scale / UV 150h</x:v>
      </x:c>
      <x:c r="AC292" t="str">
        <x:v>#C0C6C2</x:v>
      </x:c>
      <x:c r="AD292" s="34" t="n">
        <x:v>192</x:v>
      </x:c>
      <x:c r="AE292" s="34" t="n">
        <x:v>198</x:v>
      </x:c>
      <x:c r="AF292" s="34" t="n">
        <x:v>194</x:v>
      </x:c>
      <x:c r="AG292" s="32" t="n">
        <x:v>140</x:v>
      </x:c>
      <x:c r="AH292" s="32" t="n">
        <x:v>5</x:v>
      </x:c>
      <x:c r="AI292" s="32" t="n">
        <x:v>76.47</x:v>
      </x:c>
      <x:c r="AJ292" s="32" t="n">
        <x:v>79.32</x:v>
      </x:c>
      <x:c r="AK292" s="32" t="n">
        <x:v>-2.81</x:v>
      </x:c>
      <x:c r="AL292" s="32" t="n">
        <x:v>1.28</x:v>
      </x:c>
      <x:c r="AM292" s="32" t="str">
        <x:v>#000000</x:v>
      </x:c>
      <x:c r="AN292" s="32" t="str">
        <x:v>Black</x:v>
      </x:c>
      <x:c r="AO292" s="32" t="n">
        <x:v>12.1</x:v>
      </x:c>
      <x:c r="AP292" s="32" t="n">
        <x:v>12.1</x:v>
      </x:c>
      <x:c r="AQ292" s="32" t="n">
        <x:v>1.74</x:v>
      </x:c>
      <x:c r="AR292" s="32" t="n">
        <x:v>0.554897</x:v>
      </x:c>
      <x:c r="AS292" t="str">
        <x:v>PASS</x:v>
      </x:c>
      <x:c r="AT292" t="str">
        <x:v>--cda-sup-006</x:v>
      </x:c>
      <x:c r="AU292" t="str">
        <x:v>var(--cda-sup-006)</x:v>
      </x:c>
      <x:c r="AV292" t="str">
        <x:v>Median RGB from official PDF swatch (screen reference only)</x:v>
      </x:c>
      <x:c r="AW292" t="str">
        <x:v>https://www.carandache.com/content_files/uploaded_doc/product/11426/Colour_Chart_Supracolor-BD3.pdf</x:v>
      </x:c>
      <x:c r="AX292" t="n">
        <x:v>1</x:v>
      </x:c>
      <x:c r="AY292" t="str">
        <x:v>Official</x:v>
      </x:c>
      <x:c r="AZ292" t="str">
        <x:v>Official where available; curated Traditional Chinese/Japanese otherwise</x:v>
      </x:c>
      <x:c r="BA292" t="str">
        <x:v>Verified from official chart; digital HEX is approximate</x:v>
      </x:c>
      <x:c r="BB292" t="str">
        <x:v>Physical media appearance varies by paper, pressure, layering, water and scan/display profile.</x:v>
      </x:c>
    </x:row>
    <x:row r="293">
      <x:c r="A293" t="str">
        <x:f>G293&amp;"|"&amp;L293</x:f>
        <x:v>SUP|005</x:v>
      </x:c>
      <x:c r="B293" t="str">
        <x:v>eced25ee-7e86-55db-a66a-96c8535594f4</x:v>
      </x:c>
      <x:c r="C293" t="str">
        <x:v>CDA-SUP-005</x:v>
      </x:c>
      <x:c r="D293" t="str">
        <x:v>5e94186d-04b3-5522-b27d-8725960264c8</x:v>
      </x:c>
      <x:c r="E293" t="str">
        <x:v>CDA-CODE-005</x:v>
      </x:c>
      <x:c r="F293" t="str">
        <x:v>Caran d’Ache</x:v>
      </x:c>
      <x:c r="G293" t="str">
        <x:v>SUP</x:v>
      </x:c>
      <x:c r="H293" t="str">
        <x:v>SUPRACOLOR Soft Aquarelle</x:v>
      </x:c>
      <x:c r="I293" t="str">
        <x:v>Water-soluble coloured pencil</x:v>
      </x:c>
      <x:c r="J293" t="str">
        <x:v>Artist</x:v>
      </x:c>
      <x:c r="K293" s="30" t="n">
        <x:v>72</x:v>
      </x:c>
      <x:c r="L293" s="30" t="str">
        <x:v>005</x:v>
      </x:c>
      <x:c r="M293" t="str">
        <x:v>Grey</x:v>
      </x:c>
      <x:c r="N293" t="str">
        <x:v>灰色</x:v>
      </x:c>
      <x:c r="O293" t="str">
        <x:v>グレー</x:v>
      </x:c>
      <x:c r="P293" t="str"/>
      <x:c r="Q293" t="str">
        <x:v>Gris</x:v>
      </x:c>
      <x:c r="R293" t="str">
        <x:v>Grau</x:v>
      </x:c>
      <x:c r="S293" t="str">
        <x:v>Grigio</x:v>
      </x:c>
      <x:c r="T293" t="str">
        <x:v>Gris</x:v>
      </x:c>
      <x:c r="U293" t="str"/>
      <x:c r="V293" t="str"/>
      <x:c r="W293" t="str"/>
      <x:c r="X293" t="n">
        <x:f>IF(W293="",0,LEN(W293)-LEN(SUBSTITUTE(W293,"/",""))+1)</x:f>
        <x:v>0</x:v>
      </x:c>
      <x:c r="Y293" t="str">
        <x:v>H</x:v>
      </x:c>
      <x:c r="Z293" s="32" t="n">
        <x:v>1.67</x:v>
      </x:c>
      <x:c r="AA293" s="32" t="n">
        <x:v>3</x:v>
      </x:c>
      <x:c r="AB293" s="32" t="str">
        <x:v>Blue Wool Scale / UV 150h</x:v>
      </x:c>
      <x:c r="AC293" t="str">
        <x:v>#CBCFCC</x:v>
      </x:c>
      <x:c r="AD293" s="34" t="n">
        <x:v>203</x:v>
      </x:c>
      <x:c r="AE293" s="34" t="n">
        <x:v>207</x:v>
      </x:c>
      <x:c r="AF293" s="34" t="n">
        <x:v>204</x:v>
      </x:c>
      <x:c r="AG293" s="32" t="n">
        <x:v>135</x:v>
      </x:c>
      <x:c r="AH293" s="32" t="n">
        <x:v>4</x:v>
      </x:c>
      <x:c r="AI293" s="32" t="n">
        <x:v>80.39</x:v>
      </x:c>
      <x:c r="AJ293" s="32" t="n">
        <x:v>82.74</x:v>
      </x:c>
      <x:c r="AK293" s="32" t="n">
        <x:v>-1.92</x:v>
      </x:c>
      <x:c r="AL293" s="32" t="n">
        <x:v>1.01</x:v>
      </x:c>
      <x:c r="AM293" s="32" t="str">
        <x:v>#000000</x:v>
      </x:c>
      <x:c r="AN293" s="32" t="str">
        <x:v>Black</x:v>
      </x:c>
      <x:c r="AO293" s="32" t="n">
        <x:v>13.34</x:v>
      </x:c>
      <x:c r="AP293" s="32" t="n">
        <x:v>13.34</x:v>
      </x:c>
      <x:c r="AQ293" s="32" t="n">
        <x:v>1.57</x:v>
      </x:c>
      <x:c r="AR293" s="32" t="n">
        <x:v>0.616818</x:v>
      </x:c>
      <x:c r="AS293" t="str">
        <x:v>PASS</x:v>
      </x:c>
      <x:c r="AT293" t="str">
        <x:v>--cda-sup-005</x:v>
      </x:c>
      <x:c r="AU293" t="str">
        <x:v>var(--cda-sup-005)</x:v>
      </x:c>
      <x:c r="AV293" t="str">
        <x:v>Median RGB from official PDF swatch (screen reference only)</x:v>
      </x:c>
      <x:c r="AW293" t="str">
        <x:v>https://www.carandache.com/content_files/uploaded_doc/product/11426/Colour_Chart_Supracolor-BD3.pdf</x:v>
      </x:c>
      <x:c r="AX293" t="n">
        <x:v>1</x:v>
      </x:c>
      <x:c r="AY293" t="str">
        <x:v>Official</x:v>
      </x:c>
      <x:c r="AZ293" t="str">
        <x:v>Official where available; curated Traditional Chinese/Japanese otherwise</x:v>
      </x:c>
      <x:c r="BA293" t="str">
        <x:v>Verified from official chart; digital HEX is approximate</x:v>
      </x:c>
      <x:c r="BB293" t="str">
        <x:v>Physical media appearance varies by paper, pressure, layering, water and scan/display profile.</x:v>
      </x:c>
    </x:row>
    <x:row r="294">
      <x:c r="A294" t="str">
        <x:f>G294&amp;"|"&amp;L294</x:f>
        <x:v>SUP|007</x:v>
      </x:c>
      <x:c r="B294" t="str">
        <x:v>ac32e5cf-2abe-58d6-9c9e-def4e1aefb6c</x:v>
      </x:c>
      <x:c r="C294" t="str">
        <x:v>CDA-SUP-007</x:v>
      </x:c>
      <x:c r="D294" t="str">
        <x:v>1dcc31e4-efb4-58e7-87c9-bfd669318b14</x:v>
      </x:c>
      <x:c r="E294" t="str">
        <x:v>CDA-CODE-007</x:v>
      </x:c>
      <x:c r="F294" t="str">
        <x:v>Caran d’Ache</x:v>
      </x:c>
      <x:c r="G294" t="str">
        <x:v>SUP</x:v>
      </x:c>
      <x:c r="H294" t="str">
        <x:v>SUPRACOLOR Soft Aquarelle</x:v>
      </x:c>
      <x:c r="I294" t="str">
        <x:v>Water-soluble coloured pencil</x:v>
      </x:c>
      <x:c r="J294" t="str">
        <x:v>Artist</x:v>
      </x:c>
      <x:c r="K294" s="30" t="n">
        <x:v>73</x:v>
      </x:c>
      <x:c r="L294" s="30" t="str">
        <x:v>007</x:v>
      </x:c>
      <x:c r="M294" t="str">
        <x:v>Dark grey</x:v>
      </x:c>
      <x:c r="N294" t="str">
        <x:v>深灰色</x:v>
      </x:c>
      <x:c r="O294" t="str">
        <x:v>ダークグレー</x:v>
      </x:c>
      <x:c r="P294" t="str"/>
      <x:c r="Q294" t="str">
        <x:v>Gris foncé</x:v>
      </x:c>
      <x:c r="R294" t="str">
        <x:v>Dunkelgrau</x:v>
      </x:c>
      <x:c r="S294" t="str">
        <x:v>Grigio scuro</x:v>
      </x:c>
      <x:c r="T294" t="str">
        <x:v>Gris oscuro</x:v>
      </x:c>
      <x:c r="U294" t="str"/>
      <x:c r="V294" t="str"/>
      <x:c r="W294" t="str"/>
      <x:c r="X294" t="n">
        <x:f>IF(W294="",0,LEN(W294)-LEN(SUBSTITUTE(W294,"/",""))+1)</x:f>
        <x:v>0</x:v>
      </x:c>
      <x:c r="Y294" t="str">
        <x:v>H</x:v>
      </x:c>
      <x:c r="Z294" s="32" t="n">
        <x:v>1.67</x:v>
      </x:c>
      <x:c r="AA294" s="32" t="n">
        <x:v>3</x:v>
      </x:c>
      <x:c r="AB294" s="32" t="str">
        <x:v>Blue Wool Scale / UV 150h</x:v>
      </x:c>
      <x:c r="AC294" t="str">
        <x:v>#C7C8C1</x:v>
      </x:c>
      <x:c r="AD294" s="34" t="n">
        <x:v>199</x:v>
      </x:c>
      <x:c r="AE294" s="34" t="n">
        <x:v>200</x:v>
      </x:c>
      <x:c r="AF294" s="34" t="n">
        <x:v>193</x:v>
      </x:c>
      <x:c r="AG294" s="32" t="n">
        <x:v>68.57</x:v>
      </x:c>
      <x:c r="AH294" s="32" t="n">
        <x:v>5.98</x:v>
      </x:c>
      <x:c r="AI294" s="32" t="n">
        <x:v>77.06</x:v>
      </x:c>
      <x:c r="AJ294" s="32" t="n">
        <x:v>80.35</x:v>
      </x:c>
      <x:c r="AK294" s="32" t="n">
        <x:v>-1.61</x:v>
      </x:c>
      <x:c r="AL294" s="32" t="n">
        <x:v>3.37</x:v>
      </x:c>
      <x:c r="AM294" s="32" t="str">
        <x:v>#000000</x:v>
      </x:c>
      <x:c r="AN294" s="32" t="str">
        <x:v>Black</x:v>
      </x:c>
      <x:c r="AO294" s="32" t="n">
        <x:v>12.46</x:v>
      </x:c>
      <x:c r="AP294" s="32" t="n">
        <x:v>12.46</x:v>
      </x:c>
      <x:c r="AQ294" s="32" t="n">
        <x:v>1.69</x:v>
      </x:c>
      <x:c r="AR294" s="32" t="n">
        <x:v>0.573009</x:v>
      </x:c>
      <x:c r="AS294" t="str">
        <x:v>PASS</x:v>
      </x:c>
      <x:c r="AT294" t="str">
        <x:v>--cda-sup-007</x:v>
      </x:c>
      <x:c r="AU294" t="str">
        <x:v>var(--cda-sup-007)</x:v>
      </x:c>
      <x:c r="AV294" t="str">
        <x:v>Median RGB from official PDF swatch (screen reference only)</x:v>
      </x:c>
      <x:c r="AW294" t="str">
        <x:v>https://www.carandache.com/content_files/uploaded_doc/product/11426/Colour_Chart_Supracolor-BD3.pdf</x:v>
      </x:c>
      <x:c r="AX294" t="n">
        <x:v>1</x:v>
      </x:c>
      <x:c r="AY294" t="str">
        <x:v>Official</x:v>
      </x:c>
      <x:c r="AZ294" t="str">
        <x:v>Official where available; curated Traditional Chinese/Japanese otherwise</x:v>
      </x:c>
      <x:c r="BA294" t="str">
        <x:v>Verified from official chart; digital HEX is approximate</x:v>
      </x:c>
      <x:c r="BB294" t="str">
        <x:v>Physical media appearance varies by paper, pressure, layering, water and scan/display profile.</x:v>
      </x:c>
    </x:row>
    <x:row r="295">
      <x:c r="A295" t="str">
        <x:f>G295&amp;"|"&amp;L295</x:f>
        <x:v>SUP|008</x:v>
      </x:c>
      <x:c r="B295" t="str">
        <x:v>d3cda232-1bc0-5fbf-aa55-94c6347bab5f</x:v>
      </x:c>
      <x:c r="C295" t="str">
        <x:v>CDA-SUP-008</x:v>
      </x:c>
      <x:c r="D295" t="str">
        <x:v>062a6ddd-d99c-52e4-9ee7-c99c9dc90fe3</x:v>
      </x:c>
      <x:c r="E295" t="str">
        <x:v>CDA-CODE-008</x:v>
      </x:c>
      <x:c r="F295" t="str">
        <x:v>Caran d’Ache</x:v>
      </x:c>
      <x:c r="G295" t="str">
        <x:v>SUP</x:v>
      </x:c>
      <x:c r="H295" t="str">
        <x:v>SUPRACOLOR Soft Aquarelle</x:v>
      </x:c>
      <x:c r="I295" t="str">
        <x:v>Water-soluble coloured pencil</x:v>
      </x:c>
      <x:c r="J295" t="str">
        <x:v>Artist</x:v>
      </x:c>
      <x:c r="K295" s="30" t="n">
        <x:v>74</x:v>
      </x:c>
      <x:c r="L295" s="30" t="str">
        <x:v>008</x:v>
      </x:c>
      <x:c r="M295" t="str">
        <x:v>Greyish black</x:v>
      </x:c>
      <x:c r="N295" t="str">
        <x:v>灰黑色</x:v>
      </x:c>
      <x:c r="O295" t="str">
        <x:v>グレイッシュブラック</x:v>
      </x:c>
      <x:c r="P295" t="str"/>
      <x:c r="Q295" t="str">
        <x:v>Gris noir</x:v>
      </x:c>
      <x:c r="R295" t="str">
        <x:v>Grauschwarz</x:v>
      </x:c>
      <x:c r="S295" t="str">
        <x:v>Grigio nero</x:v>
      </x:c>
      <x:c r="T295" t="str">
        <x:v>Gris negro</x:v>
      </x:c>
      <x:c r="U295" t="str"/>
      <x:c r="V295" t="str"/>
      <x:c r="W295" t="str"/>
      <x:c r="X295" t="n">
        <x:f>IF(W295="",0,LEN(W295)-LEN(SUBSTITUTE(W295,"/",""))+1)</x:f>
        <x:v>0</x:v>
      </x:c>
      <x:c r="Y295" t="str">
        <x:v>H</x:v>
      </x:c>
      <x:c r="Z295" s="32" t="n">
        <x:v>1.67</x:v>
      </x:c>
      <x:c r="AA295" s="32" t="n">
        <x:v>3</x:v>
      </x:c>
      <x:c r="AB295" s="32" t="str">
        <x:v>Blue Wool Scale / UV 150h</x:v>
      </x:c>
      <x:c r="AC295" t="str">
        <x:v>#9CA2A2</x:v>
      </x:c>
      <x:c r="AD295" s="34" t="n">
        <x:v>156</x:v>
      </x:c>
      <x:c r="AE295" s="34" t="n">
        <x:v>162</x:v>
      </x:c>
      <x:c r="AF295" s="34" t="n">
        <x:v>162</x:v>
      </x:c>
      <x:c r="AG295" s="32" t="n">
        <x:v>180</x:v>
      </x:c>
      <x:c r="AH295" s="32" t="n">
        <x:v>3.12</x:v>
      </x:c>
      <x:c r="AI295" s="32" t="n">
        <x:v>62.35</x:v>
      </x:c>
      <x:c r="AJ295" s="32" t="n">
        <x:v>66.15</x:v>
      </x:c>
      <x:c r="AK295" s="32" t="n">
        <x:v>-2.13</x:v>
      </x:c>
      <x:c r="AL295" s="32" t="n">
        <x:v>-0.74</x:v>
      </x:c>
      <x:c r="AM295" s="32" t="str">
        <x:v>#000000</x:v>
      </x:c>
      <x:c r="AN295" s="32" t="str">
        <x:v>Black</x:v>
      </x:c>
      <x:c r="AO295" s="32" t="n">
        <x:v>8.1</x:v>
      </x:c>
      <x:c r="AP295" s="32" t="n">
        <x:v>8.1</x:v>
      </x:c>
      <x:c r="AQ295" s="32" t="n">
        <x:v>2.59</x:v>
      </x:c>
      <x:c r="AR295" s="32" t="n">
        <x:v>0.355172</x:v>
      </x:c>
      <x:c r="AS295" t="str">
        <x:v>PASS</x:v>
      </x:c>
      <x:c r="AT295" t="str">
        <x:v>--cda-sup-008</x:v>
      </x:c>
      <x:c r="AU295" t="str">
        <x:v>var(--cda-sup-008)</x:v>
      </x:c>
      <x:c r="AV295" t="str">
        <x:v>Median RGB from official PDF swatch (screen reference only)</x:v>
      </x:c>
      <x:c r="AW295" t="str">
        <x:v>https://www.carandache.com/content_files/uploaded_doc/product/11426/Colour_Chart_Supracolor-BD3.pdf</x:v>
      </x:c>
      <x:c r="AX295" t="n">
        <x:v>1</x:v>
      </x:c>
      <x:c r="AY295" t="str">
        <x:v>Official</x:v>
      </x:c>
      <x:c r="AZ295" t="str">
        <x:v>Official where available; curated Traditional Chinese/Japanese otherwise</x:v>
      </x:c>
      <x:c r="BA295" t="str">
        <x:v>Verified from official chart; digital HEX is approximate</x:v>
      </x:c>
      <x:c r="BB295" t="str">
        <x:v>Physical media appearance varies by paper, pressure, layering, water and scan/display profile.</x:v>
      </x:c>
    </x:row>
    <x:row r="296">
      <x:c r="A296" t="str">
        <x:f>G296&amp;"|"&amp;L296</x:f>
        <x:v>SUP|495</x:v>
      </x:c>
      <x:c r="B296" t="str">
        <x:v>e9c2c18e-ff67-562e-84c7-b04b014bf038</x:v>
      </x:c>
      <x:c r="C296" t="str">
        <x:v>CDA-SUP-495</x:v>
      </x:c>
      <x:c r="D296" t="str">
        <x:v>2389d9d0-ecac-5dc3-922c-5004968271df</x:v>
      </x:c>
      <x:c r="E296" t="str">
        <x:v>CDA-CODE-495</x:v>
      </x:c>
      <x:c r="F296" t="str">
        <x:v>Caran d’Ache</x:v>
      </x:c>
      <x:c r="G296" t="str">
        <x:v>SUP</x:v>
      </x:c>
      <x:c r="H296" t="str">
        <x:v>SUPRACOLOR Soft Aquarelle</x:v>
      </x:c>
      <x:c r="I296" t="str">
        <x:v>Water-soluble coloured pencil</x:v>
      </x:c>
      <x:c r="J296" t="str">
        <x:v>Artist</x:v>
      </x:c>
      <x:c r="K296" s="30" t="n">
        <x:v>75</x:v>
      </x:c>
      <x:c r="L296" s="30" t="str">
        <x:v>495</x:v>
      </x:c>
      <x:c r="M296" t="str">
        <x:v>Slate grey</x:v>
      </x:c>
      <x:c r="N296" t="str">
        <x:v>板岩灰</x:v>
      </x:c>
      <x:c r="O296" t="str">
        <x:v>スレートグレー</x:v>
      </x:c>
      <x:c r="P296" t="str"/>
      <x:c r="Q296" t="str">
        <x:v>Gris ardoise</x:v>
      </x:c>
      <x:c r="R296" t="str">
        <x:v>Schiefergrau</x:v>
      </x:c>
      <x:c r="S296" t="str">
        <x:v>Grigio ardesia</x:v>
      </x:c>
      <x:c r="T296" t="str">
        <x:v>Gris pizarra</x:v>
      </x:c>
      <x:c r="U296" t="str"/>
      <x:c r="V296" t="str"/>
      <x:c r="W296" t="str"/>
      <x:c r="X296" t="n">
        <x:f>IF(W296="",0,LEN(W296)-LEN(SUBSTITUTE(W296,"/",""))+1)</x:f>
        <x:v>0</x:v>
      </x:c>
      <x:c r="Y296" t="str">
        <x:v>H</x:v>
      </x:c>
      <x:c r="Z296" s="32" t="n">
        <x:v>1.67</x:v>
      </x:c>
      <x:c r="AA296" s="32" t="n">
        <x:v>3</x:v>
      </x:c>
      <x:c r="AB296" s="32" t="str">
        <x:v>Blue Wool Scale / UV 150h</x:v>
      </x:c>
      <x:c r="AC296" t="str">
        <x:v>#9A9591</x:v>
      </x:c>
      <x:c r="AD296" s="34" t="n">
        <x:v>154</x:v>
      </x:c>
      <x:c r="AE296" s="34" t="n">
        <x:v>149</x:v>
      </x:c>
      <x:c r="AF296" s="34" t="n">
        <x:v>145</x:v>
      </x:c>
      <x:c r="AG296" s="32" t="n">
        <x:v>26.67</x:v>
      </x:c>
      <x:c r="AH296" s="32" t="n">
        <x:v>4.27</x:v>
      </x:c>
      <x:c r="AI296" s="32" t="n">
        <x:v>58.63</x:v>
      </x:c>
      <x:c r="AJ296" s="32" t="n">
        <x:v>62.01</x:v>
      </x:c>
      <x:c r="AK296" s="32" t="n">
        <x:v>1.09</x:v>
      </x:c>
      <x:c r="AL296" s="32" t="n">
        <x:v>2.76</x:v>
      </x:c>
      <x:c r="AM296" s="32" t="str">
        <x:v>#000000</x:v>
      </x:c>
      <x:c r="AN296" s="32" t="str">
        <x:v>Black</x:v>
      </x:c>
      <x:c r="AO296" s="32" t="n">
        <x:v>7.08</x:v>
      </x:c>
      <x:c r="AP296" s="32" t="n">
        <x:v>7.08</x:v>
      </x:c>
      <x:c r="AQ296" s="32" t="n">
        <x:v>2.97</x:v>
      </x:c>
      <x:c r="AR296" s="32" t="n">
        <x:v>0.304093</x:v>
      </x:c>
      <x:c r="AS296" t="str">
        <x:v>PASS</x:v>
      </x:c>
      <x:c r="AT296" t="str">
        <x:v>--cda-sup-495</x:v>
      </x:c>
      <x:c r="AU296" t="str">
        <x:v>var(--cda-sup-495)</x:v>
      </x:c>
      <x:c r="AV296" t="str">
        <x:v>Median RGB from official PDF swatch (screen reference only)</x:v>
      </x:c>
      <x:c r="AW296" t="str">
        <x:v>https://www.carandache.com/content_files/uploaded_doc/product/11426/Colour_Chart_Supracolor-BD3.pdf</x:v>
      </x:c>
      <x:c r="AX296" t="n">
        <x:v>1</x:v>
      </x:c>
      <x:c r="AY296" t="str">
        <x:v>Official</x:v>
      </x:c>
      <x:c r="AZ296" t="str">
        <x:v>Official where available; curated Traditional Chinese/Japanese otherwise</x:v>
      </x:c>
      <x:c r="BA296" t="str">
        <x:v>Verified from official chart; digital HEX is approximate</x:v>
      </x:c>
      <x:c r="BB296" t="str">
        <x:v>Physical media appearance varies by paper, pressure, layering, water and scan/display profile.</x:v>
      </x:c>
    </x:row>
    <x:row r="297">
      <x:c r="A297" t="str">
        <x:f>G297&amp;"|"&amp;L297</x:f>
        <x:v>SUP|496</x:v>
      </x:c>
      <x:c r="B297" t="str">
        <x:v>0e2b5c30-d22a-567b-be62-6b1883223492</x:v>
      </x:c>
      <x:c r="C297" t="str">
        <x:v>CDA-SUP-496</x:v>
      </x:c>
      <x:c r="D297" t="str">
        <x:v>91d57ab5-52d4-5164-8f15-564f1470e385</x:v>
      </x:c>
      <x:c r="E297" t="str">
        <x:v>CDA-CODE-496</x:v>
      </x:c>
      <x:c r="F297" t="str">
        <x:v>Caran d’Ache</x:v>
      </x:c>
      <x:c r="G297" t="str">
        <x:v>SUP</x:v>
      </x:c>
      <x:c r="H297" t="str">
        <x:v>SUPRACOLOR Soft Aquarelle</x:v>
      </x:c>
      <x:c r="I297" t="str">
        <x:v>Water-soluble coloured pencil</x:v>
      </x:c>
      <x:c r="J297" t="str">
        <x:v>Artist</x:v>
      </x:c>
      <x:c r="K297" s="30" t="n">
        <x:v>76</x:v>
      </x:c>
      <x:c r="L297" s="30" t="str">
        <x:v>496</x:v>
      </x:c>
      <x:c r="M297" t="str">
        <x:v>Ivory black</x:v>
      </x:c>
      <x:c r="N297" t="str">
        <x:v>象牙黑</x:v>
      </x:c>
      <x:c r="O297" t="str">
        <x:v>アイボリーブラック</x:v>
      </x:c>
      <x:c r="P297" t="str"/>
      <x:c r="Q297" t="str">
        <x:v>Noir d’ivoire</x:v>
      </x:c>
      <x:c r="R297" t="str">
        <x:v>Elfenbeinschwarz</x:v>
      </x:c>
      <x:c r="S297" t="str">
        <x:v>Nero d’avorio</x:v>
      </x:c>
      <x:c r="T297" t="str">
        <x:v>Negro marfil</x:v>
      </x:c>
      <x:c r="U297" t="str"/>
      <x:c r="V297" t="str"/>
      <x:c r="W297" t="str"/>
      <x:c r="X297" t="n">
        <x:f>IF(W297="",0,LEN(W297)-LEN(SUBSTITUTE(W297,"/",""))+1)</x:f>
        <x:v>0</x:v>
      </x:c>
      <x:c r="Y297" t="str">
        <x:v>H</x:v>
      </x:c>
      <x:c r="Z297" s="32" t="n">
        <x:v>1.67</x:v>
      </x:c>
      <x:c r="AA297" s="32" t="n">
        <x:v>3</x:v>
      </x:c>
      <x:c r="AB297" s="32" t="str">
        <x:v>Blue Wool Scale / UV 150h</x:v>
      </x:c>
      <x:c r="AC297" t="str">
        <x:v>#A19B92</x:v>
      </x:c>
      <x:c r="AD297" s="34" t="n">
        <x:v>161</x:v>
      </x:c>
      <x:c r="AE297" s="34" t="n">
        <x:v>155</x:v>
      </x:c>
      <x:c r="AF297" s="34" t="n">
        <x:v>146</x:v>
      </x:c>
      <x:c r="AG297" s="32" t="n">
        <x:v>36</x:v>
      </x:c>
      <x:c r="AH297" s="32" t="n">
        <x:v>7.39</x:v>
      </x:c>
      <x:c r="AI297" s="32" t="n">
        <x:v>60.2</x:v>
      </x:c>
      <x:c r="AJ297" s="32" t="n">
        <x:v>64.24</x:v>
      </x:c>
      <x:c r="AK297" s="32" t="n">
        <x:v>0.55</x:v>
      </x:c>
      <x:c r="AL297" s="32" t="n">
        <x:v>5.49</x:v>
      </x:c>
      <x:c r="AM297" s="32" t="str">
        <x:v>#000000</x:v>
      </x:c>
      <x:c r="AN297" s="32" t="str">
        <x:v>Black</x:v>
      </x:c>
      <x:c r="AO297" s="32" t="n">
        <x:v>7.62</x:v>
      </x:c>
      <x:c r="AP297" s="32" t="n">
        <x:v>7.62</x:v>
      </x:c>
      <x:c r="AQ297" s="32" t="n">
        <x:v>2.76</x:v>
      </x:c>
      <x:c r="AR297" s="32" t="n">
        <x:v>0.330951</x:v>
      </x:c>
      <x:c r="AS297" t="str">
        <x:v>PASS</x:v>
      </x:c>
      <x:c r="AT297" t="str">
        <x:v>--cda-sup-496</x:v>
      </x:c>
      <x:c r="AU297" t="str">
        <x:v>var(--cda-sup-496)</x:v>
      </x:c>
      <x:c r="AV297" t="str">
        <x:v>Median RGB from official PDF swatch (screen reference only)</x:v>
      </x:c>
      <x:c r="AW297" t="str">
        <x:v>https://www.carandache.com/content_files/uploaded_doc/product/11426/Colour_Chart_Supracolor-BD3.pdf</x:v>
      </x:c>
      <x:c r="AX297" t="n">
        <x:v>1</x:v>
      </x:c>
      <x:c r="AY297" t="str">
        <x:v>Official</x:v>
      </x:c>
      <x:c r="AZ297" t="str">
        <x:v>Official where available; curated Traditional Chinese/Japanese otherwise</x:v>
      </x:c>
      <x:c r="BA297" t="str">
        <x:v>Verified from official chart; digital HEX is approximate</x:v>
      </x:c>
      <x:c r="BB297" t="str">
        <x:v>Physical media appearance varies by paper, pressure, layering, water and scan/display profile.</x:v>
      </x:c>
    </x:row>
    <x:row r="298">
      <x:c r="A298" t="str">
        <x:f>G298&amp;"|"&amp;L298</x:f>
        <x:v>SUP|409</x:v>
      </x:c>
      <x:c r="B298" t="str">
        <x:v>72dc4818-5cbb-5cc9-923d-a733506b845d</x:v>
      </x:c>
      <x:c r="C298" t="str">
        <x:v>CDA-SUP-409</x:v>
      </x:c>
      <x:c r="D298" t="str">
        <x:v>41364623-e3c2-523d-9478-e65b4eedf55e</x:v>
      </x:c>
      <x:c r="E298" t="str">
        <x:v>CDA-CODE-409</x:v>
      </x:c>
      <x:c r="F298" t="str">
        <x:v>Caran d’Ache</x:v>
      </x:c>
      <x:c r="G298" t="str">
        <x:v>SUP</x:v>
      </x:c>
      <x:c r="H298" t="str">
        <x:v>SUPRACOLOR Soft Aquarelle</x:v>
      </x:c>
      <x:c r="I298" t="str">
        <x:v>Water-soluble coloured pencil</x:v>
      </x:c>
      <x:c r="J298" t="str">
        <x:v>Artist</x:v>
      </x:c>
      <x:c r="K298" s="30" t="n">
        <x:v>77</x:v>
      </x:c>
      <x:c r="L298" s="30" t="str">
        <x:v>409</x:v>
      </x:c>
      <x:c r="M298" t="str">
        <x:v>Charcoal grey</x:v>
      </x:c>
      <x:c r="N298" t="str">
        <x:v>炭灰色</x:v>
      </x:c>
      <x:c r="O298" t="str">
        <x:v>チャコールグレー</x:v>
      </x:c>
      <x:c r="P298" t="str"/>
      <x:c r="Q298" t="str">
        <x:v>Anthracite</x:v>
      </x:c>
      <x:c r="R298" t="str">
        <x:v>Anthrazit</x:v>
      </x:c>
      <x:c r="S298" t="str">
        <x:v>Antracite</x:v>
      </x:c>
      <x:c r="T298" t="str">
        <x:v>Antracita</x:v>
      </x:c>
      <x:c r="U298" t="str"/>
      <x:c r="V298" t="str"/>
      <x:c r="W298" t="str"/>
      <x:c r="X298" t="n">
        <x:f>IF(W298="",0,LEN(W298)-LEN(SUBSTITUTE(W298,"/",""))+1)</x:f>
        <x:v>0</x:v>
      </x:c>
      <x:c r="Y298" t="str">
        <x:v>H</x:v>
      </x:c>
      <x:c r="Z298" s="32" t="n">
        <x:v>1.67</x:v>
      </x:c>
      <x:c r="AA298" s="32" t="n">
        <x:v>3</x:v>
      </x:c>
      <x:c r="AB298" s="32" t="str">
        <x:v>Blue Wool Scale / UV 150h</x:v>
      </x:c>
      <x:c r="AC298" t="str">
        <x:v>#685E55</x:v>
      </x:c>
      <x:c r="AD298" s="34" t="n">
        <x:v>104</x:v>
      </x:c>
      <x:c r="AE298" s="34" t="n">
        <x:v>94</x:v>
      </x:c>
      <x:c r="AF298" s="34" t="n">
        <x:v>85</x:v>
      </x:c>
      <x:c r="AG298" s="32" t="n">
        <x:v>28.42</x:v>
      </x:c>
      <x:c r="AH298" s="32" t="n">
        <x:v>10.05</x:v>
      </x:c>
      <x:c r="AI298" s="32" t="n">
        <x:v>37.06</x:v>
      </x:c>
      <x:c r="AJ298" s="32" t="n">
        <x:v>40.58</x:v>
      </x:c>
      <x:c r="AK298" s="32" t="n">
        <x:v>2.35</x:v>
      </x:c>
      <x:c r="AL298" s="32" t="n">
        <x:v>6.62</x:v>
      </x:c>
      <x:c r="AM298" s="32" t="str">
        <x:v>#FFFFFF</x:v>
      </x:c>
      <x:c r="AN298" s="32" t="str">
        <x:v>White</x:v>
      </x:c>
      <x:c r="AO298" s="32" t="n">
        <x:v>6.32</x:v>
      </x:c>
      <x:c r="AP298" s="32" t="n">
        <x:v>3.32</x:v>
      </x:c>
      <x:c r="AQ298" s="32" t="n">
        <x:v>6.32</x:v>
      </x:c>
      <x:c r="AR298" s="32" t="n">
        <x:v>0.116043</x:v>
      </x:c>
      <x:c r="AS298" t="str">
        <x:v>PASS</x:v>
      </x:c>
      <x:c r="AT298" t="str">
        <x:v>--cda-sup-409</x:v>
      </x:c>
      <x:c r="AU298" t="str">
        <x:v>var(--cda-sup-409)</x:v>
      </x:c>
      <x:c r="AV298" t="str">
        <x:v>Median RGB from official PDF swatch (screen reference only)</x:v>
      </x:c>
      <x:c r="AW298" t="str">
        <x:v>https://www.carandache.com/content_files/uploaded_doc/product/11426/Colour_Chart_Supracolor-BD3.pdf</x:v>
      </x:c>
      <x:c r="AX298" t="n">
        <x:v>1</x:v>
      </x:c>
      <x:c r="AY298" t="str">
        <x:v>Official</x:v>
      </x:c>
      <x:c r="AZ298" t="str">
        <x:v>Official where available; curated Traditional Chinese/Japanese otherwise</x:v>
      </x:c>
      <x:c r="BA298" t="str">
        <x:v>Verified from official chart; digital HEX is approximate</x:v>
      </x:c>
      <x:c r="BB298" t="str">
        <x:v>Physical media appearance varies by paper, pressure, layering, water and scan/display profile.</x:v>
      </x:c>
    </x:row>
    <x:row r="299">
      <x:c r="A299" t="str">
        <x:f>G299&amp;"|"&amp;L299</x:f>
        <x:v>SUP|407</x:v>
      </x:c>
      <x:c r="B299" t="str">
        <x:v>6125d0ec-ad29-5e36-888f-91f2f279f7a6</x:v>
      </x:c>
      <x:c r="C299" t="str">
        <x:v>CDA-SUP-407</x:v>
      </x:c>
      <x:c r="D299" t="str">
        <x:v>031b6d1b-99f0-5097-97b4-5f2daeaf1a50</x:v>
      </x:c>
      <x:c r="E299" t="str">
        <x:v>CDA-CODE-407</x:v>
      </x:c>
      <x:c r="F299" t="str">
        <x:v>Caran d’Ache</x:v>
      </x:c>
      <x:c r="G299" t="str">
        <x:v>SUP</x:v>
      </x:c>
      <x:c r="H299" t="str">
        <x:v>SUPRACOLOR Soft Aquarelle</x:v>
      </x:c>
      <x:c r="I299" t="str">
        <x:v>Water-soluble coloured pencil</x:v>
      </x:c>
      <x:c r="J299" t="str">
        <x:v>Artist</x:v>
      </x:c>
      <x:c r="K299" s="30" t="n">
        <x:v>78</x:v>
      </x:c>
      <x:c r="L299" s="30" t="str">
        <x:v>407</x:v>
      </x:c>
      <x:c r="M299" t="str">
        <x:v>Sepia</x:v>
      </x:c>
      <x:c r="N299" t="str">
        <x:v>深褐色</x:v>
      </x:c>
      <x:c r="O299" t="str">
        <x:v>セピア</x:v>
      </x:c>
      <x:c r="P299" t="str"/>
      <x:c r="Q299" t="str">
        <x:v>Sépia</x:v>
      </x:c>
      <x:c r="R299" t="str">
        <x:v>Sepia</x:v>
      </x:c>
      <x:c r="S299" t="str">
        <x:v>Seppia</x:v>
      </x:c>
      <x:c r="T299" t="str">
        <x:v>Sepia</x:v>
      </x:c>
      <x:c r="U299" t="str"/>
      <x:c r="V299" t="str"/>
      <x:c r="W299" t="str"/>
      <x:c r="X299" t="n">
        <x:f>IF(W299="",0,LEN(W299)-LEN(SUBSTITUTE(W299,"/",""))+1)</x:f>
        <x:v>0</x:v>
      </x:c>
      <x:c r="Y299" t="str">
        <x:v>H</x:v>
      </x:c>
      <x:c r="Z299" s="32" t="n">
        <x:v>1.67</x:v>
      </x:c>
      <x:c r="AA299" s="32" t="n">
        <x:v>3</x:v>
      </x:c>
      <x:c r="AB299" s="32" t="str">
        <x:v>Blue Wool Scale / UV 150h</x:v>
      </x:c>
      <x:c r="AC299" t="str">
        <x:v>#938E89</x:v>
      </x:c>
      <x:c r="AD299" s="34" t="n">
        <x:v>147</x:v>
      </x:c>
      <x:c r="AE299" s="34" t="n">
        <x:v>142</x:v>
      </x:c>
      <x:c r="AF299" s="34" t="n">
        <x:v>137</x:v>
      </x:c>
      <x:c r="AG299" s="32" t="n">
        <x:v>30</x:v>
      </x:c>
      <x:c r="AH299" s="32" t="n">
        <x:v>4.42</x:v>
      </x:c>
      <x:c r="AI299" s="32" t="n">
        <x:v>55.69</x:v>
      </x:c>
      <x:c r="AJ299" s="32" t="n">
        <x:v>59.3</x:v>
      </x:c>
      <x:c r="AK299" s="32" t="n">
        <x:v>0.91</x:v>
      </x:c>
      <x:c r="AL299" s="32" t="n">
        <x:v>3.32</x:v>
      </x:c>
      <x:c r="AM299" s="32" t="str">
        <x:v>#000000</x:v>
      </x:c>
      <x:c r="AN299" s="32" t="str">
        <x:v>Black</x:v>
      </x:c>
      <x:c r="AO299" s="32" t="n">
        <x:v>6.47</x:v>
      </x:c>
      <x:c r="AP299" s="32" t="n">
        <x:v>6.47</x:v>
      </x:c>
      <x:c r="AQ299" s="32" t="n">
        <x:v>3.25</x:v>
      </x:c>
      <x:c r="AR299" s="32" t="n">
        <x:v>0.273552</x:v>
      </x:c>
      <x:c r="AS299" t="str">
        <x:v>PASS</x:v>
      </x:c>
      <x:c r="AT299" t="str">
        <x:v>--cda-sup-407</x:v>
      </x:c>
      <x:c r="AU299" t="str">
        <x:v>var(--cda-sup-407)</x:v>
      </x:c>
      <x:c r="AV299" t="str">
        <x:v>Median RGB from official PDF swatch (screen reference only)</x:v>
      </x:c>
      <x:c r="AW299" t="str">
        <x:v>https://www.carandache.com/content_files/uploaded_doc/product/11426/Colour_Chart_Supracolor-BD3.pdf</x:v>
      </x:c>
      <x:c r="AX299" t="n">
        <x:v>1</x:v>
      </x:c>
      <x:c r="AY299" t="str">
        <x:v>Official</x:v>
      </x:c>
      <x:c r="AZ299" t="str">
        <x:v>Official where available; curated Traditional Chinese/Japanese otherwise</x:v>
      </x:c>
      <x:c r="BA299" t="str">
        <x:v>Verified from official chart; digital HEX is approximate</x:v>
      </x:c>
      <x:c r="BB299" t="str">
        <x:v>Physical media appearance varies by paper, pressure, layering, water and scan/display profile.</x:v>
      </x:c>
    </x:row>
    <x:row r="300">
      <x:c r="A300" t="str">
        <x:f>G300&amp;"|"&amp;L300</x:f>
        <x:v>SUP|047</x:v>
      </x:c>
      <x:c r="B300" t="str">
        <x:v>102bfdca-e0a2-5251-bc4a-53cd330c8187</x:v>
      </x:c>
      <x:c r="C300" t="str">
        <x:v>CDA-SUP-047</x:v>
      </x:c>
      <x:c r="D300" t="str">
        <x:v>6cac1bff-68a3-5a47-a94c-682a0339a8d5</x:v>
      </x:c>
      <x:c r="E300" t="str">
        <x:v>CDA-CODE-047</x:v>
      </x:c>
      <x:c r="F300" t="str">
        <x:v>Caran d’Ache</x:v>
      </x:c>
      <x:c r="G300" t="str">
        <x:v>SUP</x:v>
      </x:c>
      <x:c r="H300" t="str">
        <x:v>SUPRACOLOR Soft Aquarelle</x:v>
      </x:c>
      <x:c r="I300" t="str">
        <x:v>Water-soluble coloured pencil</x:v>
      </x:c>
      <x:c r="J300" t="str">
        <x:v>Artist</x:v>
      </x:c>
      <x:c r="K300" s="30" t="n">
        <x:v>79</x:v>
      </x:c>
      <x:c r="L300" s="30" t="str">
        <x:v>047</x:v>
      </x:c>
      <x:c r="M300" t="str">
        <x:v>Bistre</x:v>
      </x:c>
      <x:c r="N300" t="str">
        <x:v>煙褐色</x:v>
      </x:c>
      <x:c r="O300" t="str">
        <x:v>ビスター</x:v>
      </x:c>
      <x:c r="P300" t="str"/>
      <x:c r="Q300" t="str">
        <x:v>Bistre</x:v>
      </x:c>
      <x:c r="R300" t="str">
        <x:v>Bister</x:v>
      </x:c>
      <x:c r="S300" t="str">
        <x:v>Bistro</x:v>
      </x:c>
      <x:c r="T300" t="str">
        <x:v>Bistre</x:v>
      </x:c>
      <x:c r="U300" t="str"/>
      <x:c r="V300" t="str"/>
      <x:c r="W300" t="str"/>
      <x:c r="X300" t="n">
        <x:f>IF(W300="",0,LEN(W300)-LEN(SUBSTITUTE(W300,"/",""))+1)</x:f>
        <x:v>0</x:v>
      </x:c>
      <x:c r="Y300" t="str">
        <x:v>H</x:v>
      </x:c>
      <x:c r="Z300" s="32" t="n">
        <x:v>1.67</x:v>
      </x:c>
      <x:c r="AA300" s="32" t="n">
        <x:v>3</x:v>
      </x:c>
      <x:c r="AB300" s="32" t="str">
        <x:v>Blue Wool Scale / UV 150h</x:v>
      </x:c>
      <x:c r="AC300" t="str">
        <x:v>#8B6755</x:v>
      </x:c>
      <x:c r="AD300" s="34" t="n">
        <x:v>139</x:v>
      </x:c>
      <x:c r="AE300" s="34" t="n">
        <x:v>103</x:v>
      </x:c>
      <x:c r="AF300" s="34" t="n">
        <x:v>85</x:v>
      </x:c>
      <x:c r="AG300" s="32" t="n">
        <x:v>20</x:v>
      </x:c>
      <x:c r="AH300" s="32" t="n">
        <x:v>24.11</x:v>
      </x:c>
      <x:c r="AI300" s="32" t="n">
        <x:v>43.92</x:v>
      </x:c>
      <x:c r="AJ300" s="32" t="n">
        <x:v>46.77</x:v>
      </x:c>
      <x:c r="AK300" s="32" t="n">
        <x:v>11.9</x:v>
      </x:c>
      <x:c r="AL300" s="32" t="n">
        <x:v>15.8</x:v>
      </x:c>
      <x:c r="AM300" s="32" t="str">
        <x:v>#FFFFFF</x:v>
      </x:c>
      <x:c r="AN300" s="32" t="str">
        <x:v>White</x:v>
      </x:c>
      <x:c r="AO300" s="32" t="n">
        <x:v>5.04</x:v>
      </x:c>
      <x:c r="AP300" s="32" t="n">
        <x:v>4.17</x:v>
      </x:c>
      <x:c r="AQ300" s="32" t="n">
        <x:v>5.04</x:v>
      </x:c>
      <x:c r="AR300" s="32" t="n">
        <x:v>0.158453</x:v>
      </x:c>
      <x:c r="AS300" t="str">
        <x:v>PASS</x:v>
      </x:c>
      <x:c r="AT300" t="str">
        <x:v>--cda-sup-047</x:v>
      </x:c>
      <x:c r="AU300" t="str">
        <x:v>var(--cda-sup-047)</x:v>
      </x:c>
      <x:c r="AV300" t="str">
        <x:v>Median RGB from official PDF swatch (screen reference only)</x:v>
      </x:c>
      <x:c r="AW300" t="str">
        <x:v>https://www.carandache.com/content_files/uploaded_doc/product/11426/Colour_Chart_Supracolor-BD3.pdf</x:v>
      </x:c>
      <x:c r="AX300" t="n">
        <x:v>1</x:v>
      </x:c>
      <x:c r="AY300" t="str">
        <x:v>Official</x:v>
      </x:c>
      <x:c r="AZ300" t="str">
        <x:v>Official where available; curated Traditional Chinese/Japanese otherwise</x:v>
      </x:c>
      <x:c r="BA300" t="str">
        <x:v>Verified from official chart; digital HEX is approximate</x:v>
      </x:c>
      <x:c r="BB300" t="str">
        <x:v>Physical media appearance varies by paper, pressure, layering, water and scan/display profile.</x:v>
      </x:c>
    </x:row>
    <x:row r="301">
      <x:c r="A301" t="str">
        <x:f>G301&amp;"|"&amp;L301</x:f>
        <x:v>SUP|405</x:v>
      </x:c>
      <x:c r="B301" t="str">
        <x:v>f7a35cfd-2b31-52f7-9fec-9e09c55a8c76</x:v>
      </x:c>
      <x:c r="C301" t="str">
        <x:v>CDA-SUP-405</x:v>
      </x:c>
      <x:c r="D301" t="str">
        <x:v>6e05dd60-a9ff-5683-a982-bbf95922269e</x:v>
      </x:c>
      <x:c r="E301" t="str">
        <x:v>CDA-CODE-405</x:v>
      </x:c>
      <x:c r="F301" t="str">
        <x:v>Caran d’Ache</x:v>
      </x:c>
      <x:c r="G301" t="str">
        <x:v>SUP</x:v>
      </x:c>
      <x:c r="H301" t="str">
        <x:v>SUPRACOLOR Soft Aquarelle</x:v>
      </x:c>
      <x:c r="I301" t="str">
        <x:v>Water-soluble coloured pencil</x:v>
      </x:c>
      <x:c r="J301" t="str">
        <x:v>Artist</x:v>
      </x:c>
      <x:c r="K301" s="30" t="n">
        <x:v>80</x:v>
      </x:c>
      <x:c r="L301" s="30" t="str">
        <x:v>405</x:v>
      </x:c>
      <x:c r="M301" t="str">
        <x:v>Cocoa</x:v>
      </x:c>
      <x:c r="N301" t="str">
        <x:v>可可棕</x:v>
      </x:c>
      <x:c r="O301" t="str">
        <x:v>ココア</x:v>
      </x:c>
      <x:c r="P301" t="str"/>
      <x:c r="Q301" t="str">
        <x:v>Beige foncé</x:v>
      </x:c>
      <x:c r="R301" t="str">
        <x:v>Dunkelbeige</x:v>
      </x:c>
      <x:c r="S301" t="str">
        <x:v>Beige scuro</x:v>
      </x:c>
      <x:c r="T301" t="str">
        <x:v>Beige oscuro</x:v>
      </x:c>
      <x:c r="U301" t="str"/>
      <x:c r="V301" t="str"/>
      <x:c r="W301" t="str"/>
      <x:c r="X301" t="n">
        <x:f>IF(W301="",0,LEN(W301)-LEN(SUBSTITUTE(W301,"/",""))+1)</x:f>
        <x:v>0</x:v>
      </x:c>
      <x:c r="Y301" t="str">
        <x:v>H</x:v>
      </x:c>
      <x:c r="Z301" s="32" t="n">
        <x:v>1.67</x:v>
      </x:c>
      <x:c r="AA301" s="32" t="n">
        <x:v>3</x:v>
      </x:c>
      <x:c r="AB301" s="32" t="str">
        <x:v>Blue Wool Scale / UV 150h</x:v>
      </x:c>
      <x:c r="AC301" t="str">
        <x:v>#B89683</x:v>
      </x:c>
      <x:c r="AD301" s="34" t="n">
        <x:v>184</x:v>
      </x:c>
      <x:c r="AE301" s="34" t="n">
        <x:v>150</x:v>
      </x:c>
      <x:c r="AF301" s="34" t="n">
        <x:v>131</x:v>
      </x:c>
      <x:c r="AG301" s="32" t="n">
        <x:v>21.51</x:v>
      </x:c>
      <x:c r="AH301" s="32" t="n">
        <x:v>27.18</x:v>
      </x:c>
      <x:c r="AI301" s="32" t="n">
        <x:v>61.76</x:v>
      </x:c>
      <x:c r="AJ301" s="32" t="n">
        <x:v>64.68</x:v>
      </x:c>
      <x:c r="AK301" s="32" t="n">
        <x:v>9.85</x:v>
      </x:c>
      <x:c r="AL301" s="32" t="n">
        <x:v>14.81</x:v>
      </x:c>
      <x:c r="AM301" s="32" t="str">
        <x:v>#000000</x:v>
      </x:c>
      <x:c r="AN301" s="32" t="str">
        <x:v>Black</x:v>
      </x:c>
      <x:c r="AO301" s="32" t="n">
        <x:v>7.73</x:v>
      </x:c>
      <x:c r="AP301" s="32" t="n">
        <x:v>7.73</x:v>
      </x:c>
      <x:c r="AQ301" s="32" t="n">
        <x:v>2.72</x:v>
      </x:c>
      <x:c r="AR301" s="32" t="n">
        <x:v>0.336417</x:v>
      </x:c>
      <x:c r="AS301" t="str">
        <x:v>PASS</x:v>
      </x:c>
      <x:c r="AT301" t="str">
        <x:v>--cda-sup-405</x:v>
      </x:c>
      <x:c r="AU301" t="str">
        <x:v>var(--cda-sup-405)</x:v>
      </x:c>
      <x:c r="AV301" t="str">
        <x:v>Median RGB from official PDF swatch (screen reference only)</x:v>
      </x:c>
      <x:c r="AW301" t="str">
        <x:v>https://www.carandache.com/content_files/uploaded_doc/product/11426/Colour_Chart_Supracolor-BD3.pdf</x:v>
      </x:c>
      <x:c r="AX301" t="n">
        <x:v>1</x:v>
      </x:c>
      <x:c r="AY301" t="str">
        <x:v>Official</x:v>
      </x:c>
      <x:c r="AZ301" t="str">
        <x:v>Official where available; curated Traditional Chinese/Japanese otherwise</x:v>
      </x:c>
      <x:c r="BA301" t="str">
        <x:v>Verified from official chart; digital HEX is approximate</x:v>
      </x:c>
      <x:c r="BB301" t="str">
        <x:v>Physical media appearance varies by paper, pressure, layering, water and scan/display profile.</x:v>
      </x:c>
    </x:row>
    <x:row r="302">
      <x:c r="A302" t="str">
        <x:f>G302&amp;"|"&amp;L302</x:f>
        <x:v>SUP|160</x:v>
      </x:c>
      <x:c r="B302" t="str">
        <x:v>0f3a9269-1abb-5493-948b-29579b8d6d30</x:v>
      </x:c>
      <x:c r="C302" t="str">
        <x:v>CDA-SUP-160</x:v>
      </x:c>
      <x:c r="D302" t="str">
        <x:v>c7d32486-36fc-53aa-995f-bd6f486d3f37</x:v>
      </x:c>
      <x:c r="E302" t="str">
        <x:v>CDA-CODE-160</x:v>
      </x:c>
      <x:c r="F302" t="str">
        <x:v>Caran d’Ache</x:v>
      </x:c>
      <x:c r="G302" t="str">
        <x:v>SUP</x:v>
      </x:c>
      <x:c r="H302" t="str">
        <x:v>SUPRACOLOR Soft Aquarelle</x:v>
      </x:c>
      <x:c r="I302" t="str">
        <x:v>Water-soluble coloured pencil</x:v>
      </x:c>
      <x:c r="J302" t="str">
        <x:v>Artist</x:v>
      </x:c>
      <x:c r="K302" s="30" t="n">
        <x:v>81</x:v>
      </x:c>
      <x:c r="L302" s="30" t="str">
        <x:v>160</x:v>
      </x:c>
      <x:c r="M302" t="str">
        <x:v>Cobalt blue (hue)</x:v>
      </x:c>
      <x:c r="N302" t="str">
        <x:v>鈷藍（色相）</x:v>
      </x:c>
      <x:c r="O302" t="str">
        <x:v>コバルトブルー（ヒュー）</x:v>
      </x:c>
      <x:c r="P302" t="str"/>
      <x:c r="Q302" t="str">
        <x:v>Bleu de cobalt (imit.)</x:v>
      </x:c>
      <x:c r="R302" t="str">
        <x:v>Kobaltblau (sub)</x:v>
      </x:c>
      <x:c r="S302" t="str">
        <x:v>Blu cobalto</x:v>
      </x:c>
      <x:c r="T302" t="str">
        <x:v>Azul cobalto</x:v>
      </x:c>
      <x:c r="U302" t="str"/>
      <x:c r="V302" t="str"/>
      <x:c r="W302" t="str"/>
      <x:c r="X302" t="n">
        <x:f>IF(W302="",0,LEN(W302)-LEN(SUBSTITUTE(W302,"/",""))+1)</x:f>
        <x:v>0</x:v>
      </x:c>
      <x:c r="Y302" t="str">
        <x:v>H</x:v>
      </x:c>
      <x:c r="Z302" s="32" t="n">
        <x:v>1.67</x:v>
      </x:c>
      <x:c r="AA302" s="32" t="n">
        <x:v>3</x:v>
      </x:c>
      <x:c r="AB302" s="32" t="str">
        <x:v>Blue Wool Scale / UV 150h</x:v>
      </x:c>
      <x:c r="AC302" t="str">
        <x:v>#08BBCF</x:v>
      </x:c>
      <x:c r="AD302" s="34" t="n">
        <x:v>8</x:v>
      </x:c>
      <x:c r="AE302" s="34" t="n">
        <x:v>187</x:v>
      </x:c>
      <x:c r="AF302" s="34" t="n">
        <x:v>207</x:v>
      </x:c>
      <x:c r="AG302" s="32" t="n">
        <x:v>186.03</x:v>
      </x:c>
      <x:c r="AH302" s="32" t="n">
        <x:v>92.56</x:v>
      </x:c>
      <x:c r="AI302" s="32" t="n">
        <x:v>42.16</x:v>
      </x:c>
      <x:c r="AJ302" s="32" t="n">
        <x:v>69.54</x:v>
      </x:c>
      <x:c r="AK302" s="32" t="n">
        <x:v>-31.59</x:v>
      </x:c>
      <x:c r="AL302" s="32" t="n">
        <x:v>-21.12</x:v>
      </x:c>
      <x:c r="AM302" s="32" t="str">
        <x:v>#000000</x:v>
      </x:c>
      <x:c r="AN302" s="32" t="str">
        <x:v>Black</x:v>
      </x:c>
      <x:c r="AO302" s="32" t="n">
        <x:v>9.02</x:v>
      </x:c>
      <x:c r="AP302" s="32" t="n">
        <x:v>9.02</x:v>
      </x:c>
      <x:c r="AQ302" s="32" t="n">
        <x:v>2.33</x:v>
      </x:c>
      <x:c r="AR302" s="32" t="n">
        <x:v>0.400973</x:v>
      </x:c>
      <x:c r="AS302" t="str">
        <x:v>PASS</x:v>
      </x:c>
      <x:c r="AT302" t="str">
        <x:v>--cda-sup-160</x:v>
      </x:c>
      <x:c r="AU302" t="str">
        <x:v>var(--cda-sup-160)</x:v>
      </x:c>
      <x:c r="AV302" t="str">
        <x:v>Median RGB from official PDF swatch (screen reference only)</x:v>
      </x:c>
      <x:c r="AW302" t="str">
        <x:v>https://www.carandache.com/content_files/uploaded_doc/product/11426/Colour_Chart_Supracolor-BD3.pdf</x:v>
      </x:c>
      <x:c r="AX302" t="n">
        <x:v>1</x:v>
      </x:c>
      <x:c r="AY302" t="str">
        <x:v>Official</x:v>
      </x:c>
      <x:c r="AZ302" t="str">
        <x:v>Official where available; curated Traditional Chinese/Japanese otherwise</x:v>
      </x:c>
      <x:c r="BA302" t="str">
        <x:v>Verified from official chart; digital HEX is approximate</x:v>
      </x:c>
      <x:c r="BB302" t="str">
        <x:v>Physical media appearance varies by paper, pressure, layering, water and scan/display profile.</x:v>
      </x:c>
    </x:row>
    <x:row r="303">
      <x:c r="A303" t="str">
        <x:f>G303&amp;"|"&amp;L303</x:f>
        <x:v>SUP|170</x:v>
      </x:c>
      <x:c r="B303" t="str">
        <x:v>313f946f-603c-5eb9-9f3d-2c8f474e787d</x:v>
      </x:c>
      <x:c r="C303" t="str">
        <x:v>CDA-SUP-170</x:v>
      </x:c>
      <x:c r="D303" t="str">
        <x:v>60cfb7af-26b5-51df-845a-1aedc11011c5</x:v>
      </x:c>
      <x:c r="E303" t="str">
        <x:v>CDA-CODE-170</x:v>
      </x:c>
      <x:c r="F303" t="str">
        <x:v>Caran d’Ache</x:v>
      </x:c>
      <x:c r="G303" t="str">
        <x:v>SUP</x:v>
      </x:c>
      <x:c r="H303" t="str">
        <x:v>SUPRACOLOR Soft Aquarelle</x:v>
      </x:c>
      <x:c r="I303" t="str">
        <x:v>Water-soluble coloured pencil</x:v>
      </x:c>
      <x:c r="J303" t="str">
        <x:v>Artist</x:v>
      </x:c>
      <x:c r="K303" s="30" t="n">
        <x:v>82</x:v>
      </x:c>
      <x:c r="L303" s="30" t="str">
        <x:v>170</x:v>
      </x:c>
      <x:c r="M303" t="str">
        <x:v>Azurite blue</x:v>
      </x:c>
      <x:c r="N303" t="str">
        <x:v>藍銅礦藍</x:v>
      </x:c>
      <x:c r="O303" t="str">
        <x:v>アズライトブルー</x:v>
      </x:c>
      <x:c r="P303" t="str"/>
      <x:c r="Q303" t="str">
        <x:v>Bleu azur</x:v>
      </x:c>
      <x:c r="R303" t="str">
        <x:v>Azurblau</x:v>
      </x:c>
      <x:c r="S303" t="str">
        <x:v>Azzurro cyan</x:v>
      </x:c>
      <x:c r="T303" t="str">
        <x:v>Azur</x:v>
      </x:c>
      <x:c r="U303" t="str"/>
      <x:c r="V303" t="str"/>
      <x:c r="W303" t="str"/>
      <x:c r="X303" t="n">
        <x:f>IF(W303="",0,LEN(W303)-LEN(SUBSTITUTE(W303,"/",""))+1)</x:f>
        <x:v>0</x:v>
      </x:c>
      <x:c r="Y303" t="str">
        <x:v>H</x:v>
      </x:c>
      <x:c r="Z303" s="32" t="n">
        <x:v>1.67</x:v>
      </x:c>
      <x:c r="AA303" s="32" t="n">
        <x:v>3</x:v>
      </x:c>
      <x:c r="AB303" s="32" t="str">
        <x:v>Blue Wool Scale / UV 150h</x:v>
      </x:c>
      <x:c r="AC303" t="str">
        <x:v>#2CBDBA</x:v>
      </x:c>
      <x:c r="AD303" s="34" t="n">
        <x:v>44</x:v>
      </x:c>
      <x:c r="AE303" s="34" t="n">
        <x:v>189</x:v>
      </x:c>
      <x:c r="AF303" s="34" t="n">
        <x:v>186</x:v>
      </x:c>
      <x:c r="AG303" s="32" t="n">
        <x:v>178.76</x:v>
      </x:c>
      <x:c r="AH303" s="32" t="n">
        <x:v>62.23</x:v>
      </x:c>
      <x:c r="AI303" s="32" t="n">
        <x:v>45.69</x:v>
      </x:c>
      <x:c r="AJ303" s="32" t="n">
        <x:v>69.8</x:v>
      </x:c>
      <x:c r="AK303" s="32" t="n">
        <x:v>-36.78</x:v>
      </x:c>
      <x:c r="AL303" s="32" t="n">
        <x:v>-9.17</x:v>
      </x:c>
      <x:c r="AM303" s="32" t="str">
        <x:v>#000000</x:v>
      </x:c>
      <x:c r="AN303" s="32" t="str">
        <x:v>Black</x:v>
      </x:c>
      <x:c r="AO303" s="32" t="n">
        <x:v>9.1</x:v>
      </x:c>
      <x:c r="AP303" s="32" t="n">
        <x:v>9.1</x:v>
      </x:c>
      <x:c r="AQ303" s="32" t="n">
        <x:v>2.31</x:v>
      </x:c>
      <x:c r="AR303" s="32" t="n">
        <x:v>0.404758</x:v>
      </x:c>
      <x:c r="AS303" t="str">
        <x:v>PASS</x:v>
      </x:c>
      <x:c r="AT303" t="str">
        <x:v>--cda-sup-170</x:v>
      </x:c>
      <x:c r="AU303" t="str">
        <x:v>var(--cda-sup-170)</x:v>
      </x:c>
      <x:c r="AV303" t="str">
        <x:v>Median RGB from official PDF swatch (screen reference only)</x:v>
      </x:c>
      <x:c r="AW303" t="str">
        <x:v>https://www.carandache.com/content_files/uploaded_doc/product/11426/Colour_Chart_Supracolor-BD3.pdf</x:v>
      </x:c>
      <x:c r="AX303" t="n">
        <x:v>1</x:v>
      </x:c>
      <x:c r="AY303" t="str">
        <x:v>Official</x:v>
      </x:c>
      <x:c r="AZ303" t="str">
        <x:v>Official where available; curated Traditional Chinese/Japanese otherwise</x:v>
      </x:c>
      <x:c r="BA303" t="str">
        <x:v>Verified from official chart; digital HEX is approximate</x:v>
      </x:c>
      <x:c r="BB303" t="str">
        <x:v>Physical media appearance varies by paper, pressure, layering, water and scan/display profile.</x:v>
      </x:c>
    </x:row>
    <x:row r="304">
      <x:c r="A304" t="str">
        <x:f>G304&amp;"|"&amp;L304</x:f>
        <x:v>SUP|180</x:v>
      </x:c>
      <x:c r="B304" t="str">
        <x:v>9bc0f62f-4a0d-5f47-84d2-cbc5a3fcc451</x:v>
      </x:c>
      <x:c r="C304" t="str">
        <x:v>CDA-SUP-180</x:v>
      </x:c>
      <x:c r="D304" t="str">
        <x:v>4231c496-9609-55e3-b7b2-f62a8cae5f25</x:v>
      </x:c>
      <x:c r="E304" t="str">
        <x:v>CDA-CODE-180</x:v>
      </x:c>
      <x:c r="F304" t="str">
        <x:v>Caran d’Ache</x:v>
      </x:c>
      <x:c r="G304" t="str">
        <x:v>SUP</x:v>
      </x:c>
      <x:c r="H304" t="str">
        <x:v>SUPRACOLOR Soft Aquarelle</x:v>
      </x:c>
      <x:c r="I304" t="str">
        <x:v>Water-soluble coloured pencil</x:v>
      </x:c>
      <x:c r="J304" t="str">
        <x:v>Artist</x:v>
      </x:c>
      <x:c r="K304" s="30" t="n">
        <x:v>83</x:v>
      </x:c>
      <x:c r="L304" s="30" t="str">
        <x:v>180</x:v>
      </x:c>
      <x:c r="M304" t="str">
        <x:v>Malachite green</x:v>
      </x:c>
      <x:c r="N304" t="str">
        <x:v>孔雀石綠</x:v>
      </x:c>
      <x:c r="O304" t="str">
        <x:v>マラカイトグリーン</x:v>
      </x:c>
      <x:c r="P304" t="str"/>
      <x:c r="Q304" t="str">
        <x:v>Vert malachite</x:v>
      </x:c>
      <x:c r="R304" t="str">
        <x:v>Malachitgrün</x:v>
      </x:c>
      <x:c r="S304" t="str">
        <x:v>Verde malachite</x:v>
      </x:c>
      <x:c r="T304" t="str">
        <x:v>Verde malaquita</x:v>
      </x:c>
      <x:c r="U304" t="str"/>
      <x:c r="V304" t="str"/>
      <x:c r="W304" t="str"/>
      <x:c r="X304" t="n">
        <x:f>IF(W304="",0,LEN(W304)-LEN(SUBSTITUTE(W304,"/",""))+1)</x:f>
        <x:v>0</x:v>
      </x:c>
      <x:c r="Y304" t="str">
        <x:v>H</x:v>
      </x:c>
      <x:c r="Z304" s="32" t="n">
        <x:v>1.67</x:v>
      </x:c>
      <x:c r="AA304" s="32" t="n">
        <x:v>3</x:v>
      </x:c>
      <x:c r="AB304" s="32" t="str">
        <x:v>Blue Wool Scale / UV 150h</x:v>
      </x:c>
      <x:c r="AC304" t="str">
        <x:v>#05AEB3</x:v>
      </x:c>
      <x:c r="AD304" s="34" t="n">
        <x:v>5</x:v>
      </x:c>
      <x:c r="AE304" s="34" t="n">
        <x:v>174</x:v>
      </x:c>
      <x:c r="AF304" s="34" t="n">
        <x:v>179</x:v>
      </x:c>
      <x:c r="AG304" s="32" t="n">
        <x:v>181.72</x:v>
      </x:c>
      <x:c r="AH304" s="32" t="n">
        <x:v>94.57</x:v>
      </x:c>
      <x:c r="AI304" s="32" t="n">
        <x:v>36.08</x:v>
      </x:c>
      <x:c r="AJ304" s="32" t="n">
        <x:v>64.61</x:v>
      </x:c>
      <x:c r="AK304" s="32" t="n">
        <x:v>-34.38</x:v>
      </x:c>
      <x:c r="AL304" s="32" t="n">
        <x:v>-13.11</x:v>
      </x:c>
      <x:c r="AM304" s="32" t="str">
        <x:v>#000000</x:v>
      </x:c>
      <x:c r="AN304" s="32" t="str">
        <x:v>Black</x:v>
      </x:c>
      <x:c r="AO304" s="32" t="n">
        <x:v>7.71</x:v>
      </x:c>
      <x:c r="AP304" s="32" t="n">
        <x:v>7.71</x:v>
      </x:c>
      <x:c r="AQ304" s="32" t="n">
        <x:v>2.72</x:v>
      </x:c>
      <x:c r="AR304" s="32" t="n">
        <x:v>0.33559</x:v>
      </x:c>
      <x:c r="AS304" t="str">
        <x:v>PASS</x:v>
      </x:c>
      <x:c r="AT304" t="str">
        <x:v>--cda-sup-180</x:v>
      </x:c>
      <x:c r="AU304" t="str">
        <x:v>var(--cda-sup-180)</x:v>
      </x:c>
      <x:c r="AV304" t="str">
        <x:v>Median RGB from official PDF swatch (screen reference only)</x:v>
      </x:c>
      <x:c r="AW304" t="str">
        <x:v>https://www.carandache.com/content_files/uploaded_doc/product/11426/Colour_Chart_Supracolor-BD3.pdf</x:v>
      </x:c>
      <x:c r="AX304" t="n">
        <x:v>1</x:v>
      </x:c>
      <x:c r="AY304" t="str">
        <x:v>Official</x:v>
      </x:c>
      <x:c r="AZ304" t="str">
        <x:v>Official where available; curated Traditional Chinese/Japanese otherwise</x:v>
      </x:c>
      <x:c r="BA304" t="str">
        <x:v>Verified from official chart; digital HEX is approximate</x:v>
      </x:c>
      <x:c r="BB304" t="str">
        <x:v>Physical media appearance varies by paper, pressure, layering, water and scan/display profile.</x:v>
      </x:c>
    </x:row>
    <x:row r="305">
      <x:c r="A305" t="str">
        <x:f>G305&amp;"|"&amp;L305</x:f>
        <x:v>SUP|190</x:v>
      </x:c>
      <x:c r="B305" t="str">
        <x:v>b73b9720-dd1e-579e-968d-c8974598edd6</x:v>
      </x:c>
      <x:c r="C305" t="str">
        <x:v>CDA-SUP-190</x:v>
      </x:c>
      <x:c r="D305" t="str">
        <x:v>d91a39dc-f93b-5b8b-a953-a353d4f54b4e</x:v>
      </x:c>
      <x:c r="E305" t="str">
        <x:v>CDA-CODE-190</x:v>
      </x:c>
      <x:c r="F305" t="str">
        <x:v>Caran d’Ache</x:v>
      </x:c>
      <x:c r="G305" t="str">
        <x:v>SUP</x:v>
      </x:c>
      <x:c r="H305" t="str">
        <x:v>SUPRACOLOR Soft Aquarelle</x:v>
      </x:c>
      <x:c r="I305" t="str">
        <x:v>Water-soluble coloured pencil</x:v>
      </x:c>
      <x:c r="J305" t="str">
        <x:v>Artist</x:v>
      </x:c>
      <x:c r="K305" s="30" t="n">
        <x:v>84</x:v>
      </x:c>
      <x:c r="L305" s="30" t="str">
        <x:v>190</x:v>
      </x:c>
      <x:c r="M305" t="str">
        <x:v>Greenish blue</x:v>
      </x:c>
      <x:c r="N305" t="str">
        <x:v>綠藍色</x:v>
      </x:c>
      <x:c r="O305" t="str">
        <x:v>グリーニッシュブルー</x:v>
      </x:c>
      <x:c r="P305" t="str"/>
      <x:c r="Q305" t="str">
        <x:v>Bleu verdâtre</x:v>
      </x:c>
      <x:c r="R305" t="str">
        <x:v>Grünblau</x:v>
      </x:c>
      <x:c r="S305" t="str">
        <x:v>Blu verdastro</x:v>
      </x:c>
      <x:c r="T305" t="str">
        <x:v>Azul verdoso</x:v>
      </x:c>
      <x:c r="U305" t="str"/>
      <x:c r="V305" t="str"/>
      <x:c r="W305" t="str"/>
      <x:c r="X305" t="n">
        <x:f>IF(W305="",0,LEN(W305)-LEN(SUBSTITUTE(W305,"/",""))+1)</x:f>
        <x:v>0</x:v>
      </x:c>
      <x:c r="Y305" t="str">
        <x:v>H</x:v>
      </x:c>
      <x:c r="Z305" s="32" t="n">
        <x:v>1.67</x:v>
      </x:c>
      <x:c r="AA305" s="32" t="n">
        <x:v>3</x:v>
      </x:c>
      <x:c r="AB305" s="32" t="str">
        <x:v>Blue Wool Scale / UV 150h</x:v>
      </x:c>
      <x:c r="AC305" t="str">
        <x:v>#28BBAA</x:v>
      </x:c>
      <x:c r="AD305" s="34" t="n">
        <x:v>40</x:v>
      </x:c>
      <x:c r="AE305" s="34" t="n">
        <x:v>187</x:v>
      </x:c>
      <x:c r="AF305" s="34" t="n">
        <x:v>170</x:v>
      </x:c>
      <x:c r="AG305" s="32" t="n">
        <x:v>173.06</x:v>
      </x:c>
      <x:c r="AH305" s="32" t="n">
        <x:v>64.76</x:v>
      </x:c>
      <x:c r="AI305" s="32" t="n">
        <x:v>44.51</x:v>
      </x:c>
      <x:c r="AJ305" s="32" t="n">
        <x:v>68.67</x:v>
      </x:c>
      <x:c r="AK305" s="32" t="n">
        <x:v>-40.82</x:v>
      </x:c>
      <x:c r="AL305" s="32" t="n">
        <x:v>-2.06</x:v>
      </x:c>
      <x:c r="AM305" s="32" t="str">
        <x:v>#000000</x:v>
      </x:c>
      <x:c r="AN305" s="32" t="str">
        <x:v>Black</x:v>
      </x:c>
      <x:c r="AO305" s="32" t="n">
        <x:v>8.78</x:v>
      </x:c>
      <x:c r="AP305" s="32" t="n">
        <x:v>8.78</x:v>
      </x:c>
      <x:c r="AQ305" s="32" t="n">
        <x:v>2.39</x:v>
      </x:c>
      <x:c r="AR305" s="32" t="n">
        <x:v>0.38894</x:v>
      </x:c>
      <x:c r="AS305" t="str">
        <x:v>PASS</x:v>
      </x:c>
      <x:c r="AT305" t="str">
        <x:v>--cda-sup-190</x:v>
      </x:c>
      <x:c r="AU305" t="str">
        <x:v>var(--cda-sup-190)</x:v>
      </x:c>
      <x:c r="AV305" t="str">
        <x:v>Median RGB from official PDF swatch (screen reference only)</x:v>
      </x:c>
      <x:c r="AW305" t="str">
        <x:v>https://www.carandache.com/content_files/uploaded_doc/product/11426/Colour_Chart_Supracolor-BD3.pdf</x:v>
      </x:c>
      <x:c r="AX305" t="n">
        <x:v>1</x:v>
      </x:c>
      <x:c r="AY305" t="str">
        <x:v>Official</x:v>
      </x:c>
      <x:c r="AZ305" t="str">
        <x:v>Official where available; curated Traditional Chinese/Japanese otherwise</x:v>
      </x:c>
      <x:c r="BA305" t="str">
        <x:v>Verified from official chart; digital HEX is approximate</x:v>
      </x:c>
      <x:c r="BB305" t="str">
        <x:v>Physical media appearance varies by paper, pressure, layering, water and scan/display profile.</x:v>
      </x:c>
    </x:row>
    <x:row r="306">
      <x:c r="A306" t="str">
        <x:f>G306&amp;"|"&amp;L306</x:f>
        <x:v>SUP|195</x:v>
      </x:c>
      <x:c r="B306" t="str">
        <x:v>83ec395f-d586-5f66-9f6c-5c3c7cb2bd9e</x:v>
      </x:c>
      <x:c r="C306" t="str">
        <x:v>CDA-SUP-195</x:v>
      </x:c>
      <x:c r="D306" t="str">
        <x:v>9d26ba70-2933-5d48-92be-1fd1287b451c</x:v>
      </x:c>
      <x:c r="E306" t="str">
        <x:v>CDA-CODE-195</x:v>
      </x:c>
      <x:c r="F306" t="str">
        <x:v>Caran d’Ache</x:v>
      </x:c>
      <x:c r="G306" t="str">
        <x:v>SUP</x:v>
      </x:c>
      <x:c r="H306" t="str">
        <x:v>SUPRACOLOR Soft Aquarelle</x:v>
      </x:c>
      <x:c r="I306" t="str">
        <x:v>Water-soluble coloured pencil</x:v>
      </x:c>
      <x:c r="J306" t="str">
        <x:v>Artist</x:v>
      </x:c>
      <x:c r="K306" s="30" t="n">
        <x:v>85</x:v>
      </x:c>
      <x:c r="L306" s="30" t="str">
        <x:v>195</x:v>
      </x:c>
      <x:c r="M306" t="str">
        <x:v>Opaline green</x:v>
      </x:c>
      <x:c r="N306" t="str">
        <x:v>乳白綠</x:v>
      </x:c>
      <x:c r="O306" t="str">
        <x:v>オパリングリーン</x:v>
      </x:c>
      <x:c r="P306" t="str"/>
      <x:c r="Q306" t="str">
        <x:v>Vert opale</x:v>
      </x:c>
      <x:c r="R306" t="str">
        <x:v>Opalgrün</x:v>
      </x:c>
      <x:c r="S306" t="str">
        <x:v>Verde opalino</x:v>
      </x:c>
      <x:c r="T306" t="str">
        <x:v>Verde opalino</x:v>
      </x:c>
      <x:c r="U306" t="str"/>
      <x:c r="V306" t="str"/>
      <x:c r="W306" t="str"/>
      <x:c r="X306" t="n">
        <x:f>IF(W306="",0,LEN(W306)-LEN(SUBSTITUTE(W306,"/",""))+1)</x:f>
        <x:v>0</x:v>
      </x:c>
      <x:c r="Y306" t="str">
        <x:v>H</x:v>
      </x:c>
      <x:c r="Z306" s="32" t="n">
        <x:v>1.67</x:v>
      </x:c>
      <x:c r="AA306" s="32" t="n">
        <x:v>3</x:v>
      </x:c>
      <x:c r="AB306" s="32" t="str">
        <x:v>Blue Wool Scale / UV 150h</x:v>
      </x:c>
      <x:c r="AC306" t="str">
        <x:v>#6CC7BD</x:v>
      </x:c>
      <x:c r="AD306" s="34" t="n">
        <x:v>108</x:v>
      </x:c>
      <x:c r="AE306" s="34" t="n">
        <x:v>199</x:v>
      </x:c>
      <x:c r="AF306" s="34" t="n">
        <x:v>189</x:v>
      </x:c>
      <x:c r="AG306" s="32" t="n">
        <x:v>173.41</x:v>
      </x:c>
      <x:c r="AH306" s="32" t="n">
        <x:v>44.83</x:v>
      </x:c>
      <x:c r="AI306" s="32" t="n">
        <x:v>60.2</x:v>
      </x:c>
      <x:c r="AJ306" s="32" t="n">
        <x:v>74.64</x:v>
      </x:c>
      <x:c r="AK306" s="32" t="n">
        <x:v>-29.63</x:v>
      </x:c>
      <x:c r="AL306" s="32" t="n">
        <x:v>-3.45</x:v>
      </x:c>
      <x:c r="AM306" s="32" t="str">
        <x:v>#000000</x:v>
      </x:c>
      <x:c r="AN306" s="32" t="str">
        <x:v>Black</x:v>
      </x:c>
      <x:c r="AO306" s="32" t="n">
        <x:v>10.54</x:v>
      </x:c>
      <x:c r="AP306" s="32" t="n">
        <x:v>10.54</x:v>
      </x:c>
      <x:c r="AQ306" s="32" t="n">
        <x:v>1.99</x:v>
      </x:c>
      <x:c r="AR306" s="32" t="n">
        <x:v>0.477091</x:v>
      </x:c>
      <x:c r="AS306" t="str">
        <x:v>PASS</x:v>
      </x:c>
      <x:c r="AT306" t="str">
        <x:v>--cda-sup-195</x:v>
      </x:c>
      <x:c r="AU306" t="str">
        <x:v>var(--cda-sup-195)</x:v>
      </x:c>
      <x:c r="AV306" t="str">
        <x:v>Median RGB from official PDF swatch (screen reference only)</x:v>
      </x:c>
      <x:c r="AW306" t="str">
        <x:v>https://www.carandache.com/content_files/uploaded_doc/product/11426/Colour_Chart_Supracolor-BD3.pdf</x:v>
      </x:c>
      <x:c r="AX306" t="n">
        <x:v>1</x:v>
      </x:c>
      <x:c r="AY306" t="str">
        <x:v>Official</x:v>
      </x:c>
      <x:c r="AZ306" t="str">
        <x:v>Official where available; curated Traditional Chinese/Japanese otherwise</x:v>
      </x:c>
      <x:c r="BA306" t="str">
        <x:v>Verified from official chart; digital HEX is approximate</x:v>
      </x:c>
      <x:c r="BB306" t="str">
        <x:v>Physical media appearance varies by paper, pressure, layering, water and scan/display profile.</x:v>
      </x:c>
    </x:row>
    <x:row r="307">
      <x:c r="A307" t="str">
        <x:f>G307&amp;"|"&amp;L307</x:f>
        <x:v>SUP|211</x:v>
      </x:c>
      <x:c r="B307" t="str">
        <x:v>a41f6c64-efaf-5dcd-a9d3-55132aa2a0fb</x:v>
      </x:c>
      <x:c r="C307" t="str">
        <x:v>CDA-SUP-211</x:v>
      </x:c>
      <x:c r="D307" t="str">
        <x:v>456d0f17-a8f0-5d1b-88fa-d78fc8317ec0</x:v>
      </x:c>
      <x:c r="E307" t="str">
        <x:v>CDA-CODE-211</x:v>
      </x:c>
      <x:c r="F307" t="str">
        <x:v>Caran d’Ache</x:v>
      </x:c>
      <x:c r="G307" t="str">
        <x:v>SUP</x:v>
      </x:c>
      <x:c r="H307" t="str">
        <x:v>SUPRACOLOR Soft Aquarelle</x:v>
      </x:c>
      <x:c r="I307" t="str">
        <x:v>Water-soluble coloured pencil</x:v>
      </x:c>
      <x:c r="J307" t="str">
        <x:v>Artist</x:v>
      </x:c>
      <x:c r="K307" s="30" t="n">
        <x:v>86</x:v>
      </x:c>
      <x:c r="L307" s="30" t="str">
        <x:v>211</x:v>
      </x:c>
      <x:c r="M307" t="str">
        <x:v>Jade green</x:v>
      </x:c>
      <x:c r="N307" t="str">
        <x:v>玉綠色</x:v>
      </x:c>
      <x:c r="O307" t="str">
        <x:v>ジェードグリーン</x:v>
      </x:c>
      <x:c r="P307" t="str"/>
      <x:c r="Q307" t="str">
        <x:v>Jade</x:v>
      </x:c>
      <x:c r="R307" t="str">
        <x:v>Jade</x:v>
      </x:c>
      <x:c r="S307" t="str">
        <x:v>Giada</x:v>
      </x:c>
      <x:c r="T307" t="str">
        <x:v>Jade</x:v>
      </x:c>
      <x:c r="U307" t="str"/>
      <x:c r="V307" t="str"/>
      <x:c r="W307" t="str"/>
      <x:c r="X307" t="n">
        <x:f>IF(W307="",0,LEN(W307)-LEN(SUBSTITUTE(W307,"/",""))+1)</x:f>
        <x:v>0</x:v>
      </x:c>
      <x:c r="Y307" t="str">
        <x:v>H</x:v>
      </x:c>
      <x:c r="Z307" s="32" t="n">
        <x:v>1.67</x:v>
      </x:c>
      <x:c r="AA307" s="32" t="n">
        <x:v>3</x:v>
      </x:c>
      <x:c r="AB307" s="32" t="str">
        <x:v>Blue Wool Scale / UV 150h</x:v>
      </x:c>
      <x:c r="AC307" t="str">
        <x:v>#B3DCC6</x:v>
      </x:c>
      <x:c r="AD307" s="34" t="n">
        <x:v>179</x:v>
      </x:c>
      <x:c r="AE307" s="34" t="n">
        <x:v>220</x:v>
      </x:c>
      <x:c r="AF307" s="34" t="n">
        <x:v>198</x:v>
      </x:c>
      <x:c r="AG307" s="32" t="n">
        <x:v>147.8</x:v>
      </x:c>
      <x:c r="AH307" s="32" t="n">
        <x:v>36.94</x:v>
      </x:c>
      <x:c r="AI307" s="32" t="n">
        <x:v>78.24</x:v>
      </x:c>
      <x:c r="AJ307" s="32" t="n">
        <x:v>84.4</x:v>
      </x:c>
      <x:c r="AK307" s="32" t="n">
        <x:v>-17.71</x:v>
      </x:c>
      <x:c r="AL307" s="32" t="n">
        <x:v>6.39</x:v>
      </x:c>
      <x:c r="AM307" s="32" t="str">
        <x:v>#000000</x:v>
      </x:c>
      <x:c r="AN307" s="32" t="str">
        <x:v>Black</x:v>
      </x:c>
      <x:c r="AO307" s="32" t="n">
        <x:v>13.97</x:v>
      </x:c>
      <x:c r="AP307" s="32" t="n">
        <x:v>13.97</x:v>
      </x:c>
      <x:c r="AQ307" s="32" t="n">
        <x:v>1.5</x:v>
      </x:c>
      <x:c r="AR307" s="32" t="n">
        <x:v>0.648473</x:v>
      </x:c>
      <x:c r="AS307" t="str">
        <x:v>PASS</x:v>
      </x:c>
      <x:c r="AT307" t="str">
        <x:v>--cda-sup-211</x:v>
      </x:c>
      <x:c r="AU307" t="str">
        <x:v>var(--cda-sup-211)</x:v>
      </x:c>
      <x:c r="AV307" t="str">
        <x:v>Median RGB from official PDF swatch (screen reference only)</x:v>
      </x:c>
      <x:c r="AW307" t="str">
        <x:v>https://www.carandache.com/content_files/uploaded_doc/product/11426/Colour_Chart_Supracolor-BD3.pdf</x:v>
      </x:c>
      <x:c r="AX307" t="n">
        <x:v>1</x:v>
      </x:c>
      <x:c r="AY307" t="str">
        <x:v>Official</x:v>
      </x:c>
      <x:c r="AZ307" t="str">
        <x:v>Official where available; curated Traditional Chinese/Japanese otherwise</x:v>
      </x:c>
      <x:c r="BA307" t="str">
        <x:v>Verified from official chart; digital HEX is approximate</x:v>
      </x:c>
      <x:c r="BB307" t="str">
        <x:v>Physical media appearance varies by paper, pressure, layering, water and scan/display profile.</x:v>
      </x:c>
    </x:row>
    <x:row r="308">
      <x:c r="A308" t="str">
        <x:f>G308&amp;"|"&amp;L308</x:f>
        <x:v>SUP|215</x:v>
      </x:c>
      <x:c r="B308" t="str">
        <x:v>f041fba5-f9ea-54db-87ee-e2a3ebe5d682</x:v>
      </x:c>
      <x:c r="C308" t="str">
        <x:v>CDA-SUP-215</x:v>
      </x:c>
      <x:c r="D308" t="str">
        <x:v>aea5e20b-e7e8-5a1d-a41e-89b67633ffcd</x:v>
      </x:c>
      <x:c r="E308" t="str">
        <x:v>CDA-CODE-215</x:v>
      </x:c>
      <x:c r="F308" t="str">
        <x:v>Caran d’Ache</x:v>
      </x:c>
      <x:c r="G308" t="str">
        <x:v>SUP</x:v>
      </x:c>
      <x:c r="H308" t="str">
        <x:v>SUPRACOLOR Soft Aquarelle</x:v>
      </x:c>
      <x:c r="I308" t="str">
        <x:v>Water-soluble coloured pencil</x:v>
      </x:c>
      <x:c r="J308" t="str">
        <x:v>Artist</x:v>
      </x:c>
      <x:c r="K308" s="30" t="n">
        <x:v>87</x:v>
      </x:c>
      <x:c r="L308" s="30" t="str">
        <x:v>215</x:v>
      </x:c>
      <x:c r="M308" t="str">
        <x:v>Greyish green</x:v>
      </x:c>
      <x:c r="N308" t="str">
        <x:v>灰綠色</x:v>
      </x:c>
      <x:c r="O308" t="str">
        <x:v>グレイッシュグリーン</x:v>
      </x:c>
      <x:c r="P308" t="str"/>
      <x:c r="Q308" t="str">
        <x:v>Vert gris</x:v>
      </x:c>
      <x:c r="R308" t="str">
        <x:v>Graugrün</x:v>
      </x:c>
      <x:c r="S308" t="str">
        <x:v>Verde grigio</x:v>
      </x:c>
      <x:c r="T308" t="str">
        <x:v>Verde gris</x:v>
      </x:c>
      <x:c r="U308" t="str"/>
      <x:c r="V308" t="str"/>
      <x:c r="W308" t="str"/>
      <x:c r="X308" t="n">
        <x:f>IF(W308="",0,LEN(W308)-LEN(SUBSTITUTE(W308,"/",""))+1)</x:f>
        <x:v>0</x:v>
      </x:c>
      <x:c r="Y308" t="str">
        <x:v>H</x:v>
      </x:c>
      <x:c r="Z308" s="32" t="n">
        <x:v>1.67</x:v>
      </x:c>
      <x:c r="AA308" s="32" t="n">
        <x:v>3</x:v>
      </x:c>
      <x:c r="AB308" s="32" t="str">
        <x:v>Blue Wool Scale / UV 150h</x:v>
      </x:c>
      <x:c r="AC308" t="str">
        <x:v>#93CCA5</x:v>
      </x:c>
      <x:c r="AD308" s="34" t="n">
        <x:v>147</x:v>
      </x:c>
      <x:c r="AE308" s="34" t="n">
        <x:v>204</x:v>
      </x:c>
      <x:c r="AF308" s="34" t="n">
        <x:v>165</x:v>
      </x:c>
      <x:c r="AG308" s="32" t="n">
        <x:v>138.95</x:v>
      </x:c>
      <x:c r="AH308" s="32" t="n">
        <x:v>35.85</x:v>
      </x:c>
      <x:c r="AI308" s="32" t="n">
        <x:v>68.82</x:v>
      </x:c>
      <x:c r="AJ308" s="32" t="n">
        <x:v>77.34</x:v>
      </x:c>
      <x:c r="AK308" s="32" t="n">
        <x:v>-26.35</x:v>
      </x:c>
      <x:c r="AL308" s="32" t="n">
        <x:v>13.61</x:v>
      </x:c>
      <x:c r="AM308" s="32" t="str">
        <x:v>#000000</x:v>
      </x:c>
      <x:c r="AN308" s="32" t="str">
        <x:v>Black</x:v>
      </x:c>
      <x:c r="AO308" s="32" t="n">
        <x:v>11.42</x:v>
      </x:c>
      <x:c r="AP308" s="32" t="n">
        <x:v>11.42</x:v>
      </x:c>
      <x:c r="AQ308" s="32" t="n">
        <x:v>1.84</x:v>
      </x:c>
      <x:c r="AR308" s="32" t="n">
        <x:v>0.521054</x:v>
      </x:c>
      <x:c r="AS308" t="str">
        <x:v>PASS</x:v>
      </x:c>
      <x:c r="AT308" t="str">
        <x:v>--cda-sup-215</x:v>
      </x:c>
      <x:c r="AU308" t="str">
        <x:v>var(--cda-sup-215)</x:v>
      </x:c>
      <x:c r="AV308" t="str">
        <x:v>Median RGB from official PDF swatch (screen reference only)</x:v>
      </x:c>
      <x:c r="AW308" t="str">
        <x:v>https://www.carandache.com/content_files/uploaded_doc/product/11426/Colour_Chart_Supracolor-BD3.pdf</x:v>
      </x:c>
      <x:c r="AX308" t="n">
        <x:v>1</x:v>
      </x:c>
      <x:c r="AY308" t="str">
        <x:v>Official</x:v>
      </x:c>
      <x:c r="AZ308" t="str">
        <x:v>Official where available; curated Traditional Chinese/Japanese otherwise</x:v>
      </x:c>
      <x:c r="BA308" t="str">
        <x:v>Verified from official chart; digital HEX is approximate</x:v>
      </x:c>
      <x:c r="BB308" t="str">
        <x:v>Physical media appearance varies by paper, pressure, layering, water and scan/display profile.</x:v>
      </x:c>
    </x:row>
    <x:row r="309">
      <x:c r="A309" t="str">
        <x:f>G309&amp;"|"&amp;L309</x:f>
        <x:v>SUP|201</x:v>
      </x:c>
      <x:c r="B309" t="str">
        <x:v>65fdd41c-4577-50ee-8a0c-74afbcefb7e5</x:v>
      </x:c>
      <x:c r="C309" t="str">
        <x:v>CDA-SUP-201</x:v>
      </x:c>
      <x:c r="D309" t="str">
        <x:v>41c705d7-153e-5378-b6fd-211680ba74d8</x:v>
      </x:c>
      <x:c r="E309" t="str">
        <x:v>CDA-CODE-201</x:v>
      </x:c>
      <x:c r="F309" t="str">
        <x:v>Caran d’Ache</x:v>
      </x:c>
      <x:c r="G309" t="str">
        <x:v>SUP</x:v>
      </x:c>
      <x:c r="H309" t="str">
        <x:v>SUPRACOLOR Soft Aquarelle</x:v>
      </x:c>
      <x:c r="I309" t="str">
        <x:v>Water-soluble coloured pencil</x:v>
      </x:c>
      <x:c r="J309" t="str">
        <x:v>Artist</x:v>
      </x:c>
      <x:c r="K309" s="30" t="n">
        <x:v>88</x:v>
      </x:c>
      <x:c r="L309" s="30" t="str">
        <x:v>201</x:v>
      </x:c>
      <x:c r="M309" t="str">
        <x:v>Veronese green</x:v>
      </x:c>
      <x:c r="N309" t="str">
        <x:v>維羅內塞綠</x:v>
      </x:c>
      <x:c r="O309" t="str">
        <x:v>ベロネーゼグリーン</x:v>
      </x:c>
      <x:c r="P309" t="str"/>
      <x:c r="Q309" t="str">
        <x:v>Vert Véronèse</x:v>
      </x:c>
      <x:c r="R309" t="str">
        <x:v>Veronesergrün</x:v>
      </x:c>
      <x:c r="S309" t="str">
        <x:v>Verde veronese</x:v>
      </x:c>
      <x:c r="T309" t="str">
        <x:v>Verde veronese</x:v>
      </x:c>
      <x:c r="U309" t="str"/>
      <x:c r="V309" t="str"/>
      <x:c r="W309" t="str"/>
      <x:c r="X309" t="n">
        <x:f>IF(W309="",0,LEN(W309)-LEN(SUBSTITUTE(W309,"/",""))+1)</x:f>
        <x:v>0</x:v>
      </x:c>
      <x:c r="Y309" t="str">
        <x:v>H</x:v>
      </x:c>
      <x:c r="Z309" s="32" t="n">
        <x:v>1.67</x:v>
      </x:c>
      <x:c r="AA309" s="32" t="n">
        <x:v>3</x:v>
      </x:c>
      <x:c r="AB309" s="32" t="str">
        <x:v>Blue Wool Scale / UV 150h</x:v>
      </x:c>
      <x:c r="AC309" t="str">
        <x:v>#ABD9BA</x:v>
      </x:c>
      <x:c r="AD309" s="34" t="n">
        <x:v>171</x:v>
      </x:c>
      <x:c r="AE309" s="34" t="n">
        <x:v>217</x:v>
      </x:c>
      <x:c r="AF309" s="34" t="n">
        <x:v>186</x:v>
      </x:c>
      <x:c r="AG309" s="32" t="n">
        <x:v>139.57</x:v>
      </x:c>
      <x:c r="AH309" s="32" t="n">
        <x:v>37.7</x:v>
      </x:c>
      <x:c r="AI309" s="32" t="n">
        <x:v>76.08</x:v>
      </x:c>
      <x:c r="AJ309" s="32" t="n">
        <x:v>82.82</x:v>
      </x:c>
      <x:c r="AK309" s="32" t="n">
        <x:v>-21.07</x:v>
      </x:c>
      <x:c r="AL309" s="32" t="n">
        <x:v>10.41</x:v>
      </x:c>
      <x:c r="AM309" s="32" t="str">
        <x:v>#000000</x:v>
      </x:c>
      <x:c r="AN309" s="32" t="str">
        <x:v>Black</x:v>
      </x:c>
      <x:c r="AO309" s="32" t="n">
        <x:v>13.37</x:v>
      </x:c>
      <x:c r="AP309" s="32" t="n">
        <x:v>13.37</x:v>
      </x:c>
      <x:c r="AQ309" s="32" t="n">
        <x:v>1.57</x:v>
      </x:c>
      <x:c r="AR309" s="32" t="n">
        <x:v>0.618288</x:v>
      </x:c>
      <x:c r="AS309" t="str">
        <x:v>PASS</x:v>
      </x:c>
      <x:c r="AT309" t="str">
        <x:v>--cda-sup-201</x:v>
      </x:c>
      <x:c r="AU309" t="str">
        <x:v>var(--cda-sup-201)</x:v>
      </x:c>
      <x:c r="AV309" t="str">
        <x:v>Median RGB from official PDF swatch (screen reference only)</x:v>
      </x:c>
      <x:c r="AW309" t="str">
        <x:v>https://www.carandache.com/content_files/uploaded_doc/product/11426/Colour_Chart_Supracolor-BD3.pdf</x:v>
      </x:c>
      <x:c r="AX309" t="n">
        <x:v>1</x:v>
      </x:c>
      <x:c r="AY309" t="str">
        <x:v>Official</x:v>
      </x:c>
      <x:c r="AZ309" t="str">
        <x:v>Official where available; curated Traditional Chinese/Japanese otherwise</x:v>
      </x:c>
      <x:c r="BA309" t="str">
        <x:v>Verified from official chart; digital HEX is approximate</x:v>
      </x:c>
      <x:c r="BB309" t="str">
        <x:v>Physical media appearance varies by paper, pressure, layering, water and scan/display profile.</x:v>
      </x:c>
    </x:row>
    <x:row r="310">
      <x:c r="A310" t="str">
        <x:f>G310&amp;"|"&amp;L310</x:f>
        <x:v>SUP|460</x:v>
      </x:c>
      <x:c r="B310" t="str">
        <x:v>4a0e5e07-7930-59a7-867a-81761038ea6c</x:v>
      </x:c>
      <x:c r="C310" t="str">
        <x:v>CDA-SUP-460</x:v>
      </x:c>
      <x:c r="D310" t="str">
        <x:v>845a10ab-0e55-5261-a78c-6068c40eb6da</x:v>
      </x:c>
      <x:c r="E310" t="str">
        <x:v>CDA-CODE-460</x:v>
      </x:c>
      <x:c r="F310" t="str">
        <x:v>Caran d’Ache</x:v>
      </x:c>
      <x:c r="G310" t="str">
        <x:v>SUP</x:v>
      </x:c>
      <x:c r="H310" t="str">
        <x:v>SUPRACOLOR Soft Aquarelle</x:v>
      </x:c>
      <x:c r="I310" t="str">
        <x:v>Water-soluble coloured pencil</x:v>
      </x:c>
      <x:c r="J310" t="str">
        <x:v>Artist</x:v>
      </x:c>
      <x:c r="K310" s="30" t="n">
        <x:v>89</x:v>
      </x:c>
      <x:c r="L310" s="30" t="str">
        <x:v>460</x:v>
      </x:c>
      <x:c r="M310" t="str">
        <x:v>Peacock green</x:v>
      </x:c>
      <x:c r="N310" t="str">
        <x:v>孔雀綠</x:v>
      </x:c>
      <x:c r="O310" t="str">
        <x:v>ピーコックグリーン</x:v>
      </x:c>
      <x:c r="P310" t="str"/>
      <x:c r="Q310" t="str">
        <x:v>Vert paon</x:v>
      </x:c>
      <x:c r="R310" t="str">
        <x:v>Pfaugrün</x:v>
      </x:c>
      <x:c r="S310" t="str">
        <x:v>Verde pavone</x:v>
      </x:c>
      <x:c r="T310" t="str">
        <x:v>Verde pavo real</x:v>
      </x:c>
      <x:c r="U310" t="str"/>
      <x:c r="V310" t="str"/>
      <x:c r="W310" t="str"/>
      <x:c r="X310" t="n">
        <x:f>IF(W310="",0,LEN(W310)-LEN(SUBSTITUTE(W310,"/",""))+1)</x:f>
        <x:v>0</x:v>
      </x:c>
      <x:c r="Y310" t="str">
        <x:v>H</x:v>
      </x:c>
      <x:c r="Z310" s="32" t="n">
        <x:v>1.67</x:v>
      </x:c>
      <x:c r="AA310" s="32" t="n">
        <x:v>3</x:v>
      </x:c>
      <x:c r="AB310" s="32" t="str">
        <x:v>Blue Wool Scale / UV 150h</x:v>
      </x:c>
      <x:c r="AC310" t="str">
        <x:v>#9AD2B0</x:v>
      </x:c>
      <x:c r="AD310" s="34" t="n">
        <x:v>154</x:v>
      </x:c>
      <x:c r="AE310" s="34" t="n">
        <x:v>210</x:v>
      </x:c>
      <x:c r="AF310" s="34" t="n">
        <x:v>176</x:v>
      </x:c>
      <x:c r="AG310" s="32" t="n">
        <x:v>143.57</x:v>
      </x:c>
      <x:c r="AH310" s="32" t="n">
        <x:v>38.36</x:v>
      </x:c>
      <x:c r="AI310" s="32" t="n">
        <x:v>71.37</x:v>
      </x:c>
      <x:c r="AJ310" s="32" t="n">
        <x:v>79.67</x:v>
      </x:c>
      <x:c r="AK310" s="32" t="n">
        <x:v>-24.97</x:v>
      </x:c>
      <x:c r="AL310" s="32" t="n">
        <x:v>11.09</x:v>
      </x:c>
      <x:c r="AM310" s="32" t="str">
        <x:v>#000000</x:v>
      </x:c>
      <x:c r="AN310" s="32" t="str">
        <x:v>Black</x:v>
      </x:c>
      <x:c r="AO310" s="32" t="n">
        <x:v>12.22</x:v>
      </x:c>
      <x:c r="AP310" s="32" t="n">
        <x:v>12.22</x:v>
      </x:c>
      <x:c r="AQ310" s="32" t="n">
        <x:v>1.72</x:v>
      </x:c>
      <x:c r="AR310" s="32" t="n">
        <x:v>0.560978</x:v>
      </x:c>
      <x:c r="AS310" t="str">
        <x:v>PASS</x:v>
      </x:c>
      <x:c r="AT310" t="str">
        <x:v>--cda-sup-460</x:v>
      </x:c>
      <x:c r="AU310" t="str">
        <x:v>var(--cda-sup-460)</x:v>
      </x:c>
      <x:c r="AV310" t="str">
        <x:v>Median RGB from official PDF swatch (screen reference only)</x:v>
      </x:c>
      <x:c r="AW310" t="str">
        <x:v>https://www.carandache.com/content_files/uploaded_doc/product/11426/Colour_Chart_Supracolor-BD3.pdf</x:v>
      </x:c>
      <x:c r="AX310" t="n">
        <x:v>1</x:v>
      </x:c>
      <x:c r="AY310" t="str">
        <x:v>Official</x:v>
      </x:c>
      <x:c r="AZ310" t="str">
        <x:v>Official where available; curated Traditional Chinese/Japanese otherwise</x:v>
      </x:c>
      <x:c r="BA310" t="str">
        <x:v>Verified from official chart; digital HEX is approximate</x:v>
      </x:c>
      <x:c r="BB310" t="str">
        <x:v>Physical media appearance varies by paper, pressure, layering, water and scan/display profile.</x:v>
      </x:c>
    </x:row>
    <x:row r="311">
      <x:c r="A311" t="str">
        <x:f>G311&amp;"|"&amp;L311</x:f>
        <x:v>SUP|290</x:v>
      </x:c>
      <x:c r="B311" t="str">
        <x:v>d848889c-f203-57dc-84b7-69a2ec49201d</x:v>
      </x:c>
      <x:c r="C311" t="str">
        <x:v>CDA-SUP-290</x:v>
      </x:c>
      <x:c r="D311" t="str">
        <x:v>85f425db-0bc5-5524-9965-cf796483df0d</x:v>
      </x:c>
      <x:c r="E311" t="str">
        <x:v>CDA-CODE-290</x:v>
      </x:c>
      <x:c r="F311" t="str">
        <x:v>Caran d’Ache</x:v>
      </x:c>
      <x:c r="G311" t="str">
        <x:v>SUP</x:v>
      </x:c>
      <x:c r="H311" t="str">
        <x:v>SUPRACOLOR Soft Aquarelle</x:v>
      </x:c>
      <x:c r="I311" t="str">
        <x:v>Water-soluble coloured pencil</x:v>
      </x:c>
      <x:c r="J311" t="str">
        <x:v>Artist</x:v>
      </x:c>
      <x:c r="K311" s="30" t="n">
        <x:v>90</x:v>
      </x:c>
      <x:c r="L311" s="30" t="str">
        <x:v>290</x:v>
      </x:c>
      <x:c r="M311" t="str">
        <x:v>Empire green</x:v>
      </x:c>
      <x:c r="N311" t="str">
        <x:v>帝國綠</x:v>
      </x:c>
      <x:c r="O311" t="str">
        <x:v>エンパイアグリーン</x:v>
      </x:c>
      <x:c r="P311" t="str"/>
      <x:c r="Q311" t="str">
        <x:v>Vert empire</x:v>
      </x:c>
      <x:c r="R311" t="str">
        <x:v>Empire-grün</x:v>
      </x:c>
      <x:c r="S311" t="str">
        <x:v>Verde impero</x:v>
      </x:c>
      <x:c r="T311" t="str">
        <x:v>Verde imperio</x:v>
      </x:c>
      <x:c r="U311" t="str"/>
      <x:c r="V311" t="str"/>
      <x:c r="W311" t="str"/>
      <x:c r="X311" t="n">
        <x:f>IF(W311="",0,LEN(W311)-LEN(SUBSTITUTE(W311,"/",""))+1)</x:f>
        <x:v>0</x:v>
      </x:c>
      <x:c r="Y311" t="str">
        <x:v>H</x:v>
      </x:c>
      <x:c r="Z311" s="32" t="n">
        <x:v>1.67</x:v>
      </x:c>
      <x:c r="AA311" s="32" t="n">
        <x:v>3</x:v>
      </x:c>
      <x:c r="AB311" s="32" t="str">
        <x:v>Blue Wool Scale / UV 150h</x:v>
      </x:c>
      <x:c r="AC311" t="str">
        <x:v>#A8D6AB</x:v>
      </x:c>
      <x:c r="AD311" s="34" t="n">
        <x:v>168</x:v>
      </x:c>
      <x:c r="AE311" s="34" t="n">
        <x:v>214</x:v>
      </x:c>
      <x:c r="AF311" s="34" t="n">
        <x:v>171</x:v>
      </x:c>
      <x:c r="AG311" s="32" t="n">
        <x:v>123.91</x:v>
      </x:c>
      <x:c r="AH311" s="32" t="n">
        <x:v>35.94</x:v>
      </x:c>
      <x:c r="AI311" s="32" t="n">
        <x:v>74.9</x:v>
      </x:c>
      <x:c r="AJ311" s="32" t="n">
        <x:v>81.49</x:v>
      </x:c>
      <x:c r="AK311" s="32" t="n">
        <x:v>-23.3</x:v>
      </x:c>
      <x:c r="AL311" s="32" t="n">
        <x:v>16.43</x:v>
      </x:c>
      <x:c r="AM311" s="32" t="str">
        <x:v>#000000</x:v>
      </x:c>
      <x:c r="AN311" s="32" t="str">
        <x:v>Black</x:v>
      </x:c>
      <x:c r="AO311" s="32" t="n">
        <x:v>12.87</x:v>
      </x:c>
      <x:c r="AP311" s="32" t="n">
        <x:v>12.87</x:v>
      </x:c>
      <x:c r="AQ311" s="32" t="n">
        <x:v>1.63</x:v>
      </x:c>
      <x:c r="AR311" s="32" t="n">
        <x:v>0.593582</x:v>
      </x:c>
      <x:c r="AS311" t="str">
        <x:v>PASS</x:v>
      </x:c>
      <x:c r="AT311" t="str">
        <x:v>--cda-sup-290</x:v>
      </x:c>
      <x:c r="AU311" t="str">
        <x:v>var(--cda-sup-290)</x:v>
      </x:c>
      <x:c r="AV311" t="str">
        <x:v>Median RGB from official PDF swatch (screen reference only)</x:v>
      </x:c>
      <x:c r="AW311" t="str">
        <x:v>https://www.carandache.com/content_files/uploaded_doc/product/11426/Colour_Chart_Supracolor-BD3.pdf</x:v>
      </x:c>
      <x:c r="AX311" t="n">
        <x:v>1</x:v>
      </x:c>
      <x:c r="AY311" t="str">
        <x:v>Official</x:v>
      </x:c>
      <x:c r="AZ311" t="str">
        <x:v>Official where available; curated Traditional Chinese/Japanese otherwise</x:v>
      </x:c>
      <x:c r="BA311" t="str">
        <x:v>Verified from official chart; digital HEX is approximate</x:v>
      </x:c>
      <x:c r="BB311" t="str">
        <x:v>Physical media appearance varies by paper, pressure, layering, water and scan/display profile.</x:v>
      </x:c>
    </x:row>
    <x:row r="312">
      <x:c r="A312" t="str">
        <x:f>G312&amp;"|"&amp;L312</x:f>
        <x:v>SUP|200</x:v>
      </x:c>
      <x:c r="B312" t="str">
        <x:v>da8c91f2-41ab-5ea0-ac9e-4ff88142b726</x:v>
      </x:c>
      <x:c r="C312" t="str">
        <x:v>CDA-SUP-200</x:v>
      </x:c>
      <x:c r="D312" t="str">
        <x:v>acd1f677-a0b6-52a5-9f16-3917bf335a93</x:v>
      </x:c>
      <x:c r="E312" t="str">
        <x:v>CDA-CODE-200</x:v>
      </x:c>
      <x:c r="F312" t="str">
        <x:v>Caran d’Ache</x:v>
      </x:c>
      <x:c r="G312" t="str">
        <x:v>SUP</x:v>
      </x:c>
      <x:c r="H312" t="str">
        <x:v>SUPRACOLOR Soft Aquarelle</x:v>
      </x:c>
      <x:c r="I312" t="str">
        <x:v>Water-soluble coloured pencil</x:v>
      </x:c>
      <x:c r="J312" t="str">
        <x:v>Artist</x:v>
      </x:c>
      <x:c r="K312" s="30" t="n">
        <x:v>91</x:v>
      </x:c>
      <x:c r="L312" s="30" t="str">
        <x:v>200</x:v>
      </x:c>
      <x:c r="M312" t="str">
        <x:v>Bluish green</x:v>
      </x:c>
      <x:c r="N312" t="str">
        <x:v>藍綠色</x:v>
      </x:c>
      <x:c r="O312" t="str">
        <x:v>ブルーイッシュグリーン</x:v>
      </x:c>
      <x:c r="P312" t="str"/>
      <x:c r="Q312" t="str">
        <x:v>Vert bleuâtre</x:v>
      </x:c>
      <x:c r="R312" t="str">
        <x:v>Blaugrün</x:v>
      </x:c>
      <x:c r="S312" t="str">
        <x:v>Verde bluastro</x:v>
      </x:c>
      <x:c r="T312" t="str">
        <x:v>Verde azulado</x:v>
      </x:c>
      <x:c r="U312" t="str"/>
      <x:c r="V312" t="str"/>
      <x:c r="W312" t="str"/>
      <x:c r="X312" t="n">
        <x:f>IF(W312="",0,LEN(W312)-LEN(SUBSTITUTE(W312,"/",""))+1)</x:f>
        <x:v>0</x:v>
      </x:c>
      <x:c r="Y312" t="str">
        <x:v>H</x:v>
      </x:c>
      <x:c r="Z312" s="32" t="n">
        <x:v>1.67</x:v>
      </x:c>
      <x:c r="AA312" s="32" t="n">
        <x:v>3</x:v>
      </x:c>
      <x:c r="AB312" s="32" t="str">
        <x:v>Blue Wool Scale / UV 150h</x:v>
      </x:c>
      <x:c r="AC312" t="str">
        <x:v>#6CC49A</x:v>
      </x:c>
      <x:c r="AD312" s="34" t="n">
        <x:v>108</x:v>
      </x:c>
      <x:c r="AE312" s="34" t="n">
        <x:v>196</x:v>
      </x:c>
      <x:c r="AF312" s="34" t="n">
        <x:v>154</x:v>
      </x:c>
      <x:c r="AG312" s="32" t="n">
        <x:v>151.36</x:v>
      </x:c>
      <x:c r="AH312" s="32" t="n">
        <x:v>42.72</x:v>
      </x:c>
      <x:c r="AI312" s="32" t="n">
        <x:v>59.61</x:v>
      </x:c>
      <x:c r="AJ312" s="32" t="n">
        <x:v>72.89</x:v>
      </x:c>
      <x:c r="AK312" s="32" t="n">
        <x:v>-36.21</x:v>
      </x:c>
      <x:c r="AL312" s="32" t="n">
        <x:v>12.97</x:v>
      </x:c>
      <x:c r="AM312" s="32" t="str">
        <x:v>#000000</x:v>
      </x:c>
      <x:c r="AN312" s="32" t="str">
        <x:v>Black</x:v>
      </x:c>
      <x:c r="AO312" s="32" t="n">
        <x:v>10</x:v>
      </x:c>
      <x:c r="AP312" s="32" t="n">
        <x:v>10</x:v>
      </x:c>
      <x:c r="AQ312" s="32" t="n">
        <x:v>2.1</x:v>
      </x:c>
      <x:c r="AR312" s="32" t="n">
        <x:v>0.450011</x:v>
      </x:c>
      <x:c r="AS312" t="str">
        <x:v>PASS</x:v>
      </x:c>
      <x:c r="AT312" t="str">
        <x:v>--cda-sup-200</x:v>
      </x:c>
      <x:c r="AU312" t="str">
        <x:v>var(--cda-sup-200)</x:v>
      </x:c>
      <x:c r="AV312" t="str">
        <x:v>Median RGB from official PDF swatch (screen reference only)</x:v>
      </x:c>
      <x:c r="AW312" t="str">
        <x:v>https://www.carandache.com/content_files/uploaded_doc/product/11426/Colour_Chart_Supracolor-BD3.pdf</x:v>
      </x:c>
      <x:c r="AX312" t="n">
        <x:v>1</x:v>
      </x:c>
      <x:c r="AY312" t="str">
        <x:v>Official</x:v>
      </x:c>
      <x:c r="AZ312" t="str">
        <x:v>Official where available; curated Traditional Chinese/Japanese otherwise</x:v>
      </x:c>
      <x:c r="BA312" t="str">
        <x:v>Verified from official chart; digital HEX is approximate</x:v>
      </x:c>
      <x:c r="BB312" t="str">
        <x:v>Physical media appearance varies by paper, pressure, layering, water and scan/display profile.</x:v>
      </x:c>
    </x:row>
    <x:row r="313">
      <x:c r="A313" t="str">
        <x:f>G313&amp;"|"&amp;L313</x:f>
        <x:v>SUP|229</x:v>
      </x:c>
      <x:c r="B313" t="str">
        <x:v>fc8552e4-9ade-519c-b7f5-c73473cc4191</x:v>
      </x:c>
      <x:c r="C313" t="str">
        <x:v>CDA-SUP-229</x:v>
      </x:c>
      <x:c r="D313" t="str">
        <x:v>95617532-4337-5a36-9e80-86ddcfd90f23</x:v>
      </x:c>
      <x:c r="E313" t="str">
        <x:v>CDA-CODE-229</x:v>
      </x:c>
      <x:c r="F313" t="str">
        <x:v>Caran d’Ache</x:v>
      </x:c>
      <x:c r="G313" t="str">
        <x:v>SUP</x:v>
      </x:c>
      <x:c r="H313" t="str">
        <x:v>SUPRACOLOR Soft Aquarelle</x:v>
      </x:c>
      <x:c r="I313" t="str">
        <x:v>Water-soluble coloured pencil</x:v>
      </x:c>
      <x:c r="J313" t="str">
        <x:v>Artist</x:v>
      </x:c>
      <x:c r="K313" s="30" t="n">
        <x:v>92</x:v>
      </x:c>
      <x:c r="L313" s="30" t="str">
        <x:v>229</x:v>
      </x:c>
      <x:c r="M313" t="str">
        <x:v>Dark green</x:v>
      </x:c>
      <x:c r="N313" t="str">
        <x:v>深綠色</x:v>
      </x:c>
      <x:c r="O313" t="str">
        <x:v>ダークグリーン</x:v>
      </x:c>
      <x:c r="P313" t="str"/>
      <x:c r="Q313" t="str">
        <x:v>Vert foncé</x:v>
      </x:c>
      <x:c r="R313" t="str">
        <x:v>Dunkelgrün</x:v>
      </x:c>
      <x:c r="S313" t="str">
        <x:v>Verde scuro</x:v>
      </x:c>
      <x:c r="T313" t="str">
        <x:v>Verde oscuro</x:v>
      </x:c>
      <x:c r="U313" t="str"/>
      <x:c r="V313" t="str"/>
      <x:c r="W313" t="str"/>
      <x:c r="X313" t="n">
        <x:f>IF(W313="",0,LEN(W313)-LEN(SUBSTITUTE(W313,"/",""))+1)</x:f>
        <x:v>0</x:v>
      </x:c>
      <x:c r="Y313" t="str">
        <x:v>H</x:v>
      </x:c>
      <x:c r="Z313" s="32" t="n">
        <x:v>1.67</x:v>
      </x:c>
      <x:c r="AA313" s="32" t="n">
        <x:v>3</x:v>
      </x:c>
      <x:c r="AB313" s="32" t="str">
        <x:v>Blue Wool Scale / UV 150h</x:v>
      </x:c>
      <x:c r="AC313" t="str">
        <x:v>#79CAAA</x:v>
      </x:c>
      <x:c r="AD313" s="34" t="n">
        <x:v>121</x:v>
      </x:c>
      <x:c r="AE313" s="34" t="n">
        <x:v>202</x:v>
      </x:c>
      <x:c r="AF313" s="34" t="n">
        <x:v>170</x:v>
      </x:c>
      <x:c r="AG313" s="32" t="n">
        <x:v>156.3</x:v>
      </x:c>
      <x:c r="AH313" s="32" t="n">
        <x:v>43.32</x:v>
      </x:c>
      <x:c r="AI313" s="32" t="n">
        <x:v>63.33</x:v>
      </x:c>
      <x:c r="AJ313" s="32" t="n">
        <x:v>75.58</x:v>
      </x:c>
      <x:c r="AK313" s="32" t="n">
        <x:v>-32.11</x:v>
      </x:c>
      <x:c r="AL313" s="32" t="n">
        <x:v>8.25</x:v>
      </x:c>
      <x:c r="AM313" s="32" t="str">
        <x:v>#000000</x:v>
      </x:c>
      <x:c r="AN313" s="32" t="str">
        <x:v>Black</x:v>
      </x:c>
      <x:c r="AO313" s="32" t="n">
        <x:v>10.84</x:v>
      </x:c>
      <x:c r="AP313" s="32" t="n">
        <x:v>10.84</x:v>
      </x:c>
      <x:c r="AQ313" s="32" t="n">
        <x:v>1.94</x:v>
      </x:c>
      <x:c r="AR313" s="32" t="n">
        <x:v>0.492083</x:v>
      </x:c>
      <x:c r="AS313" t="str">
        <x:v>PASS</x:v>
      </x:c>
      <x:c r="AT313" t="str">
        <x:v>--cda-sup-229</x:v>
      </x:c>
      <x:c r="AU313" t="str">
        <x:v>var(--cda-sup-229)</x:v>
      </x:c>
      <x:c r="AV313" t="str">
        <x:v>Median RGB from official PDF swatch (screen reference only)</x:v>
      </x:c>
      <x:c r="AW313" t="str">
        <x:v>https://www.carandache.com/content_files/uploaded_doc/product/11426/Colour_Chart_Supracolor-BD3.pdf</x:v>
      </x:c>
      <x:c r="AX313" t="n">
        <x:v>1</x:v>
      </x:c>
      <x:c r="AY313" t="str">
        <x:v>Official</x:v>
      </x:c>
      <x:c r="AZ313" t="str">
        <x:v>Official where available; curated Traditional Chinese/Japanese otherwise</x:v>
      </x:c>
      <x:c r="BA313" t="str">
        <x:v>Verified from official chart; digital HEX is approximate</x:v>
      </x:c>
      <x:c r="BB313" t="str">
        <x:v>Physical media appearance varies by paper, pressure, layering, water and scan/display profile.</x:v>
      </x:c>
    </x:row>
    <x:row r="314">
      <x:c r="A314" t="str">
        <x:f>G314&amp;"|"&amp;L314</x:f>
        <x:v>SUP|239</x:v>
      </x:c>
      <x:c r="B314" t="str">
        <x:v>97de7255-bc2f-5740-a588-3e51a1d25b2a</x:v>
      </x:c>
      <x:c r="C314" t="str">
        <x:v>CDA-SUP-239</x:v>
      </x:c>
      <x:c r="D314" t="str">
        <x:v>9cde9379-a512-5d66-95a5-8d0965821d47</x:v>
      </x:c>
      <x:c r="E314" t="str">
        <x:v>CDA-CODE-239</x:v>
      </x:c>
      <x:c r="F314" t="str">
        <x:v>Caran d’Ache</x:v>
      </x:c>
      <x:c r="G314" t="str">
        <x:v>SUP</x:v>
      </x:c>
      <x:c r="H314" t="str">
        <x:v>SUPRACOLOR Soft Aquarelle</x:v>
      </x:c>
      <x:c r="I314" t="str">
        <x:v>Water-soluble coloured pencil</x:v>
      </x:c>
      <x:c r="J314" t="str">
        <x:v>Artist</x:v>
      </x:c>
      <x:c r="K314" s="30" t="n">
        <x:v>93</x:v>
      </x:c>
      <x:c r="L314" s="30" t="str">
        <x:v>239</x:v>
      </x:c>
      <x:c r="M314" t="str">
        <x:v>Spruce green</x:v>
      </x:c>
      <x:c r="N314" t="str">
        <x:v>雲杉綠</x:v>
      </x:c>
      <x:c r="O314" t="str">
        <x:v>スプルースグリーン</x:v>
      </x:c>
      <x:c r="P314" t="str"/>
      <x:c r="Q314" t="str">
        <x:v>Vert sapin</x:v>
      </x:c>
      <x:c r="R314" t="str">
        <x:v>Tannengrün</x:v>
      </x:c>
      <x:c r="S314" t="str">
        <x:v>Verde abete</x:v>
      </x:c>
      <x:c r="T314" t="str">
        <x:v>Verde abeto</x:v>
      </x:c>
      <x:c r="U314" t="str"/>
      <x:c r="V314" t="str"/>
      <x:c r="W314" t="str"/>
      <x:c r="X314" t="n">
        <x:f>IF(W314="",0,LEN(W314)-LEN(SUBSTITUTE(W314,"/",""))+1)</x:f>
        <x:v>0</x:v>
      </x:c>
      <x:c r="Y314" t="str">
        <x:v>H</x:v>
      </x:c>
      <x:c r="Z314" s="32" t="n">
        <x:v>1.67</x:v>
      </x:c>
      <x:c r="AA314" s="32" t="n">
        <x:v>3</x:v>
      </x:c>
      <x:c r="AB314" s="32" t="str">
        <x:v>Blue Wool Scale / UV 150h</x:v>
      </x:c>
      <x:c r="AC314" t="str">
        <x:v>#A9D3A4</x:v>
      </x:c>
      <x:c r="AD314" s="34" t="n">
        <x:v>169</x:v>
      </x:c>
      <x:c r="AE314" s="34" t="n">
        <x:v>211</x:v>
      </x:c>
      <x:c r="AF314" s="34" t="n">
        <x:v>164</x:v>
      </x:c>
      <x:c r="AG314" s="32" t="n">
        <x:v>113.62</x:v>
      </x:c>
      <x:c r="AH314" s="32" t="n">
        <x:v>34.81</x:v>
      </x:c>
      <x:c r="AI314" s="32" t="n">
        <x:v>73.53</x:v>
      </x:c>
      <x:c r="AJ314" s="32" t="n">
        <x:v>80.57</x:v>
      </x:c>
      <x:c r="AK314" s="32" t="n">
        <x:v>-22.69</x:v>
      </x:c>
      <x:c r="AL314" s="32" t="n">
        <x:v>18.86</x:v>
      </x:c>
      <x:c r="AM314" s="32" t="str">
        <x:v>#000000</x:v>
      </x:c>
      <x:c r="AN314" s="32" t="str">
        <x:v>Black</x:v>
      </x:c>
      <x:c r="AO314" s="32" t="n">
        <x:v>12.54</x:v>
      </x:c>
      <x:c r="AP314" s="32" t="n">
        <x:v>12.54</x:v>
      </x:c>
      <x:c r="AQ314" s="32" t="n">
        <x:v>1.67</x:v>
      </x:c>
      <x:c r="AR314" s="32" t="n">
        <x:v>0.577039</x:v>
      </x:c>
      <x:c r="AS314" t="str">
        <x:v>PASS</x:v>
      </x:c>
      <x:c r="AT314" t="str">
        <x:v>--cda-sup-239</x:v>
      </x:c>
      <x:c r="AU314" t="str">
        <x:v>var(--cda-sup-239)</x:v>
      </x:c>
      <x:c r="AV314" t="str">
        <x:v>Median RGB from official PDF swatch (screen reference only)</x:v>
      </x:c>
      <x:c r="AW314" t="str">
        <x:v>https://www.carandache.com/content_files/uploaded_doc/product/11426/Colour_Chart_Supracolor-BD3.pdf</x:v>
      </x:c>
      <x:c r="AX314" t="n">
        <x:v>1</x:v>
      </x:c>
      <x:c r="AY314" t="str">
        <x:v>Official</x:v>
      </x:c>
      <x:c r="AZ314" t="str">
        <x:v>Official where available; curated Traditional Chinese/Japanese otherwise</x:v>
      </x:c>
      <x:c r="BA314" t="str">
        <x:v>Verified from official chart; digital HEX is approximate</x:v>
      </x:c>
      <x:c r="BB314" t="str">
        <x:v>Physical media appearance varies by paper, pressure, layering, water and scan/display profile.</x:v>
      </x:c>
    </x:row>
    <x:row r="315">
      <x:c r="A315" t="str">
        <x:f>G315&amp;"|"&amp;L315</x:f>
        <x:v>SUP|210</x:v>
      </x:c>
      <x:c r="B315" t="str">
        <x:v>0e2553bf-7915-56ad-87a5-e67780b5a259</x:v>
      </x:c>
      <x:c r="C315" t="str">
        <x:v>CDA-SUP-210</x:v>
      </x:c>
      <x:c r="D315" t="str">
        <x:v>20169bd8-fae1-5c8f-b26d-df9ab6e5a19c</x:v>
      </x:c>
      <x:c r="E315" t="str">
        <x:v>CDA-CODE-210</x:v>
      </x:c>
      <x:c r="F315" t="str">
        <x:v>Caran d’Ache</x:v>
      </x:c>
      <x:c r="G315" t="str">
        <x:v>SUP</x:v>
      </x:c>
      <x:c r="H315" t="str">
        <x:v>SUPRACOLOR Soft Aquarelle</x:v>
      </x:c>
      <x:c r="I315" t="str">
        <x:v>Water-soluble coloured pencil</x:v>
      </x:c>
      <x:c r="J315" t="str">
        <x:v>Artist</x:v>
      </x:c>
      <x:c r="K315" s="30" t="n">
        <x:v>94</x:v>
      </x:c>
      <x:c r="L315" s="30" t="str">
        <x:v>210</x:v>
      </x:c>
      <x:c r="M315" t="str">
        <x:v>Emerald green</x:v>
      </x:c>
      <x:c r="N315" t="str">
        <x:v>祖母綠</x:v>
      </x:c>
      <x:c r="O315" t="str">
        <x:v>エメラルドグリーン</x:v>
      </x:c>
      <x:c r="P315" t="str"/>
      <x:c r="Q315" t="str">
        <x:v>Vert émeraude</x:v>
      </x:c>
      <x:c r="R315" t="str">
        <x:v>Smaragdgrün</x:v>
      </x:c>
      <x:c r="S315" t="str">
        <x:v>Verde smeraldo</x:v>
      </x:c>
      <x:c r="T315" t="str">
        <x:v>Verde esmeralda</x:v>
      </x:c>
      <x:c r="U315" t="str"/>
      <x:c r="V315" t="str"/>
      <x:c r="W315" t="str"/>
      <x:c r="X315" t="n">
        <x:f>IF(W315="",0,LEN(W315)-LEN(SUBSTITUTE(W315,"/",""))+1)</x:f>
        <x:v>0</x:v>
      </x:c>
      <x:c r="Y315" t="str">
        <x:v>H</x:v>
      </x:c>
      <x:c r="Z315" s="32" t="n">
        <x:v>1.67</x:v>
      </x:c>
      <x:c r="AA315" s="32" t="n">
        <x:v>3</x:v>
      </x:c>
      <x:c r="AB315" s="32" t="str">
        <x:v>Blue Wool Scale / UV 150h</x:v>
      </x:c>
      <x:c r="AC315" t="str">
        <x:v>#B4DBB1</x:v>
      </x:c>
      <x:c r="AD315" s="34" t="n">
        <x:v>180</x:v>
      </x:c>
      <x:c r="AE315" s="34" t="n">
        <x:v>219</x:v>
      </x:c>
      <x:c r="AF315" s="34" t="n">
        <x:v>177</x:v>
      </x:c>
      <x:c r="AG315" s="32" t="n">
        <x:v>115.71</x:v>
      </x:c>
      <x:c r="AH315" s="32" t="n">
        <x:v>36.84</x:v>
      </x:c>
      <x:c r="AI315" s="32" t="n">
        <x:v>77.65</x:v>
      </x:c>
      <x:c r="AJ315" s="32" t="n">
        <x:v>83.73</x:v>
      </x:c>
      <x:c r="AK315" s="32" t="n">
        <x:v>-20.68</x:v>
      </x:c>
      <x:c r="AL315" s="32" t="n">
        <x:v>16.51</x:v>
      </x:c>
      <x:c r="AM315" s="32" t="str">
        <x:v>#000000</x:v>
      </x:c>
      <x:c r="AN315" s="32" t="str">
        <x:v>Black</x:v>
      </x:c>
      <x:c r="AO315" s="32" t="n">
        <x:v>13.71</x:v>
      </x:c>
      <x:c r="AP315" s="32" t="n">
        <x:v>13.71</x:v>
      </x:c>
      <x:c r="AQ315" s="32" t="n">
        <x:v>1.53</x:v>
      </x:c>
      <x:c r="AR315" s="32" t="n">
        <x:v>0.635407</x:v>
      </x:c>
      <x:c r="AS315" t="str">
        <x:v>PASS</x:v>
      </x:c>
      <x:c r="AT315" t="str">
        <x:v>--cda-sup-210</x:v>
      </x:c>
      <x:c r="AU315" t="str">
        <x:v>var(--cda-sup-210)</x:v>
      </x:c>
      <x:c r="AV315" t="str">
        <x:v>Median RGB from official PDF swatch (screen reference only)</x:v>
      </x:c>
      <x:c r="AW315" t="str">
        <x:v>https://www.carandache.com/content_files/uploaded_doc/product/11426/Colour_Chart_Supracolor-BD3.pdf</x:v>
      </x:c>
      <x:c r="AX315" t="n">
        <x:v>1</x:v>
      </x:c>
      <x:c r="AY315" t="str">
        <x:v>Official</x:v>
      </x:c>
      <x:c r="AZ315" t="str">
        <x:v>Official where available; curated Traditional Chinese/Japanese otherwise</x:v>
      </x:c>
      <x:c r="BA315" t="str">
        <x:v>Verified from official chart; digital HEX is approximate</x:v>
      </x:c>
      <x:c r="BB315" t="str">
        <x:v>Physical media appearance varies by paper, pressure, layering, water and scan/display profile.</x:v>
      </x:c>
    </x:row>
    <x:row r="316">
      <x:c r="A316" t="str">
        <x:f>G316&amp;"|"&amp;L316</x:f>
        <x:v>SUP|220</x:v>
      </x:c>
      <x:c r="B316" t="str">
        <x:v>7a64cb4d-307c-5536-9b9e-70a01c80861c</x:v>
      </x:c>
      <x:c r="C316" t="str">
        <x:v>CDA-SUP-220</x:v>
      </x:c>
      <x:c r="D316" t="str">
        <x:v>69a03597-fa02-5bd4-9968-b3f74f6fcd04</x:v>
      </x:c>
      <x:c r="E316" t="str">
        <x:v>CDA-CODE-220</x:v>
      </x:c>
      <x:c r="F316" t="str">
        <x:v>Caran d’Ache</x:v>
      </x:c>
      <x:c r="G316" t="str">
        <x:v>SUP</x:v>
      </x:c>
      <x:c r="H316" t="str">
        <x:v>SUPRACOLOR Soft Aquarelle</x:v>
      </x:c>
      <x:c r="I316" t="str">
        <x:v>Water-soluble coloured pencil</x:v>
      </x:c>
      <x:c r="J316" t="str">
        <x:v>Artist</x:v>
      </x:c>
      <x:c r="K316" s="30" t="n">
        <x:v>95</x:v>
      </x:c>
      <x:c r="L316" s="30" t="str">
        <x:v>220</x:v>
      </x:c>
      <x:c r="M316" t="str">
        <x:v>Grass green</x:v>
      </x:c>
      <x:c r="N316" t="str">
        <x:v>草綠色</x:v>
      </x:c>
      <x:c r="O316" t="str">
        <x:v>グラスグリーン</x:v>
      </x:c>
      <x:c r="P316" t="str"/>
      <x:c r="Q316" t="str">
        <x:v>Vert prairie</x:v>
      </x:c>
      <x:c r="R316" t="str">
        <x:v>Grasgrün</x:v>
      </x:c>
      <x:c r="S316" t="str">
        <x:v>Verde prato</x:v>
      </x:c>
      <x:c r="T316" t="str">
        <x:v>Verde prado</x:v>
      </x:c>
      <x:c r="U316" t="str"/>
      <x:c r="V316" t="str"/>
      <x:c r="W316" t="str"/>
      <x:c r="X316" t="n">
        <x:f>IF(W316="",0,LEN(W316)-LEN(SUBSTITUTE(W316,"/",""))+1)</x:f>
        <x:v>0</x:v>
      </x:c>
      <x:c r="Y316" t="str">
        <x:v>H</x:v>
      </x:c>
      <x:c r="Z316" s="32" t="n">
        <x:v>1.67</x:v>
      </x:c>
      <x:c r="AA316" s="32" t="n">
        <x:v>3</x:v>
      </x:c>
      <x:c r="AB316" s="32" t="str">
        <x:v>Blue Wool Scale / UV 150h</x:v>
      </x:c>
      <x:c r="AC316" t="str">
        <x:v>#A2D396</x:v>
      </x:c>
      <x:c r="AD316" s="34" t="n">
        <x:v>162</x:v>
      </x:c>
      <x:c r="AE316" s="34" t="n">
        <x:v>211</x:v>
      </x:c>
      <x:c r="AF316" s="34" t="n">
        <x:v>150</x:v>
      </x:c>
      <x:c r="AG316" s="32" t="n">
        <x:v>108.2</x:v>
      </x:c>
      <x:c r="AH316" s="32" t="n">
        <x:v>40.94</x:v>
      </x:c>
      <x:c r="AI316" s="32" t="n">
        <x:v>70.78</x:v>
      </x:c>
      <x:c r="AJ316" s="32" t="n">
        <x:v>79.88</x:v>
      </x:c>
      <x:c r="AK316" s="32" t="n">
        <x:v>-27.38</x:v>
      </x:c>
      <x:c r="AL316" s="32" t="n">
        <x:v>25.19</x:v>
      </x:c>
      <x:c r="AM316" s="32" t="str">
        <x:v>#000000</x:v>
      </x:c>
      <x:c r="AN316" s="32" t="str">
        <x:v>Black</x:v>
      </x:c>
      <x:c r="AO316" s="32" t="n">
        <x:v>12.29</x:v>
      </x:c>
      <x:c r="AP316" s="32" t="n">
        <x:v>12.29</x:v>
      </x:c>
      <x:c r="AQ316" s="32" t="n">
        <x:v>1.71</x:v>
      </x:c>
      <x:c r="AR316" s="32" t="n">
        <x:v>0.564719</x:v>
      </x:c>
      <x:c r="AS316" t="str">
        <x:v>PASS</x:v>
      </x:c>
      <x:c r="AT316" t="str">
        <x:v>--cda-sup-220</x:v>
      </x:c>
      <x:c r="AU316" t="str">
        <x:v>var(--cda-sup-220)</x:v>
      </x:c>
      <x:c r="AV316" t="str">
        <x:v>Median RGB from official PDF swatch (screen reference only)</x:v>
      </x:c>
      <x:c r="AW316" t="str">
        <x:v>https://www.carandache.com/content_files/uploaded_doc/product/11426/Colour_Chart_Supracolor-BD3.pdf</x:v>
      </x:c>
      <x:c r="AX316" t="n">
        <x:v>1</x:v>
      </x:c>
      <x:c r="AY316" t="str">
        <x:v>Official</x:v>
      </x:c>
      <x:c r="AZ316" t="str">
        <x:v>Official where available; curated Traditional Chinese/Japanese otherwise</x:v>
      </x:c>
      <x:c r="BA316" t="str">
        <x:v>Verified from official chart; digital HEX is approximate</x:v>
      </x:c>
      <x:c r="BB316" t="str">
        <x:v>Physical media appearance varies by paper, pressure, layering, water and scan/display profile.</x:v>
      </x:c>
    </x:row>
    <x:row r="317">
      <x:c r="A317" t="str">
        <x:f>G317&amp;"|"&amp;L317</x:f>
        <x:v>SUP|230</x:v>
      </x:c>
      <x:c r="B317" t="str">
        <x:v>b4c3b12f-b2f4-5fe5-9f6d-b60fcf662bc4</x:v>
      </x:c>
      <x:c r="C317" t="str">
        <x:v>CDA-SUP-230</x:v>
      </x:c>
      <x:c r="D317" t="str">
        <x:v>d6bdf492-4bae-524b-9a86-07c3bd564bd9</x:v>
      </x:c>
      <x:c r="E317" t="str">
        <x:v>CDA-CODE-230</x:v>
      </x:c>
      <x:c r="F317" t="str">
        <x:v>Caran d’Ache</x:v>
      </x:c>
      <x:c r="G317" t="str">
        <x:v>SUP</x:v>
      </x:c>
      <x:c r="H317" t="str">
        <x:v>SUPRACOLOR Soft Aquarelle</x:v>
      </x:c>
      <x:c r="I317" t="str">
        <x:v>Water-soluble coloured pencil</x:v>
      </x:c>
      <x:c r="J317" t="str">
        <x:v>Artist</x:v>
      </x:c>
      <x:c r="K317" s="30" t="n">
        <x:v>96</x:v>
      </x:c>
      <x:c r="L317" s="30" t="str">
        <x:v>230</x:v>
      </x:c>
      <x:c r="M317" t="str">
        <x:v>Yellow green</x:v>
      </x:c>
      <x:c r="N317" t="str">
        <x:v>黃綠色</x:v>
      </x:c>
      <x:c r="O317" t="str">
        <x:v>イエローグリーン</x:v>
      </x:c>
      <x:c r="P317" t="str"/>
      <x:c r="Q317" t="str">
        <x:v>Vert Jaune</x:v>
      </x:c>
      <x:c r="R317" t="str">
        <x:v>Gelbgrün</x:v>
      </x:c>
      <x:c r="S317" t="str">
        <x:v>Verde giallo</x:v>
      </x:c>
      <x:c r="T317" t="str">
        <x:v>Verde amarillo</x:v>
      </x:c>
      <x:c r="U317" t="str"/>
      <x:c r="V317" t="str"/>
      <x:c r="W317" t="str"/>
      <x:c r="X317" t="n">
        <x:f>IF(W317="",0,LEN(W317)-LEN(SUBSTITUTE(W317,"/",""))+1)</x:f>
        <x:v>0</x:v>
      </x:c>
      <x:c r="Y317" t="str">
        <x:v>H</x:v>
      </x:c>
      <x:c r="Z317" s="32" t="n">
        <x:v>1.67</x:v>
      </x:c>
      <x:c r="AA317" s="32" t="n">
        <x:v>3</x:v>
      </x:c>
      <x:c r="AB317" s="32" t="str">
        <x:v>Blue Wool Scale / UV 150h</x:v>
      </x:c>
      <x:c r="AC317" t="str">
        <x:v>#CBE08F</x:v>
      </x:c>
      <x:c r="AD317" s="34" t="n">
        <x:v>203</x:v>
      </x:c>
      <x:c r="AE317" s="34" t="n">
        <x:v>224</x:v>
      </x:c>
      <x:c r="AF317" s="34" t="n">
        <x:v>143</x:v>
      </x:c>
      <x:c r="AG317" s="32" t="n">
        <x:v>75.56</x:v>
      </x:c>
      <x:c r="AH317" s="32" t="n">
        <x:v>56.64</x:v>
      </x:c>
      <x:c r="AI317" s="32" t="n">
        <x:v>71.96</x:v>
      </x:c>
      <x:c r="AJ317" s="32" t="n">
        <x:v>86</x:v>
      </x:c>
      <x:c r="AK317" s="32" t="n">
        <x:v>-19.89</x:v>
      </x:c>
      <x:c r="AL317" s="32" t="n">
        <x:v>37.39</x:v>
      </x:c>
      <x:c r="AM317" s="32" t="str">
        <x:v>#000000</x:v>
      </x:c>
      <x:c r="AN317" s="32" t="str">
        <x:v>Black</x:v>
      </x:c>
      <x:c r="AO317" s="32" t="n">
        <x:v>14.6</x:v>
      </x:c>
      <x:c r="AP317" s="32" t="n">
        <x:v>14.6</x:v>
      </x:c>
      <x:c r="AQ317" s="32" t="n">
        <x:v>1.44</x:v>
      </x:c>
      <x:c r="AR317" s="32" t="n">
        <x:v>0.67991</x:v>
      </x:c>
      <x:c r="AS317" t="str">
        <x:v>PASS</x:v>
      </x:c>
      <x:c r="AT317" t="str">
        <x:v>--cda-sup-230</x:v>
      </x:c>
      <x:c r="AU317" t="str">
        <x:v>var(--cda-sup-230)</x:v>
      </x:c>
      <x:c r="AV317" t="str">
        <x:v>Median RGB from official PDF swatch (screen reference only)</x:v>
      </x:c>
      <x:c r="AW317" t="str">
        <x:v>https://www.carandache.com/content_files/uploaded_doc/product/11426/Colour_Chart_Supracolor-BD3.pdf</x:v>
      </x:c>
      <x:c r="AX317" t="n">
        <x:v>1</x:v>
      </x:c>
      <x:c r="AY317" t="str">
        <x:v>Official</x:v>
      </x:c>
      <x:c r="AZ317" t="str">
        <x:v>Official where available; curated Traditional Chinese/Japanese otherwise</x:v>
      </x:c>
      <x:c r="BA317" t="str">
        <x:v>Verified from official chart; digital HEX is approximate</x:v>
      </x:c>
      <x:c r="BB317" t="str">
        <x:v>Physical media appearance varies by paper, pressure, layering, water and scan/display profile.</x:v>
      </x:c>
    </x:row>
    <x:row r="318">
      <x:c r="A318" t="str">
        <x:f>G318&amp;"|"&amp;L318</x:f>
        <x:v>SUP|470</x:v>
      </x:c>
      <x:c r="B318" t="str">
        <x:v>390d3de4-7b3c-516a-84d9-9980cf02a76c</x:v>
      </x:c>
      <x:c r="C318" t="str">
        <x:v>CDA-SUP-470</x:v>
      </x:c>
      <x:c r="D318" t="str">
        <x:v>e5fd455d-0e91-54ba-bac2-04493fa22e11</x:v>
      </x:c>
      <x:c r="E318" t="str">
        <x:v>CDA-CODE-470</x:v>
      </x:c>
      <x:c r="F318" t="str">
        <x:v>Caran d’Ache</x:v>
      </x:c>
      <x:c r="G318" t="str">
        <x:v>SUP</x:v>
      </x:c>
      <x:c r="H318" t="str">
        <x:v>SUPRACOLOR Soft Aquarelle</x:v>
      </x:c>
      <x:c r="I318" t="str">
        <x:v>Water-soluble coloured pencil</x:v>
      </x:c>
      <x:c r="J318" t="str">
        <x:v>Artist</x:v>
      </x:c>
      <x:c r="K318" s="30" t="n">
        <x:v>97</x:v>
      </x:c>
      <x:c r="L318" s="30" t="str">
        <x:v>470</x:v>
      </x:c>
      <x:c r="M318" t="str">
        <x:v>Spring green</x:v>
      </x:c>
      <x:c r="N318" t="str">
        <x:v>春綠色</x:v>
      </x:c>
      <x:c r="O318" t="str">
        <x:v>スプリンググリーン</x:v>
      </x:c>
      <x:c r="P318" t="str"/>
      <x:c r="Q318" t="str">
        <x:v>Vert de mai</x:v>
      </x:c>
      <x:c r="R318" t="str">
        <x:v>Maigrün</x:v>
      </x:c>
      <x:c r="S318" t="str">
        <x:v>Verde primavera</x:v>
      </x:c>
      <x:c r="T318" t="str">
        <x:v>Verde de mayo</x:v>
      </x:c>
      <x:c r="U318" t="str"/>
      <x:c r="V318" t="str"/>
      <x:c r="W318" t="str"/>
      <x:c r="X318" t="n">
        <x:f>IF(W318="",0,LEN(W318)-LEN(SUBSTITUTE(W318,"/",""))+1)</x:f>
        <x:v>0</x:v>
      </x:c>
      <x:c r="Y318" t="str">
        <x:v>H</x:v>
      </x:c>
      <x:c r="Z318" s="32" t="n">
        <x:v>1.67</x:v>
      </x:c>
      <x:c r="AA318" s="32" t="n">
        <x:v>3</x:v>
      </x:c>
      <x:c r="AB318" s="32" t="str">
        <x:v>Blue Wool Scale / UV 150h</x:v>
      </x:c>
      <x:c r="AC318" t="str">
        <x:v>#F0EE9A</x:v>
      </x:c>
      <x:c r="AD318" s="34" t="n">
        <x:v>240</x:v>
      </x:c>
      <x:c r="AE318" s="34" t="n">
        <x:v>238</x:v>
      </x:c>
      <x:c r="AF318" s="34" t="n">
        <x:v>154</x:v>
      </x:c>
      <x:c r="AG318" s="32" t="n">
        <x:v>58.6</x:v>
      </x:c>
      <x:c r="AH318" s="32" t="n">
        <x:v>74.14</x:v>
      </x:c>
      <x:c r="AI318" s="32" t="n">
        <x:v>77.25</x:v>
      </x:c>
      <x:c r="AJ318" s="32" t="n">
        <x:v>92.58</x:v>
      </x:c>
      <x:c r="AK318" s="32" t="n">
        <x:v>-11.5</x:v>
      </x:c>
      <x:c r="AL318" s="32" t="n">
        <x:v>40.94</x:v>
      </x:c>
      <x:c r="AM318" s="32" t="str">
        <x:v>#000000</x:v>
      </x:c>
      <x:c r="AN318" s="32" t="str">
        <x:v>Black</x:v>
      </x:c>
      <x:c r="AO318" s="32" t="n">
        <x:v>17.4</x:v>
      </x:c>
      <x:c r="AP318" s="32" t="n">
        <x:v>17.4</x:v>
      </x:c>
      <x:c r="AQ318" s="32" t="n">
        <x:v>1.21</x:v>
      </x:c>
      <x:c r="AR318" s="32" t="n">
        <x:v>0.820074</x:v>
      </x:c>
      <x:c r="AS318" t="str">
        <x:v>PASS</x:v>
      </x:c>
      <x:c r="AT318" t="str">
        <x:v>--cda-sup-470</x:v>
      </x:c>
      <x:c r="AU318" t="str">
        <x:v>var(--cda-sup-470)</x:v>
      </x:c>
      <x:c r="AV318" t="str">
        <x:v>Median RGB from official PDF swatch (screen reference only)</x:v>
      </x:c>
      <x:c r="AW318" t="str">
        <x:v>https://www.carandache.com/content_files/uploaded_doc/product/11426/Colour_Chart_Supracolor-BD3.pdf</x:v>
      </x:c>
      <x:c r="AX318" t="n">
        <x:v>1</x:v>
      </x:c>
      <x:c r="AY318" t="str">
        <x:v>Official</x:v>
      </x:c>
      <x:c r="AZ318" t="str">
        <x:v>Official where available; curated Traditional Chinese/Japanese otherwise</x:v>
      </x:c>
      <x:c r="BA318" t="str">
        <x:v>Verified from official chart; digital HEX is approximate</x:v>
      </x:c>
      <x:c r="BB318" t="str">
        <x:v>Physical media appearance varies by paper, pressure, layering, water and scan/display profile.</x:v>
      </x:c>
    </x:row>
    <x:row r="319">
      <x:c r="A319" t="str">
        <x:f>G319&amp;"|"&amp;L319</x:f>
        <x:v>SUP|231</x:v>
      </x:c>
      <x:c r="B319" t="str">
        <x:v>4795d897-dbb4-538f-b549-41d13318141f</x:v>
      </x:c>
      <x:c r="C319" t="str">
        <x:v>CDA-SUP-231</x:v>
      </x:c>
      <x:c r="D319" t="str">
        <x:v>8d5c3121-4cf0-53c5-8e3b-540d6f1e1304</x:v>
      </x:c>
      <x:c r="E319" t="str">
        <x:v>CDA-CODE-231</x:v>
      </x:c>
      <x:c r="F319" t="str">
        <x:v>Caran d’Ache</x:v>
      </x:c>
      <x:c r="G319" t="str">
        <x:v>SUP</x:v>
      </x:c>
      <x:c r="H319" t="str">
        <x:v>SUPRACOLOR Soft Aquarelle</x:v>
      </x:c>
      <x:c r="I319" t="str">
        <x:v>Water-soluble coloured pencil</x:v>
      </x:c>
      <x:c r="J319" t="str">
        <x:v>Artist</x:v>
      </x:c>
      <x:c r="K319" s="30" t="n">
        <x:v>98</x:v>
      </x:c>
      <x:c r="L319" s="30" t="str">
        <x:v>231</x:v>
      </x:c>
      <x:c r="M319" t="str">
        <x:v>Lime green</x:v>
      </x:c>
      <x:c r="N319" t="str">
        <x:v>萊姆綠</x:v>
      </x:c>
      <x:c r="O319" t="str">
        <x:v>ライムグリーン</x:v>
      </x:c>
      <x:c r="P319" t="str"/>
      <x:c r="Q319" t="str">
        <x:v>Vert tilleul</x:v>
      </x:c>
      <x:c r="R319" t="str">
        <x:v>Lindengrün</x:v>
      </x:c>
      <x:c r="S319" t="str">
        <x:v>Verde tiglio</x:v>
      </x:c>
      <x:c r="T319" t="str">
        <x:v>Verde tilo</x:v>
      </x:c>
      <x:c r="U319" t="str"/>
      <x:c r="V319" t="str"/>
      <x:c r="W319" t="str"/>
      <x:c r="X319" t="n">
        <x:f>IF(W319="",0,LEN(W319)-LEN(SUBSTITUTE(W319,"/",""))+1)</x:f>
        <x:v>0</x:v>
      </x:c>
      <x:c r="Y319" t="str">
        <x:v>H</x:v>
      </x:c>
      <x:c r="Z319" s="32" t="n">
        <x:v>1.67</x:v>
      </x:c>
      <x:c r="AA319" s="32" t="n">
        <x:v>3</x:v>
      </x:c>
      <x:c r="AB319" s="32" t="str">
        <x:v>Blue Wool Scale / UV 150h</x:v>
      </x:c>
      <x:c r="AC319" t="str">
        <x:v>#F1F2BA</x:v>
      </x:c>
      <x:c r="AD319" s="34" t="n">
        <x:v>241</x:v>
      </x:c>
      <x:c r="AE319" s="34" t="n">
        <x:v>242</x:v>
      </x:c>
      <x:c r="AF319" s="34" t="n">
        <x:v>186</x:v>
      </x:c>
      <x:c r="AG319" s="32" t="n">
        <x:v>61.07</x:v>
      </x:c>
      <x:c r="AH319" s="32" t="n">
        <x:v>68.29</x:v>
      </x:c>
      <x:c r="AI319" s="32" t="n">
        <x:v>83.92</x:v>
      </x:c>
      <x:c r="AJ319" s="32" t="n">
        <x:v>94.21</x:v>
      </x:c>
      <x:c r="AK319" s="32" t="n">
        <x:v>-9.14</x:v>
      </x:c>
      <x:c r="AL319" s="32" t="n">
        <x:v>27.01</x:v>
      </x:c>
      <x:c r="AM319" s="32" t="str">
        <x:v>#000000</x:v>
      </x:c>
      <x:c r="AN319" s="32" t="str">
        <x:v>Black</x:v>
      </x:c>
      <x:c r="AO319" s="32" t="n">
        <x:v>18.15</x:v>
      </x:c>
      <x:c r="AP319" s="32" t="n">
        <x:v>18.15</x:v>
      </x:c>
      <x:c r="AQ319" s="32" t="n">
        <x:v>1.16</x:v>
      </x:c>
      <x:c r="AR319" s="32" t="n">
        <x:v>0.857502</x:v>
      </x:c>
      <x:c r="AS319" t="str">
        <x:v>PASS</x:v>
      </x:c>
      <x:c r="AT319" t="str">
        <x:v>--cda-sup-231</x:v>
      </x:c>
      <x:c r="AU319" t="str">
        <x:v>var(--cda-sup-231)</x:v>
      </x:c>
      <x:c r="AV319" t="str">
        <x:v>Median RGB from official PDF swatch (screen reference only)</x:v>
      </x:c>
      <x:c r="AW319" t="str">
        <x:v>https://www.carandache.com/content_files/uploaded_doc/product/11426/Colour_Chart_Supracolor-BD3.pdf</x:v>
      </x:c>
      <x:c r="AX319" t="n">
        <x:v>1</x:v>
      </x:c>
      <x:c r="AY319" t="str">
        <x:v>Official</x:v>
      </x:c>
      <x:c r="AZ319" t="str">
        <x:v>Official where available; curated Traditional Chinese/Japanese otherwise</x:v>
      </x:c>
      <x:c r="BA319" t="str">
        <x:v>Verified from official chart; digital HEX is approximate</x:v>
      </x:c>
      <x:c r="BB319" t="str">
        <x:v>Physical media appearance varies by paper, pressure, layering, water and scan/display profile.</x:v>
      </x:c>
    </x:row>
    <x:row r="320">
      <x:c r="A320" t="str">
        <x:f>G320&amp;"|"&amp;L320</x:f>
        <x:v>SUP|221</x:v>
      </x:c>
      <x:c r="B320" t="str">
        <x:v>678686e6-0ee6-5feb-b946-afef056e4341</x:v>
      </x:c>
      <x:c r="C320" t="str">
        <x:v>CDA-SUP-221</x:v>
      </x:c>
      <x:c r="D320" t="str">
        <x:v>115b9877-af13-5144-8904-8e991327a83a</x:v>
      </x:c>
      <x:c r="E320" t="str">
        <x:v>CDA-CODE-221</x:v>
      </x:c>
      <x:c r="F320" t="str">
        <x:v>Caran d’Ache</x:v>
      </x:c>
      <x:c r="G320" t="str">
        <x:v>SUP</x:v>
      </x:c>
      <x:c r="H320" t="str">
        <x:v>SUPRACOLOR Soft Aquarelle</x:v>
      </x:c>
      <x:c r="I320" t="str">
        <x:v>Water-soluble coloured pencil</x:v>
      </x:c>
      <x:c r="J320" t="str">
        <x:v>Artist</x:v>
      </x:c>
      <x:c r="K320" s="30" t="n">
        <x:v>99</x:v>
      </x:c>
      <x:c r="L320" s="30" t="str">
        <x:v>221</x:v>
      </x:c>
      <x:c r="M320" t="str">
        <x:v>Light green</x:v>
      </x:c>
      <x:c r="N320" t="str">
        <x:v>淺綠色</x:v>
      </x:c>
      <x:c r="O320" t="str">
        <x:v>ライトグリーン</x:v>
      </x:c>
      <x:c r="P320" t="str"/>
      <x:c r="Q320" t="str">
        <x:v>Vert clair</x:v>
      </x:c>
      <x:c r="R320" t="str">
        <x:v>Hellgrün</x:v>
      </x:c>
      <x:c r="S320" t="str">
        <x:v>Verde chiaro</x:v>
      </x:c>
      <x:c r="T320" t="str">
        <x:v>Verde claro</x:v>
      </x:c>
      <x:c r="U320" t="str"/>
      <x:c r="V320" t="str"/>
      <x:c r="W320" t="str"/>
      <x:c r="X320" t="n">
        <x:f>IF(W320="",0,LEN(W320)-LEN(SUBSTITUTE(W320,"/",""))+1)</x:f>
        <x:v>0</x:v>
      </x:c>
      <x:c r="Y320" t="str">
        <x:v>H</x:v>
      </x:c>
      <x:c r="Z320" s="32" t="n">
        <x:v>1.67</x:v>
      </x:c>
      <x:c r="AA320" s="32" t="n">
        <x:v>3</x:v>
      </x:c>
      <x:c r="AB320" s="32" t="str">
        <x:v>Blue Wool Scale / UV 150h</x:v>
      </x:c>
      <x:c r="AC320" t="str">
        <x:v>#D5E49D</x:v>
      </x:c>
      <x:c r="AD320" s="34" t="n">
        <x:v>213</x:v>
      </x:c>
      <x:c r="AE320" s="34" t="n">
        <x:v>228</x:v>
      </x:c>
      <x:c r="AF320" s="34" t="n">
        <x:v>157</x:v>
      </x:c>
      <x:c r="AG320" s="32" t="n">
        <x:v>72.68</x:v>
      </x:c>
      <x:c r="AH320" s="32" t="n">
        <x:v>56.8</x:v>
      </x:c>
      <x:c r="AI320" s="32" t="n">
        <x:v>75.49</x:v>
      </x:c>
      <x:c r="AJ320" s="32" t="n">
        <x:v>88</x:v>
      </x:c>
      <x:c r="AK320" s="32" t="n">
        <x:v>-16.36</x:v>
      </x:c>
      <x:c r="AL320" s="32" t="n">
        <x:v>33.06</x:v>
      </x:c>
      <x:c r="AM320" s="32" t="str">
        <x:v>#000000</x:v>
      </x:c>
      <x:c r="AN320" s="32" t="str">
        <x:v>Black</x:v>
      </x:c>
      <x:c r="AO320" s="32" t="n">
        <x:v>15.41</x:v>
      </x:c>
      <x:c r="AP320" s="32" t="n">
        <x:v>15.41</x:v>
      </x:c>
      <x:c r="AQ320" s="32" t="n">
        <x:v>1.36</x:v>
      </x:c>
      <x:c r="AR320" s="32" t="n">
        <x:v>0.720673</x:v>
      </x:c>
      <x:c r="AS320" t="str">
        <x:v>PASS</x:v>
      </x:c>
      <x:c r="AT320" t="str">
        <x:v>--cda-sup-221</x:v>
      </x:c>
      <x:c r="AU320" t="str">
        <x:v>var(--cda-sup-221)</x:v>
      </x:c>
      <x:c r="AV320" t="str">
        <x:v>Median RGB from official PDF swatch (screen reference only)</x:v>
      </x:c>
      <x:c r="AW320" t="str">
        <x:v>https://www.carandache.com/content_files/uploaded_doc/product/11426/Colour_Chart_Supracolor-BD3.pdf</x:v>
      </x:c>
      <x:c r="AX320" t="n">
        <x:v>1</x:v>
      </x:c>
      <x:c r="AY320" t="str">
        <x:v>Official</x:v>
      </x:c>
      <x:c r="AZ320" t="str">
        <x:v>Official where available; curated Traditional Chinese/Japanese otherwise</x:v>
      </x:c>
      <x:c r="BA320" t="str">
        <x:v>Verified from official chart; digital HEX is approximate</x:v>
      </x:c>
      <x:c r="BB320" t="str">
        <x:v>Physical media appearance varies by paper, pressure, layering, water and scan/display profile.</x:v>
      </x:c>
    </x:row>
    <x:row r="321">
      <x:c r="A321" t="str">
        <x:f>G321&amp;"|"&amp;L321</x:f>
        <x:v>SUP|241</x:v>
      </x:c>
      <x:c r="B321" t="str">
        <x:v>f6d2b5e8-d0a7-5d07-80fc-095a6d6c2c0c</x:v>
      </x:c>
      <x:c r="C321" t="str">
        <x:v>CDA-SUP-241</x:v>
      </x:c>
      <x:c r="D321" t="str">
        <x:v>1c68f8d1-8f6d-5e99-9049-4955fb2973de</x:v>
      </x:c>
      <x:c r="E321" t="str">
        <x:v>CDA-CODE-241</x:v>
      </x:c>
      <x:c r="F321" t="str">
        <x:v>Caran d’Ache</x:v>
      </x:c>
      <x:c r="G321" t="str">
        <x:v>SUP</x:v>
      </x:c>
      <x:c r="H321" t="str">
        <x:v>SUPRACOLOR Soft Aquarelle</x:v>
      </x:c>
      <x:c r="I321" t="str">
        <x:v>Water-soluble coloured pencil</x:v>
      </x:c>
      <x:c r="J321" t="str">
        <x:v>Artist</x:v>
      </x:c>
      <x:c r="K321" s="30" t="n">
        <x:v>100</x:v>
      </x:c>
      <x:c r="L321" s="30" t="str">
        <x:v>241</x:v>
      </x:c>
      <x:c r="M321" t="str">
        <x:v>Light lemon yellow</x:v>
      </x:c>
      <x:c r="N321" t="str">
        <x:v>淺檸檬黃</x:v>
      </x:c>
      <x:c r="O321" t="str">
        <x:v>ライトレモンイエロー</x:v>
      </x:c>
      <x:c r="P321" t="str"/>
      <x:c r="Q321" t="str">
        <x:v>Jaune citron clair</x:v>
      </x:c>
      <x:c r="R321" t="str">
        <x:v>Hellzitronengelb</x:v>
      </x:c>
      <x:c r="S321" t="str">
        <x:v>Giallo limone chiaro</x:v>
      </x:c>
      <x:c r="T321" t="str">
        <x:v>Amarilo limón claro</x:v>
      </x:c>
      <x:c r="U321" t="str"/>
      <x:c r="V321" t="str"/>
      <x:c r="W321" t="str"/>
      <x:c r="X321" t="n">
        <x:f>IF(W321="",0,LEN(W321)-LEN(SUBSTITUTE(W321,"/",""))+1)</x:f>
        <x:v>0</x:v>
      </x:c>
      <x:c r="Y321" t="str">
        <x:v>H</x:v>
      </x:c>
      <x:c r="Z321" s="32" t="n">
        <x:v>1.67</x:v>
      </x:c>
      <x:c r="AA321" s="32" t="n">
        <x:v>3</x:v>
      </x:c>
      <x:c r="AB321" s="32" t="str">
        <x:v>Blue Wool Scale / UV 150h</x:v>
      </x:c>
      <x:c r="AC321" t="str">
        <x:v>#FAF5C6</x:v>
      </x:c>
      <x:c r="AD321" s="34" t="n">
        <x:v>250</x:v>
      </x:c>
      <x:c r="AE321" s="34" t="n">
        <x:v>245</x:v>
      </x:c>
      <x:c r="AF321" s="34" t="n">
        <x:v>198</x:v>
      </x:c>
      <x:c r="AG321" s="32" t="n">
        <x:v>54.23</x:v>
      </x:c>
      <x:c r="AH321" s="32" t="n">
        <x:v>83.87</x:v>
      </x:c>
      <x:c r="AI321" s="32" t="n">
        <x:v>87.84</x:v>
      </x:c>
      <x:c r="AJ321" s="32" t="n">
        <x:v>95.88</x:v>
      </x:c>
      <x:c r="AK321" s="32" t="n">
        <x:v>-5.71</x:v>
      </x:c>
      <x:c r="AL321" s="32" t="n">
        <x:v>23.29</x:v>
      </x:c>
      <x:c r="AM321" s="32" t="str">
        <x:v>#000000</x:v>
      </x:c>
      <x:c r="AN321" s="32" t="str">
        <x:v>Black</x:v>
      </x:c>
      <x:c r="AO321" s="32" t="n">
        <x:v>18.94</x:v>
      </x:c>
      <x:c r="AP321" s="32" t="n">
        <x:v>18.94</x:v>
      </x:c>
      <x:c r="AQ321" s="32" t="n">
        <x:v>1.11</x:v>
      </x:c>
      <x:c r="AR321" s="32" t="n">
        <x:v>0.89706</x:v>
      </x:c>
      <x:c r="AS321" t="str">
        <x:v>PASS</x:v>
      </x:c>
      <x:c r="AT321" t="str">
        <x:v>--cda-sup-241</x:v>
      </x:c>
      <x:c r="AU321" t="str">
        <x:v>var(--cda-sup-241)</x:v>
      </x:c>
      <x:c r="AV321" t="str">
        <x:v>Median RGB from official PDF swatch (screen reference only)</x:v>
      </x:c>
      <x:c r="AW321" t="str">
        <x:v>https://www.carandache.com/content_files/uploaded_doc/product/11426/Colour_Chart_Supracolor-BD3.pdf</x:v>
      </x:c>
      <x:c r="AX321" t="n">
        <x:v>1</x:v>
      </x:c>
      <x:c r="AY321" t="str">
        <x:v>Official</x:v>
      </x:c>
      <x:c r="AZ321" t="str">
        <x:v>Official where available; curated Traditional Chinese/Japanese otherwise</x:v>
      </x:c>
      <x:c r="BA321" t="str">
        <x:v>Verified from official chart; digital HEX is approximate</x:v>
      </x:c>
      <x:c r="BB321" t="str">
        <x:v>Physical media appearance varies by paper, pressure, layering, water and scan/display profile.</x:v>
      </x:c>
    </x:row>
    <x:row r="322">
      <x:c r="A322" t="str">
        <x:f>G322&amp;"|"&amp;L322</x:f>
        <x:v>SUP|015</x:v>
      </x:c>
      <x:c r="B322" t="str">
        <x:v>4f76391f-2eb7-5678-8635-35226a353446</x:v>
      </x:c>
      <x:c r="C322" t="str">
        <x:v>CDA-SUP-015</x:v>
      </x:c>
      <x:c r="D322" t="str">
        <x:v>f8bcbda9-5354-53c7-b875-44dc8d27a8ac</x:v>
      </x:c>
      <x:c r="E322" t="str">
        <x:v>CDA-CODE-015</x:v>
      </x:c>
      <x:c r="F322" t="str">
        <x:v>Caran d’Ache</x:v>
      </x:c>
      <x:c r="G322" t="str">
        <x:v>SUP</x:v>
      </x:c>
      <x:c r="H322" t="str">
        <x:v>SUPRACOLOR Soft Aquarelle</x:v>
      </x:c>
      <x:c r="I322" t="str">
        <x:v>Water-soluble coloured pencil</x:v>
      </x:c>
      <x:c r="J322" t="str">
        <x:v>Artist</x:v>
      </x:c>
      <x:c r="K322" s="30" t="n">
        <x:v>101</x:v>
      </x:c>
      <x:c r="L322" s="30" t="str">
        <x:v>015</x:v>
      </x:c>
      <x:c r="M322" t="str">
        <x:v>Olive yellow</x:v>
      </x:c>
      <x:c r="N322" t="str">
        <x:v>橄欖黃</x:v>
      </x:c>
      <x:c r="O322" t="str">
        <x:v>オリーブイエロー</x:v>
      </x:c>
      <x:c r="P322" t="str"/>
      <x:c r="Q322" t="str">
        <x:v>Jaune olive</x:v>
      </x:c>
      <x:c r="R322" t="str">
        <x:v>Gelboliv</x:v>
      </x:c>
      <x:c r="S322" t="str">
        <x:v>Giallo oliva</x:v>
      </x:c>
      <x:c r="T322" t="str">
        <x:v>Amarillo oliva</x:v>
      </x:c>
      <x:c r="U322" t="str"/>
      <x:c r="V322" t="str"/>
      <x:c r="W322" t="str"/>
      <x:c r="X322" t="n">
        <x:f>IF(W322="",0,LEN(W322)-LEN(SUBSTITUTE(W322,"/",""))+1)</x:f>
        <x:v>0</x:v>
      </x:c>
      <x:c r="Y322" t="str">
        <x:v>H</x:v>
      </x:c>
      <x:c r="Z322" s="32" t="n">
        <x:v>1.67</x:v>
      </x:c>
      <x:c r="AA322" s="32" t="n">
        <x:v>3</x:v>
      </x:c>
      <x:c r="AB322" s="32" t="str">
        <x:v>Blue Wool Scale / UV 150h</x:v>
      </x:c>
      <x:c r="AC322" t="str">
        <x:v>#E9EA89</x:v>
      </x:c>
      <x:c r="AD322" s="34" t="n">
        <x:v>233</x:v>
      </x:c>
      <x:c r="AE322" s="34" t="n">
        <x:v>234</x:v>
      </x:c>
      <x:c r="AF322" s="34" t="n">
        <x:v>137</x:v>
      </x:c>
      <x:c r="AG322" s="32" t="n">
        <x:v>60.62</x:v>
      </x:c>
      <x:c r="AH322" s="32" t="n">
        <x:v>69.78</x:v>
      </x:c>
      <x:c r="AI322" s="32" t="n">
        <x:v>72.75</x:v>
      </x:c>
      <x:c r="AJ322" s="32" t="n">
        <x:v>90.77</x:v>
      </x:c>
      <x:c r="AK322" s="32" t="n">
        <x:v>-14.02</x:v>
      </x:c>
      <x:c r="AL322" s="32" t="n">
        <x:v>46.88</x:v>
      </x:c>
      <x:c r="AM322" s="32" t="str">
        <x:v>#000000</x:v>
      </x:c>
      <x:c r="AN322" s="32" t="str">
        <x:v>Black</x:v>
      </x:c>
      <x:c r="AO322" s="32" t="n">
        <x:v>16.6</x:v>
      </x:c>
      <x:c r="AP322" s="32" t="n">
        <x:v>16.6</x:v>
      </x:c>
      <x:c r="AQ322" s="32" t="n">
        <x:v>1.27</x:v>
      </x:c>
      <x:c r="AR322" s="32" t="n">
        <x:v>0.779754</x:v>
      </x:c>
      <x:c r="AS322" t="str">
        <x:v>PASS</x:v>
      </x:c>
      <x:c r="AT322" t="str">
        <x:v>--cda-sup-015</x:v>
      </x:c>
      <x:c r="AU322" t="str">
        <x:v>var(--cda-sup-015)</x:v>
      </x:c>
      <x:c r="AV322" t="str">
        <x:v>Median RGB from official PDF swatch (screen reference only)</x:v>
      </x:c>
      <x:c r="AW322" t="str">
        <x:v>https://www.carandache.com/content_files/uploaded_doc/product/11426/Colour_Chart_Supracolor-BD3.pdf</x:v>
      </x:c>
      <x:c r="AX322" t="n">
        <x:v>1</x:v>
      </x:c>
      <x:c r="AY322" t="str">
        <x:v>Official</x:v>
      </x:c>
      <x:c r="AZ322" t="str">
        <x:v>Official where available; curated Traditional Chinese/Japanese otherwise</x:v>
      </x:c>
      <x:c r="BA322" t="str">
        <x:v>Verified from official chart; digital HEX is approximate</x:v>
      </x:c>
      <x:c r="BB322" t="str">
        <x:v>Physical media appearance varies by paper, pressure, layering, water and scan/display profile.</x:v>
      </x:c>
    </x:row>
    <x:row r="323">
      <x:c r="A323" t="str">
        <x:f>G323&amp;"|"&amp;L323</x:f>
        <x:v>SUP|016</x:v>
      </x:c>
      <x:c r="B323" t="str">
        <x:v>c41e77e8-1564-5688-a46b-2e639e5c116e</x:v>
      </x:c>
      <x:c r="C323" t="str">
        <x:v>CDA-SUP-016</x:v>
      </x:c>
      <x:c r="D323" t="str">
        <x:v>142b8587-6f76-59f4-b9e7-6d449f85360f</x:v>
      </x:c>
      <x:c r="E323" t="str">
        <x:v>CDA-CODE-016</x:v>
      </x:c>
      <x:c r="F323" t="str">
        <x:v>Caran d’Ache</x:v>
      </x:c>
      <x:c r="G323" t="str">
        <x:v>SUP</x:v>
      </x:c>
      <x:c r="H323" t="str">
        <x:v>SUPRACOLOR Soft Aquarelle</x:v>
      </x:c>
      <x:c r="I323" t="str">
        <x:v>Water-soluble coloured pencil</x:v>
      </x:c>
      <x:c r="J323" t="str">
        <x:v>Artist</x:v>
      </x:c>
      <x:c r="K323" s="30" t="n">
        <x:v>102</x:v>
      </x:c>
      <x:c r="L323" s="30" t="str">
        <x:v>016</x:v>
      </x:c>
      <x:c r="M323" t="str">
        <x:v>Khaki green</x:v>
      </x:c>
      <x:c r="N323" t="str">
        <x:v>卡其綠</x:v>
      </x:c>
      <x:c r="O323" t="str">
        <x:v>カーキグリーン</x:v>
      </x:c>
      <x:c r="P323" t="str"/>
      <x:c r="Q323" t="str">
        <x:v>Vert kaki</x:v>
      </x:c>
      <x:c r="R323" t="str">
        <x:v>Khakigrün</x:v>
      </x:c>
      <x:c r="S323" t="str">
        <x:v>Verde cachi</x:v>
      </x:c>
      <x:c r="T323" t="str">
        <x:v>Verde caqui</x:v>
      </x:c>
      <x:c r="U323" t="str"/>
      <x:c r="V323" t="str"/>
      <x:c r="W323" t="str"/>
      <x:c r="X323" t="n">
        <x:f>IF(W323="",0,LEN(W323)-LEN(SUBSTITUTE(W323,"/",""))+1)</x:f>
        <x:v>0</x:v>
      </x:c>
      <x:c r="Y323" t="str">
        <x:v>H</x:v>
      </x:c>
      <x:c r="Z323" s="32" t="n">
        <x:v>1.67</x:v>
      </x:c>
      <x:c r="AA323" s="32" t="n">
        <x:v>3</x:v>
      </x:c>
      <x:c r="AB323" s="32" t="str">
        <x:v>Blue Wool Scale / UV 150h</x:v>
      </x:c>
      <x:c r="AC323" t="str">
        <x:v>#EDE889</x:v>
      </x:c>
      <x:c r="AD323" s="34" t="n">
        <x:v>237</x:v>
      </x:c>
      <x:c r="AE323" s="34" t="n">
        <x:v>232</x:v>
      </x:c>
      <x:c r="AF323" s="34" t="n">
        <x:v>137</x:v>
      </x:c>
      <x:c r="AG323" s="32" t="n">
        <x:v>57</x:v>
      </x:c>
      <x:c r="AH323" s="32" t="n">
        <x:v>73.53</x:v>
      </x:c>
      <x:c r="AI323" s="32" t="n">
        <x:v>73.33</x:v>
      </x:c>
      <x:c r="AJ323" s="32" t="n">
        <x:v>90.56</x:v>
      </x:c>
      <x:c r="AK323" s="32" t="n">
        <x:v>-11.48</x:v>
      </x:c>
      <x:c r="AL323" s="32" t="n">
        <x:v>46.69</x:v>
      </x:c>
      <x:c r="AM323" s="32" t="str">
        <x:v>#000000</x:v>
      </x:c>
      <x:c r="AN323" s="32" t="str">
        <x:v>Black</x:v>
      </x:c>
      <x:c r="AO323" s="32" t="n">
        <x:v>16.5</x:v>
      </x:c>
      <x:c r="AP323" s="32" t="n">
        <x:v>16.5</x:v>
      </x:c>
      <x:c r="AQ323" s="32" t="n">
        <x:v>1.27</x:v>
      </x:c>
      <x:c r="AR323" s="32" t="n">
        <x:v>0.775239</x:v>
      </x:c>
      <x:c r="AS323" t="str">
        <x:v>PASS</x:v>
      </x:c>
      <x:c r="AT323" t="str">
        <x:v>--cda-sup-016</x:v>
      </x:c>
      <x:c r="AU323" t="str">
        <x:v>var(--cda-sup-016)</x:v>
      </x:c>
      <x:c r="AV323" t="str">
        <x:v>Median RGB from official PDF swatch (screen reference only)</x:v>
      </x:c>
      <x:c r="AW323" t="str">
        <x:v>https://www.carandache.com/content_files/uploaded_doc/product/11426/Colour_Chart_Supracolor-BD3.pdf</x:v>
      </x:c>
      <x:c r="AX323" t="n">
        <x:v>1</x:v>
      </x:c>
      <x:c r="AY323" t="str">
        <x:v>Official</x:v>
      </x:c>
      <x:c r="AZ323" t="str">
        <x:v>Official where available; curated Traditional Chinese/Japanese otherwise</x:v>
      </x:c>
      <x:c r="BA323" t="str">
        <x:v>Verified from official chart; digital HEX is approximate</x:v>
      </x:c>
      <x:c r="BB323" t="str">
        <x:v>Physical media appearance varies by paper, pressure, layering, water and scan/display profile.</x:v>
      </x:c>
    </x:row>
    <x:row r="324">
      <x:c r="A324" t="str">
        <x:f>G324&amp;"|"&amp;L324</x:f>
        <x:v>SUP|245</x:v>
      </x:c>
      <x:c r="B324" t="str">
        <x:v>e069e31f-0b28-5d19-80b5-503ddf0c7eda</x:v>
      </x:c>
      <x:c r="C324" t="str">
        <x:v>CDA-SUP-245</x:v>
      </x:c>
      <x:c r="D324" t="str">
        <x:v>592280bd-2cc9-5bea-bb70-ba5d26898542</x:v>
      </x:c>
      <x:c r="E324" t="str">
        <x:v>CDA-CODE-245</x:v>
      </x:c>
      <x:c r="F324" t="str">
        <x:v>Caran d’Ache</x:v>
      </x:c>
      <x:c r="G324" t="str">
        <x:v>SUP</x:v>
      </x:c>
      <x:c r="H324" t="str">
        <x:v>SUPRACOLOR Soft Aquarelle</x:v>
      </x:c>
      <x:c r="I324" t="str">
        <x:v>Water-soluble coloured pencil</x:v>
      </x:c>
      <x:c r="J324" t="str">
        <x:v>Artist</x:v>
      </x:c>
      <x:c r="K324" s="30" t="n">
        <x:v>103</x:v>
      </x:c>
      <x:c r="L324" s="30" t="str">
        <x:v>245</x:v>
      </x:c>
      <x:c r="M324" t="str">
        <x:v>Light olive</x:v>
      </x:c>
      <x:c r="N324" t="str">
        <x:v>淺橄欖色</x:v>
      </x:c>
      <x:c r="O324" t="str">
        <x:v>ライトオリーブ</x:v>
      </x:c>
      <x:c r="P324" t="str"/>
      <x:c r="Q324" t="str">
        <x:v>Olive clair</x:v>
      </x:c>
      <x:c r="R324" t="str">
        <x:v>Helloliv</x:v>
      </x:c>
      <x:c r="S324" t="str">
        <x:v>Oliva chiaro</x:v>
      </x:c>
      <x:c r="T324" t="str">
        <x:v>Oliva claro</x:v>
      </x:c>
      <x:c r="U324" t="str"/>
      <x:c r="V324" t="str"/>
      <x:c r="W324" t="str"/>
      <x:c r="X324" t="n">
        <x:f>IF(W324="",0,LEN(W324)-LEN(SUBSTITUTE(W324,"/",""))+1)</x:f>
        <x:v>0</x:v>
      </x:c>
      <x:c r="Y324" t="str">
        <x:v>H</x:v>
      </x:c>
      <x:c r="Z324" s="32" t="n">
        <x:v>1.67</x:v>
      </x:c>
      <x:c r="AA324" s="32" t="n">
        <x:v>3</x:v>
      </x:c>
      <x:c r="AB324" s="32" t="str">
        <x:v>Blue Wool Scale / UV 150h</x:v>
      </x:c>
      <x:c r="AC324" t="str">
        <x:v>#EEED95</x:v>
      </x:c>
      <x:c r="AD324" s="34" t="n">
        <x:v>238</x:v>
      </x:c>
      <x:c r="AE324" s="34" t="n">
        <x:v>237</x:v>
      </x:c>
      <x:c r="AF324" s="34" t="n">
        <x:v>149</x:v>
      </x:c>
      <x:c r="AG324" s="32" t="n">
        <x:v>59.33</x:v>
      </x:c>
      <x:c r="AH324" s="32" t="n">
        <x:v>72.36</x:v>
      </x:c>
      <x:c r="AI324" s="32" t="n">
        <x:v>75.88</x:v>
      </x:c>
      <x:c r="AJ324" s="32" t="n">
        <x:v>92.09</x:v>
      </x:c>
      <x:c r="AK324" s="32" t="n">
        <x:v>-12.32</x:v>
      </x:c>
      <x:c r="AL324" s="32" t="n">
        <x:v>42.76</x:v>
      </x:c>
      <x:c r="AM324" s="32" t="str">
        <x:v>#000000</x:v>
      </x:c>
      <x:c r="AN324" s="32" t="str">
        <x:v>Black</x:v>
      </x:c>
      <x:c r="AO324" s="32" t="n">
        <x:v>17.18</x:v>
      </x:c>
      <x:c r="AP324" s="32" t="n">
        <x:v>17.18</x:v>
      </x:c>
      <x:c r="AQ324" s="32" t="n">
        <x:v>1.22</x:v>
      </x:c>
      <x:c r="AR324" s="32" t="n">
        <x:v>0.809154</x:v>
      </x:c>
      <x:c r="AS324" t="str">
        <x:v>PASS</x:v>
      </x:c>
      <x:c r="AT324" t="str">
        <x:v>--cda-sup-245</x:v>
      </x:c>
      <x:c r="AU324" t="str">
        <x:v>var(--cda-sup-245)</x:v>
      </x:c>
      <x:c r="AV324" t="str">
        <x:v>Median RGB from official PDF swatch (screen reference only)</x:v>
      </x:c>
      <x:c r="AW324" t="str">
        <x:v>https://www.carandache.com/content_files/uploaded_doc/product/11426/Colour_Chart_Supracolor-BD3.pdf</x:v>
      </x:c>
      <x:c r="AX324" t="n">
        <x:v>1</x:v>
      </x:c>
      <x:c r="AY324" t="str">
        <x:v>Official</x:v>
      </x:c>
      <x:c r="AZ324" t="str">
        <x:v>Official where available; curated Traditional Chinese/Japanese otherwise</x:v>
      </x:c>
      <x:c r="BA324" t="str">
        <x:v>Verified from official chart; digital HEX is approximate</x:v>
      </x:c>
      <x:c r="BB324" t="str">
        <x:v>Physical media appearance varies by paper, pressure, layering, water and scan/display profile.</x:v>
      </x:c>
    </x:row>
    <x:row r="325">
      <x:c r="A325" t="str">
        <x:f>G325&amp;"|"&amp;L325</x:f>
        <x:v>SUP|225</x:v>
      </x:c>
      <x:c r="B325" t="str">
        <x:v>b12c7e03-cbe7-51d0-9f6a-cda0aa9a2583</x:v>
      </x:c>
      <x:c r="C325" t="str">
        <x:v>CDA-SUP-225</x:v>
      </x:c>
      <x:c r="D325" t="str">
        <x:v>d67f22eb-8649-5739-bafd-f445d45c47b5</x:v>
      </x:c>
      <x:c r="E325" t="str">
        <x:v>CDA-CODE-225</x:v>
      </x:c>
      <x:c r="F325" t="str">
        <x:v>Caran d’Ache</x:v>
      </x:c>
      <x:c r="G325" t="str">
        <x:v>SUP</x:v>
      </x:c>
      <x:c r="H325" t="str">
        <x:v>SUPRACOLOR Soft Aquarelle</x:v>
      </x:c>
      <x:c r="I325" t="str">
        <x:v>Water-soluble coloured pencil</x:v>
      </x:c>
      <x:c r="J325" t="str">
        <x:v>Artist</x:v>
      </x:c>
      <x:c r="K325" s="30" t="n">
        <x:v>104</x:v>
      </x:c>
      <x:c r="L325" s="30" t="str">
        <x:v>225</x:v>
      </x:c>
      <x:c r="M325" t="str">
        <x:v>Moss green</x:v>
      </x:c>
      <x:c r="N325" t="str">
        <x:v>苔綠色</x:v>
      </x:c>
      <x:c r="O325" t="str">
        <x:v>モスグリーン</x:v>
      </x:c>
      <x:c r="P325" t="str"/>
      <x:c r="Q325" t="str">
        <x:v>Vert mousse</x:v>
      </x:c>
      <x:c r="R325" t="str">
        <x:v>Moosgrün</x:v>
      </x:c>
      <x:c r="S325" t="str">
        <x:v>Verde muschio</x:v>
      </x:c>
      <x:c r="T325" t="str">
        <x:v>Verde musgo</x:v>
      </x:c>
      <x:c r="U325" t="str"/>
      <x:c r="V325" t="str"/>
      <x:c r="W325" t="str"/>
      <x:c r="X325" t="n">
        <x:f>IF(W325="",0,LEN(W325)-LEN(SUBSTITUTE(W325,"/",""))+1)</x:f>
        <x:v>0</x:v>
      </x:c>
      <x:c r="Y325" t="str">
        <x:v>H</x:v>
      </x:c>
      <x:c r="Z325" s="32" t="n">
        <x:v>1.67</x:v>
      </x:c>
      <x:c r="AA325" s="32" t="n">
        <x:v>3</x:v>
      </x:c>
      <x:c r="AB325" s="32" t="str">
        <x:v>Blue Wool Scale / UV 150h</x:v>
      </x:c>
      <x:c r="AC325" t="str">
        <x:v>#CBDB94</x:v>
      </x:c>
      <x:c r="AD325" s="34" t="n">
        <x:v>203</x:v>
      </x:c>
      <x:c r="AE325" s="34" t="n">
        <x:v>219</x:v>
      </x:c>
      <x:c r="AF325" s="34" t="n">
        <x:v>148</x:v>
      </x:c>
      <x:c r="AG325" s="32" t="n">
        <x:v>73.52</x:v>
      </x:c>
      <x:c r="AH325" s="32" t="n">
        <x:v>49.65</x:v>
      </x:c>
      <x:c r="AI325" s="32" t="n">
        <x:v>71.96</x:v>
      </x:c>
      <x:c r="AJ325" s="32" t="n">
        <x:v>84.74</x:v>
      </x:c>
      <x:c r="AK325" s="32" t="n">
        <x:v>-16.8</x:v>
      </x:c>
      <x:c r="AL325" s="32" t="n">
        <x:v>33.2</x:v>
      </x:c>
      <x:c r="AM325" s="32" t="str">
        <x:v>#000000</x:v>
      </x:c>
      <x:c r="AN325" s="32" t="str">
        <x:v>Black</x:v>
      </x:c>
      <x:c r="AO325" s="32" t="n">
        <x:v>14.1</x:v>
      </x:c>
      <x:c r="AP325" s="32" t="n">
        <x:v>14.1</x:v>
      </x:c>
      <x:c r="AQ325" s="32" t="n">
        <x:v>1.49</x:v>
      </x:c>
      <x:c r="AR325" s="32" t="n">
        <x:v>0.654977</x:v>
      </x:c>
      <x:c r="AS325" t="str">
        <x:v>PASS</x:v>
      </x:c>
      <x:c r="AT325" t="str">
        <x:v>--cda-sup-225</x:v>
      </x:c>
      <x:c r="AU325" t="str">
        <x:v>var(--cda-sup-225)</x:v>
      </x:c>
      <x:c r="AV325" t="str">
        <x:v>Median RGB from official PDF swatch (screen reference only)</x:v>
      </x:c>
      <x:c r="AW325" t="str">
        <x:v>https://www.carandache.com/content_files/uploaded_doc/product/11426/Colour_Chart_Supracolor-BD3.pdf</x:v>
      </x:c>
      <x:c r="AX325" t="n">
        <x:v>1</x:v>
      </x:c>
      <x:c r="AY325" t="str">
        <x:v>Official</x:v>
      </x:c>
      <x:c r="AZ325" t="str">
        <x:v>Official where available; curated Traditional Chinese/Japanese otherwise</x:v>
      </x:c>
      <x:c r="BA325" t="str">
        <x:v>Verified from official chart; digital HEX is approximate</x:v>
      </x:c>
      <x:c r="BB325" t="str">
        <x:v>Physical media appearance varies by paper, pressure, layering, water and scan/display profile.</x:v>
      </x:c>
    </x:row>
    <x:row r="326">
      <x:c r="A326" t="str">
        <x:f>G326&amp;"|"&amp;L326</x:f>
        <x:v>SUP|018</x:v>
      </x:c>
      <x:c r="B326" t="str">
        <x:v>bd74bb2f-ebf4-5ca6-8884-bc24e8e9b217</x:v>
      </x:c>
      <x:c r="C326" t="str">
        <x:v>CDA-SUP-018</x:v>
      </x:c>
      <x:c r="D326" t="str">
        <x:v>2fcef08d-52c1-537b-831a-404f336bc88a</x:v>
      </x:c>
      <x:c r="E326" t="str">
        <x:v>CDA-CODE-018</x:v>
      </x:c>
      <x:c r="F326" t="str">
        <x:v>Caran d’Ache</x:v>
      </x:c>
      <x:c r="G326" t="str">
        <x:v>SUP</x:v>
      </x:c>
      <x:c r="H326" t="str">
        <x:v>SUPRACOLOR Soft Aquarelle</x:v>
      </x:c>
      <x:c r="I326" t="str">
        <x:v>Water-soluble coloured pencil</x:v>
      </x:c>
      <x:c r="J326" t="str">
        <x:v>Artist</x:v>
      </x:c>
      <x:c r="K326" s="30" t="n">
        <x:v>105</x:v>
      </x:c>
      <x:c r="L326" s="30" t="str">
        <x:v>018</x:v>
      </x:c>
      <x:c r="M326" t="str">
        <x:v>Olive grey</x:v>
      </x:c>
      <x:c r="N326" t="str">
        <x:v>橄欖灰</x:v>
      </x:c>
      <x:c r="O326" t="str">
        <x:v>オリーブグレー</x:v>
      </x:c>
      <x:c r="P326" t="str"/>
      <x:c r="Q326" t="str">
        <x:v>Vert réséda</x:v>
      </x:c>
      <x:c r="R326" t="str">
        <x:v>Resedagrün</x:v>
      </x:c>
      <x:c r="S326" t="str">
        <x:v>Oliva grigiastro</x:v>
      </x:c>
      <x:c r="T326" t="str">
        <x:v>Gris oliva</x:v>
      </x:c>
      <x:c r="U326" t="str"/>
      <x:c r="V326" t="str"/>
      <x:c r="W326" t="str"/>
      <x:c r="X326" t="n">
        <x:f>IF(W326="",0,LEN(W326)-LEN(SUBSTITUTE(W326,"/",""))+1)</x:f>
        <x:v>0</x:v>
      </x:c>
      <x:c r="Y326" t="str">
        <x:v>H</x:v>
      </x:c>
      <x:c r="Z326" s="32" t="n">
        <x:v>1.67</x:v>
      </x:c>
      <x:c r="AA326" s="32" t="n">
        <x:v>3</x:v>
      </x:c>
      <x:c r="AB326" s="32" t="str">
        <x:v>Blue Wool Scale / UV 150h</x:v>
      </x:c>
      <x:c r="AC326" t="str">
        <x:v>#D4CC81</x:v>
      </x:c>
      <x:c r="AD326" s="34" t="n">
        <x:v>212</x:v>
      </x:c>
      <x:c r="AE326" s="34" t="n">
        <x:v>204</x:v>
      </x:c>
      <x:c r="AF326" s="34" t="n">
        <x:v>129</x:v>
      </x:c>
      <x:c r="AG326" s="32" t="n">
        <x:v>54.22</x:v>
      </x:c>
      <x:c r="AH326" s="32" t="n">
        <x:v>49.11</x:v>
      </x:c>
      <x:c r="AI326" s="32" t="n">
        <x:v>66.86</x:v>
      </x:c>
      <x:c r="AJ326" s="32" t="n">
        <x:v>81.16</x:v>
      </x:c>
      <x:c r="AK326" s="32" t="n">
        <x:v>-8.03</x:v>
      </x:c>
      <x:c r="AL326" s="32" t="n">
        <x:v>38.36</x:v>
      </x:c>
      <x:c r="AM326" s="32" t="str">
        <x:v>#000000</x:v>
      </x:c>
      <x:c r="AN326" s="32" t="str">
        <x:v>Black</x:v>
      </x:c>
      <x:c r="AO326" s="32" t="n">
        <x:v>12.75</x:v>
      </x:c>
      <x:c r="AP326" s="32" t="n">
        <x:v>12.75</x:v>
      </x:c>
      <x:c r="AQ326" s="32" t="n">
        <x:v>1.65</x:v>
      </x:c>
      <x:c r="AR326" s="32" t="n">
        <x:v>0.587678</x:v>
      </x:c>
      <x:c r="AS326" t="str">
        <x:v>PASS</x:v>
      </x:c>
      <x:c r="AT326" t="str">
        <x:v>--cda-sup-018</x:v>
      </x:c>
      <x:c r="AU326" t="str">
        <x:v>var(--cda-sup-018)</x:v>
      </x:c>
      <x:c r="AV326" t="str">
        <x:v>Median RGB from official PDF swatch (screen reference only)</x:v>
      </x:c>
      <x:c r="AW326" t="str">
        <x:v>https://www.carandache.com/content_files/uploaded_doc/product/11426/Colour_Chart_Supracolor-BD3.pdf</x:v>
      </x:c>
      <x:c r="AX326" t="n">
        <x:v>1</x:v>
      </x:c>
      <x:c r="AY326" t="str">
        <x:v>Official</x:v>
      </x:c>
      <x:c r="AZ326" t="str">
        <x:v>Official where available; curated Traditional Chinese/Japanese otherwise</x:v>
      </x:c>
      <x:c r="BA326" t="str">
        <x:v>Verified from official chart; digital HEX is approximate</x:v>
      </x:c>
      <x:c r="BB326" t="str">
        <x:v>Physical media appearance varies by paper, pressure, layering, water and scan/display profile.</x:v>
      </x:c>
    </x:row>
    <x:row r="327">
      <x:c r="A327" t="str">
        <x:f>G327&amp;"|"&amp;L327</x:f>
        <x:v>SUP|249</x:v>
      </x:c>
      <x:c r="B327" t="str">
        <x:v>860da2db-9597-51d8-b1a4-a56ecf29cf53</x:v>
      </x:c>
      <x:c r="C327" t="str">
        <x:v>CDA-SUP-249</x:v>
      </x:c>
      <x:c r="D327" t="str">
        <x:v>e6c72f87-8dc4-5cb7-90a2-d6b44c12faf7</x:v>
      </x:c>
      <x:c r="E327" t="str">
        <x:v>CDA-CODE-249</x:v>
      </x:c>
      <x:c r="F327" t="str">
        <x:v>Caran d’Ache</x:v>
      </x:c>
      <x:c r="G327" t="str">
        <x:v>SUP</x:v>
      </x:c>
      <x:c r="H327" t="str">
        <x:v>SUPRACOLOR Soft Aquarelle</x:v>
      </x:c>
      <x:c r="I327" t="str">
        <x:v>Water-soluble coloured pencil</x:v>
      </x:c>
      <x:c r="J327" t="str">
        <x:v>Artist</x:v>
      </x:c>
      <x:c r="K327" s="30" t="n">
        <x:v>106</x:v>
      </x:c>
      <x:c r="L327" s="30" t="str">
        <x:v>249</x:v>
      </x:c>
      <x:c r="M327" t="str">
        <x:v>Olive</x:v>
      </x:c>
      <x:c r="N327" t="str">
        <x:v>深橄欖色</x:v>
      </x:c>
      <x:c r="O327" t="str">
        <x:v>ダークオリーブ</x:v>
      </x:c>
      <x:c r="P327" t="str"/>
      <x:c r="Q327" t="str">
        <x:v>Olive foncé</x:v>
      </x:c>
      <x:c r="R327" t="str">
        <x:v>Dunkeloliv</x:v>
      </x:c>
      <x:c r="S327" t="str">
        <x:v>Oliva scuro</x:v>
      </x:c>
      <x:c r="T327" t="str">
        <x:v>Oliva oscuro</x:v>
      </x:c>
      <x:c r="U327" t="str"/>
      <x:c r="V327" t="str"/>
      <x:c r="W327" t="str"/>
      <x:c r="X327" t="n">
        <x:f>IF(W327="",0,LEN(W327)-LEN(SUBSTITUTE(W327,"/",""))+1)</x:f>
        <x:v>0</x:v>
      </x:c>
      <x:c r="Y327" t="str">
        <x:v>H</x:v>
      </x:c>
      <x:c r="Z327" s="32" t="n">
        <x:v>1.67</x:v>
      </x:c>
      <x:c r="AA327" s="32" t="n">
        <x:v>3</x:v>
      </x:c>
      <x:c r="AB327" s="32" t="str">
        <x:v>Blue Wool Scale / UV 150h</x:v>
      </x:c>
      <x:c r="AC327" t="str">
        <x:v>#DFD992</x:v>
      </x:c>
      <x:c r="AD327" s="34" t="n">
        <x:v>223</x:v>
      </x:c>
      <x:c r="AE327" s="34" t="n">
        <x:v>217</x:v>
      </x:c>
      <x:c r="AF327" s="34" t="n">
        <x:v>146</x:v>
      </x:c>
      <x:c r="AG327" s="32" t="n">
        <x:v>55.32</x:v>
      </x:c>
      <x:c r="AH327" s="32" t="n">
        <x:v>54.61</x:v>
      </x:c>
      <x:c r="AI327" s="32" t="n">
        <x:v>72.35</x:v>
      </x:c>
      <x:c r="AJ327" s="32" t="n">
        <x:v>85.7</x:v>
      </x:c>
      <x:c r="AK327" s="32" t="n">
        <x:v>-8.42</x:v>
      </x:c>
      <x:c r="AL327" s="32" t="n">
        <x:v>35.76</x:v>
      </x:c>
      <x:c r="AM327" s="32" t="str">
        <x:v>#000000</x:v>
      </x:c>
      <x:c r="AN327" s="32" t="str">
        <x:v>Black</x:v>
      </x:c>
      <x:c r="AO327" s="32" t="n">
        <x:v>14.48</x:v>
      </x:c>
      <x:c r="AP327" s="32" t="n">
        <x:v>14.48</x:v>
      </x:c>
      <x:c r="AQ327" s="32" t="n">
        <x:v>1.45</x:v>
      </x:c>
      <x:c r="AR327" s="32" t="n">
        <x:v>0.67389</x:v>
      </x:c>
      <x:c r="AS327" t="str">
        <x:v>PASS</x:v>
      </x:c>
      <x:c r="AT327" t="str">
        <x:v>--cda-sup-249</x:v>
      </x:c>
      <x:c r="AU327" t="str">
        <x:v>var(--cda-sup-249)</x:v>
      </x:c>
      <x:c r="AV327" t="str">
        <x:v>Median RGB from official PDF swatch (screen reference only)</x:v>
      </x:c>
      <x:c r="AW327" t="str">
        <x:v>https://www.carandache.com/content_files/uploaded_doc/product/11426/Colour_Chart_Supracolor-BD3.pdf</x:v>
      </x:c>
      <x:c r="AX327" t="n">
        <x:v>1</x:v>
      </x:c>
      <x:c r="AY327" t="str">
        <x:v>Official</x:v>
      </x:c>
      <x:c r="AZ327" t="str">
        <x:v>Official where available; curated Traditional Chinese/Japanese otherwise</x:v>
      </x:c>
      <x:c r="BA327" t="str">
        <x:v>Verified from official chart; digital HEX is approximate</x:v>
      </x:c>
      <x:c r="BB327" t="str">
        <x:v>Physical media appearance varies by paper, pressure, layering, water and scan/display profile.</x:v>
      </x:c>
    </x:row>
    <x:row r="328">
      <x:c r="A328" t="str">
        <x:f>G328&amp;"|"&amp;L328</x:f>
        <x:v>SUP|039</x:v>
      </x:c>
      <x:c r="B328" t="str">
        <x:v>9bf8588a-3463-530d-bf2a-f465d1495401</x:v>
      </x:c>
      <x:c r="C328" t="str">
        <x:v>CDA-SUP-039</x:v>
      </x:c>
      <x:c r="D328" t="str">
        <x:v>f03df3aa-e67d-56c5-88be-9f28d0654f47</x:v>
      </x:c>
      <x:c r="E328" t="str">
        <x:v>CDA-CODE-039</x:v>
      </x:c>
      <x:c r="F328" t="str">
        <x:v>Caran d’Ache</x:v>
      </x:c>
      <x:c r="G328" t="str">
        <x:v>SUP</x:v>
      </x:c>
      <x:c r="H328" t="str">
        <x:v>SUPRACOLOR Soft Aquarelle</x:v>
      </x:c>
      <x:c r="I328" t="str">
        <x:v>Water-soluble coloured pencil</x:v>
      </x:c>
      <x:c r="J328" t="str">
        <x:v>Artist</x:v>
      </x:c>
      <x:c r="K328" s="30" t="n">
        <x:v>107</x:v>
      </x:c>
      <x:c r="L328" s="30" t="str">
        <x:v>039</x:v>
      </x:c>
      <x:c r="M328" t="str">
        <x:v>Olive brown</x:v>
      </x:c>
      <x:c r="N328" t="str">
        <x:v>橄欖棕</x:v>
      </x:c>
      <x:c r="O328" t="str">
        <x:v>オリーブブラウン</x:v>
      </x:c>
      <x:c r="P328" t="str"/>
      <x:c r="Q328" t="str">
        <x:v>Olive brunâtre</x:v>
      </x:c>
      <x:c r="R328" t="str">
        <x:v>Olivbraun</x:v>
      </x:c>
      <x:c r="S328" t="str">
        <x:v>Oliva bruna</x:v>
      </x:c>
      <x:c r="T328" t="str">
        <x:v>Pardo oliva</x:v>
      </x:c>
      <x:c r="U328" t="str"/>
      <x:c r="V328" t="str"/>
      <x:c r="W328" t="str"/>
      <x:c r="X328" t="n">
        <x:f>IF(W328="",0,LEN(W328)-LEN(SUBSTITUTE(W328,"/",""))+1)</x:f>
        <x:v>0</x:v>
      </x:c>
      <x:c r="Y328" t="str">
        <x:v>H</x:v>
      </x:c>
      <x:c r="Z328" s="32" t="n">
        <x:v>1.67</x:v>
      </x:c>
      <x:c r="AA328" s="32" t="n">
        <x:v>3</x:v>
      </x:c>
      <x:c r="AB328" s="32" t="str">
        <x:v>Blue Wool Scale / UV 150h</x:v>
      </x:c>
      <x:c r="AC328" t="str">
        <x:v>#EAB967</x:v>
      </x:c>
      <x:c r="AD328" s="34" t="n">
        <x:v>234</x:v>
      </x:c>
      <x:c r="AE328" s="34" t="n">
        <x:v>185</x:v>
      </x:c>
      <x:c r="AF328" s="34" t="n">
        <x:v>103</x:v>
      </x:c>
      <x:c r="AG328" s="32" t="n">
        <x:v>37.56</x:v>
      </x:c>
      <x:c r="AH328" s="32" t="n">
        <x:v>75.72</x:v>
      </x:c>
      <x:c r="AI328" s="32" t="n">
        <x:v>66.08</x:v>
      </x:c>
      <x:c r="AJ328" s="32" t="n">
        <x:v>77.98</x:v>
      </x:c>
      <x:c r="AK328" s="32" t="n">
        <x:v>8.35</x:v>
      </x:c>
      <x:c r="AL328" s="32" t="n">
        <x:v>47.84</x:v>
      </x:c>
      <x:c r="AM328" s="32" t="str">
        <x:v>#000000</x:v>
      </x:c>
      <x:c r="AN328" s="32" t="str">
        <x:v>Black</x:v>
      </x:c>
      <x:c r="AO328" s="32" t="n">
        <x:v>11.63</x:v>
      </x:c>
      <x:c r="AP328" s="32" t="n">
        <x:v>11.63</x:v>
      </x:c>
      <x:c r="AQ328" s="32" t="n">
        <x:v>1.81</x:v>
      </x:c>
      <x:c r="AR328" s="32" t="n">
        <x:v>0.531696</x:v>
      </x:c>
      <x:c r="AS328" t="str">
        <x:v>PASS</x:v>
      </x:c>
      <x:c r="AT328" t="str">
        <x:v>--cda-sup-039</x:v>
      </x:c>
      <x:c r="AU328" t="str">
        <x:v>var(--cda-sup-039)</x:v>
      </x:c>
      <x:c r="AV328" t="str">
        <x:v>Median RGB from official PDF swatch (screen reference only)</x:v>
      </x:c>
      <x:c r="AW328" t="str">
        <x:v>https://www.carandache.com/content_files/uploaded_doc/product/11426/Colour_Chart_Supracolor-BD3.pdf</x:v>
      </x:c>
      <x:c r="AX328" t="n">
        <x:v>1</x:v>
      </x:c>
      <x:c r="AY328" t="str">
        <x:v>Official</x:v>
      </x:c>
      <x:c r="AZ328" t="str">
        <x:v>Official where available; curated Traditional Chinese/Japanese otherwise</x:v>
      </x:c>
      <x:c r="BA328" t="str">
        <x:v>Verified from official chart; digital HEX is approximate</x:v>
      </x:c>
      <x:c r="BB328" t="str">
        <x:v>Physical media appearance varies by paper, pressure, layering, water and scan/display profile.</x:v>
      </x:c>
    </x:row>
    <x:row r="329">
      <x:c r="A329" t="str">
        <x:f>G329&amp;"|"&amp;L329</x:f>
        <x:v>SUP|019</x:v>
      </x:c>
      <x:c r="B329" t="str">
        <x:v>8492d933-1f50-5625-871d-9dfb438d7c12</x:v>
      </x:c>
      <x:c r="C329" t="str">
        <x:v>CDA-SUP-019</x:v>
      </x:c>
      <x:c r="D329" t="str">
        <x:v>60fd1bcf-552b-5ea1-aa22-e7584fbae52e</x:v>
      </x:c>
      <x:c r="E329" t="str">
        <x:v>CDA-CODE-019</x:v>
      </x:c>
      <x:c r="F329" t="str">
        <x:v>Caran d’Ache</x:v>
      </x:c>
      <x:c r="G329" t="str">
        <x:v>SUP</x:v>
      </x:c>
      <x:c r="H329" t="str">
        <x:v>SUPRACOLOR Soft Aquarelle</x:v>
      </x:c>
      <x:c r="I329" t="str">
        <x:v>Water-soluble coloured pencil</x:v>
      </x:c>
      <x:c r="J329" t="str">
        <x:v>Artist</x:v>
      </x:c>
      <x:c r="K329" s="30" t="n">
        <x:v>108</x:v>
      </x:c>
      <x:c r="L329" s="30" t="str">
        <x:v>019</x:v>
      </x:c>
      <x:c r="M329" t="str">
        <x:v>Olive black</x:v>
      </x:c>
      <x:c r="N329" t="str">
        <x:v>橄欖黑</x:v>
      </x:c>
      <x:c r="O329" t="str">
        <x:v>オリーブブラック</x:v>
      </x:c>
      <x:c r="P329" t="str"/>
      <x:c r="Q329" t="str">
        <x:v>Olive noir</x:v>
      </x:c>
      <x:c r="R329" t="str">
        <x:v>Olivschwarz</x:v>
      </x:c>
      <x:c r="S329" t="str">
        <x:v>Oliva nero</x:v>
      </x:c>
      <x:c r="T329" t="str">
        <x:v>Negro oliva</x:v>
      </x:c>
      <x:c r="U329" t="str"/>
      <x:c r="V329" t="str"/>
      <x:c r="W329" t="str"/>
      <x:c r="X329" t="n">
        <x:f>IF(W329="",0,LEN(W329)-LEN(SUBSTITUTE(W329,"/",""))+1)</x:f>
        <x:v>0</x:v>
      </x:c>
      <x:c r="Y329" t="str">
        <x:v>H</x:v>
      </x:c>
      <x:c r="Z329" s="32" t="n">
        <x:v>1.67</x:v>
      </x:c>
      <x:c r="AA329" s="32" t="n">
        <x:v>3</x:v>
      </x:c>
      <x:c r="AB329" s="32" t="str">
        <x:v>Blue Wool Scale / UV 150h</x:v>
      </x:c>
      <x:c r="AC329" t="str">
        <x:v>#B6B06E</x:v>
      </x:c>
      <x:c r="AD329" s="34" t="n">
        <x:v>182</x:v>
      </x:c>
      <x:c r="AE329" s="34" t="n">
        <x:v>176</x:v>
      </x:c>
      <x:c r="AF329" s="34" t="n">
        <x:v>110</x:v>
      </x:c>
      <x:c r="AG329" s="32" t="n">
        <x:v>55</x:v>
      </x:c>
      <x:c r="AH329" s="32" t="n">
        <x:v>33.03</x:v>
      </x:c>
      <x:c r="AI329" s="32" t="n">
        <x:v>57.25</x:v>
      </x:c>
      <x:c r="AJ329" s="32" t="n">
        <x:v>70.96</x:v>
      </x:c>
      <x:c r="AK329" s="32" t="n">
        <x:v>-7.66</x:v>
      </x:c>
      <x:c r="AL329" s="32" t="n">
        <x:v>34.56</x:v>
      </x:c>
      <x:c r="AM329" s="32" t="str">
        <x:v>#000000</x:v>
      </x:c>
      <x:c r="AN329" s="32" t="str">
        <x:v>Black</x:v>
      </x:c>
      <x:c r="AO329" s="32" t="n">
        <x:v>9.42</x:v>
      </x:c>
      <x:c r="AP329" s="32" t="n">
        <x:v>9.42</x:v>
      </x:c>
      <x:c r="AQ329" s="32" t="n">
        <x:v>2.23</x:v>
      </x:c>
      <x:c r="AR329" s="32" t="n">
        <x:v>0.421215</x:v>
      </x:c>
      <x:c r="AS329" t="str">
        <x:v>PASS</x:v>
      </x:c>
      <x:c r="AT329" t="str">
        <x:v>--cda-sup-019</x:v>
      </x:c>
      <x:c r="AU329" t="str">
        <x:v>var(--cda-sup-019)</x:v>
      </x:c>
      <x:c r="AV329" t="str">
        <x:v>Median RGB from official PDF swatch (screen reference only)</x:v>
      </x:c>
      <x:c r="AW329" t="str">
        <x:v>https://www.carandache.com/content_files/uploaded_doc/product/11426/Colour_Chart_Supracolor-BD3.pdf</x:v>
      </x:c>
      <x:c r="AX329" t="n">
        <x:v>1</x:v>
      </x:c>
      <x:c r="AY329" t="str">
        <x:v>Official</x:v>
      </x:c>
      <x:c r="AZ329" t="str">
        <x:v>Official where available; curated Traditional Chinese/Japanese otherwise</x:v>
      </x:c>
      <x:c r="BA329" t="str">
        <x:v>Verified from official chart; digital HEX is approximate</x:v>
      </x:c>
      <x:c r="BB329" t="str">
        <x:v>Physical media appearance varies by paper, pressure, layering, water and scan/display profile.</x:v>
      </x:c>
    </x:row>
    <x:row r="330">
      <x:c r="A330" t="str">
        <x:f>G330&amp;"|"&amp;L330</x:f>
        <x:v>SUP|049</x:v>
      </x:c>
      <x:c r="B330" t="str">
        <x:v>ccfd1adf-e6a7-5132-8efa-521953917cbd</x:v>
      </x:c>
      <x:c r="C330" t="str">
        <x:v>CDA-SUP-049</x:v>
      </x:c>
      <x:c r="D330" t="str">
        <x:v>66f5918f-2d51-598e-b3d7-bb4f1b3fc4b4</x:v>
      </x:c>
      <x:c r="E330" t="str">
        <x:v>CDA-CODE-049</x:v>
      </x:c>
      <x:c r="F330" t="str">
        <x:v>Caran d’Ache</x:v>
      </x:c>
      <x:c r="G330" t="str">
        <x:v>SUP</x:v>
      </x:c>
      <x:c r="H330" t="str">
        <x:v>SUPRACOLOR Soft Aquarelle</x:v>
      </x:c>
      <x:c r="I330" t="str">
        <x:v>Water-soluble coloured pencil</x:v>
      </x:c>
      <x:c r="J330" t="str">
        <x:v>Artist</x:v>
      </x:c>
      <x:c r="K330" s="30" t="n">
        <x:v>109</x:v>
      </x:c>
      <x:c r="L330" s="30" t="str">
        <x:v>049</x:v>
      </x:c>
      <x:c r="M330" t="str">
        <x:v>Umber</x:v>
      </x:c>
      <x:c r="N330" t="str">
        <x:v>褐土色</x:v>
      </x:c>
      <x:c r="O330" t="str">
        <x:v>アンバー</x:v>
      </x:c>
      <x:c r="P330" t="str"/>
      <x:c r="Q330" t="str">
        <x:v>Terre d’ombre</x:v>
      </x:c>
      <x:c r="R330" t="str">
        <x:v>Umbra Natur</x:v>
      </x:c>
      <x:c r="S330" t="str">
        <x:v>Ombra</x:v>
      </x:c>
      <x:c r="T330" t="str">
        <x:v>Tierra de Sombra</x:v>
      </x:c>
      <x:c r="U330" t="str"/>
      <x:c r="V330" t="str"/>
      <x:c r="W330" t="str"/>
      <x:c r="X330" t="n">
        <x:f>IF(W330="",0,LEN(W330)-LEN(SUBSTITUTE(W330,"/",""))+1)</x:f>
        <x:v>0</x:v>
      </x:c>
      <x:c r="Y330" t="str">
        <x:v>H</x:v>
      </x:c>
      <x:c r="Z330" s="32" t="n">
        <x:v>1.67</x:v>
      </x:c>
      <x:c r="AA330" s="32" t="n">
        <x:v>3</x:v>
      </x:c>
      <x:c r="AB330" s="32" t="str">
        <x:v>Blue Wool Scale / UV 150h</x:v>
      </x:c>
      <x:c r="AC330" t="str">
        <x:v>#856349</x:v>
      </x:c>
      <x:c r="AD330" s="34" t="n">
        <x:v>133</x:v>
      </x:c>
      <x:c r="AE330" s="34" t="n">
        <x:v>99</x:v>
      </x:c>
      <x:c r="AF330" s="34" t="n">
        <x:v>73</x:v>
      </x:c>
      <x:c r="AG330" s="32" t="n">
        <x:v>26</x:v>
      </x:c>
      <x:c r="AH330" s="32" t="n">
        <x:v>29.13</x:v>
      </x:c>
      <x:c r="AI330" s="32" t="n">
        <x:v>40.39</x:v>
      </x:c>
      <x:c r="AJ330" s="32" t="n">
        <x:v>44.79</x:v>
      </x:c>
      <x:c r="AK330" s="32" t="n">
        <x:v>10.19</x:v>
      </x:c>
      <x:c r="AL330" s="32" t="n">
        <x:v>20.1</x:v>
      </x:c>
      <x:c r="AM330" s="32" t="str">
        <x:v>#FFFFFF</x:v>
      </x:c>
      <x:c r="AN330" s="32" t="str">
        <x:v>White</x:v>
      </x:c>
      <x:c r="AO330" s="32" t="n">
        <x:v>5.41</x:v>
      </x:c>
      <x:c r="AP330" s="32" t="n">
        <x:v>3.88</x:v>
      </x:c>
      <x:c r="AQ330" s="32" t="n">
        <x:v>5.41</x:v>
      </x:c>
      <x:c r="AR330" s="32" t="n">
        <x:v>0.143913</x:v>
      </x:c>
      <x:c r="AS330" t="str">
        <x:v>PASS</x:v>
      </x:c>
      <x:c r="AT330" t="str">
        <x:v>--cda-sup-049</x:v>
      </x:c>
      <x:c r="AU330" t="str">
        <x:v>var(--cda-sup-049)</x:v>
      </x:c>
      <x:c r="AV330" t="str">
        <x:v>Median RGB from official PDF swatch (screen reference only)</x:v>
      </x:c>
      <x:c r="AW330" t="str">
        <x:v>https://www.carandache.com/content_files/uploaded_doc/product/11426/Colour_Chart_Supracolor-BD3.pdf</x:v>
      </x:c>
      <x:c r="AX330" t="n">
        <x:v>1</x:v>
      </x:c>
      <x:c r="AY330" t="str">
        <x:v>Official</x:v>
      </x:c>
      <x:c r="AZ330" t="str">
        <x:v>Official where available; curated Traditional Chinese/Japanese otherwise</x:v>
      </x:c>
      <x:c r="BA330" t="str">
        <x:v>Verified from official chart; digital HEX is approximate</x:v>
      </x:c>
      <x:c r="BB330" t="str">
        <x:v>Physical media appearance varies by paper, pressure, layering, water and scan/display profile.</x:v>
      </x:c>
    </x:row>
    <x:row r="331">
      <x:c r="A331" t="str">
        <x:f>G331&amp;"|"&amp;L331</x:f>
        <x:v>SUP|045</x:v>
      </x:c>
      <x:c r="B331" t="str">
        <x:v>a67814f4-ed60-56d3-a667-95b4015f25b7</x:v>
      </x:c>
      <x:c r="C331" t="str">
        <x:v>CDA-SUP-045</x:v>
      </x:c>
      <x:c r="D331" t="str">
        <x:v>4fb0e78b-85fd-5dee-bae2-c1796e299660</x:v>
      </x:c>
      <x:c r="E331" t="str">
        <x:v>CDA-CODE-045</x:v>
      </x:c>
      <x:c r="F331" t="str">
        <x:v>Caran d’Ache</x:v>
      </x:c>
      <x:c r="G331" t="str">
        <x:v>SUP</x:v>
      </x:c>
      <x:c r="H331" t="str">
        <x:v>SUPRACOLOR Soft Aquarelle</x:v>
      </x:c>
      <x:c r="I331" t="str">
        <x:v>Water-soluble coloured pencil</x:v>
      </x:c>
      <x:c r="J331" t="str">
        <x:v>Artist</x:v>
      </x:c>
      <x:c r="K331" s="30" t="n">
        <x:v>110</x:v>
      </x:c>
      <x:c r="L331" s="30" t="str">
        <x:v>045</x:v>
      </x:c>
      <x:c r="M331" t="str">
        <x:v>Vandycke brown</x:v>
      </x:c>
      <x:c r="N331" t="str">
        <x:v>凡戴克棕</x:v>
      </x:c>
      <x:c r="O331" t="str">
        <x:v>ヴァンダイクブラウン</x:v>
      </x:c>
      <x:c r="P331" t="str"/>
      <x:c r="Q331" t="str">
        <x:v>Brun Vandyck</x:v>
      </x:c>
      <x:c r="R331" t="str">
        <x:v>Vandyckbraun</x:v>
      </x:c>
      <x:c r="S331" t="str">
        <x:v>Bruno Vandyck</x:v>
      </x:c>
      <x:c r="T331" t="str">
        <x:v>Marrón Vandyck</x:v>
      </x:c>
      <x:c r="U331" t="str"/>
      <x:c r="V331" t="str"/>
      <x:c r="W331" t="str"/>
      <x:c r="X331" t="n">
        <x:f>IF(W331="",0,LEN(W331)-LEN(SUBSTITUTE(W331,"/",""))+1)</x:f>
        <x:v>0</x:v>
      </x:c>
      <x:c r="Y331" t="str">
        <x:v>H</x:v>
      </x:c>
      <x:c r="Z331" s="32" t="n">
        <x:v>1.67</x:v>
      </x:c>
      <x:c r="AA331" s="32" t="n">
        <x:v>3</x:v>
      </x:c>
      <x:c r="AB331" s="32" t="str">
        <x:v>Blue Wool Scale / UV 150h</x:v>
      </x:c>
      <x:c r="AC331" t="str">
        <x:v>#A77A64</x:v>
      </x:c>
      <x:c r="AD331" s="34" t="n">
        <x:v>167</x:v>
      </x:c>
      <x:c r="AE331" s="34" t="n">
        <x:v>122</x:v>
      </x:c>
      <x:c r="AF331" s="34" t="n">
        <x:v>100</x:v>
      </x:c>
      <x:c r="AG331" s="32" t="n">
        <x:v>19.7</x:v>
      </x:c>
      <x:c r="AH331" s="32" t="n">
        <x:v>27.57</x:v>
      </x:c>
      <x:c r="AI331" s="32" t="n">
        <x:v>52.35</x:v>
      </x:c>
      <x:c r="AJ331" s="32" t="n">
        <x:v>55.13</x:v>
      </x:c>
      <x:c r="AK331" s="32" t="n">
        <x:v>14.6</x:v>
      </x:c>
      <x:c r="AL331" s="32" t="n">
        <x:v>18.94</x:v>
      </x:c>
      <x:c r="AM331" s="32" t="str">
        <x:v>#000000</x:v>
      </x:c>
      <x:c r="AN331" s="32" t="str">
        <x:v>Black</x:v>
      </x:c>
      <x:c r="AO331" s="32" t="n">
        <x:v>5.61</x:v>
      </x:c>
      <x:c r="AP331" s="32" t="n">
        <x:v>5.61</x:v>
      </x:c>
      <x:c r="AQ331" s="32" t="n">
        <x:v>3.74</x:v>
      </x:c>
      <x:c r="AR331" s="32" t="n">
        <x:v>0.230547</x:v>
      </x:c>
      <x:c r="AS331" t="str">
        <x:v>PASS</x:v>
      </x:c>
      <x:c r="AT331" t="str">
        <x:v>--cda-sup-045</x:v>
      </x:c>
      <x:c r="AU331" t="str">
        <x:v>var(--cda-sup-045)</x:v>
      </x:c>
      <x:c r="AV331" t="str">
        <x:v>Median RGB from official PDF swatch (screen reference only)</x:v>
      </x:c>
      <x:c r="AW331" t="str">
        <x:v>https://www.carandache.com/content_files/uploaded_doc/product/11426/Colour_Chart_Supracolor-BD3.pdf</x:v>
      </x:c>
      <x:c r="AX331" t="n">
        <x:v>1</x:v>
      </x:c>
      <x:c r="AY331" t="str">
        <x:v>Official</x:v>
      </x:c>
      <x:c r="AZ331" t="str">
        <x:v>Official where available; curated Traditional Chinese/Japanese otherwise</x:v>
      </x:c>
      <x:c r="BA331" t="str">
        <x:v>Verified from official chart; digital HEX is approximate</x:v>
      </x:c>
      <x:c r="BB331" t="str">
        <x:v>Physical media appearance varies by paper, pressure, layering, water and scan/display profile.</x:v>
      </x:c>
    </x:row>
    <x:row r="332">
      <x:c r="A332" t="str">
        <x:f>G332&amp;"|"&amp;L332</x:f>
        <x:v>SUP|404</x:v>
      </x:c>
      <x:c r="B332" t="str">
        <x:v>b73af81a-5e0a-54b1-bb05-908c0e6233ed</x:v>
      </x:c>
      <x:c r="C332" t="str">
        <x:v>CDA-SUP-404</x:v>
      </x:c>
      <x:c r="D332" t="str">
        <x:v>f6926c57-dc5d-502d-bdb4-bb82e40c9927</x:v>
      </x:c>
      <x:c r="E332" t="str">
        <x:v>CDA-CODE-404</x:v>
      </x:c>
      <x:c r="F332" t="str">
        <x:v>Caran d’Ache</x:v>
      </x:c>
      <x:c r="G332" t="str">
        <x:v>SUP</x:v>
      </x:c>
      <x:c r="H332" t="str">
        <x:v>SUPRACOLOR Soft Aquarelle</x:v>
      </x:c>
      <x:c r="I332" t="str">
        <x:v>Water-soluble coloured pencil</x:v>
      </x:c>
      <x:c r="J332" t="str">
        <x:v>Artist</x:v>
      </x:c>
      <x:c r="K332" s="30" t="n">
        <x:v>111</x:v>
      </x:c>
      <x:c r="L332" s="30" t="str">
        <x:v>404</x:v>
      </x:c>
      <x:c r="M332" t="str">
        <x:v>Brownish beige</x:v>
      </x:c>
      <x:c r="N332" t="str">
        <x:v>褐米色</x:v>
      </x:c>
      <x:c r="O332" t="str">
        <x:v>ブラウニッシュベージュ</x:v>
      </x:c>
      <x:c r="P332" t="str"/>
      <x:c r="Q332" t="str">
        <x:v>Beige brun</x:v>
      </x:c>
      <x:c r="R332" t="str">
        <x:v>Braun beige</x:v>
      </x:c>
      <x:c r="S332" t="str">
        <x:v>Beige bruno</x:v>
      </x:c>
      <x:c r="T332" t="str">
        <x:v>Beige pardoww</x:v>
      </x:c>
      <x:c r="U332" t="str"/>
      <x:c r="V332" t="str"/>
      <x:c r="W332" t="str"/>
      <x:c r="X332" t="n">
        <x:f>IF(W332="",0,LEN(W332)-LEN(SUBSTITUTE(W332,"/",""))+1)</x:f>
        <x:v>0</x:v>
      </x:c>
      <x:c r="Y332" t="str">
        <x:v>H</x:v>
      </x:c>
      <x:c r="Z332" s="32" t="n">
        <x:v>1.67</x:v>
      </x:c>
      <x:c r="AA332" s="32" t="n">
        <x:v>3</x:v>
      </x:c>
      <x:c r="AB332" s="32" t="str">
        <x:v>Blue Wool Scale / UV 150h</x:v>
      </x:c>
      <x:c r="AC332" t="str">
        <x:v>#E0C3A8</x:v>
      </x:c>
      <x:c r="AD332" s="34" t="n">
        <x:v>224</x:v>
      </x:c>
      <x:c r="AE332" s="34" t="n">
        <x:v>195</x:v>
      </x:c>
      <x:c r="AF332" s="34" t="n">
        <x:v>168</x:v>
      </x:c>
      <x:c r="AG332" s="32" t="n">
        <x:v>28.93</x:v>
      </x:c>
      <x:c r="AH332" s="32" t="n">
        <x:v>47.46</x:v>
      </x:c>
      <x:c r="AI332" s="32" t="n">
        <x:v>76.86</x:v>
      </x:c>
      <x:c r="AJ332" s="32" t="n">
        <x:v>80.58</x:v>
      </x:c>
      <x:c r="AK332" s="32" t="n">
        <x:v>6.17</x:v>
      </x:c>
      <x:c r="AL332" s="32" t="n">
        <x:v>17.36</x:v>
      </x:c>
      <x:c r="AM332" s="32" t="str">
        <x:v>#000000</x:v>
      </x:c>
      <x:c r="AN332" s="32" t="str">
        <x:v>Black</x:v>
      </x:c>
      <x:c r="AO332" s="32" t="n">
        <x:v>12.54</x:v>
      </x:c>
      <x:c r="AP332" s="32" t="n">
        <x:v>12.54</x:v>
      </x:c>
      <x:c r="AQ332" s="32" t="n">
        <x:v>1.67</x:v>
      </x:c>
      <x:c r="AR332" s="32" t="n">
        <x:v>0.577047</x:v>
      </x:c>
      <x:c r="AS332" t="str">
        <x:v>PASS</x:v>
      </x:c>
      <x:c r="AT332" t="str">
        <x:v>--cda-sup-404</x:v>
      </x:c>
      <x:c r="AU332" t="str">
        <x:v>var(--cda-sup-404)</x:v>
      </x:c>
      <x:c r="AV332" t="str">
        <x:v>Median RGB from official PDF swatch (screen reference only)</x:v>
      </x:c>
      <x:c r="AW332" t="str">
        <x:v>https://www.carandache.com/content_files/uploaded_doc/product/11426/Colour_Chart_Supracolor-BD3.pdf</x:v>
      </x:c>
      <x:c r="AX332" t="n">
        <x:v>1</x:v>
      </x:c>
      <x:c r="AY332" t="str">
        <x:v>Official</x:v>
      </x:c>
      <x:c r="AZ332" t="str">
        <x:v>Official where available; curated Traditional Chinese/Japanese otherwise</x:v>
      </x:c>
      <x:c r="BA332" t="str">
        <x:v>Verified from official chart; digital HEX is approximate</x:v>
      </x:c>
      <x:c r="BB332" t="str">
        <x:v>Physical media appearance varies by paper, pressure, layering, water and scan/display profile.</x:v>
      </x:c>
    </x:row>
    <x:row r="333">
      <x:c r="A333" t="str">
        <x:f>G333&amp;"|"&amp;L333</x:f>
        <x:v>SUP|403</x:v>
      </x:c>
      <x:c r="B333" t="str">
        <x:v>f825ce46-0f63-5ffd-8462-eefdcec5d979</x:v>
      </x:c>
      <x:c r="C333" t="str">
        <x:v>CDA-SUP-403</x:v>
      </x:c>
      <x:c r="D333" t="str">
        <x:v>a0fc0aee-2321-5612-af14-a6e399efdb96</x:v>
      </x:c>
      <x:c r="E333" t="str">
        <x:v>CDA-CODE-403</x:v>
      </x:c>
      <x:c r="F333" t="str">
        <x:v>Caran d’Ache</x:v>
      </x:c>
      <x:c r="G333" t="str">
        <x:v>SUP</x:v>
      </x:c>
      <x:c r="H333" t="str">
        <x:v>SUPRACOLOR Soft Aquarelle</x:v>
      </x:c>
      <x:c r="I333" t="str">
        <x:v>Water-soluble coloured pencil</x:v>
      </x:c>
      <x:c r="J333" t="str">
        <x:v>Artist</x:v>
      </x:c>
      <x:c r="K333" s="30" t="n">
        <x:v>112</x:v>
      </x:c>
      <x:c r="L333" s="30" t="str">
        <x:v>403</x:v>
      </x:c>
      <x:c r="M333" t="str">
        <x:v>Beige</x:v>
      </x:c>
      <x:c r="N333" t="str">
        <x:v>米色</x:v>
      </x:c>
      <x:c r="O333" t="str">
        <x:v>ベージュ</x:v>
      </x:c>
      <x:c r="P333" t="str"/>
      <x:c r="Q333" t="str">
        <x:v>Beige</x:v>
      </x:c>
      <x:c r="R333" t="str">
        <x:v>Beige</x:v>
      </x:c>
      <x:c r="S333" t="str">
        <x:v>Beige</x:v>
      </x:c>
      <x:c r="T333" t="str">
        <x:v>Beige</x:v>
      </x:c>
      <x:c r="U333" t="str"/>
      <x:c r="V333" t="str"/>
      <x:c r="W333" t="str"/>
      <x:c r="X333" t="n">
        <x:f>IF(W333="",0,LEN(W333)-LEN(SUBSTITUTE(W333,"/",""))+1)</x:f>
        <x:v>0</x:v>
      </x:c>
      <x:c r="Y333" t="str">
        <x:v>H</x:v>
      </x:c>
      <x:c r="Z333" s="32" t="n">
        <x:v>1.67</x:v>
      </x:c>
      <x:c r="AA333" s="32" t="n">
        <x:v>3</x:v>
      </x:c>
      <x:c r="AB333" s="32" t="str">
        <x:v>Blue Wool Scale / UV 150h</x:v>
      </x:c>
      <x:c r="AC333" t="str">
        <x:v>#EED9C3</x:v>
      </x:c>
      <x:c r="AD333" s="34" t="n">
        <x:v>238</x:v>
      </x:c>
      <x:c r="AE333" s="34" t="n">
        <x:v>217</x:v>
      </x:c>
      <x:c r="AF333" s="34" t="n">
        <x:v>195</x:v>
      </x:c>
      <x:c r="AG333" s="32" t="n">
        <x:v>30.7</x:v>
      </x:c>
      <x:c r="AH333" s="32" t="n">
        <x:v>55.84</x:v>
      </x:c>
      <x:c r="AI333" s="32" t="n">
        <x:v>84.9</x:v>
      </x:c>
      <x:c r="AJ333" s="32" t="n">
        <x:v>87.85</x:v>
      </x:c>
      <x:c r="AK333" s="32" t="n">
        <x:v>3.76</x:v>
      </x:c>
      <x:c r="AL333" s="32" t="n">
        <x:v>13.47</x:v>
      </x:c>
      <x:c r="AM333" s="32" t="str">
        <x:v>#000000</x:v>
      </x:c>
      <x:c r="AN333" s="32" t="str">
        <x:v>Black</x:v>
      </x:c>
      <x:c r="AO333" s="32" t="n">
        <x:v>15.35</x:v>
      </x:c>
      <x:c r="AP333" s="32" t="n">
        <x:v>15.35</x:v>
      </x:c>
      <x:c r="AQ333" s="32" t="n">
        <x:v>1.37</x:v>
      </x:c>
      <x:c r="AR333" s="32" t="n">
        <x:v>0.71743</x:v>
      </x:c>
      <x:c r="AS333" t="str">
        <x:v>PASS</x:v>
      </x:c>
      <x:c r="AT333" t="str">
        <x:v>--cda-sup-403</x:v>
      </x:c>
      <x:c r="AU333" t="str">
        <x:v>var(--cda-sup-403)</x:v>
      </x:c>
      <x:c r="AV333" t="str">
        <x:v>Median RGB from official PDF swatch (screen reference only)</x:v>
      </x:c>
      <x:c r="AW333" t="str">
        <x:v>https://www.carandache.com/content_files/uploaded_doc/product/11426/Colour_Chart_Supracolor-BD3.pdf</x:v>
      </x:c>
      <x:c r="AX333" t="n">
        <x:v>1</x:v>
      </x:c>
      <x:c r="AY333" t="str">
        <x:v>Official</x:v>
      </x:c>
      <x:c r="AZ333" t="str">
        <x:v>Official where available; curated Traditional Chinese/Japanese otherwise</x:v>
      </x:c>
      <x:c r="BA333" t="str">
        <x:v>Verified from official chart; digital HEX is approximate</x:v>
      </x:c>
      <x:c r="BB333" t="str">
        <x:v>Physical media appearance varies by paper, pressure, layering, water and scan/display profile.</x:v>
      </x:c>
    </x:row>
    <x:row r="334">
      <x:c r="A334" t="str">
        <x:f>G334&amp;"|"&amp;L334</x:f>
        <x:v>SUP|401</x:v>
      </x:c>
      <x:c r="B334" t="str">
        <x:v>fb066469-fdf3-51a7-9d2a-2e413a1639a1</x:v>
      </x:c>
      <x:c r="C334" t="str">
        <x:v>CDA-SUP-401</x:v>
      </x:c>
      <x:c r="D334" t="str">
        <x:v>041ab24f-ad59-5075-a15a-4afb1abf3da3</x:v>
      </x:c>
      <x:c r="E334" t="str">
        <x:v>CDA-CODE-401</x:v>
      </x:c>
      <x:c r="F334" t="str">
        <x:v>Caran d’Ache</x:v>
      </x:c>
      <x:c r="G334" t="str">
        <x:v>SUP</x:v>
      </x:c>
      <x:c r="H334" t="str">
        <x:v>SUPRACOLOR Soft Aquarelle</x:v>
      </x:c>
      <x:c r="I334" t="str">
        <x:v>Water-soluble coloured pencil</x:v>
      </x:c>
      <x:c r="J334" t="str">
        <x:v>Artist</x:v>
      </x:c>
      <x:c r="K334" s="30" t="n">
        <x:v>113</x:v>
      </x:c>
      <x:c r="L334" s="30" t="str">
        <x:v>401</x:v>
      </x:c>
      <x:c r="M334" t="str">
        <x:v>Ash grey</x:v>
      </x:c>
      <x:c r="N334" t="str">
        <x:v>灰燼灰</x:v>
      </x:c>
      <x:c r="O334" t="str">
        <x:v>アッシュグレー</x:v>
      </x:c>
      <x:c r="P334" t="str"/>
      <x:c r="Q334" t="str">
        <x:v>Gris cendre</x:v>
      </x:c>
      <x:c r="R334" t="str">
        <x:v>Aschgrau</x:v>
      </x:c>
      <x:c r="S334" t="str">
        <x:v>Grigio cenere</x:v>
      </x:c>
      <x:c r="T334" t="str">
        <x:v>Gris ceniza</x:v>
      </x:c>
      <x:c r="U334" t="str"/>
      <x:c r="V334" t="str"/>
      <x:c r="W334" t="str"/>
      <x:c r="X334" t="n">
        <x:f>IF(W334="",0,LEN(W334)-LEN(SUBSTITUTE(W334,"/",""))+1)</x:f>
        <x:v>0</x:v>
      </x:c>
      <x:c r="Y334" t="str">
        <x:v>H</x:v>
      </x:c>
      <x:c r="Z334" s="32" t="n">
        <x:v>1.67</x:v>
      </x:c>
      <x:c r="AA334" s="32" t="n">
        <x:v>3</x:v>
      </x:c>
      <x:c r="AB334" s="32" t="str">
        <x:v>Blue Wool Scale / UV 150h</x:v>
      </x:c>
      <x:c r="AC334" t="str">
        <x:v>#FFEEDD</x:v>
      </x:c>
      <x:c r="AD334" s="34" t="n">
        <x:v>255</x:v>
      </x:c>
      <x:c r="AE334" s="34" t="n">
        <x:v>238</x:v>
      </x:c>
      <x:c r="AF334" s="34" t="n">
        <x:v>221</x:v>
      </x:c>
      <x:c r="AG334" s="32" t="n">
        <x:v>30</x:v>
      </x:c>
      <x:c r="AH334" s="32" t="n">
        <x:v>100</x:v>
      </x:c>
      <x:c r="AI334" s="32" t="n">
        <x:v>93.33</x:v>
      </x:c>
      <x:c r="AJ334" s="32" t="n">
        <x:v>95.01</x:v>
      </x:c>
      <x:c r="AK334" s="32" t="n">
        <x:v>3</x:v>
      </x:c>
      <x:c r="AL334" s="32" t="n">
        <x:v>10.29</x:v>
      </x:c>
      <x:c r="AM334" s="32" t="str">
        <x:v>#000000</x:v>
      </x:c>
      <x:c r="AN334" s="32" t="str">
        <x:v>Black</x:v>
      </x:c>
      <x:c r="AO334" s="32" t="n">
        <x:v>18.53</x:v>
      </x:c>
      <x:c r="AP334" s="32" t="n">
        <x:v>18.53</x:v>
      </x:c>
      <x:c r="AQ334" s="32" t="n">
        <x:v>1.13</x:v>
      </x:c>
      <x:c r="AR334" s="32" t="n">
        <x:v>0.876295</x:v>
      </x:c>
      <x:c r="AS334" t="str">
        <x:v>PASS</x:v>
      </x:c>
      <x:c r="AT334" t="str">
        <x:v>--cda-sup-401</x:v>
      </x:c>
      <x:c r="AU334" t="str">
        <x:v>var(--cda-sup-401)</x:v>
      </x:c>
      <x:c r="AV334" t="str">
        <x:v>Median RGB from official PDF swatch (screen reference only)</x:v>
      </x:c>
      <x:c r="AW334" t="str">
        <x:v>https://www.carandache.com/content_files/uploaded_doc/product/11426/Colour_Chart_Supracolor-BD3.pdf</x:v>
      </x:c>
      <x:c r="AX334" t="n">
        <x:v>1</x:v>
      </x:c>
      <x:c r="AY334" t="str">
        <x:v>Official</x:v>
      </x:c>
      <x:c r="AZ334" t="str">
        <x:v>Official where available; curated Traditional Chinese/Japanese otherwise</x:v>
      </x:c>
      <x:c r="BA334" t="str">
        <x:v>Verified from official chart; digital HEX is approximate</x:v>
      </x:c>
      <x:c r="BB334" t="str">
        <x:v>Physical media appearance varies by paper, pressure, layering, water and scan/display profile.</x:v>
      </x:c>
    </x:row>
    <x:row r="335">
      <x:c r="A335" t="str">
        <x:f>G335&amp;"|"&amp;L335</x:f>
        <x:v>SUP|402</x:v>
      </x:c>
      <x:c r="B335" t="str">
        <x:v>ab6a10a6-b891-5133-93b4-4a1946275076</x:v>
      </x:c>
      <x:c r="C335" t="str">
        <x:v>CDA-SUP-402</x:v>
      </x:c>
      <x:c r="D335" t="str">
        <x:v>ff5f9226-afd3-51de-841e-1af120ed7973</x:v>
      </x:c>
      <x:c r="E335" t="str">
        <x:v>CDA-CODE-402</x:v>
      </x:c>
      <x:c r="F335" t="str">
        <x:v>Caran d’Ache</x:v>
      </x:c>
      <x:c r="G335" t="str">
        <x:v>SUP</x:v>
      </x:c>
      <x:c r="H335" t="str">
        <x:v>SUPRACOLOR Soft Aquarelle</x:v>
      </x:c>
      <x:c r="I335" t="str">
        <x:v>Water-soluble coloured pencil</x:v>
      </x:c>
      <x:c r="J335" t="str">
        <x:v>Artist</x:v>
      </x:c>
      <x:c r="K335" s="30" t="n">
        <x:v>114</x:v>
      </x:c>
      <x:c r="L335" s="30" t="str">
        <x:v>402</x:v>
      </x:c>
      <x:c r="M335" t="str">
        <x:v>Light beige</x:v>
      </x:c>
      <x:c r="N335" t="str">
        <x:v>淺米色</x:v>
      </x:c>
      <x:c r="O335" t="str">
        <x:v>ライトベージュ</x:v>
      </x:c>
      <x:c r="P335" t="str"/>
      <x:c r="Q335" t="str">
        <x:v>Beige clair</x:v>
      </x:c>
      <x:c r="R335" t="str">
        <x:v>Hellbeige</x:v>
      </x:c>
      <x:c r="S335" t="str">
        <x:v>Beige chiaro</x:v>
      </x:c>
      <x:c r="T335" t="str">
        <x:v>Beige claro</x:v>
      </x:c>
      <x:c r="U335" t="str"/>
      <x:c r="V335" t="str"/>
      <x:c r="W335" t="str"/>
      <x:c r="X335" t="n">
        <x:f>IF(W335="",0,LEN(W335)-LEN(SUBSTITUTE(W335,"/",""))+1)</x:f>
        <x:v>0</x:v>
      </x:c>
      <x:c r="Y335" t="str">
        <x:v>H</x:v>
      </x:c>
      <x:c r="Z335" s="32" t="n">
        <x:v>1.67</x:v>
      </x:c>
      <x:c r="AA335" s="32" t="n">
        <x:v>3</x:v>
      </x:c>
      <x:c r="AB335" s="32" t="str">
        <x:v>Blue Wool Scale / UV 150h</x:v>
      </x:c>
      <x:c r="AC335" t="str">
        <x:v>#F8E5D3</x:v>
      </x:c>
      <x:c r="AD335" s="34" t="n">
        <x:v>248</x:v>
      </x:c>
      <x:c r="AE335" s="34" t="n">
        <x:v>229</x:v>
      </x:c>
      <x:c r="AF335" s="34" t="n">
        <x:v>211</x:v>
      </x:c>
      <x:c r="AG335" s="32" t="n">
        <x:v>29.19</x:v>
      </x:c>
      <x:c r="AH335" s="32" t="n">
        <x:v>72.55</x:v>
      </x:c>
      <x:c r="AI335" s="32" t="n">
        <x:v>90</x:v>
      </x:c>
      <x:c r="AJ335" s="32" t="n">
        <x:v>92</x:v>
      </x:c>
      <x:c r="AK335" s="32" t="n">
        <x:v>3.58</x:v>
      </x:c>
      <x:c r="AL335" s="32" t="n">
        <x:v>11.11</x:v>
      </x:c>
      <x:c r="AM335" s="32" t="str">
        <x:v>#000000</x:v>
      </x:c>
      <x:c r="AN335" s="32" t="str">
        <x:v>Black</x:v>
      </x:c>
      <x:c r="AO335" s="32" t="n">
        <x:v>17.14</x:v>
      </x:c>
      <x:c r="AP335" s="32" t="n">
        <x:v>17.14</x:v>
      </x:c>
      <x:c r="AQ335" s="32" t="n">
        <x:v>1.23</x:v>
      </x:c>
      <x:c r="AR335" s="32" t="n">
        <x:v>0.806982</x:v>
      </x:c>
      <x:c r="AS335" t="str">
        <x:v>PASS</x:v>
      </x:c>
      <x:c r="AT335" t="str">
        <x:v>--cda-sup-402</x:v>
      </x:c>
      <x:c r="AU335" t="str">
        <x:v>var(--cda-sup-402)</x:v>
      </x:c>
      <x:c r="AV335" t="str">
        <x:v>Median RGB from official PDF swatch (screen reference only)</x:v>
      </x:c>
      <x:c r="AW335" t="str">
        <x:v>https://www.carandache.com/content_files/uploaded_doc/product/11426/Colour_Chart_Supracolor-BD3.pdf</x:v>
      </x:c>
      <x:c r="AX335" t="n">
        <x:v>1</x:v>
      </x:c>
      <x:c r="AY335" t="str">
        <x:v>Official</x:v>
      </x:c>
      <x:c r="AZ335" t="str">
        <x:v>Official where available; curated Traditional Chinese/Japanese otherwise</x:v>
      </x:c>
      <x:c r="BA335" t="str">
        <x:v>Verified from official chart; digital HEX is approximate</x:v>
      </x:c>
      <x:c r="BB335" t="str">
        <x:v>Physical media appearance varies by paper, pressure, layering, water and scan/display profile.</x:v>
      </x:c>
    </x:row>
    <x:row r="336">
      <x:c r="A336" t="str">
        <x:f>G336&amp;"|"&amp;L336</x:f>
        <x:v>SUP|025</x:v>
      </x:c>
      <x:c r="B336" t="str">
        <x:v>ec312be9-584c-5fd5-9ab6-ebef870d077e</x:v>
      </x:c>
      <x:c r="C336" t="str">
        <x:v>CDA-SUP-025</x:v>
      </x:c>
      <x:c r="D336" t="str">
        <x:v>d214ba2e-de61-50e2-9d33-f10155cc817b</x:v>
      </x:c>
      <x:c r="E336" t="str">
        <x:v>CDA-CODE-025</x:v>
      </x:c>
      <x:c r="F336" t="str">
        <x:v>Caran d’Ache</x:v>
      </x:c>
      <x:c r="G336" t="str">
        <x:v>SUP</x:v>
      </x:c>
      <x:c r="H336" t="str">
        <x:v>SUPRACOLOR Soft Aquarelle</x:v>
      </x:c>
      <x:c r="I336" t="str">
        <x:v>Water-soluble coloured pencil</x:v>
      </x:c>
      <x:c r="J336" t="str">
        <x:v>Artist</x:v>
      </x:c>
      <x:c r="K336" s="30" t="n">
        <x:v>115</x:v>
      </x:c>
      <x:c r="L336" s="30" t="str">
        <x:v>025</x:v>
      </x:c>
      <x:c r="M336" t="str">
        <x:v>Green ochre</x:v>
      </x:c>
      <x:c r="N336" t="str">
        <x:v>綠赭色</x:v>
      </x:c>
      <x:c r="O336" t="str">
        <x:v>グリーンオーカー</x:v>
      </x:c>
      <x:c r="P336" t="str"/>
      <x:c r="Q336" t="str">
        <x:v>Ocre vert</x:v>
      </x:c>
      <x:c r="R336" t="str">
        <x:v>Grünocker</x:v>
      </x:c>
      <x:c r="S336" t="str">
        <x:v>Ocra verde</x:v>
      </x:c>
      <x:c r="T336" t="str">
        <x:v>Ocre verde</x:v>
      </x:c>
      <x:c r="U336" t="str"/>
      <x:c r="V336" t="str"/>
      <x:c r="W336" t="str"/>
      <x:c r="X336" t="n">
        <x:f>IF(W336="",0,LEN(W336)-LEN(SUBSTITUTE(W336,"/",""))+1)</x:f>
        <x:v>0</x:v>
      </x:c>
      <x:c r="Y336" t="str">
        <x:v>H</x:v>
      </x:c>
      <x:c r="Z336" s="32" t="n">
        <x:v>1.67</x:v>
      </x:c>
      <x:c r="AA336" s="32" t="n">
        <x:v>3</x:v>
      </x:c>
      <x:c r="AB336" s="32" t="str">
        <x:v>Blue Wool Scale / UV 150h</x:v>
      </x:c>
      <x:c r="AC336" t="str">
        <x:v>#FDD574</x:v>
      </x:c>
      <x:c r="AD336" s="34" t="n">
        <x:v>253</x:v>
      </x:c>
      <x:c r="AE336" s="34" t="n">
        <x:v>213</x:v>
      </x:c>
      <x:c r="AF336" s="34" t="n">
        <x:v>116</x:v>
      </x:c>
      <x:c r="AG336" s="32" t="n">
        <x:v>42.48</x:v>
      </x:c>
      <x:c r="AH336" s="32" t="n">
        <x:v>97.16</x:v>
      </x:c>
      <x:c r="AI336" s="32" t="n">
        <x:v>72.35</x:v>
      </x:c>
      <x:c r="AJ336" s="32" t="n">
        <x:v>86.87</x:v>
      </x:c>
      <x:c r="AK336" s="32" t="n">
        <x:v>2.61</x:v>
      </x:c>
      <x:c r="AL336" s="32" t="n">
        <x:v>52.6</x:v>
      </x:c>
      <x:c r="AM336" s="32" t="str">
        <x:v>#000000</x:v>
      </x:c>
      <x:c r="AN336" s="32" t="str">
        <x:v>Black</x:v>
      </x:c>
      <x:c r="AO336" s="32" t="n">
        <x:v>14.95</x:v>
      </x:c>
      <x:c r="AP336" s="32" t="n">
        <x:v>14.95</x:v>
      </x:c>
      <x:c r="AQ336" s="32" t="n">
        <x:v>1.41</x:v>
      </x:c>
      <x:c r="AR336" s="32" t="n">
        <x:v>0.697321</x:v>
      </x:c>
      <x:c r="AS336" t="str">
        <x:v>PASS</x:v>
      </x:c>
      <x:c r="AT336" t="str">
        <x:v>--cda-sup-025</x:v>
      </x:c>
      <x:c r="AU336" t="str">
        <x:v>var(--cda-sup-025)</x:v>
      </x:c>
      <x:c r="AV336" t="str">
        <x:v>Median RGB from official PDF swatch (screen reference only)</x:v>
      </x:c>
      <x:c r="AW336" t="str">
        <x:v>https://www.carandache.com/content_files/uploaded_doc/product/11426/Colour_Chart_Supracolor-BD3.pdf</x:v>
      </x:c>
      <x:c r="AX336" t="n">
        <x:v>1</x:v>
      </x:c>
      <x:c r="AY336" t="str">
        <x:v>Official</x:v>
      </x:c>
      <x:c r="AZ336" t="str">
        <x:v>Official where available; curated Traditional Chinese/Japanese otherwise</x:v>
      </x:c>
      <x:c r="BA336" t="str">
        <x:v>Verified from official chart; digital HEX is approximate</x:v>
      </x:c>
      <x:c r="BB336" t="str">
        <x:v>Physical media appearance varies by paper, pressure, layering, water and scan/display profile.</x:v>
      </x:c>
    </x:row>
    <x:row r="337">
      <x:c r="A337" t="str">
        <x:f>G337&amp;"|"&amp;L337</x:f>
        <x:v>SUP|499</x:v>
      </x:c>
      <x:c r="B337" t="str">
        <x:v>e3bb204e-d57d-5318-a071-f37d3d46d006</x:v>
      </x:c>
      <x:c r="C337" t="str">
        <x:v>CDA-SUP-499</x:v>
      </x:c>
      <x:c r="D337" t="str">
        <x:v>28c12bd9-5252-5aa7-b4d7-b871d20e5a42</x:v>
      </x:c>
      <x:c r="E337" t="str">
        <x:v>CDA-CODE-499</x:v>
      </x:c>
      <x:c r="F337" t="str">
        <x:v>Caran d’Ache</x:v>
      </x:c>
      <x:c r="G337" t="str">
        <x:v>SUP</x:v>
      </x:c>
      <x:c r="H337" t="str">
        <x:v>SUPRACOLOR Soft Aquarelle</x:v>
      </x:c>
      <x:c r="I337" t="str">
        <x:v>Water-soluble coloured pencil</x:v>
      </x:c>
      <x:c r="J337" t="str">
        <x:v>Artist</x:v>
      </x:c>
      <x:c r="K337" s="30" t="n">
        <x:v>116</x:v>
      </x:c>
      <x:c r="L337" s="30" t="str">
        <x:v>499</x:v>
      </x:c>
      <x:c r="M337" t="str">
        <x:v>Gold</x:v>
      </x:c>
      <x:c r="N337" t="str">
        <x:v>金色</x:v>
      </x:c>
      <x:c r="O337" t="str">
        <x:v>ゴールド</x:v>
      </x:c>
      <x:c r="P337" t="str"/>
      <x:c r="Q337" t="str">
        <x:v>Or</x:v>
      </x:c>
      <x:c r="R337" t="str">
        <x:v>Gold</x:v>
      </x:c>
      <x:c r="S337" t="str">
        <x:v>Oro</x:v>
      </x:c>
      <x:c r="T337" t="str">
        <x:v>Oro</x:v>
      </x:c>
      <x:c r="U337" t="str"/>
      <x:c r="V337" t="str"/>
      <x:c r="W337" t="str"/>
      <x:c r="X337" t="n">
        <x:f>IF(W337="",0,LEN(W337)-LEN(SUBSTITUTE(W337,"/",""))+1)</x:f>
        <x:v>0</x:v>
      </x:c>
      <x:c r="Y337" t="str">
        <x:v>H</x:v>
      </x:c>
      <x:c r="Z337" s="32" t="n">
        <x:v>1.67</x:v>
      </x:c>
      <x:c r="AA337" s="32" t="n">
        <x:v>3</x:v>
      </x:c>
      <x:c r="AB337" s="32" t="str">
        <x:v>Blue Wool Scale / UV 150h</x:v>
      </x:c>
      <x:c r="AC337" t="str">
        <x:v>#DFCA83</x:v>
      </x:c>
      <x:c r="AD337" s="34" t="n">
        <x:v>223</x:v>
      </x:c>
      <x:c r="AE337" s="34" t="n">
        <x:v>202</x:v>
      </x:c>
      <x:c r="AF337" s="34" t="n">
        <x:v>131</x:v>
      </x:c>
      <x:c r="AG337" s="32" t="n">
        <x:v>46.3</x:v>
      </x:c>
      <x:c r="AH337" s="32" t="n">
        <x:v>58.97</x:v>
      </x:c>
      <x:c r="AI337" s="32" t="n">
        <x:v>69.41</x:v>
      </x:c>
      <x:c r="AJ337" s="32" t="n">
        <x:v>81.6</x:v>
      </x:c>
      <x:c r="AK337" s="32" t="n">
        <x:v>-2.41</x:v>
      </x:c>
      <x:c r="AL337" s="32" t="n">
        <x:v>38.09</x:v>
      </x:c>
      <x:c r="AM337" s="32" t="str">
        <x:v>#000000</x:v>
      </x:c>
      <x:c r="AN337" s="32" t="str">
        <x:v>Black</x:v>
      </x:c>
      <x:c r="AO337" s="32" t="n">
        <x:v>12.91</x:v>
      </x:c>
      <x:c r="AP337" s="32" t="n">
        <x:v>12.91</x:v>
      </x:c>
      <x:c r="AQ337" s="32" t="n">
        <x:v>1.63</x:v>
      </x:c>
      <x:c r="AR337" s="32" t="n">
        <x:v>0.595677</x:v>
      </x:c>
      <x:c r="AS337" t="str">
        <x:v>PASS</x:v>
      </x:c>
      <x:c r="AT337" t="str">
        <x:v>--cda-sup-499</x:v>
      </x:c>
      <x:c r="AU337" t="str">
        <x:v>var(--cda-sup-499)</x:v>
      </x:c>
      <x:c r="AV337" t="str">
        <x:v>Median RGB from official PDF swatch (screen reference only)</x:v>
      </x:c>
      <x:c r="AW337" t="str">
        <x:v>https://www.carandache.com/content_files/uploaded_doc/product/11426/Colour_Chart_Supracolor-BD3.pdf</x:v>
      </x:c>
      <x:c r="AX337" t="n">
        <x:v>1</x:v>
      </x:c>
      <x:c r="AY337" t="str">
        <x:v>Official</x:v>
      </x:c>
      <x:c r="AZ337" t="str">
        <x:v>Official where available; curated Traditional Chinese/Japanese otherwise</x:v>
      </x:c>
      <x:c r="BA337" t="str">
        <x:v>Verified from official chart; digital HEX is approximate</x:v>
      </x:c>
      <x:c r="BB337" t="str">
        <x:v>Physical media appearance varies by paper, pressure, layering, water and scan/display profile.</x:v>
      </x:c>
    </x:row>
    <x:row r="338">
      <x:c r="A338" t="str">
        <x:f>G338&amp;"|"&amp;L338</x:f>
        <x:v>SUP|497</x:v>
      </x:c>
      <x:c r="B338" t="str">
        <x:v>62e104b0-4c72-516d-99e0-d9481bc60779</x:v>
      </x:c>
      <x:c r="C338" t="str">
        <x:v>CDA-SUP-497</x:v>
      </x:c>
      <x:c r="D338" t="str">
        <x:v>626a6f45-e626-566f-8eee-647ee5477aa2</x:v>
      </x:c>
      <x:c r="E338" t="str">
        <x:v>CDA-CODE-497</x:v>
      </x:c>
      <x:c r="F338" t="str">
        <x:v>Caran d’Ache</x:v>
      </x:c>
      <x:c r="G338" t="str">
        <x:v>SUP</x:v>
      </x:c>
      <x:c r="H338" t="str">
        <x:v>SUPRACOLOR Soft Aquarelle</x:v>
      </x:c>
      <x:c r="I338" t="str">
        <x:v>Water-soluble coloured pencil</x:v>
      </x:c>
      <x:c r="J338" t="str">
        <x:v>Artist</x:v>
      </x:c>
      <x:c r="K338" s="30" t="n">
        <x:v>117</x:v>
      </x:c>
      <x:c r="L338" s="30" t="str">
        <x:v>497</x:v>
      </x:c>
      <x:c r="M338" t="str">
        <x:v>Bronze</x:v>
      </x:c>
      <x:c r="N338" t="str">
        <x:v>青銅色</x:v>
      </x:c>
      <x:c r="O338" t="str">
        <x:v>ブロンズ</x:v>
      </x:c>
      <x:c r="P338" t="str"/>
      <x:c r="Q338" t="str">
        <x:v>Bronze</x:v>
      </x:c>
      <x:c r="R338" t="str">
        <x:v>Bronze</x:v>
      </x:c>
      <x:c r="S338" t="str">
        <x:v>Bronzo</x:v>
      </x:c>
      <x:c r="T338" t="str">
        <x:v>Bronce</x:v>
      </x:c>
      <x:c r="U338" t="str"/>
      <x:c r="V338" t="str"/>
      <x:c r="W338" t="str"/>
      <x:c r="X338" t="n">
        <x:f>IF(W338="",0,LEN(W338)-LEN(SUBSTITUTE(W338,"/",""))+1)</x:f>
        <x:v>0</x:v>
      </x:c>
      <x:c r="Y338" t="str">
        <x:v>H</x:v>
      </x:c>
      <x:c r="Z338" s="32" t="n">
        <x:v>1.67</x:v>
      </x:c>
      <x:c r="AA338" s="32" t="n">
        <x:v>3</x:v>
      </x:c>
      <x:c r="AB338" s="32" t="str">
        <x:v>Blue Wool Scale / UV 150h</x:v>
      </x:c>
      <x:c r="AC338" t="str">
        <x:v>#EFA07D</x:v>
      </x:c>
      <x:c r="AD338" s="34" t="n">
        <x:v>239</x:v>
      </x:c>
      <x:c r="AE338" s="34" t="n">
        <x:v>160</x:v>
      </x:c>
      <x:c r="AF338" s="34" t="n">
        <x:v>125</x:v>
      </x:c>
      <x:c r="AG338" s="32" t="n">
        <x:v>18.42</x:v>
      </x:c>
      <x:c r="AH338" s="32" t="n">
        <x:v>78.08</x:v>
      </x:c>
      <x:c r="AI338" s="32" t="n">
        <x:v>71.37</x:v>
      </x:c>
      <x:c r="AJ338" s="32" t="n">
        <x:v>72.88</x:v>
      </x:c>
      <x:c r="AK338" s="32" t="n">
        <x:v>25.51</x:v>
      </x:c>
      <x:c r="AL338" s="32" t="n">
        <x:v>30.2</x:v>
      </x:c>
      <x:c r="AM338" s="32" t="str">
        <x:v>#000000</x:v>
      </x:c>
      <x:c r="AN338" s="32" t="str">
        <x:v>Black</x:v>
      </x:c>
      <x:c r="AO338" s="32" t="n">
        <x:v>9.99</x:v>
      </x:c>
      <x:c r="AP338" s="32" t="n">
        <x:v>9.99</x:v>
      </x:c>
      <x:c r="AQ338" s="32" t="n">
        <x:v>2.1</x:v>
      </x:c>
      <x:c r="AR338" s="32" t="n">
        <x:v>0.44973</x:v>
      </x:c>
      <x:c r="AS338" t="str">
        <x:v>PASS</x:v>
      </x:c>
      <x:c r="AT338" t="str">
        <x:v>--cda-sup-497</x:v>
      </x:c>
      <x:c r="AU338" t="str">
        <x:v>var(--cda-sup-497)</x:v>
      </x:c>
      <x:c r="AV338" t="str">
        <x:v>Median RGB from official PDF swatch (screen reference only)</x:v>
      </x:c>
      <x:c r="AW338" t="str">
        <x:v>https://www.carandache.com/content_files/uploaded_doc/product/11426/Colour_Chart_Supracolor-BD3.pdf</x:v>
      </x:c>
      <x:c r="AX338" t="n">
        <x:v>1</x:v>
      </x:c>
      <x:c r="AY338" t="str">
        <x:v>Official</x:v>
      </x:c>
      <x:c r="AZ338" t="str">
        <x:v>Official where available; curated Traditional Chinese/Japanese otherwise</x:v>
      </x:c>
      <x:c r="BA338" t="str">
        <x:v>Verified from official chart; digital HEX is approximate</x:v>
      </x:c>
      <x:c r="BB338" t="str">
        <x:v>Physical media appearance varies by paper, pressure, layering, water and scan/display profile.</x:v>
      </x:c>
    </x:row>
    <x:row r="339">
      <x:c r="A339" t="str">
        <x:f>G339&amp;"|"&amp;L339</x:f>
        <x:v>SUP|498</x:v>
      </x:c>
      <x:c r="B339" t="str">
        <x:v>698ad748-2492-59dd-904e-28272b6db420</x:v>
      </x:c>
      <x:c r="C339" t="str">
        <x:v>CDA-SUP-498</x:v>
      </x:c>
      <x:c r="D339" t="str">
        <x:v>03989b1a-4440-5f14-a358-38a260b8270e</x:v>
      </x:c>
      <x:c r="E339" t="str">
        <x:v>CDA-CODE-498</x:v>
      </x:c>
      <x:c r="F339" t="str">
        <x:v>Caran d’Ache</x:v>
      </x:c>
      <x:c r="G339" t="str">
        <x:v>SUP</x:v>
      </x:c>
      <x:c r="H339" t="str">
        <x:v>SUPRACOLOR Soft Aquarelle</x:v>
      </x:c>
      <x:c r="I339" t="str">
        <x:v>Water-soluble coloured pencil</x:v>
      </x:c>
      <x:c r="J339" t="str">
        <x:v>Artist</x:v>
      </x:c>
      <x:c r="K339" s="30" t="n">
        <x:v>118</x:v>
      </x:c>
      <x:c r="L339" s="30" t="str">
        <x:v>498</x:v>
      </x:c>
      <x:c r="M339" t="str">
        <x:v>Silver</x:v>
      </x:c>
      <x:c r="N339" t="str">
        <x:v>銀色</x:v>
      </x:c>
      <x:c r="O339" t="str">
        <x:v>シルバー</x:v>
      </x:c>
      <x:c r="P339" t="str"/>
      <x:c r="Q339" t="str">
        <x:v>Argent</x:v>
      </x:c>
      <x:c r="R339" t="str">
        <x:v>Silber</x:v>
      </x:c>
      <x:c r="S339" t="str">
        <x:v>Argento</x:v>
      </x:c>
      <x:c r="T339" t="str">
        <x:v>Plata</x:v>
      </x:c>
      <x:c r="U339" t="str"/>
      <x:c r="V339" t="str"/>
      <x:c r="W339" t="str"/>
      <x:c r="X339" t="n">
        <x:f>IF(W339="",0,LEN(W339)-LEN(SUBSTITUTE(W339,"/",""))+1)</x:f>
        <x:v>0</x:v>
      </x:c>
      <x:c r="Y339" t="str">
        <x:v>H</x:v>
      </x:c>
      <x:c r="Z339" s="32" t="n">
        <x:v>1.67</x:v>
      </x:c>
      <x:c r="AA339" s="32" t="n">
        <x:v>3</x:v>
      </x:c>
      <x:c r="AB339" s="32" t="str">
        <x:v>Blue Wool Scale / UV 150h</x:v>
      </x:c>
      <x:c r="AC339" t="str">
        <x:v>#E0D6CF</x:v>
      </x:c>
      <x:c r="AD339" s="34" t="n">
        <x:v>224</x:v>
      </x:c>
      <x:c r="AE339" s="34" t="n">
        <x:v>214</x:v>
      </x:c>
      <x:c r="AF339" s="34" t="n">
        <x:v>207</x:v>
      </x:c>
      <x:c r="AG339" s="32" t="n">
        <x:v>24.71</x:v>
      </x:c>
      <x:c r="AH339" s="32" t="n">
        <x:v>21.52</x:v>
      </x:c>
      <x:c r="AI339" s="32" t="n">
        <x:v>84.51</x:v>
      </x:c>
      <x:c r="AJ339" s="32" t="n">
        <x:v>86.23</x:v>
      </x:c>
      <x:c r="AK339" s="32" t="n">
        <x:v>2.23</x:v>
      </x:c>
      <x:c r="AL339" s="32" t="n">
        <x:v>4.68</x:v>
      </x:c>
      <x:c r="AM339" s="32" t="str">
        <x:v>#000000</x:v>
      </x:c>
      <x:c r="AN339" s="32" t="str">
        <x:v>Black</x:v>
      </x:c>
      <x:c r="AO339" s="32" t="n">
        <x:v>14.69</x:v>
      </x:c>
      <x:c r="AP339" s="32" t="n">
        <x:v>14.69</x:v>
      </x:c>
      <x:c r="AQ339" s="32" t="n">
        <x:v>1.43</x:v>
      </x:c>
      <x:c r="AR339" s="32" t="n">
        <x:v>0.684454</x:v>
      </x:c>
      <x:c r="AS339" t="str">
        <x:v>PASS</x:v>
      </x:c>
      <x:c r="AT339" t="str">
        <x:v>--cda-sup-498</x:v>
      </x:c>
      <x:c r="AU339" t="str">
        <x:v>var(--cda-sup-498)</x:v>
      </x:c>
      <x:c r="AV339" t="str">
        <x:v>Median RGB from official PDF swatch (screen reference only)</x:v>
      </x:c>
      <x:c r="AW339" t="str">
        <x:v>https://www.carandache.com/content_files/uploaded_doc/product/11426/Colour_Chart_Supracolor-BD3.pdf</x:v>
      </x:c>
      <x:c r="AX339" t="n">
        <x:v>1</x:v>
      </x:c>
      <x:c r="AY339" t="str">
        <x:v>Official</x:v>
      </x:c>
      <x:c r="AZ339" t="str">
        <x:v>Official where available; curated Traditional Chinese/Japanese otherwise</x:v>
      </x:c>
      <x:c r="BA339" t="str">
        <x:v>Verified from official chart; digital HEX is approximate</x:v>
      </x:c>
      <x:c r="BB339" t="str">
        <x:v>Physical media appearance varies by paper, pressure, layering, water and scan/display profile.</x:v>
      </x:c>
    </x:row>
    <x:row r="340">
      <x:c r="A340" t="str">
        <x:f>G340&amp;"|"&amp;L340</x:f>
        <x:v>SUP|001</x:v>
      </x:c>
      <x:c r="B340" t="str">
        <x:v>c607b481-d053-5880-9a7f-237e9cf69a43</x:v>
      </x:c>
      <x:c r="C340" t="str">
        <x:v>CDA-SUP-001</x:v>
      </x:c>
      <x:c r="D340" t="str">
        <x:v>1fdf2a25-f600-5523-bc97-56cadaedc26c</x:v>
      </x:c>
      <x:c r="E340" t="str">
        <x:v>CDA-CODE-001</x:v>
      </x:c>
      <x:c r="F340" t="str">
        <x:v>Caran d’Ache</x:v>
      </x:c>
      <x:c r="G340" t="str">
        <x:v>SUP</x:v>
      </x:c>
      <x:c r="H340" t="str">
        <x:v>SUPRACOLOR Soft Aquarelle</x:v>
      </x:c>
      <x:c r="I340" t="str">
        <x:v>Water-soluble coloured pencil</x:v>
      </x:c>
      <x:c r="J340" t="str">
        <x:v>Artist</x:v>
      </x:c>
      <x:c r="K340" s="30" t="n">
        <x:v>119</x:v>
      </x:c>
      <x:c r="L340" s="30" t="str">
        <x:v>001</x:v>
      </x:c>
      <x:c r="M340" t="str">
        <x:v>White</x:v>
      </x:c>
      <x:c r="N340" t="str">
        <x:v>白色</x:v>
      </x:c>
      <x:c r="O340" t="str">
        <x:v>ホワイト</x:v>
      </x:c>
      <x:c r="P340" t="str"/>
      <x:c r="Q340" t="str">
        <x:v>Blanc</x:v>
      </x:c>
      <x:c r="R340" t="str">
        <x:v>Weiss</x:v>
      </x:c>
      <x:c r="S340" t="str">
        <x:v>Bianco</x:v>
      </x:c>
      <x:c r="T340" t="str">
        <x:v>Blanco</x:v>
      </x:c>
      <x:c r="U340" t="str"/>
      <x:c r="V340" t="str"/>
      <x:c r="W340" t="str"/>
      <x:c r="X340" t="n">
        <x:f>IF(W340="",0,LEN(W340)-LEN(SUBSTITUTE(W340,"/",""))+1)</x:f>
        <x:v>0</x:v>
      </x:c>
      <x:c r="Y340" t="str">
        <x:v>H</x:v>
      </x:c>
      <x:c r="Z340" s="32" t="n">
        <x:v>1.67</x:v>
      </x:c>
      <x:c r="AA340" s="32" t="n">
        <x:v>3</x:v>
      </x:c>
      <x:c r="AB340" s="32" t="str">
        <x:v>Blue Wool Scale / UV 150h</x:v>
      </x:c>
      <x:c r="AC340" t="str">
        <x:v>#FBF8F6</x:v>
      </x:c>
      <x:c r="AD340" s="34" t="n">
        <x:v>251</x:v>
      </x:c>
      <x:c r="AE340" s="34" t="n">
        <x:v>248</x:v>
      </x:c>
      <x:c r="AF340" s="34" t="n">
        <x:v>246</x:v>
      </x:c>
      <x:c r="AG340" s="32" t="n">
        <x:v>24</x:v>
      </x:c>
      <x:c r="AH340" s="32" t="n">
        <x:v>38.46</x:v>
      </x:c>
      <x:c r="AI340" s="32" t="n">
        <x:v>97.45</x:v>
      </x:c>
      <x:c r="AJ340" s="32" t="n">
        <x:v>97.75</x:v>
      </x:c>
      <x:c r="AK340" s="32" t="n">
        <x:v>0.65</x:v>
      </x:c>
      <x:c r="AL340" s="32" t="n">
        <x:v>1.31</x:v>
      </x:c>
      <x:c r="AM340" s="32" t="str">
        <x:v>#000000</x:v>
      </x:c>
      <x:c r="AN340" s="32" t="str">
        <x:v>Black</x:v>
      </x:c>
      <x:c r="AO340" s="32" t="n">
        <x:v>19.86</x:v>
      </x:c>
      <x:c r="AP340" s="32" t="n">
        <x:v>19.86</x:v>
      </x:c>
      <x:c r="AQ340" s="32" t="n">
        <x:v>1.06</x:v>
      </x:c>
      <x:c r="AR340" s="32" t="n">
        <x:v>0.942979</x:v>
      </x:c>
      <x:c r="AS340" t="str">
        <x:v>PASS</x:v>
      </x:c>
      <x:c r="AT340" t="str">
        <x:v>--cda-sup-001</x:v>
      </x:c>
      <x:c r="AU340" t="str">
        <x:v>var(--cda-sup-001)</x:v>
      </x:c>
      <x:c r="AV340" t="str">
        <x:v>Median RGB from official PDF swatch (screen reference only)</x:v>
      </x:c>
      <x:c r="AW340" t="str">
        <x:v>https://www.carandache.com/content_files/uploaded_doc/product/11426/Colour_Chart_Supracolor-BD3.pdf</x:v>
      </x:c>
      <x:c r="AX340" t="n">
        <x:v>1</x:v>
      </x:c>
      <x:c r="AY340" t="str">
        <x:v>Official</x:v>
      </x:c>
      <x:c r="AZ340" t="str">
        <x:v>Official where available; curated Traditional Chinese/Japanese otherwise</x:v>
      </x:c>
      <x:c r="BA340" t="str">
        <x:v>Verified from official chart; digital HEX is approximate</x:v>
      </x:c>
      <x:c r="BB340" t="str">
        <x:v>Physical media appearance varies by paper, pressure, layering, water and scan/display profile.</x:v>
      </x:c>
    </x:row>
    <x:row r="341">
      <x:c r="A341" t="str">
        <x:f>G341&amp;"|"&amp;L341</x:f>
        <x:v>SUP|009</x:v>
      </x:c>
      <x:c r="B341" t="str">
        <x:v>bba4cb56-efb6-584c-9fe8-5e71e0d6315c</x:v>
      </x:c>
      <x:c r="C341" t="str">
        <x:v>CDA-SUP-009</x:v>
      </x:c>
      <x:c r="D341" t="str">
        <x:v>2d957d29-ed22-5cec-97bd-83295e45a493</x:v>
      </x:c>
      <x:c r="E341" t="str">
        <x:v>CDA-CODE-009</x:v>
      </x:c>
      <x:c r="F341" t="str">
        <x:v>Caran d’Ache</x:v>
      </x:c>
      <x:c r="G341" t="str">
        <x:v>SUP</x:v>
      </x:c>
      <x:c r="H341" t="str">
        <x:v>SUPRACOLOR Soft Aquarelle</x:v>
      </x:c>
      <x:c r="I341" t="str">
        <x:v>Water-soluble coloured pencil</x:v>
      </x:c>
      <x:c r="J341" t="str">
        <x:v>Artist</x:v>
      </x:c>
      <x:c r="K341" s="30" t="n">
        <x:v>120</x:v>
      </x:c>
      <x:c r="L341" s="30" t="str">
        <x:v>009</x:v>
      </x:c>
      <x:c r="M341" t="str">
        <x:v>Black</x:v>
      </x:c>
      <x:c r="N341" t="str">
        <x:v>黑色</x:v>
      </x:c>
      <x:c r="O341" t="str">
        <x:v>ブラック</x:v>
      </x:c>
      <x:c r="P341" t="str"/>
      <x:c r="Q341" t="str">
        <x:v>Noir</x:v>
      </x:c>
      <x:c r="R341" t="str">
        <x:v>Schwarz</x:v>
      </x:c>
      <x:c r="S341" t="str">
        <x:v>Nero</x:v>
      </x:c>
      <x:c r="T341" t="str">
        <x:v>Negro</x:v>
      </x:c>
      <x:c r="U341" t="str"/>
      <x:c r="V341" t="str"/>
      <x:c r="W341" t="str"/>
      <x:c r="X341" t="n">
        <x:f>IF(W341="",0,LEN(W341)-LEN(SUBSTITUTE(W341,"/",""))+1)</x:f>
        <x:v>0</x:v>
      </x:c>
      <x:c r="Y341" t="str">
        <x:v>H</x:v>
      </x:c>
      <x:c r="Z341" s="32" t="n">
        <x:v>1.67</x:v>
      </x:c>
      <x:c r="AA341" s="32" t="n">
        <x:v>3</x:v>
      </x:c>
      <x:c r="AB341" s="32" t="str">
        <x:v>Blue Wool Scale / UV 150h</x:v>
      </x:c>
      <x:c r="AC341" s="55" t="str">
        <x:v>#323333</x:v>
      </x:c>
      <x:c r="AD341" s="34" t="n">
        <x:v>50</x:v>
      </x:c>
      <x:c r="AE341" s="34" t="n">
        <x:v>51</x:v>
      </x:c>
      <x:c r="AF341" s="34" t="n">
        <x:v>51</x:v>
      </x:c>
      <x:c r="AG341" s="32" t="n">
        <x:v>180</x:v>
      </x:c>
      <x:c r="AH341" s="32" t="n">
        <x:v>0.99</x:v>
      </x:c>
      <x:c r="AI341" s="32" t="n">
        <x:v>19.8</x:v>
      </x:c>
      <x:c r="AJ341" s="32" t="n">
        <x:v>21.15</x:v>
      </x:c>
      <x:c r="AK341" s="32" t="n">
        <x:v>-0.44</x:v>
      </x:c>
      <x:c r="AL341" s="32" t="n">
        <x:v>-0.15</x:v>
      </x:c>
      <x:c r="AM341" s="32" t="str">
        <x:v>#FFFFFF</x:v>
      </x:c>
      <x:c r="AN341" s="32" t="str">
        <x:v>White</x:v>
      </x:c>
      <x:c r="AO341" s="32" t="n">
        <x:v>12.67</x:v>
      </x:c>
      <x:c r="AP341" s="32" t="n">
        <x:v>1.66</x:v>
      </x:c>
      <x:c r="AQ341" s="32" t="n">
        <x:v>12.67</x:v>
      </x:c>
      <x:c r="AR341" s="32" t="n">
        <x:v>0.032848</x:v>
      </x:c>
      <x:c r="AS341" t="str">
        <x:v>PASS</x:v>
      </x:c>
      <x:c r="AT341" t="str">
        <x:v>--cda-sup-009</x:v>
      </x:c>
      <x:c r="AU341" t="str">
        <x:v>var(--cda-sup-009)</x:v>
      </x:c>
      <x:c r="AV341" t="str">
        <x:v>Representative RGB from the official embedded PDF swatch; coloured stroke only, blank paper and labels excluded; dense left-side pigment plateau used for dark colours.</x:v>
      </x:c>
      <x:c r="AW341" t="str">
        <x:v>https://www.carandache.com/content_files/uploaded_doc/product/11426/Colour_Chart_Supracolor-BD3.pdf</x:v>
      </x:c>
      <x:c r="AX341" t="n">
        <x:v>1</x:v>
      </x:c>
      <x:c r="AY341" t="str">
        <x:v>Official</x:v>
      </x:c>
      <x:c r="AZ341" t="str">
        <x:v>Official where available; curated Traditional Chinese/Japanese otherwise</x:v>
      </x:c>
      <x:c r="BA341" t="str">
        <x:v>Verified from official chart; swatch crop corrected in v1.0.2; digital HEX is approximate</x:v>
      </x:c>
      <x:c r="BB341" t="str">
        <x:v>v1.0.1 included blank paper and/or the pale fade-out tail of the swatch. Corrected in v1.0.2; physical appearance still varies by paper, pressure, layering, water and display profile.</x:v>
      </x:c>
    </x:row>
    <x:row r="342">
      <x:c r="A342" t="str">
        <x:f>G342&amp;"|"&amp;L342</x:f>
        <x:v>MUS|001</x:v>
      </x:c>
      <x:c r="B342" t="str">
        <x:v>ae08c6fe-4a10-52bb-8499-15287bf6f3c8</x:v>
      </x:c>
      <x:c r="C342" t="str">
        <x:v>CDA-MUS-001</x:v>
      </x:c>
      <x:c r="D342" t="str">
        <x:v>1fdf2a25-f600-5523-bc97-56cadaedc26c</x:v>
      </x:c>
      <x:c r="E342" t="str">
        <x:v>CDA-CODE-001</x:v>
      </x:c>
      <x:c r="F342" t="str">
        <x:v>Caran d’Ache</x:v>
      </x:c>
      <x:c r="G342" t="str">
        <x:v>MUS</x:v>
      </x:c>
      <x:c r="H342" t="str">
        <x:v>MUSEUM Aquarelle</x:v>
      </x:c>
      <x:c r="I342" t="str">
        <x:v>Extra-fine water-soluble coloured pencil</x:v>
      </x:c>
      <x:c r="J342" t="str">
        <x:v>Professional</x:v>
      </x:c>
      <x:c r="K342" s="30" t="n">
        <x:v>1</x:v>
      </x:c>
      <x:c r="L342" s="30" t="str">
        <x:v>001</x:v>
      </x:c>
      <x:c r="M342" t="str">
        <x:v>White</x:v>
      </x:c>
      <x:c r="N342" t="str">
        <x:v>白色</x:v>
      </x:c>
      <x:c r="O342" t="str">
        <x:v>ホワイト</x:v>
      </x:c>
      <x:c r="P342" t="str">
        <x:v>ホワイト</x:v>
      </x:c>
      <x:c r="Q342" t="str">
        <x:v>Blanc</x:v>
      </x:c>
      <x:c r="R342" t="str">
        <x:v>Weiss</x:v>
      </x:c>
      <x:c r="S342" t="str">
        <x:v>Bianco</x:v>
      </x:c>
      <x:c r="T342" t="str">
        <x:v>Blanco</x:v>
      </x:c>
      <x:c r="U342" t="str"/>
      <x:c r="V342" t="str"/>
      <x:c r="W342" t="str">
        <x:v>PW6</x:v>
      </x:c>
      <x:c r="X342" t="n">
        <x:f>IF(W342="",0,LEN(W342)-LEN(SUBSTITUTE(W342,"/",""))+1)</x:f>
        <x:v>1</x:v>
      </x:c>
      <x:c r="Y342" t="str">
        <x:v>HHH</x:v>
      </x:c>
      <x:c r="Z342" s="32" t="n">
        <x:v>3</x:v>
      </x:c>
      <x:c r="AA342" s="32" t="n">
        <x:v>5</x:v>
      </x:c>
      <x:c r="AB342" s="32" t="str">
        <x:v>Blue Wool Scale / UV 150h</x:v>
      </x:c>
      <x:c r="AC342" t="str">
        <x:v>#EAE5E2</x:v>
      </x:c>
      <x:c r="AD342" s="34" t="n">
        <x:v>234</x:v>
      </x:c>
      <x:c r="AE342" s="34" t="n">
        <x:v>229</x:v>
      </x:c>
      <x:c r="AF342" s="34" t="n">
        <x:v>226</x:v>
      </x:c>
      <x:c r="AG342" s="32" t="n">
        <x:v>22.5</x:v>
      </x:c>
      <x:c r="AH342" s="32" t="n">
        <x:v>16</x:v>
      </x:c>
      <x:c r="AI342" s="32" t="n">
        <x:v>90.2</x:v>
      </x:c>
      <x:c r="AJ342" s="32" t="n">
        <x:v>91.24</x:v>
      </x:c>
      <x:c r="AK342" s="32" t="n">
        <x:v>1.16</x:v>
      </x:c>
      <x:c r="AL342" s="32" t="n">
        <x:v>2.06</x:v>
      </x:c>
      <x:c r="AM342" s="32" t="str">
        <x:v>#000000</x:v>
      </x:c>
      <x:c r="AN342" s="32" t="str">
        <x:v>Black</x:v>
      </x:c>
      <x:c r="AO342" s="32" t="n">
        <x:v>16.8</x:v>
      </x:c>
      <x:c r="AP342" s="32" t="n">
        <x:v>16.8</x:v>
      </x:c>
      <x:c r="AQ342" s="32" t="n">
        <x:v>1.25</x:v>
      </x:c>
      <x:c r="AR342" s="32" t="n">
        <x:v>0.79022</x:v>
      </x:c>
      <x:c r="AS342" t="str">
        <x:v>PASS</x:v>
      </x:c>
      <x:c r="AT342" t="str">
        <x:v>--cda-mus-001</x:v>
      </x:c>
      <x:c r="AU342" t="str">
        <x:v>var(--cda-mus-001)</x:v>
      </x:c>
      <x:c r="AV342" t="str">
        <x:v>Median RGB from official PDF swatch (screen reference only)</x:v>
      </x:c>
      <x:c r="AW342" t="str">
        <x:v>https://www.carandache.com/content_files/uploaded_doc/product/10986/Colour_Chart_Museum.pdf</x:v>
      </x:c>
      <x:c r="AX342" t="n">
        <x:v>1</x:v>
      </x:c>
      <x:c r="AY342" t="str">
        <x:v>Official</x:v>
      </x:c>
      <x:c r="AZ342" t="str">
        <x:v>Official where available; curated Traditional Chinese/Japanese otherwise</x:v>
      </x:c>
      <x:c r="BA342" t="str">
        <x:v>Verified from official chart; digital HEX is approximate</x:v>
      </x:c>
      <x:c r="BB342" t="str">
        <x:v>Physical media appearance varies by paper, pressure, layering, water and scan/display profile.</x:v>
      </x:c>
    </x:row>
    <x:row r="343">
      <x:c r="A343" t="str">
        <x:f>G343&amp;"|"&amp;L343</x:f>
        <x:v>MUS|242</x:v>
      </x:c>
      <x:c r="B343" t="str">
        <x:v>9e262f6a-e7aa-5966-8cca-1563fa89f127</x:v>
      </x:c>
      <x:c r="C343" t="str">
        <x:v>CDA-MUS-242</x:v>
      </x:c>
      <x:c r="D343" t="str">
        <x:v>002524a5-f889-5959-9b3e-11b1cd28562b</x:v>
      </x:c>
      <x:c r="E343" t="str">
        <x:v>CDA-CODE-242</x:v>
      </x:c>
      <x:c r="F343" t="str">
        <x:v>Caran d’Ache</x:v>
      </x:c>
      <x:c r="G343" t="str">
        <x:v>MUS</x:v>
      </x:c>
      <x:c r="H343" t="str">
        <x:v>MUSEUM Aquarelle</x:v>
      </x:c>
      <x:c r="I343" t="str">
        <x:v>Extra-fine water-soluble coloured pencil</x:v>
      </x:c>
      <x:c r="J343" t="str">
        <x:v>Professional</x:v>
      </x:c>
      <x:c r="K343" s="30" t="n">
        <x:v>2</x:v>
      </x:c>
      <x:c r="L343" s="30" t="str">
        <x:v>242</x:v>
      </x:c>
      <x:c r="M343" t="str">
        <x:v>Primerose</x:v>
      </x:c>
      <x:c r="N343" t="str">
        <x:v>報春花黃</x:v>
      </x:c>
      <x:c r="O343" t="str">
        <x:v>プライムローズ</x:v>
      </x:c>
      <x:c r="P343" t="str">
        <x:v>プライムローズ</x:v>
      </x:c>
      <x:c r="Q343" t="str">
        <x:v>Primevère</x:v>
      </x:c>
      <x:c r="R343" t="str">
        <x:v>Schlüsselblume</x:v>
      </x:c>
      <x:c r="S343" t="str">
        <x:v>Primavera</x:v>
      </x:c>
      <x:c r="T343" t="str">
        <x:v>Primavera</x:v>
      </x:c>
      <x:c r="U343" t="str"/>
      <x:c r="V343" t="str"/>
      <x:c r="W343" t="str">
        <x:v>PY53/PY42</x:v>
      </x:c>
      <x:c r="X343" t="n">
        <x:f>IF(W343="",0,LEN(W343)-LEN(SUBSTITUTE(W343,"/",""))+1)</x:f>
        <x:v>2</x:v>
      </x:c>
      <x:c r="Y343" t="str">
        <x:v>HHH</x:v>
      </x:c>
      <x:c r="Z343" s="32" t="n">
        <x:v>3</x:v>
      </x:c>
      <x:c r="AA343" s="32" t="n">
        <x:v>5</x:v>
      </x:c>
      <x:c r="AB343" s="32" t="str">
        <x:v>Blue Wool Scale / UV 150h</x:v>
      </x:c>
      <x:c r="AC343" t="str">
        <x:v>#F2EABA</x:v>
      </x:c>
      <x:c r="AD343" s="34" t="n">
        <x:v>242</x:v>
      </x:c>
      <x:c r="AE343" s="34" t="n">
        <x:v>234</x:v>
      </x:c>
      <x:c r="AF343" s="34" t="n">
        <x:v>186</x:v>
      </x:c>
      <x:c r="AG343" s="32" t="n">
        <x:v>51.43</x:v>
      </x:c>
      <x:c r="AH343" s="32" t="n">
        <x:v>68.29</x:v>
      </x:c>
      <x:c r="AI343" s="32" t="n">
        <x:v>83.92</x:v>
      </x:c>
      <x:c r="AJ343" s="32" t="n">
        <x:v>92.25</x:v>
      </x:c>
      <x:c r="AK343" s="32" t="n">
        <x:v>-4.76</x:v>
      </x:c>
      <x:c r="AL343" s="32" t="n">
        <x:v>24.34</x:v>
      </x:c>
      <x:c r="AM343" s="32" t="str">
        <x:v>#000000</x:v>
      </x:c>
      <x:c r="AN343" s="32" t="str">
        <x:v>Black</x:v>
      </x:c>
      <x:c r="AO343" s="32" t="n">
        <x:v>17.25</x:v>
      </x:c>
      <x:c r="AP343" s="32" t="n">
        <x:v>17.25</x:v>
      </x:c>
      <x:c r="AQ343" s="32" t="n">
        <x:v>1.22</x:v>
      </x:c>
      <x:c r="AR343" s="32" t="n">
        <x:v>0.812681</x:v>
      </x:c>
      <x:c r="AS343" t="str">
        <x:v>PASS</x:v>
      </x:c>
      <x:c r="AT343" t="str">
        <x:v>--cda-mus-242</x:v>
      </x:c>
      <x:c r="AU343" t="str">
        <x:v>var(--cda-mus-242)</x:v>
      </x:c>
      <x:c r="AV343" t="str">
        <x:v>Median RGB from official PDF swatch (screen reference only)</x:v>
      </x:c>
      <x:c r="AW343" t="str">
        <x:v>https://www.carandache.com/content_files/uploaded_doc/product/10986/Colour_Chart_Museum.pdf</x:v>
      </x:c>
      <x:c r="AX343" t="n">
        <x:v>1</x:v>
      </x:c>
      <x:c r="AY343" t="str">
        <x:v>Official</x:v>
      </x:c>
      <x:c r="AZ343" t="str">
        <x:v>Official where available; curated Traditional Chinese/Japanese otherwise</x:v>
      </x:c>
      <x:c r="BA343" t="str">
        <x:v>Verified from official chart; digital HEX is approximate</x:v>
      </x:c>
      <x:c r="BB343" t="str">
        <x:v>Physical media appearance varies by paper, pressure, layering, water and scan/display profile.</x:v>
      </x:c>
    </x:row>
    <x:row r="344">
      <x:c r="A344" t="str">
        <x:f>G344&amp;"|"&amp;L344</x:f>
        <x:v>MUS|821</x:v>
      </x:c>
      <x:c r="B344" t="str">
        <x:v>127fb2ec-0927-58ad-9f4f-70efc1b43a98</x:v>
      </x:c>
      <x:c r="C344" t="str">
        <x:v>CDA-MUS-821</x:v>
      </x:c>
      <x:c r="D344" t="str">
        <x:v>8f496119-5511-5a03-a0f0-fa98ae1f777b</x:v>
      </x:c>
      <x:c r="E344" t="str">
        <x:v>CDA-CODE-821</x:v>
      </x:c>
      <x:c r="F344" t="str">
        <x:v>Caran d’Ache</x:v>
      </x:c>
      <x:c r="G344" t="str">
        <x:v>MUS</x:v>
      </x:c>
      <x:c r="H344" t="str">
        <x:v>MUSEUM Aquarelle</x:v>
      </x:c>
      <x:c r="I344" t="str">
        <x:v>Extra-fine water-soluble coloured pencil</x:v>
      </x:c>
      <x:c r="J344" t="str">
        <x:v>Professional</x:v>
      </x:c>
      <x:c r="K344" s="30" t="n">
        <x:v>3</x:v>
      </x:c>
      <x:c r="L344" s="30" t="str">
        <x:v>821</x:v>
      </x:c>
      <x:c r="M344" t="str">
        <x:v>Naples ochre</x:v>
      </x:c>
      <x:c r="N344" t="str">
        <x:v>那不勒斯赭黃</x:v>
      </x:c>
      <x:c r="O344" t="str">
        <x:v>ネイプルスオーカー</x:v>
      </x:c>
      <x:c r="P344" t="str">
        <x:v>ネイプルスオーカー</x:v>
      </x:c>
      <x:c r="Q344" t="str">
        <x:v>Ocre de Naples</x:v>
      </x:c>
      <x:c r="R344" t="str">
        <x:v>Neapelocker</x:v>
      </x:c>
      <x:c r="S344" t="str">
        <x:v>Ocra di napoli</x:v>
      </x:c>
      <x:c r="T344" t="str">
        <x:v>Ocre de Nápoles</x:v>
      </x:c>
      <x:c r="U344" t="str"/>
      <x:c r="V344" t="str"/>
      <x:c r="W344" t="str">
        <x:v>PY42/PY184/PBr7</x:v>
      </x:c>
      <x:c r="X344" t="n">
        <x:f>IF(W344="",0,LEN(W344)-LEN(SUBSTITUTE(W344,"/",""))+1)</x:f>
        <x:v>3</x:v>
      </x:c>
      <x:c r="Y344" t="str">
        <x:v>HHH</x:v>
      </x:c>
      <x:c r="Z344" s="32" t="n">
        <x:v>3</x:v>
      </x:c>
      <x:c r="AA344" s="32" t="n">
        <x:v>5</x:v>
      </x:c>
      <x:c r="AB344" s="32" t="str">
        <x:v>Blue Wool Scale / UV 150h</x:v>
      </x:c>
      <x:c r="AC344" t="str">
        <x:v>#ECD4A5</x:v>
      </x:c>
      <x:c r="AD344" s="34" t="n">
        <x:v>236</x:v>
      </x:c>
      <x:c r="AE344" s="34" t="n">
        <x:v>212</x:v>
      </x:c>
      <x:c r="AF344" s="34" t="n">
        <x:v>165</x:v>
      </x:c>
      <x:c r="AG344" s="32" t="n">
        <x:v>39.72</x:v>
      </x:c>
      <x:c r="AH344" s="32" t="n">
        <x:v>65.14</x:v>
      </x:c>
      <x:c r="AI344" s="32" t="n">
        <x:v>78.63</x:v>
      </x:c>
      <x:c r="AJ344" s="32" t="n">
        <x:v>85.83</x:v>
      </x:c>
      <x:c r="AK344" s="32" t="n">
        <x:v>1.45</x:v>
      </x:c>
      <x:c r="AL344" s="32" t="n">
        <x:v>26.34</x:v>
      </x:c>
      <x:c r="AM344" s="32" t="str">
        <x:v>#000000</x:v>
      </x:c>
      <x:c r="AN344" s="32" t="str">
        <x:v>Black</x:v>
      </x:c>
      <x:c r="AO344" s="32" t="n">
        <x:v>14.53</x:v>
      </x:c>
      <x:c r="AP344" s="32" t="n">
        <x:v>14.53</x:v>
      </x:c>
      <x:c r="AQ344" s="32" t="n">
        <x:v>1.45</x:v>
      </x:c>
      <x:c r="AR344" s="32" t="n">
        <x:v>0.676364</x:v>
      </x:c>
      <x:c r="AS344" t="str">
        <x:v>PASS</x:v>
      </x:c>
      <x:c r="AT344" t="str">
        <x:v>--cda-mus-821</x:v>
      </x:c>
      <x:c r="AU344" t="str">
        <x:v>var(--cda-mus-821)</x:v>
      </x:c>
      <x:c r="AV344" t="str">
        <x:v>Median RGB from official PDF swatch (screen reference only)</x:v>
      </x:c>
      <x:c r="AW344" t="str">
        <x:v>https://www.carandache.com/content_files/uploaded_doc/product/10986/Colour_Chart_Museum.pdf</x:v>
      </x:c>
      <x:c r="AX344" t="n">
        <x:v>1</x:v>
      </x:c>
      <x:c r="AY344" t="str">
        <x:v>Official</x:v>
      </x:c>
      <x:c r="AZ344" t="str">
        <x:v>Official where available; curated Traditional Chinese/Japanese otherwise</x:v>
      </x:c>
      <x:c r="BA344" t="str">
        <x:v>Verified from official chart; digital HEX is approximate</x:v>
      </x:c>
      <x:c r="BB344" t="str">
        <x:v>Physical media appearance varies by paper, pressure, layering, water and scan/display profile.</x:v>
      </x:c>
    </x:row>
    <x:row r="345">
      <x:c r="A345" t="str">
        <x:f>G345&amp;"|"&amp;L345</x:f>
        <x:v>MUS|240</x:v>
      </x:c>
      <x:c r="B345" t="str">
        <x:v>b2bcceeb-64be-56b7-8c8a-3d94eb21a703</x:v>
      </x:c>
      <x:c r="C345" t="str">
        <x:v>CDA-MUS-240</x:v>
      </x:c>
      <x:c r="D345" t="str">
        <x:v>e71849e5-e37c-518f-99a0-9189b6af2b63</x:v>
      </x:c>
      <x:c r="E345" t="str">
        <x:v>CDA-CODE-240</x:v>
      </x:c>
      <x:c r="F345" t="str">
        <x:v>Caran d’Ache</x:v>
      </x:c>
      <x:c r="G345" t="str">
        <x:v>MUS</x:v>
      </x:c>
      <x:c r="H345" t="str">
        <x:v>MUSEUM Aquarelle</x:v>
      </x:c>
      <x:c r="I345" t="str">
        <x:v>Extra-fine water-soluble coloured pencil</x:v>
      </x:c>
      <x:c r="J345" t="str">
        <x:v>Professional</x:v>
      </x:c>
      <x:c r="K345" s="30" t="n">
        <x:v>4</x:v>
      </x:c>
      <x:c r="L345" s="30" t="str">
        <x:v>240</x:v>
      </x:c>
      <x:c r="M345" t="str">
        <x:v>Lemon Yellow</x:v>
      </x:c>
      <x:c r="N345" t="str">
        <x:v>檸檬黃</x:v>
      </x:c>
      <x:c r="O345" t="str">
        <x:v>レモン イエロー</x:v>
      </x:c>
      <x:c r="P345" t="str">
        <x:v>レモン イエロー</x:v>
      </x:c>
      <x:c r="Q345" t="str">
        <x:v>Jaune Citron</x:v>
      </x:c>
      <x:c r="R345" t="str">
        <x:v>Zitronengelb</x:v>
      </x:c>
      <x:c r="S345" t="str">
        <x:v>Giallo limone</x:v>
      </x:c>
      <x:c r="T345" t="str">
        <x:v>Amarillo limón</x:v>
      </x:c>
      <x:c r="U345" t="str"/>
      <x:c r="V345" t="str"/>
      <x:c r="W345" t="str">
        <x:v>PY3</x:v>
      </x:c>
      <x:c r="X345" t="n">
        <x:f>IF(W345="",0,LEN(W345)-LEN(SUBSTITUTE(W345,"/",""))+1)</x:f>
        <x:v>1</x:v>
      </x:c>
      <x:c r="Y345" t="str">
        <x:v>HHH</x:v>
      </x:c>
      <x:c r="Z345" s="32" t="n">
        <x:v>3</x:v>
      </x:c>
      <x:c r="AA345" s="32" t="n">
        <x:v>5</x:v>
      </x:c>
      <x:c r="AB345" s="32" t="str">
        <x:v>Blue Wool Scale / UV 150h</x:v>
      </x:c>
      <x:c r="AC345" t="str">
        <x:v>#F8EB5E</x:v>
      </x:c>
      <x:c r="AD345" s="34" t="n">
        <x:v>248</x:v>
      </x:c>
      <x:c r="AE345" s="34" t="n">
        <x:v>235</x:v>
      </x:c>
      <x:c r="AF345" s="34" t="n">
        <x:v>94</x:v>
      </x:c>
      <x:c r="AG345" s="32" t="n">
        <x:v>54.94</x:v>
      </x:c>
      <x:c r="AH345" s="32" t="n">
        <x:v>91.67</x:v>
      </x:c>
      <x:c r="AI345" s="32" t="n">
        <x:v>67.06</x:v>
      </x:c>
      <x:c r="AJ345" s="32" t="n">
        <x:v>91.77</x:v>
      </x:c>
      <x:c r="AK345" s="32" t="n">
        <x:v>-12.03</x:v>
      </x:c>
      <x:c r="AL345" s="32" t="n">
        <x:v>67.82</x:v>
      </x:c>
      <x:c r="AM345" s="32" t="str">
        <x:v>#000000</x:v>
      </x:c>
      <x:c r="AN345" s="32" t="str">
        <x:v>Black</x:v>
      </x:c>
      <x:c r="AO345" s="32" t="n">
        <x:v>17.04</x:v>
      </x:c>
      <x:c r="AP345" s="32" t="n">
        <x:v>17.04</x:v>
      </x:c>
      <x:c r="AQ345" s="32" t="n">
        <x:v>1.23</x:v>
      </x:c>
      <x:c r="AR345" s="32" t="n">
        <x:v>0.801813</x:v>
      </x:c>
      <x:c r="AS345" t="str">
        <x:v>PASS</x:v>
      </x:c>
      <x:c r="AT345" t="str">
        <x:v>--cda-mus-240</x:v>
      </x:c>
      <x:c r="AU345" t="str">
        <x:v>var(--cda-mus-240)</x:v>
      </x:c>
      <x:c r="AV345" t="str">
        <x:v>Median RGB from official PDF swatch (screen reference only)</x:v>
      </x:c>
      <x:c r="AW345" t="str">
        <x:v>https://www.carandache.com/content_files/uploaded_doc/product/10986/Colour_Chart_Museum.pdf</x:v>
      </x:c>
      <x:c r="AX345" t="n">
        <x:v>1</x:v>
      </x:c>
      <x:c r="AY345" t="str">
        <x:v>Official</x:v>
      </x:c>
      <x:c r="AZ345" t="str">
        <x:v>Official where available; curated Traditional Chinese/Japanese otherwise</x:v>
      </x:c>
      <x:c r="BA345" t="str">
        <x:v>Verified from official chart; digital HEX is approximate</x:v>
      </x:c>
      <x:c r="BB345" t="str">
        <x:v>Physical media appearance varies by paper, pressure, layering, water and scan/display profile.</x:v>
      </x:c>
    </x:row>
    <x:row r="346">
      <x:c r="A346" t="str">
        <x:f>G346&amp;"|"&amp;L346</x:f>
        <x:v>MUS|010</x:v>
      </x:c>
      <x:c r="B346" t="str">
        <x:v>9a65d0f2-8d3c-5592-b9fb-a26aefc16771</x:v>
      </x:c>
      <x:c r="C346" t="str">
        <x:v>CDA-MUS-010</x:v>
      </x:c>
      <x:c r="D346" t="str">
        <x:v>2eb703d0-d144-5025-ac87-72936a922e7c</x:v>
      </x:c>
      <x:c r="E346" t="str">
        <x:v>CDA-CODE-010</x:v>
      </x:c>
      <x:c r="F346" t="str">
        <x:v>Caran d’Ache</x:v>
      </x:c>
      <x:c r="G346" t="str">
        <x:v>MUS</x:v>
      </x:c>
      <x:c r="H346" t="str">
        <x:v>MUSEUM Aquarelle</x:v>
      </x:c>
      <x:c r="I346" t="str">
        <x:v>Extra-fine water-soluble coloured pencil</x:v>
      </x:c>
      <x:c r="J346" t="str">
        <x:v>Professional</x:v>
      </x:c>
      <x:c r="K346" s="30" t="n">
        <x:v>5</x:v>
      </x:c>
      <x:c r="L346" s="30" t="str">
        <x:v>010</x:v>
      </x:c>
      <x:c r="M346" t="str">
        <x:v>Yellow</x:v>
      </x:c>
      <x:c r="N346" t="str">
        <x:v>黃色</x:v>
      </x:c>
      <x:c r="O346" t="str">
        <x:v>イエロー</x:v>
      </x:c>
      <x:c r="P346" t="str">
        <x:v>イエロー</x:v>
      </x:c>
      <x:c r="Q346" t="str">
        <x:v>Jaune</x:v>
      </x:c>
      <x:c r="R346" t="str">
        <x:v>Gelb</x:v>
      </x:c>
      <x:c r="S346" t="str">
        <x:v>Giallo</x:v>
      </x:c>
      <x:c r="T346" t="str">
        <x:v>Amarillo</x:v>
      </x:c>
      <x:c r="U346" t="str"/>
      <x:c r="V346" t="str"/>
      <x:c r="W346" t="str">
        <x:v>PY13</x:v>
      </x:c>
      <x:c r="X346" t="n">
        <x:f>IF(W346="",0,LEN(W346)-LEN(SUBSTITUTE(W346,"/",""))+1)</x:f>
        <x:v>1</x:v>
      </x:c>
      <x:c r="Y346" t="str">
        <x:v>HH</x:v>
      </x:c>
      <x:c r="Z346" s="32" t="n">
        <x:v>2</x:v>
      </x:c>
      <x:c r="AA346" s="32" t="n">
        <x:v>5</x:v>
      </x:c>
      <x:c r="AB346" s="32" t="str">
        <x:v>Blue Wool Scale / UV 150h</x:v>
      </x:c>
      <x:c r="AC346" t="str">
        <x:v>#F2E76C</x:v>
      </x:c>
      <x:c r="AD346" s="34" t="n">
        <x:v>242</x:v>
      </x:c>
      <x:c r="AE346" s="34" t="n">
        <x:v>231</x:v>
      </x:c>
      <x:c r="AF346" s="34" t="n">
        <x:v>108</x:v>
      </x:c>
      <x:c r="AG346" s="32" t="n">
        <x:v>55.07</x:v>
      </x:c>
      <x:c r="AH346" s="32" t="n">
        <x:v>83.75</x:v>
      </x:c>
      <x:c r="AI346" s="32" t="n">
        <x:v>68.63</x:v>
      </x:c>
      <x:c r="AJ346" s="32" t="n">
        <x:v>90.37</x:v>
      </x:c>
      <x:c r="AK346" s="32" t="n">
        <x:v>-11.53</x:v>
      </x:c>
      <x:c r="AL346" s="32" t="n">
        <x:v>60.14</x:v>
      </x:c>
      <x:c r="AM346" s="32" t="str">
        <x:v>#000000</x:v>
      </x:c>
      <x:c r="AN346" s="32" t="str">
        <x:v>Black</x:v>
      </x:c>
      <x:c r="AO346" s="32" t="n">
        <x:v>16.42</x:v>
      </x:c>
      <x:c r="AP346" s="32" t="n">
        <x:v>16.42</x:v>
      </x:c>
      <x:c r="AQ346" s="32" t="n">
        <x:v>1.28</x:v>
      </x:c>
      <x:c r="AR346" s="32" t="n">
        <x:v>0.771118</x:v>
      </x:c>
      <x:c r="AS346" t="str">
        <x:v>PASS</x:v>
      </x:c>
      <x:c r="AT346" t="str">
        <x:v>--cda-mus-010</x:v>
      </x:c>
      <x:c r="AU346" t="str">
        <x:v>var(--cda-mus-010)</x:v>
      </x:c>
      <x:c r="AV346" t="str">
        <x:v>Median RGB from official PDF swatch (screen reference only)</x:v>
      </x:c>
      <x:c r="AW346" t="str">
        <x:v>https://www.carandache.com/content_files/uploaded_doc/product/10986/Colour_Chart_Museum.pdf</x:v>
      </x:c>
      <x:c r="AX346" t="n">
        <x:v>1</x:v>
      </x:c>
      <x:c r="AY346" t="str">
        <x:v>Official</x:v>
      </x:c>
      <x:c r="AZ346" t="str">
        <x:v>Official where available; curated Traditional Chinese/Japanese otherwise</x:v>
      </x:c>
      <x:c r="BA346" t="str">
        <x:v>Verified from official chart; digital HEX is approximate</x:v>
      </x:c>
      <x:c r="BB346" t="str">
        <x:v>Physical media appearance varies by paper, pressure, layering, water and scan/display profile.</x:v>
      </x:c>
    </x:row>
    <x:row r="347">
      <x:c r="A347" t="str">
        <x:f>G347&amp;"|"&amp;L347</x:f>
        <x:v>MUS|020</x:v>
      </x:c>
      <x:c r="B347" t="str">
        <x:v>41848f3b-7a5c-51e4-935f-7bed20214833</x:v>
      </x:c>
      <x:c r="C347" t="str">
        <x:v>CDA-MUS-020</x:v>
      </x:c>
      <x:c r="D347" t="str">
        <x:v>6505c891-c1b2-502b-bed0-6adb7d50721c</x:v>
      </x:c>
      <x:c r="E347" t="str">
        <x:v>CDA-CODE-020</x:v>
      </x:c>
      <x:c r="F347" t="str">
        <x:v>Caran d’Ache</x:v>
      </x:c>
      <x:c r="G347" t="str">
        <x:v>MUS</x:v>
      </x:c>
      <x:c r="H347" t="str">
        <x:v>MUSEUM Aquarelle</x:v>
      </x:c>
      <x:c r="I347" t="str">
        <x:v>Extra-fine water-soluble coloured pencil</x:v>
      </x:c>
      <x:c r="J347" t="str">
        <x:v>Professional</x:v>
      </x:c>
      <x:c r="K347" s="30" t="n">
        <x:v>6</x:v>
      </x:c>
      <x:c r="L347" s="30" t="str">
        <x:v>020</x:v>
      </x:c>
      <x:c r="M347" t="str">
        <x:v>Golden yellow</x:v>
      </x:c>
      <x:c r="N347" t="str">
        <x:v>金黃色</x:v>
      </x:c>
      <x:c r="O347" t="str">
        <x:v>紙の</x:v>
      </x:c>
      <x:c r="P347" t="str">
        <x:v>紙の</x:v>
      </x:c>
      <x:c r="Q347" t="str">
        <x:v>Jaune d’or</x:v>
      </x:c>
      <x:c r="R347" t="str">
        <x:v>Goldgelb</x:v>
      </x:c>
      <x:c r="S347" t="str">
        <x:v>Giallo oro</x:v>
      </x:c>
      <x:c r="T347" t="str">
        <x:v>Amarillo oro</x:v>
      </x:c>
      <x:c r="U347" t="str"/>
      <x:c r="V347" t="str"/>
      <x:c r="W347" t="str">
        <x:v>PY83</x:v>
      </x:c>
      <x:c r="X347" t="n">
        <x:f>IF(W347="",0,LEN(W347)-LEN(SUBSTITUTE(W347,"/",""))+1)</x:f>
        <x:v>1</x:v>
      </x:c>
      <x:c r="Y347" t="str">
        <x:v>HHH</x:v>
      </x:c>
      <x:c r="Z347" s="32" t="n">
        <x:v>3</x:v>
      </x:c>
      <x:c r="AA347" s="32" t="n">
        <x:v>5</x:v>
      </x:c>
      <x:c r="AB347" s="32" t="str">
        <x:v>Blue Wool Scale / UV 150h</x:v>
      </x:c>
      <x:c r="AC347" t="str">
        <x:v>#F8D259</x:v>
      </x:c>
      <x:c r="AD347" s="34" t="n">
        <x:v>248</x:v>
      </x:c>
      <x:c r="AE347" s="34" t="n">
        <x:v>210</x:v>
      </x:c>
      <x:c r="AF347" s="34" t="n">
        <x:v>89</x:v>
      </x:c>
      <x:c r="AG347" s="32" t="n">
        <x:v>45.66</x:v>
      </x:c>
      <x:c r="AH347" s="32" t="n">
        <x:v>91.91</x:v>
      </x:c>
      <x:c r="AI347" s="32" t="n">
        <x:v>66.08</x:v>
      </x:c>
      <x:c r="AJ347" s="32" t="n">
        <x:v>85.39</x:v>
      </x:c>
      <x:c r="AK347" s="32" t="n">
        <x:v>0.22</x:v>
      </x:c>
      <x:c r="AL347" s="32" t="n">
        <x:v>63.07</x:v>
      </x:c>
      <x:c r="AM347" s="32" t="str">
        <x:v>#000000</x:v>
      </x:c>
      <x:c r="AN347" s="32" t="str">
        <x:v>Black</x:v>
      </x:c>
      <x:c r="AO347" s="32" t="n">
        <x:v>14.35</x:v>
      </x:c>
      <x:c r="AP347" s="32" t="n">
        <x:v>14.35</x:v>
      </x:c>
      <x:c r="AQ347" s="32" t="n">
        <x:v>1.46</x:v>
      </x:c>
      <x:c r="AR347" s="32" t="n">
        <x:v>0.667709</x:v>
      </x:c>
      <x:c r="AS347" t="str">
        <x:v>PASS</x:v>
      </x:c>
      <x:c r="AT347" t="str">
        <x:v>--cda-mus-020</x:v>
      </x:c>
      <x:c r="AU347" t="str">
        <x:v>var(--cda-mus-020)</x:v>
      </x:c>
      <x:c r="AV347" t="str">
        <x:v>Median RGB from official PDF swatch (screen reference only)</x:v>
      </x:c>
      <x:c r="AW347" t="str">
        <x:v>https://www.carandache.com/content_files/uploaded_doc/product/10986/Colour_Chart_Museum.pdf</x:v>
      </x:c>
      <x:c r="AX347" t="n">
        <x:v>1</x:v>
      </x:c>
      <x:c r="AY347" t="str">
        <x:v>Official</x:v>
      </x:c>
      <x:c r="AZ347" t="str">
        <x:v>Official where available; curated Traditional Chinese/Japanese otherwise</x:v>
      </x:c>
      <x:c r="BA347" t="str">
        <x:v>Verified from official chart; digital HEX is approximate</x:v>
      </x:c>
      <x:c r="BB347" t="str">
        <x:v>Physical media appearance varies by paper, pressure, layering, water and scan/display profile.</x:v>
      </x:c>
    </x:row>
    <x:row r="348">
      <x:c r="A348" t="str">
        <x:f>G348&amp;"|"&amp;L348</x:f>
        <x:v>MUS|530</x:v>
      </x:c>
      <x:c r="B348" t="str">
        <x:v>f148068e-346b-52ea-b69f-4cf10f4c72dc</x:v>
      </x:c>
      <x:c r="C348" t="str">
        <x:v>CDA-MUS-530</x:v>
      </x:c>
      <x:c r="D348" t="str">
        <x:v>10923d99-7757-55a9-b1f4-db9c8bd7d6be</x:v>
      </x:c>
      <x:c r="E348" t="str">
        <x:v>CDA-CODE-530</x:v>
      </x:c>
      <x:c r="F348" t="str">
        <x:v>Caran d’Ache</x:v>
      </x:c>
      <x:c r="G348" t="str">
        <x:v>MUS</x:v>
      </x:c>
      <x:c r="H348" t="str">
        <x:v>MUSEUM Aquarelle</x:v>
      </x:c>
      <x:c r="I348" t="str">
        <x:v>Extra-fine water-soluble coloured pencil</x:v>
      </x:c>
      <x:c r="J348" t="str">
        <x:v>Professional</x:v>
      </x:c>
      <x:c r="K348" s="30" t="n">
        <x:v>7</x:v>
      </x:c>
      <x:c r="L348" s="30" t="str">
        <x:v>530</x:v>
      </x:c>
      <x:c r="M348" t="str">
        <x:v>Gold Cadmium Yellow</x:v>
      </x:c>
      <x:c r="N348" t="str">
        <x:v>金鎘黃</x:v>
      </x:c>
      <x:c r="O348" t="str">
        <x:v>ゴールドカドミウムイエロー</x:v>
      </x:c>
      <x:c r="P348" t="str">
        <x:v>ゴールドカドミウムイエロー</x:v>
      </x:c>
      <x:c r="Q348" t="str">
        <x:v>Jaune Cadmium doré imit.</x:v>
      </x:c>
      <x:c r="R348" t="str">
        <x:v>Gold Kadmiumgelb</x:v>
      </x:c>
      <x:c r="S348" t="str">
        <x:v>Giallo di cadmio dorato</x:v>
      </x:c>
      <x:c r="T348" t="str">
        <x:v>Amarillo cadmio dorado</x:v>
      </x:c>
      <x:c r="U348" t="str"/>
      <x:c r="V348" t="str"/>
      <x:c r="W348" t="str">
        <x:v>PO62/PY74/PY83</x:v>
      </x:c>
      <x:c r="X348" t="n">
        <x:f>IF(W348="",0,LEN(W348)-LEN(SUBSTITUTE(W348,"/",""))+1)</x:f>
        <x:v>3</x:v>
      </x:c>
      <x:c r="Y348" t="str">
        <x:v>HHH</x:v>
      </x:c>
      <x:c r="Z348" s="32" t="n">
        <x:v>3</x:v>
      </x:c>
      <x:c r="AA348" s="32" t="n">
        <x:v>5</x:v>
      </x:c>
      <x:c r="AB348" s="32" t="str">
        <x:v>Blue Wool Scale / UV 150h</x:v>
      </x:c>
      <x:c r="AC348" t="str">
        <x:v>#FAE226</x:v>
      </x:c>
      <x:c r="AD348" s="34" t="n">
        <x:v>250</x:v>
      </x:c>
      <x:c r="AE348" s="34" t="n">
        <x:v>226</x:v>
      </x:c>
      <x:c r="AF348" s="34" t="n">
        <x:v>38</x:v>
      </x:c>
      <x:c r="AG348" s="32" t="n">
        <x:v>53.21</x:v>
      </x:c>
      <x:c r="AH348" s="32" t="n">
        <x:v>95.5</x:v>
      </x:c>
      <x:c r="AI348" s="32" t="n">
        <x:v>56.47</x:v>
      </x:c>
      <x:c r="AJ348" s="32" t="n">
        <x:v>89.33</x:v>
      </x:c>
      <x:c r="AK348" s="32" t="n">
        <x:v>-9.07</x:v>
      </x:c>
      <x:c r="AL348" s="32" t="n">
        <x:v>83.74</x:v>
      </x:c>
      <x:c r="AM348" s="32" t="str">
        <x:v>#000000</x:v>
      </x:c>
      <x:c r="AN348" s="32" t="str">
        <x:v>Black</x:v>
      </x:c>
      <x:c r="AO348" s="32" t="n">
        <x:v>15.97</x:v>
      </x:c>
      <x:c r="AP348" s="32" t="n">
        <x:v>15.97</x:v>
      </x:c>
      <x:c r="AQ348" s="32" t="n">
        <x:v>1.31</x:v>
      </x:c>
      <x:c r="AR348" s="32" t="n">
        <x:v>0.748566</x:v>
      </x:c>
      <x:c r="AS348" t="str">
        <x:v>PASS</x:v>
      </x:c>
      <x:c r="AT348" t="str">
        <x:v>--cda-mus-530</x:v>
      </x:c>
      <x:c r="AU348" t="str">
        <x:v>var(--cda-mus-530)</x:v>
      </x:c>
      <x:c r="AV348" t="str">
        <x:v>Median RGB from official PDF swatch (screen reference only)</x:v>
      </x:c>
      <x:c r="AW348" t="str">
        <x:v>https://www.carandache.com/content_files/uploaded_doc/product/10986/Colour_Chart_Museum.pdf</x:v>
      </x:c>
      <x:c r="AX348" t="n">
        <x:v>1</x:v>
      </x:c>
      <x:c r="AY348" t="str">
        <x:v>Official</x:v>
      </x:c>
      <x:c r="AZ348" t="str">
        <x:v>Official where available; curated Traditional Chinese/Japanese otherwise</x:v>
      </x:c>
      <x:c r="BA348" t="str">
        <x:v>Verified from official chart; digital HEX is approximate</x:v>
      </x:c>
      <x:c r="BB348" t="str">
        <x:v>Physical media appearance varies by paper, pressure, layering, water and scan/display profile.</x:v>
      </x:c>
    </x:row>
    <x:row r="349">
      <x:c r="A349" t="str">
        <x:f>G349&amp;"|"&amp;L349</x:f>
        <x:v>MUS|030</x:v>
      </x:c>
      <x:c r="B349" t="str">
        <x:v>03459f12-1450-5459-bad4-da20ebfaf939</x:v>
      </x:c>
      <x:c r="C349" t="str">
        <x:v>CDA-MUS-030</x:v>
      </x:c>
      <x:c r="D349" t="str">
        <x:v>ebda54ca-102e-54e3-a9ae-065baab1ac50</x:v>
      </x:c>
      <x:c r="E349" t="str">
        <x:v>CDA-CODE-030</x:v>
      </x:c>
      <x:c r="F349" t="str">
        <x:v>Caran d’Ache</x:v>
      </x:c>
      <x:c r="G349" t="str">
        <x:v>MUS</x:v>
      </x:c>
      <x:c r="H349" t="str">
        <x:v>MUSEUM Aquarelle</x:v>
      </x:c>
      <x:c r="I349" t="str">
        <x:v>Extra-fine water-soluble coloured pencil</x:v>
      </x:c>
      <x:c r="J349" t="str">
        <x:v>Professional</x:v>
      </x:c>
      <x:c r="K349" s="30" t="n">
        <x:v>8</x:v>
      </x:c>
      <x:c r="L349" s="30" t="str">
        <x:v>030</x:v>
      </x:c>
      <x:c r="M349" t="str">
        <x:v>Orange</x:v>
      </x:c>
      <x:c r="N349" t="str">
        <x:v>橙色</x:v>
      </x:c>
      <x:c r="O349" t="str">
        <x:v>オレンジ</x:v>
      </x:c>
      <x:c r="P349" t="str">
        <x:v>オレンジ</x:v>
      </x:c>
      <x:c r="Q349" t="str">
        <x:v>Orange</x:v>
      </x:c>
      <x:c r="R349" t="str">
        <x:v>Orange</x:v>
      </x:c>
      <x:c r="S349" t="str">
        <x:v>Arancio</x:v>
      </x:c>
      <x:c r="T349" t="str">
        <x:v>Naranja</x:v>
      </x:c>
      <x:c r="U349" t="str"/>
      <x:c r="V349" t="str"/>
      <x:c r="W349" t="str">
        <x:v>PO62</x:v>
      </x:c>
      <x:c r="X349" t="n">
        <x:f>IF(W349="",0,LEN(W349)-LEN(SUBSTITUTE(W349,"/",""))+1)</x:f>
        <x:v>1</x:v>
      </x:c>
      <x:c r="Y349" t="str">
        <x:v>HHH</x:v>
      </x:c>
      <x:c r="Z349" s="32" t="n">
        <x:v>3</x:v>
      </x:c>
      <x:c r="AA349" s="32" t="n">
        <x:v>5</x:v>
      </x:c>
      <x:c r="AB349" s="32" t="str">
        <x:v>Blue Wool Scale / UV 150h</x:v>
      </x:c>
      <x:c r="AC349" t="str">
        <x:v>#F6C278</x:v>
      </x:c>
      <x:c r="AD349" s="34" t="n">
        <x:v>246</x:v>
      </x:c>
      <x:c r="AE349" s="34" t="n">
        <x:v>194</x:v>
      </x:c>
      <x:c r="AF349" s="34" t="n">
        <x:v>120</x:v>
      </x:c>
      <x:c r="AG349" s="32" t="n">
        <x:v>35.24</x:v>
      </x:c>
      <x:c r="AH349" s="32" t="n">
        <x:v>87.5</x:v>
      </x:c>
      <x:c r="AI349" s="32" t="n">
        <x:v>71.76</x:v>
      </x:c>
      <x:c r="AJ349" s="32" t="n">
        <x:v>81.59</x:v>
      </x:c>
      <x:c r="AK349" s="32" t="n">
        <x:v>9.93</x:v>
      </x:c>
      <x:c r="AL349" s="32" t="n">
        <x:v>44.07</x:v>
      </x:c>
      <x:c r="AM349" s="32" t="str">
        <x:v>#000000</x:v>
      </x:c>
      <x:c r="AN349" s="32" t="str">
        <x:v>Black</x:v>
      </x:c>
      <x:c r="AO349" s="32" t="n">
        <x:v>12.91</x:v>
      </x:c>
      <x:c r="AP349" s="32" t="n">
        <x:v>12.91</x:v>
      </x:c>
      <x:c r="AQ349" s="32" t="n">
        <x:v>1.63</x:v>
      </x:c>
      <x:c r="AR349" s="32" t="n">
        <x:v>0.595325</x:v>
      </x:c>
      <x:c r="AS349" t="str">
        <x:v>PASS</x:v>
      </x:c>
      <x:c r="AT349" t="str">
        <x:v>--cda-mus-030</x:v>
      </x:c>
      <x:c r="AU349" t="str">
        <x:v>var(--cda-mus-030)</x:v>
      </x:c>
      <x:c r="AV349" t="str">
        <x:v>Median RGB from official PDF swatch (screen reference only)</x:v>
      </x:c>
      <x:c r="AW349" t="str">
        <x:v>https://www.carandache.com/content_files/uploaded_doc/product/10986/Colour_Chart_Museum.pdf</x:v>
      </x:c>
      <x:c r="AX349" t="n">
        <x:v>1</x:v>
      </x:c>
      <x:c r="AY349" t="str">
        <x:v>Official</x:v>
      </x:c>
      <x:c r="AZ349" t="str">
        <x:v>Official where available; curated Traditional Chinese/Japanese otherwise</x:v>
      </x:c>
      <x:c r="BA349" t="str">
        <x:v>Verified from official chart; digital HEX is approximate</x:v>
      </x:c>
      <x:c r="BB349" t="str">
        <x:v>Physical media appearance varies by paper, pressure, layering, water and scan/display profile.</x:v>
      </x:c>
    </x:row>
    <x:row r="350">
      <x:c r="A350" t="str">
        <x:f>G350&amp;"|"&amp;L350</x:f>
        <x:v>MUS|850</x:v>
      </x:c>
      <x:c r="B350" t="str">
        <x:v>6f6b6037-08ef-52ec-8ed9-c5cdd17c761e</x:v>
      </x:c>
      <x:c r="C350" t="str">
        <x:v>CDA-MUS-850</x:v>
      </x:c>
      <x:c r="D350" t="str">
        <x:v>a152ca18-ad8d-5774-9bb9-3f9df85d57a5</x:v>
      </x:c>
      <x:c r="E350" t="str">
        <x:v>CDA-CODE-850</x:v>
      </x:c>
      <x:c r="F350" t="str">
        <x:v>Caran d’Ache</x:v>
      </x:c>
      <x:c r="G350" t="str">
        <x:v>MUS</x:v>
      </x:c>
      <x:c r="H350" t="str">
        <x:v>MUSEUM Aquarelle</x:v>
      </x:c>
      <x:c r="I350" t="str">
        <x:v>Extra-fine water-soluble coloured pencil</x:v>
      </x:c>
      <x:c r="J350" t="str">
        <x:v>Professional</x:v>
      </x:c>
      <x:c r="K350" s="30" t="n">
        <x:v>9</x:v>
      </x:c>
      <x:c r="L350" s="30" t="str">
        <x:v>850</x:v>
      </x:c>
      <x:c r="M350" t="str">
        <x:v>Cornelian</x:v>
      </x:c>
      <x:c r="N350" t="str">
        <x:v>紅玉髓色</x:v>
      </x:c>
      <x:c r="O350" t="str">
        <x:v>コーネリアン</x:v>
      </x:c>
      <x:c r="P350" t="str">
        <x:v>コーネリアン</x:v>
      </x:c>
      <x:c r="Q350" t="str">
        <x:v>Cornaline</x:v>
      </x:c>
      <x:c r="R350" t="str">
        <x:v>Kornalin</x:v>
      </x:c>
      <x:c r="S350" t="str">
        <x:v>Cornalina</x:v>
      </x:c>
      <x:c r="T350" t="str">
        <x:v>Cornalina</x:v>
      </x:c>
      <x:c r="U350" t="str"/>
      <x:c r="V350" t="str"/>
      <x:c r="W350" t="str">
        <x:v>PO61</x:v>
      </x:c>
      <x:c r="X350" t="n">
        <x:f>IF(W350="",0,LEN(W350)-LEN(SUBSTITUTE(W350,"/",""))+1)</x:f>
        <x:v>1</x:v>
      </x:c>
      <x:c r="Y350" t="str">
        <x:v>HHH</x:v>
      </x:c>
      <x:c r="Z350" s="32" t="n">
        <x:v>3</x:v>
      </x:c>
      <x:c r="AA350" s="32" t="n">
        <x:v>5</x:v>
      </x:c>
      <x:c r="AB350" s="32" t="str">
        <x:v>Blue Wool Scale / UV 150h</x:v>
      </x:c>
      <x:c r="AC350" t="str">
        <x:v>#ED8727</x:v>
      </x:c>
      <x:c r="AD350" s="34" t="n">
        <x:v>237</x:v>
      </x:c>
      <x:c r="AE350" s="34" t="n">
        <x:v>135</x:v>
      </x:c>
      <x:c r="AF350" s="34" t="n">
        <x:v>39</x:v>
      </x:c>
      <x:c r="AG350" s="32" t="n">
        <x:v>29.09</x:v>
      </x:c>
      <x:c r="AH350" s="32" t="n">
        <x:v>84.62</x:v>
      </x:c>
      <x:c r="AI350" s="32" t="n">
        <x:v>54.12</x:v>
      </x:c>
      <x:c r="AJ350" s="32" t="n">
        <x:v>66.12</x:v>
      </x:c>
      <x:c r="AK350" s="32" t="n">
        <x:v>32.69</x:v>
      </x:c>
      <x:c r="AL350" s="32" t="n">
        <x:v>63.62</x:v>
      </x:c>
      <x:c r="AM350" s="32" t="str">
        <x:v>#000000</x:v>
      </x:c>
      <x:c r="AN350" s="32" t="str">
        <x:v>Black</x:v>
      </x:c>
      <x:c r="AO350" s="32" t="n">
        <x:v>8.1</x:v>
      </x:c>
      <x:c r="AP350" s="32" t="n">
        <x:v>8.1</x:v>
      </x:c>
      <x:c r="AQ350" s="32" t="n">
        <x:v>2.59</x:v>
      </x:c>
      <x:c r="AR350" s="32" t="n">
        <x:v>0.35479</x:v>
      </x:c>
      <x:c r="AS350" t="str">
        <x:v>PASS</x:v>
      </x:c>
      <x:c r="AT350" t="str">
        <x:v>--cda-mus-850</x:v>
      </x:c>
      <x:c r="AU350" t="str">
        <x:v>var(--cda-mus-850)</x:v>
      </x:c>
      <x:c r="AV350" t="str">
        <x:v>Median RGB from official PDF swatch (screen reference only)</x:v>
      </x:c>
      <x:c r="AW350" t="str">
        <x:v>https://www.carandache.com/content_files/uploaded_doc/product/10986/Colour_Chart_Museum.pdf</x:v>
      </x:c>
      <x:c r="AX350" t="n">
        <x:v>1</x:v>
      </x:c>
      <x:c r="AY350" t="str">
        <x:v>Official</x:v>
      </x:c>
      <x:c r="AZ350" t="str">
        <x:v>Official where available; curated Traditional Chinese/Japanese otherwise</x:v>
      </x:c>
      <x:c r="BA350" t="str">
        <x:v>Verified from official chart; digital HEX is approximate</x:v>
      </x:c>
      <x:c r="BB350" t="str">
        <x:v>Physical media appearance varies by paper, pressure, layering, water and scan/display profile.</x:v>
      </x:c>
    </x:row>
    <x:row r="351">
      <x:c r="A351" t="str">
        <x:f>G351&amp;"|"&amp;L351</x:f>
        <x:v>MUS|060</x:v>
      </x:c>
      <x:c r="B351" t="str">
        <x:v>52e4d9a6-a869-5f63-8e6e-2eb8d0fffc6b</x:v>
      </x:c>
      <x:c r="C351" t="str">
        <x:v>CDA-MUS-060</x:v>
      </x:c>
      <x:c r="D351" t="str">
        <x:v>332db2c4-d0e9-5445-b3ee-924c107cece4</x:v>
      </x:c>
      <x:c r="E351" t="str">
        <x:v>CDA-CODE-060</x:v>
      </x:c>
      <x:c r="F351" t="str">
        <x:v>Caran d’Ache</x:v>
      </x:c>
      <x:c r="G351" t="str">
        <x:v>MUS</x:v>
      </x:c>
      <x:c r="H351" t="str">
        <x:v>MUSEUM Aquarelle</x:v>
      </x:c>
      <x:c r="I351" t="str">
        <x:v>Extra-fine water-soluble coloured pencil</x:v>
      </x:c>
      <x:c r="J351" t="str">
        <x:v>Professional</x:v>
      </x:c>
      <x:c r="K351" s="30" t="n">
        <x:v>10</x:v>
      </x:c>
      <x:c r="L351" s="30" t="str">
        <x:v>060</x:v>
      </x:c>
      <x:c r="M351" t="str">
        <x:v>Vermilion</x:v>
      </x:c>
      <x:c r="N351" t="str">
        <x:v>朱紅</x:v>
      </x:c>
      <x:c r="O351" t="str">
        <x:v>バーミリオン</x:v>
      </x:c>
      <x:c r="P351" t="str">
        <x:v>バーミリオン</x:v>
      </x:c>
      <x:c r="Q351" t="str">
        <x:v>Vermillon</x:v>
      </x:c>
      <x:c r="R351" t="str">
        <x:v>Zinnoberrot</x:v>
      </x:c>
      <x:c r="S351" t="str">
        <x:v>Vermiglione</x:v>
      </x:c>
      <x:c r="T351" t="str">
        <x:v>Bermellón</x:v>
      </x:c>
      <x:c r="U351" t="str"/>
      <x:c r="V351" t="str"/>
      <x:c r="W351" t="str">
        <x:v>PR254/PO43/PY3</x:v>
      </x:c>
      <x:c r="X351" t="n">
        <x:f>IF(W351="",0,LEN(W351)-LEN(SUBSTITUTE(W351,"/",""))+1)</x:f>
        <x:v>3</x:v>
      </x:c>
      <x:c r="Y351" t="str">
        <x:v>H</x:v>
      </x:c>
      <x:c r="Z351" s="32" t="n">
        <x:v>1</x:v>
      </x:c>
      <x:c r="AA351" s="32" t="n">
        <x:v>5</x:v>
      </x:c>
      <x:c r="AB351" s="32" t="str">
        <x:v>Blue Wool Scale / UV 150h</x:v>
      </x:c>
      <x:c r="AC351" t="str">
        <x:v>#DF5037</x:v>
      </x:c>
      <x:c r="AD351" s="34" t="n">
        <x:v>223</x:v>
      </x:c>
      <x:c r="AE351" s="34" t="n">
        <x:v>80</x:v>
      </x:c>
      <x:c r="AF351" s="34" t="n">
        <x:v>55</x:v>
      </x:c>
      <x:c r="AG351" s="32" t="n">
        <x:v>8.93</x:v>
      </x:c>
      <x:c r="AH351" s="32" t="n">
        <x:v>72.41</x:v>
      </x:c>
      <x:c r="AI351" s="32" t="n">
        <x:v>54.51</x:v>
      </x:c>
      <x:c r="AJ351" s="32" t="n">
        <x:v>53.71</x:v>
      </x:c>
      <x:c r="AK351" s="32" t="n">
        <x:v>54.42</x:v>
      </x:c>
      <x:c r="AL351" s="32" t="n">
        <x:v>44.03</x:v>
      </x:c>
      <x:c r="AM351" s="32" t="str">
        <x:v>#000000</x:v>
      </x:c>
      <x:c r="AN351" s="32" t="str">
        <x:v>Black</x:v>
      </x:c>
      <x:c r="AO351" s="32" t="n">
        <x:v>5.34</x:v>
      </x:c>
      <x:c r="AP351" s="32" t="n">
        <x:v>5.34</x:v>
      </x:c>
      <x:c r="AQ351" s="32" t="n">
        <x:v>3.93</x:v>
      </x:c>
      <x:c r="AR351" s="32" t="n">
        <x:v>0.217011</x:v>
      </x:c>
      <x:c r="AS351" t="str">
        <x:v>PASS</x:v>
      </x:c>
      <x:c r="AT351" t="str">
        <x:v>--cda-mus-060</x:v>
      </x:c>
      <x:c r="AU351" t="str">
        <x:v>var(--cda-mus-060)</x:v>
      </x:c>
      <x:c r="AV351" t="str">
        <x:v>Median RGB from official PDF swatch (screen reference only)</x:v>
      </x:c>
      <x:c r="AW351" t="str">
        <x:v>https://www.carandache.com/content_files/uploaded_doc/product/10986/Colour_Chart_Museum.pdf</x:v>
      </x:c>
      <x:c r="AX351" t="n">
        <x:v>1</x:v>
      </x:c>
      <x:c r="AY351" t="str">
        <x:v>Official</x:v>
      </x:c>
      <x:c r="AZ351" t="str">
        <x:v>Official where available; curated Traditional Chinese/Japanese otherwise</x:v>
      </x:c>
      <x:c r="BA351" t="str">
        <x:v>Verified from official chart; digital HEX is approximate</x:v>
      </x:c>
      <x:c r="BB351" t="str">
        <x:v>Physical media appearance varies by paper, pressure, layering, water and scan/display profile.</x:v>
      </x:c>
    </x:row>
    <x:row r="352">
      <x:c r="A352" t="str">
        <x:f>G352&amp;"|"&amp;L352</x:f>
        <x:v>MUS|560</x:v>
      </x:c>
      <x:c r="B352" t="str">
        <x:v>d1a4fddd-b0d9-503d-97ea-134fe0da1683</x:v>
      </x:c>
      <x:c r="C352" t="str">
        <x:v>CDA-MUS-560</x:v>
      </x:c>
      <x:c r="D352" t="str">
        <x:v>078c0ed9-39a1-5954-addf-1a9c9f9d078e</x:v>
      </x:c>
      <x:c r="E352" t="str">
        <x:v>CDA-CODE-560</x:v>
      </x:c>
      <x:c r="F352" t="str">
        <x:v>Caran d’Ache</x:v>
      </x:c>
      <x:c r="G352" t="str">
        <x:v>MUS</x:v>
      </x:c>
      <x:c r="H352" t="str">
        <x:v>MUSEUM Aquarelle</x:v>
      </x:c>
      <x:c r="I352" t="str">
        <x:v>Extra-fine water-soluble coloured pencil</x:v>
      </x:c>
      <x:c r="J352" t="str">
        <x:v>Professional</x:v>
      </x:c>
      <x:c r="K352" s="30" t="n">
        <x:v>11</x:v>
      </x:c>
      <x:c r="L352" s="30" t="str">
        <x:v>560</x:v>
      </x:c>
      <x:c r="M352" t="str">
        <x:v>Light Cadmium Red</x:v>
      </x:c>
      <x:c r="N352" t="str">
        <x:v>淺鎘紅</x:v>
      </x:c>
      <x:c r="O352" t="str">
        <x:v>ライトカドミウムレッド</x:v>
      </x:c>
      <x:c r="P352" t="str">
        <x:v>ライトカドミウムレッド</x:v>
      </x:c>
      <x:c r="Q352" t="str">
        <x:v>Rouge de Cadmium clair</x:v>
      </x:c>
      <x:c r="R352" t="str">
        <x:v>Hellkadmiumrot</x:v>
      </x:c>
      <x:c r="S352" t="str">
        <x:v>Rossso cadmio chiaro</x:v>
      </x:c>
      <x:c r="T352" t="str">
        <x:v>Rojo cadmio claro</x:v>
      </x:c>
      <x:c r="U352" t="str"/>
      <x:c r="V352" t="str"/>
      <x:c r="W352" t="str">
        <x:v>PR188</x:v>
      </x:c>
      <x:c r="X352" t="n">
        <x:f>IF(W352="",0,LEN(W352)-LEN(SUBSTITUTE(W352,"/",""))+1)</x:f>
        <x:v>1</x:v>
      </x:c>
      <x:c r="Y352" t="str">
        <x:v>HHH</x:v>
      </x:c>
      <x:c r="Z352" s="32" t="n">
        <x:v>3</x:v>
      </x:c>
      <x:c r="AA352" s="32" t="n">
        <x:v>5</x:v>
      </x:c>
      <x:c r="AB352" s="32" t="str">
        <x:v>Blue Wool Scale / UV 150h</x:v>
      </x:c>
      <x:c r="AC352" t="str">
        <x:v>#E44038</x:v>
      </x:c>
      <x:c r="AD352" s="34" t="n">
        <x:v>228</x:v>
      </x:c>
      <x:c r="AE352" s="34" t="n">
        <x:v>64</x:v>
      </x:c>
      <x:c r="AF352" s="34" t="n">
        <x:v>56</x:v>
      </x:c>
      <x:c r="AG352" s="32" t="n">
        <x:v>2.79</x:v>
      </x:c>
      <x:c r="AH352" s="32" t="n">
        <x:v>76.11</x:v>
      </x:c>
      <x:c r="AI352" s="32" t="n">
        <x:v>55.69</x:v>
      </x:c>
      <x:c r="AJ352" s="32" t="n">
        <x:v>52.34</x:v>
      </x:c>
      <x:c r="AK352" s="32" t="n">
        <x:v>62.24</x:v>
      </x:c>
      <x:c r="AL352" s="32" t="n">
        <x:v>42.28</x:v>
      </x:c>
      <x:c r="AM352" s="32" t="str">
        <x:v>#000000</x:v>
      </x:c>
      <x:c r="AN352" s="32" t="str">
        <x:v>Black</x:v>
      </x:c>
      <x:c r="AO352" s="32" t="n">
        <x:v>5.09</x:v>
      </x:c>
      <x:c r="AP352" s="32" t="n">
        <x:v>5.09</x:v>
      </x:c>
      <x:c r="AQ352" s="32" t="n">
        <x:v>4.13</x:v>
      </x:c>
      <x:c r="AR352" s="32" t="n">
        <x:v>0.204463</x:v>
      </x:c>
      <x:c r="AS352" t="str">
        <x:v>PASS</x:v>
      </x:c>
      <x:c r="AT352" t="str">
        <x:v>--cda-mus-560</x:v>
      </x:c>
      <x:c r="AU352" t="str">
        <x:v>var(--cda-mus-560)</x:v>
      </x:c>
      <x:c r="AV352" t="str">
        <x:v>Median RGB from official PDF swatch (screen reference only)</x:v>
      </x:c>
      <x:c r="AW352" t="str">
        <x:v>https://www.carandache.com/content_files/uploaded_doc/product/10986/Colour_Chart_Museum.pdf</x:v>
      </x:c>
      <x:c r="AX352" t="n">
        <x:v>1</x:v>
      </x:c>
      <x:c r="AY352" t="str">
        <x:v>Official</x:v>
      </x:c>
      <x:c r="AZ352" t="str">
        <x:v>Official where available; curated Traditional Chinese/Japanese otherwise</x:v>
      </x:c>
      <x:c r="BA352" t="str">
        <x:v>Verified from official chart; digital HEX is approximate</x:v>
      </x:c>
      <x:c r="BB352" t="str">
        <x:v>Physical media appearance varies by paper, pressure, layering, water and scan/display profile.</x:v>
      </x:c>
    </x:row>
    <x:row r="353">
      <x:c r="A353" t="str">
        <x:f>G353&amp;"|"&amp;L353</x:f>
        <x:v>MUS|070</x:v>
      </x:c>
      <x:c r="B353" t="str">
        <x:v>8d0abf02-f977-5597-9020-207602f78031</x:v>
      </x:c>
      <x:c r="C353" t="str">
        <x:v>CDA-MUS-070</x:v>
      </x:c>
      <x:c r="D353" t="str">
        <x:v>2dcedd03-0d82-5dc4-a34e-7ed1c317e71e</x:v>
      </x:c>
      <x:c r="E353" t="str">
        <x:v>CDA-CODE-070</x:v>
      </x:c>
      <x:c r="F353" t="str">
        <x:v>Caran d’Ache</x:v>
      </x:c>
      <x:c r="G353" t="str">
        <x:v>MUS</x:v>
      </x:c>
      <x:c r="H353" t="str">
        <x:v>MUSEUM Aquarelle</x:v>
      </x:c>
      <x:c r="I353" t="str">
        <x:v>Extra-fine water-soluble coloured pencil</x:v>
      </x:c>
      <x:c r="J353" t="str">
        <x:v>Professional</x:v>
      </x:c>
      <x:c r="K353" s="30" t="n">
        <x:v>12</x:v>
      </x:c>
      <x:c r="L353" s="30" t="str">
        <x:v>070</x:v>
      </x:c>
      <x:c r="M353" t="str">
        <x:v>Scarlet</x:v>
      </x:c>
      <x:c r="N353" t="str">
        <x:v>猩紅</x:v>
      </x:c>
      <x:c r="O353" t="str">
        <x:v>スカーレット</x:v>
      </x:c>
      <x:c r="P353" t="str">
        <x:v>スカーレット</x:v>
      </x:c>
      <x:c r="Q353" t="str">
        <x:v>Ecarlate</x:v>
      </x:c>
      <x:c r="R353" t="str">
        <x:v>Scharlachrot</x:v>
      </x:c>
      <x:c r="S353" t="str">
        <x:v>Scarlatto</x:v>
      </x:c>
      <x:c r="T353" t="str">
        <x:v>Escarlata</x:v>
      </x:c>
      <x:c r="U353" t="str"/>
      <x:c r="V353" t="str"/>
      <x:c r="W353" t="str">
        <x:v>PR170/PR254</x:v>
      </x:c>
      <x:c r="X353" t="n">
        <x:f>IF(W353="",0,LEN(W353)-LEN(SUBSTITUTE(W353,"/",""))+1)</x:f>
        <x:v>2</x:v>
      </x:c>
      <x:c r="Y353" t="str">
        <x:v>HHH</x:v>
      </x:c>
      <x:c r="Z353" s="32" t="n">
        <x:v>3</x:v>
      </x:c>
      <x:c r="AA353" s="32" t="n">
        <x:v>5</x:v>
      </x:c>
      <x:c r="AB353" s="32" t="str">
        <x:v>Blue Wool Scale / UV 150h</x:v>
      </x:c>
      <x:c r="AC353" t="str">
        <x:v>#DA0322</x:v>
      </x:c>
      <x:c r="AD353" s="34" t="n">
        <x:v>218</x:v>
      </x:c>
      <x:c r="AE353" s="34" t="n">
        <x:v>3</x:v>
      </x:c>
      <x:c r="AF353" s="34" t="n">
        <x:v>34</x:v>
      </x:c>
      <x:c r="AG353" s="32" t="n">
        <x:v>351.35</x:v>
      </x:c>
      <x:c r="AH353" s="32" t="n">
        <x:v>97.29</x:v>
      </x:c>
      <x:c r="AI353" s="32" t="n">
        <x:v>43.33</x:v>
      </x:c>
      <x:c r="AJ353" s="32" t="n">
        <x:v>45.76</x:v>
      </x:c>
      <x:c r="AK353" s="32" t="n">
        <x:v>71.33</x:v>
      </x:c>
      <x:c r="AL353" s="32" t="n">
        <x:v>46.85</x:v>
      </x:c>
      <x:c r="AM353" s="32" t="str">
        <x:v>#FFFFFF</x:v>
      </x:c>
      <x:c r="AN353" s="32" t="str">
        <x:v>White</x:v>
      </x:c>
      <x:c r="AO353" s="32" t="n">
        <x:v>5.23</x:v>
      </x:c>
      <x:c r="AP353" s="32" t="n">
        <x:v>4.02</x:v>
      </x:c>
      <x:c r="AQ353" s="32" t="n">
        <x:v>5.23</x:v>
      </x:c>
      <x:c r="AR353" s="32" t="n">
        <x:v>0.15086</x:v>
      </x:c>
      <x:c r="AS353" t="str">
        <x:v>PASS</x:v>
      </x:c>
      <x:c r="AT353" t="str">
        <x:v>--cda-mus-070</x:v>
      </x:c>
      <x:c r="AU353" t="str">
        <x:v>var(--cda-mus-070)</x:v>
      </x:c>
      <x:c r="AV353" t="str">
        <x:v>Median RGB from official PDF swatch (screen reference only)</x:v>
      </x:c>
      <x:c r="AW353" t="str">
        <x:v>https://www.carandache.com/content_files/uploaded_doc/product/10986/Colour_Chart_Museum.pdf</x:v>
      </x:c>
      <x:c r="AX353" t="n">
        <x:v>1</x:v>
      </x:c>
      <x:c r="AY353" t="str">
        <x:v>Official</x:v>
      </x:c>
      <x:c r="AZ353" t="str">
        <x:v>Official where available; curated Traditional Chinese/Japanese otherwise</x:v>
      </x:c>
      <x:c r="BA353" t="str">
        <x:v>Verified from official chart; digital HEX is approximate</x:v>
      </x:c>
      <x:c r="BB353" t="str">
        <x:v>Physical media appearance varies by paper, pressure, layering, water and scan/display profile.</x:v>
      </x:c>
    </x:row>
    <x:row r="354">
      <x:c r="A354" t="str">
        <x:f>G354&amp;"|"&amp;L354</x:f>
        <x:v>MUS|571</x:v>
      </x:c>
      <x:c r="B354" t="str">
        <x:v>afeb1546-4b53-5043-9c69-1054161efdf5</x:v>
      </x:c>
      <x:c r="C354" t="str">
        <x:v>CDA-MUS-571</x:v>
      </x:c>
      <x:c r="D354" t="str">
        <x:v>fcb6aaca-0994-5002-ac62-765b4a7bc21b</x:v>
      </x:c>
      <x:c r="E354" t="str">
        <x:v>CDA-CODE-571</x:v>
      </x:c>
      <x:c r="F354" t="str">
        <x:v>Caran d’Ache</x:v>
      </x:c>
      <x:c r="G354" t="str">
        <x:v>MUS</x:v>
      </x:c>
      <x:c r="H354" t="str">
        <x:v>MUSEUM Aquarelle</x:v>
      </x:c>
      <x:c r="I354" t="str">
        <x:v>Extra-fine water-soluble coloured pencil</x:v>
      </x:c>
      <x:c r="J354" t="str">
        <x:v>Professional</x:v>
      </x:c>
      <x:c r="K354" s="30" t="n">
        <x:v>13</x:v>
      </x:c>
      <x:c r="L354" s="30" t="str">
        <x:v>571</x:v>
      </x:c>
      <x:c r="M354" t="str">
        <x:v>Anthraquinoid pink</x:v>
      </x:c>
      <x:c r="N354" t="str">
        <x:v>蒽醌粉紅</x:v>
      </x:c>
      <x:c r="O354" t="str">
        <x:v>アントラキノンピンク</x:v>
      </x:c>
      <x:c r="P354" t="str">
        <x:v>アントラキノンピンク</x:v>
      </x:c>
      <x:c r="Q354" t="str">
        <x:v>Rose anthraquinone</x:v>
      </x:c>
      <x:c r="R354" t="str">
        <x:v>Anthrachinon rosa</x:v>
      </x:c>
      <x:c r="S354" t="str">
        <x:v>Rosa antrachinone</x:v>
      </x:c>
      <x:c r="T354" t="str">
        <x:v>Rosa anthraquinona</x:v>
      </x:c>
      <x:c r="U354" t="str"/>
      <x:c r="V354" t="str"/>
      <x:c r="W354" t="str">
        <x:v>PR168</x:v>
      </x:c>
      <x:c r="X354" t="n">
        <x:f>IF(W354="",0,LEN(W354)-LEN(SUBSTITUTE(W354,"/",""))+1)</x:f>
        <x:v>1</x:v>
      </x:c>
      <x:c r="Y354" t="str">
        <x:v>HHH</x:v>
      </x:c>
      <x:c r="Z354" s="32" t="n">
        <x:v>3</x:v>
      </x:c>
      <x:c r="AA354" s="32" t="n">
        <x:v>5</x:v>
      </x:c>
      <x:c r="AB354" s="32" t="str">
        <x:v>Blue Wool Scale / UV 150h</x:v>
      </x:c>
      <x:c r="AC354" t="str">
        <x:v>#F1ABA6</x:v>
      </x:c>
      <x:c r="AD354" s="34" t="n">
        <x:v>241</x:v>
      </x:c>
      <x:c r="AE354" s="34" t="n">
        <x:v>171</x:v>
      </x:c>
      <x:c r="AF354" s="34" t="n">
        <x:v>166</x:v>
      </x:c>
      <x:c r="AG354" s="32" t="n">
        <x:v>4</x:v>
      </x:c>
      <x:c r="AH354" s="32" t="n">
        <x:v>72.82</x:v>
      </x:c>
      <x:c r="AI354" s="32" t="n">
        <x:v>79.8</x:v>
      </x:c>
      <x:c r="AJ354" s="32" t="n">
        <x:v>76.43</x:v>
      </x:c>
      <x:c r="AK354" s="32" t="n">
        <x:v>25.03</x:v>
      </x:c>
      <x:c r="AL354" s="32" t="n">
        <x:v>12.86</x:v>
      </x:c>
      <x:c r="AM354" s="32" t="str">
        <x:v>#000000</x:v>
      </x:c>
      <x:c r="AN354" s="32" t="str">
        <x:v>Black</x:v>
      </x:c>
      <x:c r="AO354" s="32" t="n">
        <x:v>11.12</x:v>
      </x:c>
      <x:c r="AP354" s="32" t="n">
        <x:v>11.12</x:v>
      </x:c>
      <x:c r="AQ354" s="32" t="n">
        <x:v>1.89</x:v>
      </x:c>
      <x:c r="AR354" s="32" t="n">
        <x:v>0.505798</x:v>
      </x:c>
      <x:c r="AS354" t="str">
        <x:v>PASS</x:v>
      </x:c>
      <x:c r="AT354" t="str">
        <x:v>--cda-mus-571</x:v>
      </x:c>
      <x:c r="AU354" t="str">
        <x:v>var(--cda-mus-571)</x:v>
      </x:c>
      <x:c r="AV354" t="str">
        <x:v>Median RGB from official PDF swatch (screen reference only)</x:v>
      </x:c>
      <x:c r="AW354" t="str">
        <x:v>https://www.carandache.com/content_files/uploaded_doc/product/10986/Colour_Chart_Museum.pdf</x:v>
      </x:c>
      <x:c r="AX354" t="n">
        <x:v>1</x:v>
      </x:c>
      <x:c r="AY354" t="str">
        <x:v>Official</x:v>
      </x:c>
      <x:c r="AZ354" t="str">
        <x:v>Official where available; curated Traditional Chinese/Japanese otherwise</x:v>
      </x:c>
      <x:c r="BA354" t="str">
        <x:v>Verified from official chart; digital HEX is approximate</x:v>
      </x:c>
      <x:c r="BB354" t="str">
        <x:v>Physical media appearance varies by paper, pressure, layering, water and scan/display profile.</x:v>
      </x:c>
    </x:row>
    <x:row r="355">
      <x:c r="A355" t="str">
        <x:f>G355&amp;"|"&amp;L355</x:f>
        <x:v>MUS|599</x:v>
      </x:c>
      <x:c r="B355" t="str">
        <x:v>65f5bd39-c950-5812-9377-1c3575316248</x:v>
      </x:c>
      <x:c r="C355" t="str">
        <x:v>CDA-MUS-599</x:v>
      </x:c>
      <x:c r="D355" t="str">
        <x:v>047298da-6d09-523e-9069-4047b99c7147</x:v>
      </x:c>
      <x:c r="E355" t="str">
        <x:v>CDA-CODE-599</x:v>
      </x:c>
      <x:c r="F355" t="str">
        <x:v>Caran d’Ache</x:v>
      </x:c>
      <x:c r="G355" t="str">
        <x:v>MUS</x:v>
      </x:c>
      <x:c r="H355" t="str">
        <x:v>MUSEUM Aquarelle</x:v>
      </x:c>
      <x:c r="I355" t="str">
        <x:v>Extra-fine water-soluble coloured pencil</x:v>
      </x:c>
      <x:c r="J355" t="str">
        <x:v>Professional</x:v>
      </x:c>
      <x:c r="K355" s="30" t="n">
        <x:v>14</x:v>
      </x:c>
      <x:c r="L355" s="30" t="str">
        <x:v>599</x:v>
      </x:c>
      <x:c r="M355" t="str">
        <x:v>Crimson aubergine</x:v>
      </x:c>
      <x:c r="N355" t="str">
        <x:v>深紅茄紫</x:v>
      </x:c>
      <x:c r="O355" t="str">
        <x:v>クリムソンオーバージーン</x:v>
      </x:c>
      <x:c r="P355" t="str">
        <x:v>クリムソンオーバージーン</x:v>
      </x:c>
      <x:c r="Q355" t="str">
        <x:v>Aubergine cramoisie</x:v>
      </x:c>
      <x:c r="R355" t="str">
        <x:v>Karmesin aubergine</x:v>
      </x:c>
      <x:c r="S355" t="str">
        <x:v>Melanzana cremisi</x:v>
      </x:c>
      <x:c r="T355" t="str">
        <x:v>Berengena Crimson</x:v>
      </x:c>
      <x:c r="U355" t="str"/>
      <x:c r="V355" t="str"/>
      <x:c r="W355" t="str">
        <x:v>PR179/PV19/PB15</x:v>
      </x:c>
      <x:c r="X355" t="n">
        <x:f>IF(W355="",0,LEN(W355)-LEN(SUBSTITUTE(W355,"/",""))+1)</x:f>
        <x:v>3</x:v>
      </x:c>
      <x:c r="Y355" t="str">
        <x:v>H</x:v>
      </x:c>
      <x:c r="Z355" s="32" t="n">
        <x:v>1</x:v>
      </x:c>
      <x:c r="AA355" s="32" t="n">
        <x:v>5</x:v>
      </x:c>
      <x:c r="AB355" s="32" t="str">
        <x:v>Blue Wool Scale / UV 150h</x:v>
      </x:c>
      <x:c r="AC355" t="str">
        <x:v>#B83B51</x:v>
      </x:c>
      <x:c r="AD355" s="34" t="n">
        <x:v>184</x:v>
      </x:c>
      <x:c r="AE355" s="34" t="n">
        <x:v>59</x:v>
      </x:c>
      <x:c r="AF355" s="34" t="n">
        <x:v>81</x:v>
      </x:c>
      <x:c r="AG355" s="32" t="n">
        <x:v>349.44</x:v>
      </x:c>
      <x:c r="AH355" s="32" t="n">
        <x:v>51.44</x:v>
      </x:c>
      <x:c r="AI355" s="32" t="n">
        <x:v>47.65</x:v>
      </x:c>
      <x:c r="AJ355" s="32" t="n">
        <x:v>44.11</x:v>
      </x:c>
      <x:c r="AK355" s="32" t="n">
        <x:v>51.65</x:v>
      </x:c>
      <x:c r="AL355" s="32" t="n">
        <x:v>15.66</x:v>
      </x:c>
      <x:c r="AM355" s="32" t="str">
        <x:v>#FFFFFF</x:v>
      </x:c>
      <x:c r="AN355" s="32" t="str">
        <x:v>White</x:v>
      </x:c>
      <x:c r="AO355" s="32" t="n">
        <x:v>5.55</x:v>
      </x:c>
      <x:c r="AP355" s="32" t="n">
        <x:v>3.78</x:v>
      </x:c>
      <x:c r="AQ355" s="32" t="n">
        <x:v>5.55</x:v>
      </x:c>
      <x:c r="AR355" s="32" t="n">
        <x:v>0.139124</x:v>
      </x:c>
      <x:c r="AS355" t="str">
        <x:v>PASS</x:v>
      </x:c>
      <x:c r="AT355" t="str">
        <x:v>--cda-mus-599</x:v>
      </x:c>
      <x:c r="AU355" t="str">
        <x:v>var(--cda-mus-599)</x:v>
      </x:c>
      <x:c r="AV355" t="str">
        <x:v>Median RGB from official PDF swatch (screen reference only)</x:v>
      </x:c>
      <x:c r="AW355" t="str">
        <x:v>https://www.carandache.com/content_files/uploaded_doc/product/10986/Colour_Chart_Museum.pdf</x:v>
      </x:c>
      <x:c r="AX355" t="n">
        <x:v>1</x:v>
      </x:c>
      <x:c r="AY355" t="str">
        <x:v>Official</x:v>
      </x:c>
      <x:c r="AZ355" t="str">
        <x:v>Official where available; curated Traditional Chinese/Japanese otherwise</x:v>
      </x:c>
      <x:c r="BA355" t="str">
        <x:v>Verified from official chart; digital HEX is approximate</x:v>
      </x:c>
      <x:c r="BB355" t="str">
        <x:v>Physical media appearance varies by paper, pressure, layering, water and scan/display profile.</x:v>
      </x:c>
    </x:row>
    <x:row r="356">
      <x:c r="A356" t="str">
        <x:f>G356&amp;"|"&amp;L356</x:f>
        <x:v>MUS|575</x:v>
      </x:c>
      <x:c r="B356" t="str">
        <x:v>3b08d023-35e5-5a9c-9176-7358d66ab560</x:v>
      </x:c>
      <x:c r="C356" t="str">
        <x:v>CDA-MUS-575</x:v>
      </x:c>
      <x:c r="D356" t="str">
        <x:v>0af77181-5001-50c2-bbb8-a392d6367b1a</x:v>
      </x:c>
      <x:c r="E356" t="str">
        <x:v>CDA-CODE-575</x:v>
      </x:c>
      <x:c r="F356" t="str">
        <x:v>Caran d’Ache</x:v>
      </x:c>
      <x:c r="G356" t="str">
        <x:v>MUS</x:v>
      </x:c>
      <x:c r="H356" t="str">
        <x:v>MUSEUM Aquarelle</x:v>
      </x:c>
      <x:c r="I356" t="str">
        <x:v>Extra-fine water-soluble coloured pencil</x:v>
      </x:c>
      <x:c r="J356" t="str">
        <x:v>Professional</x:v>
      </x:c>
      <x:c r="K356" s="30" t="n">
        <x:v>15</x:v>
      </x:c>
      <x:c r="L356" s="30" t="str">
        <x:v>575</x:v>
      </x:c>
      <x:c r="M356" t="str">
        <x:v>Carmine Lake</x:v>
      </x:c>
      <x:c r="N356" t="str">
        <x:v>胭脂紅色淀</x:v>
      </x:c>
      <x:c r="O356" t="str">
        <x:v>カーマインレーキ</x:v>
      </x:c>
      <x:c r="P356" t="str">
        <x:v>カーマインレーキ</x:v>
      </x:c>
      <x:c r="Q356" t="str">
        <x:v>Laque carminée</x:v>
      </x:c>
      <x:c r="R356" t="str">
        <x:v>Karminlack</x:v>
      </x:c>
      <x:c r="S356" t="str">
        <x:v>Lacca carminata</x:v>
      </x:c>
      <x:c r="T356" t="str">
        <x:v>Laca carmín</x:v>
      </x:c>
      <x:c r="U356" t="str"/>
      <x:c r="V356" t="str"/>
      <x:c r="W356" t="str">
        <x:v>PR179/PBk7</x:v>
      </x:c>
      <x:c r="X356" t="n">
        <x:f>IF(W356="",0,LEN(W356)-LEN(SUBSTITUTE(W356,"/",""))+1)</x:f>
        <x:v>2</x:v>
      </x:c>
      <x:c r="Y356" t="str">
        <x:v>HHH</x:v>
      </x:c>
      <x:c r="Z356" s="32" t="n">
        <x:v>3</x:v>
      </x:c>
      <x:c r="AA356" s="32" t="n">
        <x:v>5</x:v>
      </x:c>
      <x:c r="AB356" s="32" t="str">
        <x:v>Blue Wool Scale / UV 150h</x:v>
      </x:c>
      <x:c r="AC356" t="str">
        <x:v>#773437</x:v>
      </x:c>
      <x:c r="AD356" s="34" t="n">
        <x:v>119</x:v>
      </x:c>
      <x:c r="AE356" s="34" t="n">
        <x:v>52</x:v>
      </x:c>
      <x:c r="AF356" s="34" t="n">
        <x:v>55</x:v>
      </x:c>
      <x:c r="AG356" s="32" t="n">
        <x:v>357.31</x:v>
      </x:c>
      <x:c r="AH356" s="32" t="n">
        <x:v>39.18</x:v>
      </x:c>
      <x:c r="AI356" s="32" t="n">
        <x:v>33.53</x:v>
      </x:c>
      <x:c r="AJ356" s="32" t="n">
        <x:v>31.01</x:v>
      </x:c>
      <x:c r="AK356" s="32" t="n">
        <x:v>29.63</x:v>
      </x:c>
      <x:c r="AL356" s="32" t="n">
        <x:v>12.43</x:v>
      </x:c>
      <x:c r="AM356" s="32" t="str">
        <x:v>#FFFFFF</x:v>
      </x:c>
      <x:c r="AN356" s="32" t="str">
        <x:v>White</x:v>
      </x:c>
      <x:c r="AO356" s="32" t="n">
        <x:v>9.01</x:v>
      </x:c>
      <x:c r="AP356" s="32" t="n">
        <x:v>2.33</x:v>
      </x:c>
      <x:c r="AQ356" s="32" t="n">
        <x:v>9.01</x:v>
      </x:c>
      <x:c r="AR356" s="32" t="n">
        <x:v>0.066538</x:v>
      </x:c>
      <x:c r="AS356" t="str">
        <x:v>PASS</x:v>
      </x:c>
      <x:c r="AT356" t="str">
        <x:v>--cda-mus-575</x:v>
      </x:c>
      <x:c r="AU356" t="str">
        <x:v>var(--cda-mus-575)</x:v>
      </x:c>
      <x:c r="AV356" t="str">
        <x:v>Median RGB from official PDF swatch (screen reference only)</x:v>
      </x:c>
      <x:c r="AW356" t="str">
        <x:v>https://www.carandache.com/content_files/uploaded_doc/product/10986/Colour_Chart_Museum.pdf</x:v>
      </x:c>
      <x:c r="AX356" t="n">
        <x:v>1</x:v>
      </x:c>
      <x:c r="AY356" t="str">
        <x:v>Official</x:v>
      </x:c>
      <x:c r="AZ356" t="str">
        <x:v>Official where available; curated Traditional Chinese/Japanese otherwise</x:v>
      </x:c>
      <x:c r="BA356" t="str">
        <x:v>Verified from official chart; digital HEX is approximate</x:v>
      </x:c>
      <x:c r="BB356" t="str">
        <x:v>Physical media appearance varies by paper, pressure, layering, water and scan/display profile.</x:v>
      </x:c>
    </x:row>
    <x:row r="357">
      <x:c r="A357" t="str">
        <x:f>G357&amp;"|"&amp;L357</x:f>
        <x:v>MUS|583</x:v>
      </x:c>
      <x:c r="B357" t="str">
        <x:v>9ba1218f-c9b8-595a-a55e-f03e0e8ec069</x:v>
      </x:c>
      <x:c r="C357" t="str">
        <x:v>CDA-MUS-583</x:v>
      </x:c>
      <x:c r="D357" t="str">
        <x:v>5780f78b-af0e-59ae-80af-4c20afd80775</x:v>
      </x:c>
      <x:c r="E357" t="str">
        <x:v>CDA-CODE-583</x:v>
      </x:c>
      <x:c r="F357" t="str">
        <x:v>Caran d’Ache</x:v>
      </x:c>
      <x:c r="G357" t="str">
        <x:v>MUS</x:v>
      </x:c>
      <x:c r="H357" t="str">
        <x:v>MUSEUM Aquarelle</x:v>
      </x:c>
      <x:c r="I357" t="str">
        <x:v>Extra-fine water-soluble coloured pencil</x:v>
      </x:c>
      <x:c r="J357" t="str">
        <x:v>Professional</x:v>
      </x:c>
      <x:c r="K357" s="30" t="n">
        <x:v>16</x:v>
      </x:c>
      <x:c r="L357" s="30" t="str">
        <x:v>583</x:v>
      </x:c>
      <x:c r="M357" t="str">
        <x:v>Violet Pink</x:v>
      </x:c>
      <x:c r="N357" t="str">
        <x:v>紫粉紅</x:v>
      </x:c>
      <x:c r="O357" t="str">
        <x:v>バイオレットピンク</x:v>
      </x:c>
      <x:c r="P357" t="str">
        <x:v>バイオレットピンク</x:v>
      </x:c>
      <x:c r="Q357" t="str">
        <x:v>Rose violine</x:v>
      </x:c>
      <x:c r="R357" t="str">
        <x:v>Violettrosa</x:v>
      </x:c>
      <x:c r="S357" t="str">
        <x:v>Rosa violetto</x:v>
      </x:c>
      <x:c r="T357" t="str">
        <x:v>Rosa violeta</x:v>
      </x:c>
      <x:c r="U357" t="str"/>
      <x:c r="V357" t="str"/>
      <x:c r="W357" t="str">
        <x:v>PR101/PR168/PO82/PR122/PBk11/PY42/PBr7/PBk7</x:v>
      </x:c>
      <x:c r="X357" t="n">
        <x:f>IF(W357="",0,LEN(W357)-LEN(SUBSTITUTE(W357,"/",""))+1)</x:f>
        <x:v>8</x:v>
      </x:c>
      <x:c r="Y357" t="str">
        <x:v>H</x:v>
      </x:c>
      <x:c r="Z357" s="32" t="n">
        <x:v>1</x:v>
      </x:c>
      <x:c r="AA357" s="32" t="n">
        <x:v>5</x:v>
      </x:c>
      <x:c r="AB357" s="32" t="str">
        <x:v>Blue Wool Scale / UV 150h</x:v>
      </x:c>
      <x:c r="AC357" t="str">
        <x:v>#E4A4AF</x:v>
      </x:c>
      <x:c r="AD357" s="34" t="n">
        <x:v>228</x:v>
      </x:c>
      <x:c r="AE357" s="34" t="n">
        <x:v>164</x:v>
      </x:c>
      <x:c r="AF357" s="34" t="n">
        <x:v>175</x:v>
      </x:c>
      <x:c r="AG357" s="32" t="n">
        <x:v>349.69</x:v>
      </x:c>
      <x:c r="AH357" s="32" t="n">
        <x:v>54.24</x:v>
      </x:c>
      <x:c r="AI357" s="32" t="n">
        <x:v>76.86</x:v>
      </x:c>
      <x:c r="AJ357" s="32" t="n">
        <x:v>73.64</x:v>
      </x:c>
      <x:c r="AK357" s="32" t="n">
        <x:v>25.2</x:v>
      </x:c>
      <x:c r="AL357" s="32" t="n">
        <x:v>3.76</x:v>
      </x:c>
      <x:c r="AM357" s="32" t="str">
        <x:v>#000000</x:v>
      </x:c>
      <x:c r="AN357" s="32" t="str">
        <x:v>Black</x:v>
      </x:c>
      <x:c r="AO357" s="32" t="n">
        <x:v>10.23</x:v>
      </x:c>
      <x:c r="AP357" s="32" t="n">
        <x:v>10.23</x:v>
      </x:c>
      <x:c r="AQ357" s="32" t="n">
        <x:v>2.05</x:v>
      </x:c>
      <x:c r="AR357" s="32" t="n">
        <x:v>0.4614</x:v>
      </x:c>
      <x:c r="AS357" t="str">
        <x:v>PASS</x:v>
      </x:c>
      <x:c r="AT357" t="str">
        <x:v>--cda-mus-583</x:v>
      </x:c>
      <x:c r="AU357" t="str">
        <x:v>var(--cda-mus-583)</x:v>
      </x:c>
      <x:c r="AV357" t="str">
        <x:v>Median RGB from official PDF swatch (screen reference only)</x:v>
      </x:c>
      <x:c r="AW357" t="str">
        <x:v>https://www.carandache.com/content_files/uploaded_doc/product/10986/Colour_Chart_Museum.pdf</x:v>
      </x:c>
      <x:c r="AX357" t="n">
        <x:v>1</x:v>
      </x:c>
      <x:c r="AY357" t="str">
        <x:v>Official</x:v>
      </x:c>
      <x:c r="AZ357" t="str">
        <x:v>Official where available; curated Traditional Chinese/Japanese otherwise</x:v>
      </x:c>
      <x:c r="BA357" t="str">
        <x:v>Verified from official chart; digital HEX is approximate</x:v>
      </x:c>
      <x:c r="BB357" t="str">
        <x:v>Physical media appearance varies by paper, pressure, layering, water and scan/display profile.</x:v>
      </x:c>
    </x:row>
    <x:row r="358">
      <x:c r="A358" t="str">
        <x:f>G358&amp;"|"&amp;L358</x:f>
        <x:v>MUS|106</x:v>
      </x:c>
      <x:c r="B358" t="str">
        <x:v>66475a0e-421d-576e-81ac-f469c8c41eee</x:v>
      </x:c>
      <x:c r="C358" t="str">
        <x:v>CDA-MUS-106</x:v>
      </x:c>
      <x:c r="D358" t="str">
        <x:v>b4093dcf-a961-55fd-b9dd-e3bd5e19318f</x:v>
      </x:c>
      <x:c r="E358" t="str">
        <x:v>CDA-CODE-106</x:v>
      </x:c>
      <x:c r="F358" t="str">
        <x:v>Caran d’Ache</x:v>
      </x:c>
      <x:c r="G358" t="str">
        <x:v>MUS</x:v>
      </x:c>
      <x:c r="H358" t="str">
        <x:v>MUSEUM Aquarelle</x:v>
      </x:c>
      <x:c r="I358" t="str">
        <x:v>Extra-fine water-soluble coloured pencil</x:v>
      </x:c>
      <x:c r="J358" t="str">
        <x:v>Professional</x:v>
      </x:c>
      <x:c r="K358" s="30" t="n">
        <x:v>17</x:v>
      </x:c>
      <x:c r="L358" s="30" t="str">
        <x:v>106</x:v>
      </x:c>
      <x:c r="M358" t="str">
        <x:v>Dark plum</x:v>
      </x:c>
      <x:c r="N358" t="str">
        <x:v>深梅紫</x:v>
      </x:c>
      <x:c r="O358" t="str">
        <x:v>ダークプラム</x:v>
      </x:c>
      <x:c r="P358" t="str">
        <x:v>ダークプラム</x:v>
      </x:c>
      <x:c r="Q358" t="str">
        <x:v>Prune foncé</x:v>
      </x:c>
      <x:c r="R358" t="str">
        <x:v>Dunkel Pflaumenrot</x:v>
      </x:c>
      <x:c r="S358" t="str">
        <x:v>Prugna scuro</x:v>
      </x:c>
      <x:c r="T358" t="str">
        <x:v>Ciruela oscuro</x:v>
      </x:c>
      <x:c r="U358" t="str"/>
      <x:c r="V358" t="str"/>
      <x:c r="W358" t="str">
        <x:v>PV23/PV19/PR3</x:v>
      </x:c>
      <x:c r="X358" t="n">
        <x:f>IF(W358="",0,LEN(W358)-LEN(SUBSTITUTE(W358,"/",""))+1)</x:f>
        <x:v>3</x:v>
      </x:c>
      <x:c r="Y358" t="str">
        <x:v>H</x:v>
      </x:c>
      <x:c r="Z358" s="32" t="n">
        <x:v>1</x:v>
      </x:c>
      <x:c r="AA358" s="32" t="n">
        <x:v>5</x:v>
      </x:c>
      <x:c r="AB358" s="32" t="str">
        <x:v>Blue Wool Scale / UV 150h</x:v>
      </x:c>
      <x:c r="AC358" t="str">
        <x:v>#A1587B</x:v>
      </x:c>
      <x:c r="AD358" s="34" t="n">
        <x:v>161</x:v>
      </x:c>
      <x:c r="AE358" s="34" t="n">
        <x:v>88</x:v>
      </x:c>
      <x:c r="AF358" s="34" t="n">
        <x:v>123</x:v>
      </x:c>
      <x:c r="AG358" s="32" t="n">
        <x:v>331.23</x:v>
      </x:c>
      <x:c r="AH358" s="32" t="n">
        <x:v>29.32</x:v>
      </x:c>
      <x:c r="AI358" s="32" t="n">
        <x:v>48.82</x:v>
      </x:c>
      <x:c r="AJ358" s="32" t="n">
        <x:v>46.96</x:v>
      </x:c>
      <x:c r="AK358" s="32" t="n">
        <x:v>34.52</x:v>
      </x:c>
      <x:c r="AL358" s="32" t="n">
        <x:v>-6.4</x:v>
      </x:c>
      <x:c r="AM358" s="32" t="str">
        <x:v>#FFFFFF</x:v>
      </x:c>
      <x:c r="AN358" s="32" t="str">
        <x:v>White</x:v>
      </x:c>
      <x:c r="AO358" s="32" t="n">
        <x:v>5</x:v>
      </x:c>
      <x:c r="AP358" s="32" t="n">
        <x:v>4.2</x:v>
      </x:c>
      <x:c r="AQ358" s="32" t="n">
        <x:v>5</x:v>
      </x:c>
      <x:c r="AR358" s="32" t="n">
        <x:v>0.159866</x:v>
      </x:c>
      <x:c r="AS358" t="str">
        <x:v>PASS</x:v>
      </x:c>
      <x:c r="AT358" t="str">
        <x:v>--cda-mus-106</x:v>
      </x:c>
      <x:c r="AU358" t="str">
        <x:v>var(--cda-mus-106)</x:v>
      </x:c>
      <x:c r="AV358" t="str">
        <x:v>Median RGB from official PDF swatch (screen reference only)</x:v>
      </x:c>
      <x:c r="AW358" t="str">
        <x:v>https://www.carandache.com/content_files/uploaded_doc/product/10986/Colour_Chart_Museum.pdf</x:v>
      </x:c>
      <x:c r="AX358" t="n">
        <x:v>1</x:v>
      </x:c>
      <x:c r="AY358" t="str">
        <x:v>Official</x:v>
      </x:c>
      <x:c r="AZ358" t="str">
        <x:v>Official where available; curated Traditional Chinese/Japanese otherwise</x:v>
      </x:c>
      <x:c r="BA358" t="str">
        <x:v>Verified from official chart; digital HEX is approximate</x:v>
      </x:c>
      <x:c r="BB358" t="str">
        <x:v>Physical media appearance varies by paper, pressure, layering, water and scan/display profile.</x:v>
      </x:c>
    </x:row>
    <x:row r="359">
      <x:c r="A359" t="str">
        <x:f>G359&amp;"|"&amp;L359</x:f>
        <x:v>MUS|350</x:v>
      </x:c>
      <x:c r="B359" t="str">
        <x:v>350c1639-af6a-5f7a-8aa0-d5713397168e</x:v>
      </x:c>
      <x:c r="C359" t="str">
        <x:v>CDA-MUS-350</x:v>
      </x:c>
      <x:c r="D359" t="str">
        <x:v>39bf01fa-a31a-593e-a617-859ebd045d80</x:v>
      </x:c>
      <x:c r="E359" t="str">
        <x:v>CDA-CODE-350</x:v>
      </x:c>
      <x:c r="F359" t="str">
        <x:v>Caran d’Ache</x:v>
      </x:c>
      <x:c r="G359" t="str">
        <x:v>MUS</x:v>
      </x:c>
      <x:c r="H359" t="str">
        <x:v>MUSEUM Aquarelle</x:v>
      </x:c>
      <x:c r="I359" t="str">
        <x:v>Extra-fine water-soluble coloured pencil</x:v>
      </x:c>
      <x:c r="J359" t="str">
        <x:v>Professional</x:v>
      </x:c>
      <x:c r="K359" s="30" t="n">
        <x:v>18</x:v>
      </x:c>
      <x:c r="L359" s="30" t="str">
        <x:v>350</x:v>
      </x:c>
      <x:c r="M359" t="str">
        <x:v>Purplish Red</x:v>
      </x:c>
      <x:c r="N359" t="str">
        <x:v>紫紅色</x:v>
      </x:c>
      <x:c r="O359" t="str">
        <x:v>パープリッシュ レッド</x:v>
      </x:c>
      <x:c r="P359" t="str">
        <x:v>パープリッシュ レッド</x:v>
      </x:c>
      <x:c r="Q359" t="str">
        <x:v>Rouge Pourpre</x:v>
      </x:c>
      <x:c r="R359" t="str">
        <x:v>Purpurrot</x:v>
      </x:c>
      <x:c r="S359" t="str">
        <x:v>Rosso porpora</x:v>
      </x:c>
      <x:c r="T359" t="str">
        <x:v>Rojo púrpura</x:v>
      </x:c>
      <x:c r="U359" t="str"/>
      <x:c r="V359" t="str"/>
      <x:c r="W359" t="str">
        <x:v>PR122</x:v>
      </x:c>
      <x:c r="X359" t="n">
        <x:f>IF(W359="",0,LEN(W359)-LEN(SUBSTITUTE(W359,"/",""))+1)</x:f>
        <x:v>1</x:v>
      </x:c>
      <x:c r="Y359" t="str">
        <x:v>HHH</x:v>
      </x:c>
      <x:c r="Z359" s="32" t="n">
        <x:v>3</x:v>
      </x:c>
      <x:c r="AA359" s="32" t="n">
        <x:v>5</x:v>
      </x:c>
      <x:c r="AB359" s="32" t="str">
        <x:v>Blue Wool Scale / UV 150h</x:v>
      </x:c>
      <x:c r="AC359" t="str">
        <x:v>#E23A82</x:v>
      </x:c>
      <x:c r="AD359" s="34" t="n">
        <x:v>226</x:v>
      </x:c>
      <x:c r="AE359" s="34" t="n">
        <x:v>58</x:v>
      </x:c>
      <x:c r="AF359" s="34" t="n">
        <x:v>130</x:v>
      </x:c>
      <x:c r="AG359" s="32" t="n">
        <x:v>334.29</x:v>
      </x:c>
      <x:c r="AH359" s="32" t="n">
        <x:v>74.34</x:v>
      </x:c>
      <x:c r="AI359" s="32" t="n">
        <x:v>55.69</x:v>
      </x:c>
      <x:c r="AJ359" s="32" t="n">
        <x:v>52.74</x:v>
      </x:c>
      <x:c r="AK359" s="32" t="n">
        <x:v>68.48</x:v>
      </x:c>
      <x:c r="AL359" s="32" t="n">
        <x:v>-0.91</x:v>
      </x:c>
      <x:c r="AM359" s="32" t="str">
        <x:v>#000000</x:v>
      </x:c>
      <x:c r="AN359" s="32" t="str">
        <x:v>Black</x:v>
      </x:c>
      <x:c r="AO359" s="32" t="n">
        <x:v>5.16</x:v>
      </x:c>
      <x:c r="AP359" s="32" t="n">
        <x:v>5.16</x:v>
      </x:c>
      <x:c r="AQ359" s="32" t="n">
        <x:v>4.07</x:v>
      </x:c>
      <x:c r="AR359" s="32" t="n">
        <x:v>0.208066</x:v>
      </x:c>
      <x:c r="AS359" t="str">
        <x:v>PASS</x:v>
      </x:c>
      <x:c r="AT359" t="str">
        <x:v>--cda-mus-350</x:v>
      </x:c>
      <x:c r="AU359" t="str">
        <x:v>var(--cda-mus-350)</x:v>
      </x:c>
      <x:c r="AV359" t="str">
        <x:v>Median RGB from official PDF swatch (screen reference only)</x:v>
      </x:c>
      <x:c r="AW359" t="str">
        <x:v>https://www.carandache.com/content_files/uploaded_doc/product/10986/Colour_Chart_Museum.pdf</x:v>
      </x:c>
      <x:c r="AX359" t="n">
        <x:v>1</x:v>
      </x:c>
      <x:c r="AY359" t="str">
        <x:v>Official</x:v>
      </x:c>
      <x:c r="AZ359" t="str">
        <x:v>Official where available; curated Traditional Chinese/Japanese otherwise</x:v>
      </x:c>
      <x:c r="BA359" t="str">
        <x:v>Verified from official chart; digital HEX is approximate</x:v>
      </x:c>
      <x:c r="BB359" t="str">
        <x:v>Physical media appearance varies by paper, pressure, layering, water and scan/display profile.</x:v>
      </x:c>
    </x:row>
    <x:row r="360">
      <x:c r="A360" t="str">
        <x:f>G360&amp;"|"&amp;L360</x:f>
        <x:v>MUS|112</x:v>
      </x:c>
      <x:c r="B360" t="str">
        <x:v>ed5a999b-a6ac-59d9-a6dd-1bcddc28f325</x:v>
      </x:c>
      <x:c r="C360" t="str">
        <x:v>CDA-MUS-112</x:v>
      </x:c>
      <x:c r="D360" t="str">
        <x:v>97472986-a576-545d-91ed-c62a5d5bf82d</x:v>
      </x:c>
      <x:c r="E360" t="str">
        <x:v>CDA-CODE-112</x:v>
      </x:c>
      <x:c r="F360" t="str">
        <x:v>Caran d’Ache</x:v>
      </x:c>
      <x:c r="G360" t="str">
        <x:v>MUS</x:v>
      </x:c>
      <x:c r="H360" t="str">
        <x:v>MUSEUM Aquarelle</x:v>
      </x:c>
      <x:c r="I360" t="str">
        <x:v>Extra-fine water-soluble coloured pencil</x:v>
      </x:c>
      <x:c r="J360" t="str">
        <x:v>Professional</x:v>
      </x:c>
      <x:c r="K360" s="30" t="n">
        <x:v>19</x:v>
      </x:c>
      <x:c r="L360" s="30" t="str">
        <x:v>112</x:v>
      </x:c>
      <x:c r="M360" t="str">
        <x:v>Manganese violet</x:v>
      </x:c>
      <x:c r="N360" t="str">
        <x:v>錳紫</x:v>
      </x:c>
      <x:c r="O360" t="str">
        <x:v>マンガニーズバイオレット</x:v>
      </x:c>
      <x:c r="P360" t="str">
        <x:v>マンガニーズバイオレット</x:v>
      </x:c>
      <x:c r="Q360" t="str">
        <x:v>Violet de manganèse</x:v>
      </x:c>
      <x:c r="R360" t="str">
        <x:v>Manganviolett</x:v>
      </x:c>
      <x:c r="S360" t="str">
        <x:v>Viola manganese</x:v>
      </x:c>
      <x:c r="T360" t="str">
        <x:v>Violeta de Manganeso</x:v>
      </x:c>
      <x:c r="U360" t="str"/>
      <x:c r="V360" t="str"/>
      <x:c r="W360" t="str">
        <x:v>PV16</x:v>
      </x:c>
      <x:c r="X360" t="n">
        <x:f>IF(W360="",0,LEN(W360)-LEN(SUBSTITUTE(W360,"/",""))+1)</x:f>
        <x:v>1</x:v>
      </x:c>
      <x:c r="Y360" t="str">
        <x:v>HHH</x:v>
      </x:c>
      <x:c r="Z360" s="32" t="n">
        <x:v>3</x:v>
      </x:c>
      <x:c r="AA360" s="32" t="n">
        <x:v>5</x:v>
      </x:c>
      <x:c r="AB360" s="32" t="str">
        <x:v>Blue Wool Scale / UV 150h</x:v>
      </x:c>
      <x:c r="AC360" t="str">
        <x:v>#C0A0C8</x:v>
      </x:c>
      <x:c r="AD360" s="34" t="n">
        <x:v>192</x:v>
      </x:c>
      <x:c r="AE360" s="34" t="n">
        <x:v>160</x:v>
      </x:c>
      <x:c r="AF360" s="34" t="n">
        <x:v>200</x:v>
      </x:c>
      <x:c r="AG360" s="32" t="n">
        <x:v>288</x:v>
      </x:c>
      <x:c r="AH360" s="32" t="n">
        <x:v>26.67</x:v>
      </x:c>
      <x:c r="AI360" s="32" t="n">
        <x:v>70.59</x:v>
      </x:c>
      <x:c r="AJ360" s="32" t="n">
        <x:v>69.84</x:v>
      </x:c>
      <x:c r="AK360" s="32" t="n">
        <x:v>18.94</x:v>
      </x:c>
      <x:c r="AL360" s="32" t="n">
        <x:v>-16.06</x:v>
      </x:c>
      <x:c r="AM360" s="32" t="str">
        <x:v>#000000</x:v>
      </x:c>
      <x:c r="AN360" s="32" t="str">
        <x:v>Black</x:v>
      </x:c>
      <x:c r="AO360" s="32" t="n">
        <x:v>9.1</x:v>
      </x:c>
      <x:c r="AP360" s="32" t="n">
        <x:v>9.1</x:v>
      </x:c>
      <x:c r="AQ360" s="32" t="n">
        <x:v>2.31</x:v>
      </x:c>
      <x:c r="AR360" s="32" t="n">
        <x:v>0.405182</x:v>
      </x:c>
      <x:c r="AS360" t="str">
        <x:v>PASS</x:v>
      </x:c>
      <x:c r="AT360" t="str">
        <x:v>--cda-mus-112</x:v>
      </x:c>
      <x:c r="AU360" t="str">
        <x:v>var(--cda-mus-112)</x:v>
      </x:c>
      <x:c r="AV360" t="str">
        <x:v>Median RGB from official PDF swatch (screen reference only)</x:v>
      </x:c>
      <x:c r="AW360" t="str">
        <x:v>https://www.carandache.com/content_files/uploaded_doc/product/10986/Colour_Chart_Museum.pdf</x:v>
      </x:c>
      <x:c r="AX360" t="n">
        <x:v>1</x:v>
      </x:c>
      <x:c r="AY360" t="str">
        <x:v>Official</x:v>
      </x:c>
      <x:c r="AZ360" t="str">
        <x:v>Official where available; curated Traditional Chinese/Japanese otherwise</x:v>
      </x:c>
      <x:c r="BA360" t="str">
        <x:v>Verified from official chart; digital HEX is approximate</x:v>
      </x:c>
      <x:c r="BB360" t="str">
        <x:v>Physical media appearance varies by paper, pressure, layering, water and scan/display profile.</x:v>
      </x:c>
    </x:row>
    <x:row r="361">
      <x:c r="A361" t="str">
        <x:f>G361&amp;"|"&amp;L361</x:f>
        <x:v>MUS|131</x:v>
      </x:c>
      <x:c r="B361" t="str">
        <x:v>0be36a7f-f7a4-5aa5-8942-3e1c057d8b8e</x:v>
      </x:c>
      <x:c r="C361" t="str">
        <x:v>CDA-MUS-131</x:v>
      </x:c>
      <x:c r="D361" t="str">
        <x:v>e0da0eb4-8bbe-57dd-a5fe-0cf6204da565</x:v>
      </x:c>
      <x:c r="E361" t="str">
        <x:v>CDA-CODE-131</x:v>
      </x:c>
      <x:c r="F361" t="str">
        <x:v>Caran d’Ache</x:v>
      </x:c>
      <x:c r="G361" t="str">
        <x:v>MUS</x:v>
      </x:c>
      <x:c r="H361" t="str">
        <x:v>MUSEUM Aquarelle</x:v>
      </x:c>
      <x:c r="I361" t="str">
        <x:v>Extra-fine water-soluble coloured pencil</x:v>
      </x:c>
      <x:c r="J361" t="str">
        <x:v>Professional</x:v>
      </x:c>
      <x:c r="K361" s="30" t="n">
        <x:v>20</x:v>
      </x:c>
      <x:c r="L361" s="30" t="str">
        <x:v>131</x:v>
      </x:c>
      <x:c r="M361" t="str">
        <x:v>Periwinkle blue</x:v>
      </x:c>
      <x:c r="N361" t="str">
        <x:v>長春花藍</x:v>
      </x:c>
      <x:c r="O361" t="str">
        <x:v>ペリウィンクル ブルー</x:v>
      </x:c>
      <x:c r="P361" t="str">
        <x:v>ペリウィンクル ブルー</x:v>
      </x:c>
      <x:c r="Q361" t="str">
        <x:v>Pervenche</x:v>
      </x:c>
      <x:c r="R361" t="str">
        <x:v>Hellviolett</x:v>
      </x:c>
      <x:c r="S361" t="str">
        <x:v>Blu pervinca</x:v>
      </x:c>
      <x:c r="T361" t="str">
        <x:v>Pervenche</x:v>
      </x:c>
      <x:c r="U361" t="str"/>
      <x:c r="V361" t="str"/>
      <x:c r="W361" t="str">
        <x:v>PV23/PV16</x:v>
      </x:c>
      <x:c r="X361" t="n">
        <x:f>IF(W361="",0,LEN(W361)-LEN(SUBSTITUTE(W361,"/",""))+1)</x:f>
        <x:v>2</x:v>
      </x:c>
      <x:c r="Y361" t="str">
        <x:v>HH</x:v>
      </x:c>
      <x:c r="Z361" s="32" t="n">
        <x:v>2</x:v>
      </x:c>
      <x:c r="AA361" s="32" t="n">
        <x:v>5</x:v>
      </x:c>
      <x:c r="AB361" s="32" t="str">
        <x:v>Blue Wool Scale / UV 150h</x:v>
      </x:c>
      <x:c r="AC361" t="str">
        <x:v>#A46CA7</x:v>
      </x:c>
      <x:c r="AD361" s="34" t="n">
        <x:v>164</x:v>
      </x:c>
      <x:c r="AE361" s="34" t="n">
        <x:v>108</x:v>
      </x:c>
      <x:c r="AF361" s="34" t="n">
        <x:v>167</x:v>
      </x:c>
      <x:c r="AG361" s="32" t="n">
        <x:v>296.95</x:v>
      </x:c>
      <x:c r="AH361" s="32" t="n">
        <x:v>25.11</x:v>
      </x:c>
      <x:c r="AI361" s="32" t="n">
        <x:v>53.92</x:v>
      </x:c>
      <x:c r="AJ361" s="32" t="n">
        <x:v>53.39</x:v>
      </x:c>
      <x:c r="AK361" s="32" t="n">
        <x:v>32.18</x:v>
      </x:c>
      <x:c r="AL361" s="32" t="n">
        <x:v>-22.67</x:v>
      </x:c>
      <x:c r="AM361" s="32" t="str">
        <x:v>#000000</x:v>
      </x:c>
      <x:c r="AN361" s="32" t="str">
        <x:v>Black</x:v>
      </x:c>
      <x:c r="AO361" s="32" t="n">
        <x:v>5.28</x:v>
      </x:c>
      <x:c r="AP361" s="32" t="n">
        <x:v>5.28</x:v>
      </x:c>
      <x:c r="AQ361" s="32" t="n">
        <x:v>3.98</x:v>
      </x:c>
      <x:c r="AR361" s="32" t="n">
        <x:v>0.214077</x:v>
      </x:c>
      <x:c r="AS361" t="str">
        <x:v>PASS</x:v>
      </x:c>
      <x:c r="AT361" t="str">
        <x:v>--cda-mus-131</x:v>
      </x:c>
      <x:c r="AU361" t="str">
        <x:v>var(--cda-mus-131)</x:v>
      </x:c>
      <x:c r="AV361" t="str">
        <x:v>Median RGB from official PDF swatch (screen reference only)</x:v>
      </x:c>
      <x:c r="AW361" t="str">
        <x:v>https://www.carandache.com/content_files/uploaded_doc/product/10986/Colour_Chart_Museum.pdf</x:v>
      </x:c>
      <x:c r="AX361" t="n">
        <x:v>1</x:v>
      </x:c>
      <x:c r="AY361" t="str">
        <x:v>Official</x:v>
      </x:c>
      <x:c r="AZ361" t="str">
        <x:v>Official where available; curated Traditional Chinese/Japanese otherwise</x:v>
      </x:c>
      <x:c r="BA361" t="str">
        <x:v>Verified from official chart; digital HEX is approximate</x:v>
      </x:c>
      <x:c r="BB361" t="str">
        <x:v>Physical media appearance varies by paper, pressure, layering, water and scan/display profile.</x:v>
      </x:c>
    </x:row>
    <x:row r="362">
      <x:c r="A362" t="str">
        <x:f>G362&amp;"|"&amp;L362</x:f>
        <x:v>MUS|120</x:v>
      </x:c>
      <x:c r="B362" t="str">
        <x:v>59161a48-e537-5a3e-92d5-7340540a8e82</x:v>
      </x:c>
      <x:c r="C362" t="str">
        <x:v>CDA-MUS-120</x:v>
      </x:c>
      <x:c r="D362" t="str">
        <x:v>fee913f0-b01c-52a4-9be8-3e5be4c01b51</x:v>
      </x:c>
      <x:c r="E362" t="str">
        <x:v>CDA-CODE-120</x:v>
      </x:c>
      <x:c r="F362" t="str">
        <x:v>Caran d’Ache</x:v>
      </x:c>
      <x:c r="G362" t="str">
        <x:v>MUS</x:v>
      </x:c>
      <x:c r="H362" t="str">
        <x:v>MUSEUM Aquarelle</x:v>
      </x:c>
      <x:c r="I362" t="str">
        <x:v>Extra-fine water-soluble coloured pencil</x:v>
      </x:c>
      <x:c r="J362" t="str">
        <x:v>Professional</x:v>
      </x:c>
      <x:c r="K362" s="30" t="n">
        <x:v>21</x:v>
      </x:c>
      <x:c r="L362" s="30" t="str">
        <x:v>120</x:v>
      </x:c>
      <x:c r="M362" t="str">
        <x:v>Violet</x:v>
      </x:c>
      <x:c r="N362" t="str">
        <x:v>紫羅蘭色</x:v>
      </x:c>
      <x:c r="O362" t="str">
        <x:v>バイオレット</x:v>
      </x:c>
      <x:c r="P362" t="str">
        <x:v>バイオレット</x:v>
      </x:c>
      <x:c r="Q362" t="str">
        <x:v>Violet</x:v>
      </x:c>
      <x:c r="R362" t="str">
        <x:v>Violett</x:v>
      </x:c>
      <x:c r="S362" t="str">
        <x:v>Violetto</x:v>
      </x:c>
      <x:c r="T362" t="str">
        <x:v>Violeta</x:v>
      </x:c>
      <x:c r="U362" t="str"/>
      <x:c r="V362" t="str"/>
      <x:c r="W362" t="str">
        <x:v>PB15/PR122</x:v>
      </x:c>
      <x:c r="X362" t="n">
        <x:f>IF(W362="",0,LEN(W362)-LEN(SUBSTITUTE(W362,"/",""))+1)</x:f>
        <x:v>2</x:v>
      </x:c>
      <x:c r="Y362" t="str">
        <x:v>HH</x:v>
      </x:c>
      <x:c r="Z362" s="32" t="n">
        <x:v>2</x:v>
      </x:c>
      <x:c r="AA362" s="32" t="n">
        <x:v>5</x:v>
      </x:c>
      <x:c r="AB362" s="32" t="str">
        <x:v>Blue Wool Scale / UV 150h</x:v>
      </x:c>
      <x:c r="AC362" t="str">
        <x:v>#433473</x:v>
      </x:c>
      <x:c r="AD362" s="34" t="n">
        <x:v>67</x:v>
      </x:c>
      <x:c r="AE362" s="34" t="n">
        <x:v>52</x:v>
      </x:c>
      <x:c r="AF362" s="34" t="n">
        <x:v>115</x:v>
      </x:c>
      <x:c r="AG362" s="32" t="n">
        <x:v>254.29</x:v>
      </x:c>
      <x:c r="AH362" s="32" t="n">
        <x:v>37.72</x:v>
      </x:c>
      <x:c r="AI362" s="32" t="n">
        <x:v>32.75</x:v>
      </x:c>
      <x:c r="AJ362" s="32" t="n">
        <x:v>26.41</x:v>
      </x:c>
      <x:c r="AK362" s="32" t="n">
        <x:v>23.09</x:v>
      </x:c>
      <x:c r="AL362" s="32" t="n">
        <x:v>-34.17</x:v>
      </x:c>
      <x:c r="AM362" s="32" t="str">
        <x:v>#FFFFFF</x:v>
      </x:c>
      <x:c r="AN362" s="32" t="str">
        <x:v>White</x:v>
      </x:c>
      <x:c r="AO362" s="32" t="n">
        <x:v>10.62</x:v>
      </x:c>
      <x:c r="AP362" s="32" t="n">
        <x:v>1.98</x:v>
      </x:c>
      <x:c r="AQ362" s="32" t="n">
        <x:v>10.62</x:v>
      </x:c>
      <x:c r="AR362" s="32" t="n">
        <x:v>0.048871</x:v>
      </x:c>
      <x:c r="AS362" t="str">
        <x:v>PASS</x:v>
      </x:c>
      <x:c r="AT362" t="str">
        <x:v>--cda-mus-120</x:v>
      </x:c>
      <x:c r="AU362" t="str">
        <x:v>var(--cda-mus-120)</x:v>
      </x:c>
      <x:c r="AV362" t="str">
        <x:v>Median RGB from official PDF swatch (screen reference only)</x:v>
      </x:c>
      <x:c r="AW362" t="str">
        <x:v>https://www.carandache.com/content_files/uploaded_doc/product/10986/Colour_Chart_Museum.pdf</x:v>
      </x:c>
      <x:c r="AX362" t="n">
        <x:v>1</x:v>
      </x:c>
      <x:c r="AY362" t="str">
        <x:v>Official</x:v>
      </x:c>
      <x:c r="AZ362" t="str">
        <x:v>Official where available; curated Traditional Chinese/Japanese otherwise</x:v>
      </x:c>
      <x:c r="BA362" t="str">
        <x:v>Verified from official chart; digital HEX is approximate</x:v>
      </x:c>
      <x:c r="BB362" t="str">
        <x:v>Physical media appearance varies by paper, pressure, layering, water and scan/display profile.</x:v>
      </x:c>
    </x:row>
    <x:row r="363">
      <x:c r="A363" t="str">
        <x:f>G363&amp;"|"&amp;L363</x:f>
        <x:v>MUS|630</x:v>
      </x:c>
      <x:c r="B363" t="str">
        <x:v>54c9992f-7ce9-5ae2-a512-8bc4c26fee22</x:v>
      </x:c>
      <x:c r="C363" t="str">
        <x:v>CDA-MUS-630</x:v>
      </x:c>
      <x:c r="D363" t="str">
        <x:v>57ee2f2c-cdf8-5267-a3a7-36efff5f2339</x:v>
      </x:c>
      <x:c r="E363" t="str">
        <x:v>CDA-CODE-630</x:v>
      </x:c>
      <x:c r="F363" t="str">
        <x:v>Caran d’Ache</x:v>
      </x:c>
      <x:c r="G363" t="str">
        <x:v>MUS</x:v>
      </x:c>
      <x:c r="H363" t="str">
        <x:v>MUSEUM Aquarelle</x:v>
      </x:c>
      <x:c r="I363" t="str">
        <x:v>Extra-fine water-soluble coloured pencil</x:v>
      </x:c>
      <x:c r="J363" t="str">
        <x:v>Professional</x:v>
      </x:c>
      <x:c r="K363" s="30" t="n">
        <x:v>22</x:v>
      </x:c>
      <x:c r="L363" s="30" t="str">
        <x:v>630</x:v>
      </x:c>
      <x:c r="M363" t="str">
        <x:v>Ultramarine violet</x:v>
      </x:c>
      <x:c r="N363" t="str">
        <x:v>群青紫</x:v>
      </x:c>
      <x:c r="O363" t="str">
        <x:v>ウルトラマリンバイオレット</x:v>
      </x:c>
      <x:c r="P363" t="str">
        <x:v>ウルトラマリンバイオレット</x:v>
      </x:c>
      <x:c r="Q363" t="str">
        <x:v>Violet outremer</x:v>
      </x:c>
      <x:c r="R363" t="str">
        <x:v>Utramarinviolett</x:v>
      </x:c>
      <x:c r="S363" t="str">
        <x:v>Viola oltremare</x:v>
      </x:c>
      <x:c r="T363" t="str">
        <x:v>Violeta ultramar</x:v>
      </x:c>
      <x:c r="U363" t="str"/>
      <x:c r="V363" t="str"/>
      <x:c r="W363" t="str">
        <x:v>PV15</x:v>
      </x:c>
      <x:c r="X363" t="n">
        <x:f>IF(W363="",0,LEN(W363)-LEN(SUBSTITUTE(W363,"/",""))+1)</x:f>
        <x:v>1</x:v>
      </x:c>
      <x:c r="Y363" t="str">
        <x:v>HHH</x:v>
      </x:c>
      <x:c r="Z363" s="32" t="n">
        <x:v>3</x:v>
      </x:c>
      <x:c r="AA363" s="32" t="n">
        <x:v>5</x:v>
      </x:c>
      <x:c r="AB363" s="32" t="str">
        <x:v>Blue Wool Scale / UV 150h</x:v>
      </x:c>
      <x:c r="AC363" t="str">
        <x:v>#AFACCC</x:v>
      </x:c>
      <x:c r="AD363" s="34" t="n">
        <x:v>175</x:v>
      </x:c>
      <x:c r="AE363" s="34" t="n">
        <x:v>172</x:v>
      </x:c>
      <x:c r="AF363" s="34" t="n">
        <x:v>204</x:v>
      </x:c>
      <x:c r="AG363" s="32" t="n">
        <x:v>245.62</x:v>
      </x:c>
      <x:c r="AH363" s="32" t="n">
        <x:v>23.88</x:v>
      </x:c>
      <x:c r="AI363" s="32" t="n">
        <x:v>73.73</x:v>
      </x:c>
      <x:c r="AJ363" s="32" t="n">
        <x:v>71.54</x:v>
      </x:c>
      <x:c r="AK363" s="32" t="n">
        <x:v>7.48</x:v>
      </x:c>
      <x:c r="AL363" s="32" t="n">
        <x:v>-15.84</x:v>
      </x:c>
      <x:c r="AM363" s="32" t="str">
        <x:v>#000000</x:v>
      </x:c>
      <x:c r="AN363" s="32" t="str">
        <x:v>Black</x:v>
      </x:c>
      <x:c r="AO363" s="32" t="n">
        <x:v>9.6</x:v>
      </x:c>
      <x:c r="AP363" s="32" t="n">
        <x:v>9.6</x:v>
      </x:c>
      <x:c r="AQ363" s="32" t="n">
        <x:v>2.19</x:v>
      </x:c>
      <x:c r="AR363" s="32" t="n">
        <x:v>0.429786</x:v>
      </x:c>
      <x:c r="AS363" t="str">
        <x:v>PASS</x:v>
      </x:c>
      <x:c r="AT363" t="str">
        <x:v>--cda-mus-630</x:v>
      </x:c>
      <x:c r="AU363" t="str">
        <x:v>var(--cda-mus-630)</x:v>
      </x:c>
      <x:c r="AV363" t="str">
        <x:v>Median RGB from official PDF swatch (screen reference only)</x:v>
      </x:c>
      <x:c r="AW363" t="str">
        <x:v>https://www.carandache.com/content_files/uploaded_doc/product/10986/Colour_Chart_Museum.pdf</x:v>
      </x:c>
      <x:c r="AX363" t="n">
        <x:v>1</x:v>
      </x:c>
      <x:c r="AY363" t="str">
        <x:v>Official</x:v>
      </x:c>
      <x:c r="AZ363" t="str">
        <x:v>Official where available; curated Traditional Chinese/Japanese otherwise</x:v>
      </x:c>
      <x:c r="BA363" t="str">
        <x:v>Verified from official chart; digital HEX is approximate</x:v>
      </x:c>
      <x:c r="BB363" t="str">
        <x:v>Physical media appearance varies by paper, pressure, layering, water and scan/display profile.</x:v>
      </x:c>
    </x:row>
    <x:row r="364">
      <x:c r="A364" t="str">
        <x:f>G364&amp;"|"&amp;L364</x:f>
        <x:v>MUS|661</x:v>
      </x:c>
      <x:c r="B364" t="str">
        <x:v>241ad78b-3b81-5c16-b1e1-daccc0600e5f</x:v>
      </x:c>
      <x:c r="C364" t="str">
        <x:v>CDA-MUS-661</x:v>
      </x:c>
      <x:c r="D364" t="str">
        <x:v>ae9ade29-b330-52ae-9360-9950a169fd51</x:v>
      </x:c>
      <x:c r="E364" t="str">
        <x:v>CDA-CODE-661</x:v>
      </x:c>
      <x:c r="F364" t="str">
        <x:v>Caran d’Ache</x:v>
      </x:c>
      <x:c r="G364" t="str">
        <x:v>MUS</x:v>
      </x:c>
      <x:c r="H364" t="str">
        <x:v>MUSEUM Aquarelle</x:v>
      </x:c>
      <x:c r="I364" t="str">
        <x:v>Extra-fine water-soluble coloured pencil</x:v>
      </x:c>
      <x:c r="J364" t="str">
        <x:v>Professional</x:v>
      </x:c>
      <x:c r="K364" s="30" t="n">
        <x:v>23</x:v>
      </x:c>
      <x:c r="L364" s="30" t="str">
        <x:v>661</x:v>
      </x:c>
      <x:c r="M364" t="str">
        <x:v>Light cobalt blue</x:v>
      </x:c>
      <x:c r="N364" t="str">
        <x:v>淺鈷藍</x:v>
      </x:c>
      <x:c r="O364" t="str">
        <x:v>ライトコバルトブルー</x:v>
      </x:c>
      <x:c r="P364" t="str">
        <x:v>ライトコバルトブルー</x:v>
      </x:c>
      <x:c r="Q364" t="str">
        <x:v>Bleu de cobalt clair</x:v>
      </x:c>
      <x:c r="R364" t="str">
        <x:v>Hellkobaltblau</x:v>
      </x:c>
      <x:c r="S364" t="str">
        <x:v>Blu cobalto chiaro</x:v>
      </x:c>
      <x:c r="T364" t="str">
        <x:v>Azul cobalto claro</x:v>
      </x:c>
      <x:c r="U364" t="str"/>
      <x:c r="V364" t="str"/>
      <x:c r="W364" t="str">
        <x:v>PB28</x:v>
      </x:c>
      <x:c r="X364" t="n">
        <x:f>IF(W364="",0,LEN(W364)-LEN(SUBSTITUTE(W364,"/",""))+1)</x:f>
        <x:v>1</x:v>
      </x:c>
      <x:c r="Y364" t="str">
        <x:v>HHH</x:v>
      </x:c>
      <x:c r="Z364" s="32" t="n">
        <x:v>3</x:v>
      </x:c>
      <x:c r="AA364" s="32" t="n">
        <x:v>5</x:v>
      </x:c>
      <x:c r="AB364" s="32" t="str">
        <x:v>Blue Wool Scale / UV 150h</x:v>
      </x:c>
      <x:c r="AC364" t="str">
        <x:v>#9EC8E5</x:v>
      </x:c>
      <x:c r="AD364" s="34" t="n">
        <x:v>158</x:v>
      </x:c>
      <x:c r="AE364" s="34" t="n">
        <x:v>200</x:v>
      </x:c>
      <x:c r="AF364" s="34" t="n">
        <x:v>229</x:v>
      </x:c>
      <x:c r="AG364" s="32" t="n">
        <x:v>204.51</x:v>
      </x:c>
      <x:c r="AH364" s="32" t="n">
        <x:v>57.72</x:v>
      </x:c>
      <x:c r="AI364" s="32" t="n">
        <x:v>75.88</x:v>
      </x:c>
      <x:c r="AJ364" s="32" t="n">
        <x:v>78.6</x:v>
      </x:c>
      <x:c r="AK364" s="32" t="n">
        <x:v>-7.12</x:v>
      </x:c>
      <x:c r="AL364" s="32" t="n">
        <x:v>-18.87</x:v>
      </x:c>
      <x:c r="AM364" s="32" t="str">
        <x:v>#000000</x:v>
      </x:c>
      <x:c r="AN364" s="32" t="str">
        <x:v>Black</x:v>
      </x:c>
      <x:c r="AO364" s="32" t="n">
        <x:v>11.85</x:v>
      </x:c>
      <x:c r="AP364" s="32" t="n">
        <x:v>11.85</x:v>
      </x:c>
      <x:c r="AQ364" s="32" t="n">
        <x:v>1.77</x:v>
      </x:c>
      <x:c r="AR364" s="32" t="n">
        <x:v>0.542348</x:v>
      </x:c>
      <x:c r="AS364" t="str">
        <x:v>PASS</x:v>
      </x:c>
      <x:c r="AT364" t="str">
        <x:v>--cda-mus-661</x:v>
      </x:c>
      <x:c r="AU364" t="str">
        <x:v>var(--cda-mus-661)</x:v>
      </x:c>
      <x:c r="AV364" t="str">
        <x:v>Median RGB from official PDF swatch (screen reference only)</x:v>
      </x:c>
      <x:c r="AW364" t="str">
        <x:v>https://www.carandache.com/content_files/uploaded_doc/product/10986/Colour_Chart_Museum.pdf</x:v>
      </x:c>
      <x:c r="AX364" t="n">
        <x:v>1</x:v>
      </x:c>
      <x:c r="AY364" t="str">
        <x:v>Official</x:v>
      </x:c>
      <x:c r="AZ364" t="str">
        <x:v>Official where available; curated Traditional Chinese/Japanese otherwise</x:v>
      </x:c>
      <x:c r="BA364" t="str">
        <x:v>Verified from official chart; digital HEX is approximate</x:v>
      </x:c>
      <x:c r="BB364" t="str">
        <x:v>Physical media appearance varies by paper, pressure, layering, water and scan/display profile.</x:v>
      </x:c>
    </x:row>
    <x:row r="365">
      <x:c r="A365" t="str">
        <x:f>G365&amp;"|"&amp;L365</x:f>
        <x:v>MUS|662</x:v>
      </x:c>
      <x:c r="B365" t="str">
        <x:v>41fd7c5a-55ba-5c19-8d2f-13f8649a0579</x:v>
      </x:c>
      <x:c r="C365" t="str">
        <x:v>CDA-MUS-662</x:v>
      </x:c>
      <x:c r="D365" t="str">
        <x:v>843d7a32-b595-5877-aa98-10ee6d7cff66</x:v>
      </x:c>
      <x:c r="E365" t="str">
        <x:v>CDA-CODE-662</x:v>
      </x:c>
      <x:c r="F365" t="str">
        <x:v>Caran d’Ache</x:v>
      </x:c>
      <x:c r="G365" t="str">
        <x:v>MUS</x:v>
      </x:c>
      <x:c r="H365" t="str">
        <x:v>MUSEUM Aquarelle</x:v>
      </x:c>
      <x:c r="I365" t="str">
        <x:v>Extra-fine water-soluble coloured pencil</x:v>
      </x:c>
      <x:c r="J365" t="str">
        <x:v>Professional</x:v>
      </x:c>
      <x:c r="K365" s="30" t="n">
        <x:v>24</x:v>
      </x:c>
      <x:c r="L365" s="30" t="str">
        <x:v>662</x:v>
      </x:c>
      <x:c r="M365" t="str">
        <x:v>Genuine cobalt Blue</x:v>
      </x:c>
      <x:c r="N365" t="str">
        <x:v>真鈷藍</x:v>
      </x:c>
      <x:c r="O365" t="str">
        <x:v>セルリアンブルー</x:v>
      </x:c>
      <x:c r="P365" t="str">
        <x:v>セルリアンブルー</x:v>
      </x:c>
      <x:c r="Q365" t="str">
        <x:v>Bleu de cobalt véritable</x:v>
      </x:c>
      <x:c r="R365" t="str">
        <x:v>Kobaltblau</x:v>
      </x:c>
      <x:c r="S365" t="str">
        <x:v>Blu cobalto</x:v>
      </x:c>
      <x:c r="T365" t="str">
        <x:v>Azul cobalto</x:v>
      </x:c>
      <x:c r="U365" t="str"/>
      <x:c r="V365" t="str"/>
      <x:c r="W365" t="str">
        <x:v>PB28</x:v>
      </x:c>
      <x:c r="X365" t="n">
        <x:f>IF(W365="",0,LEN(W365)-LEN(SUBSTITUTE(W365,"/",""))+1)</x:f>
        <x:v>1</x:v>
      </x:c>
      <x:c r="Y365" t="str">
        <x:v>HHH</x:v>
      </x:c>
      <x:c r="Z365" s="32" t="n">
        <x:v>3</x:v>
      </x:c>
      <x:c r="AA365" s="32" t="n">
        <x:v>5</x:v>
      </x:c>
      <x:c r="AB365" s="32" t="str">
        <x:v>Blue Wool Scale / UV 150h</x:v>
      </x:c>
      <x:c r="AC365" t="str">
        <x:v>#6FA7D5</x:v>
      </x:c>
      <x:c r="AD365" s="34" t="n">
        <x:v>111</x:v>
      </x:c>
      <x:c r="AE365" s="34" t="n">
        <x:v>167</x:v>
      </x:c>
      <x:c r="AF365" s="34" t="n">
        <x:v>213</x:v>
      </x:c>
      <x:c r="AG365" s="32" t="n">
        <x:v>207.06</x:v>
      </x:c>
      <x:c r="AH365" s="32" t="n">
        <x:v>54.84</x:v>
      </x:c>
      <x:c r="AI365" s="32" t="n">
        <x:v>63.53</x:v>
      </x:c>
      <x:c r="AJ365" s="32" t="n">
        <x:v>66.38</x:v>
      </x:c>
      <x:c r="AK365" s="32" t="n">
        <x:v>-5.88</x:v>
      </x:c>
      <x:c r="AL365" s="32" t="n">
        <x:v>-29.04</x:v>
      </x:c>
      <x:c r="AM365" s="32" t="str">
        <x:v>#000000</x:v>
      </x:c>
      <x:c r="AN365" s="32" t="str">
        <x:v>Black</x:v>
      </x:c>
      <x:c r="AO365" s="32" t="n">
        <x:v>8.16</x:v>
      </x:c>
      <x:c r="AP365" s="32" t="n">
        <x:v>8.16</x:v>
      </x:c>
      <x:c r="AQ365" s="32" t="n">
        <x:v>2.57</x:v>
      </x:c>
      <x:c r="AR365" s="32" t="n">
        <x:v>0.35821</x:v>
      </x:c>
      <x:c r="AS365" t="str">
        <x:v>PASS</x:v>
      </x:c>
      <x:c r="AT365" t="str">
        <x:v>--cda-mus-662</x:v>
      </x:c>
      <x:c r="AU365" t="str">
        <x:v>var(--cda-mus-662)</x:v>
      </x:c>
      <x:c r="AV365" t="str">
        <x:v>Median RGB from official PDF swatch (screen reference only)</x:v>
      </x:c>
      <x:c r="AW365" t="str">
        <x:v>https://www.carandache.com/content_files/uploaded_doc/product/10986/Colour_Chart_Museum.pdf</x:v>
      </x:c>
      <x:c r="AX365" t="n">
        <x:v>1</x:v>
      </x:c>
      <x:c r="AY365" t="str">
        <x:v>Official</x:v>
      </x:c>
      <x:c r="AZ365" t="str">
        <x:v>Official where available; curated Traditional Chinese/Japanese otherwise</x:v>
      </x:c>
      <x:c r="BA365" t="str">
        <x:v>Verified from official chart; digital HEX is approximate</x:v>
      </x:c>
      <x:c r="BB365" t="str">
        <x:v>Physical media appearance varies by paper, pressure, layering, water and scan/display profile.</x:v>
      </x:c>
    </x:row>
    <x:row r="366">
      <x:c r="A366" t="str">
        <x:f>G366&amp;"|"&amp;L366</x:f>
        <x:v>MUS|660</x:v>
      </x:c>
      <x:c r="B366" t="str">
        <x:v>072aba33-203b-5198-afcd-77efb88f906e</x:v>
      </x:c>
      <x:c r="C366" t="str">
        <x:v>CDA-MUS-660</x:v>
      </x:c>
      <x:c r="D366" t="str">
        <x:v>60575496-4bf3-561c-b9db-74f11cbfa728</x:v>
      </x:c>
      <x:c r="E366" t="str">
        <x:v>CDA-CODE-660</x:v>
      </x:c>
      <x:c r="F366" t="str">
        <x:v>Caran d’Ache</x:v>
      </x:c>
      <x:c r="G366" t="str">
        <x:v>MUS</x:v>
      </x:c>
      <x:c r="H366" t="str">
        <x:v>MUSEUM Aquarelle</x:v>
      </x:c>
      <x:c r="I366" t="str">
        <x:v>Extra-fine water-soluble coloured pencil</x:v>
      </x:c>
      <x:c r="J366" t="str">
        <x:v>Professional</x:v>
      </x:c>
      <x:c r="K366" s="30" t="n">
        <x:v>25</x:v>
      </x:c>
      <x:c r="L366" s="30" t="str">
        <x:v>660</x:v>
      </x:c>
      <x:c r="M366" t="str">
        <x:v>Middle Cobalt Blue</x:v>
      </x:c>
      <x:c r="N366" t="str">
        <x:v>中鈷藍</x:v>
      </x:c>
      <x:c r="O366" t="str">
        <x:v>ミドルコバルトブルー</x:v>
      </x:c>
      <x:c r="P366" t="str">
        <x:v>ミドルコバルトブルー</x:v>
      </x:c>
      <x:c r="Q366" t="str">
        <x:v>Bleu de cobalt moyen</x:v>
      </x:c>
      <x:c r="R366" t="str">
        <x:v>Kobaltblau Mittel</x:v>
      </x:c>
      <x:c r="S366" t="str">
        <x:v>Blu cobalto medio</x:v>
      </x:c>
      <x:c r="T366" t="str">
        <x:v>Azul cobalto medio</x:v>
      </x:c>
      <x:c r="U366" t="str"/>
      <x:c r="V366" t="str"/>
      <x:c r="W366" t="str">
        <x:v>PB15/PB29</x:v>
      </x:c>
      <x:c r="X366" t="n">
        <x:f>IF(W366="",0,LEN(W366)-LEN(SUBSTITUTE(W366,"/",""))+1)</x:f>
        <x:v>2</x:v>
      </x:c>
      <x:c r="Y366" t="str">
        <x:v>HHH</x:v>
      </x:c>
      <x:c r="Z366" s="32" t="n">
        <x:v>3</x:v>
      </x:c>
      <x:c r="AA366" s="32" t="n">
        <x:v>5</x:v>
      </x:c>
      <x:c r="AB366" s="32" t="str">
        <x:v>Blue Wool Scale / UV 150h</x:v>
      </x:c>
      <x:c r="AC366" t="str">
        <x:v>#3DAADA</x:v>
      </x:c>
      <x:c r="AD366" s="34" t="n">
        <x:v>61</x:v>
      </x:c>
      <x:c r="AE366" s="34" t="n">
        <x:v>170</x:v>
      </x:c>
      <x:c r="AF366" s="34" t="n">
        <x:v>218</x:v>
      </x:c>
      <x:c r="AG366" s="32" t="n">
        <x:v>198.34</x:v>
      </x:c>
      <x:c r="AH366" s="32" t="n">
        <x:v>67.97</x:v>
      </x:c>
      <x:c r="AI366" s="32" t="n">
        <x:v>54.71</x:v>
      </x:c>
      <x:c r="AJ366" s="32" t="n">
        <x:v>65.59</x:v>
      </x:c>
      <x:c r="AK366" s="32" t="n">
        <x:v>-15.28</x:v>
      </x:c>
      <x:c r="AL366" s="32" t="n">
        <x:v>-33.17</x:v>
      </x:c>
      <x:c r="AM366" s="32" t="str">
        <x:v>#000000</x:v>
      </x:c>
      <x:c r="AN366" s="32" t="str">
        <x:v>Black</x:v>
      </x:c>
      <x:c r="AO366" s="32" t="n">
        <x:v>7.96</x:v>
      </x:c>
      <x:c r="AP366" s="32" t="n">
        <x:v>7.96</x:v>
      </x:c>
      <x:c r="AQ366" s="32" t="n">
        <x:v>2.64</x:v>
      </x:c>
      <x:c r="AR366" s="32" t="n">
        <x:v>0.348035</x:v>
      </x:c>
      <x:c r="AS366" t="str">
        <x:v>PASS</x:v>
      </x:c>
      <x:c r="AT366" t="str">
        <x:v>--cda-mus-660</x:v>
      </x:c>
      <x:c r="AU366" t="str">
        <x:v>var(--cda-mus-660)</x:v>
      </x:c>
      <x:c r="AV366" t="str">
        <x:v>Median RGB from official PDF swatch (screen reference only)</x:v>
      </x:c>
      <x:c r="AW366" t="str">
        <x:v>https://www.carandache.com/content_files/uploaded_doc/product/10986/Colour_Chart_Museum.pdf</x:v>
      </x:c>
      <x:c r="AX366" t="n">
        <x:v>1</x:v>
      </x:c>
      <x:c r="AY366" t="str">
        <x:v>Official</x:v>
      </x:c>
      <x:c r="AZ366" t="str">
        <x:v>Official where available; curated Traditional Chinese/Japanese otherwise</x:v>
      </x:c>
      <x:c r="BA366" t="str">
        <x:v>Verified from official chart; digital HEX is approximate</x:v>
      </x:c>
      <x:c r="BB366" t="str">
        <x:v>Physical media appearance varies by paper, pressure, layering, water and scan/display profile.</x:v>
      </x:c>
    </x:row>
    <x:row r="367">
      <x:c r="A367" t="str">
        <x:f>G367&amp;"|"&amp;L367</x:f>
        <x:v>MUS|640</x:v>
      </x:c>
      <x:c r="B367" t="str">
        <x:v>7c3b6cdb-3669-5591-971e-fd0391572af3</x:v>
      </x:c>
      <x:c r="C367" t="str">
        <x:v>CDA-MUS-640</x:v>
      </x:c>
      <x:c r="D367" t="str">
        <x:v>937144bd-6167-53c7-b4e7-f2982d1f341d</x:v>
      </x:c>
      <x:c r="E367" t="str">
        <x:v>CDA-CODE-640</x:v>
      </x:c>
      <x:c r="F367" t="str">
        <x:v>Caran d’Ache</x:v>
      </x:c>
      <x:c r="G367" t="str">
        <x:v>MUS</x:v>
      </x:c>
      <x:c r="H367" t="str">
        <x:v>MUSEUM Aquarelle</x:v>
      </x:c>
      <x:c r="I367" t="str">
        <x:v>Extra-fine water-soluble coloured pencil</x:v>
      </x:c>
      <x:c r="J367" t="str">
        <x:v>Professional</x:v>
      </x:c>
      <x:c r="K367" s="30" t="n">
        <x:v>26</x:v>
      </x:c>
      <x:c r="L367" s="30" t="str">
        <x:v>640</x:v>
      </x:c>
      <x:c r="M367" t="str">
        <x:v>Dark Ultramarine</x:v>
      </x:c>
      <x:c r="N367" t="str">
        <x:v>深群青</x:v>
      </x:c>
      <x:c r="O367" t="str">
        <x:v>ダークウルトラマリン</x:v>
      </x:c>
      <x:c r="P367" t="str">
        <x:v>ダークウルトラマリン</x:v>
      </x:c>
      <x:c r="Q367" t="str">
        <x:v>Bleu outremer</x:v>
      </x:c>
      <x:c r="R367" t="str">
        <x:v>Dunkelultramarinblau</x:v>
      </x:c>
      <x:c r="S367" t="str">
        <x:v>Blu oltremare scuro</x:v>
      </x:c>
      <x:c r="T367" t="str">
        <x:v>Azul ultramar oscuro</x:v>
      </x:c>
      <x:c r="U367" t="str"/>
      <x:c r="V367" t="str"/>
      <x:c r="W367" t="str">
        <x:v>PB29/PB1</x:v>
      </x:c>
      <x:c r="X367" t="n">
        <x:f>IF(W367="",0,LEN(W367)-LEN(SUBSTITUTE(W367,"/",""))+1)</x:f>
        <x:v>2</x:v>
      </x:c>
      <x:c r="Y367" t="str">
        <x:v>H</x:v>
      </x:c>
      <x:c r="Z367" s="32" t="n">
        <x:v>1</x:v>
      </x:c>
      <x:c r="AA367" s="32" t="n">
        <x:v>5</x:v>
      </x:c>
      <x:c r="AB367" s="32" t="str">
        <x:v>Blue Wool Scale / UV 150h</x:v>
      </x:c>
      <x:c r="AC367" t="str">
        <x:v>#0B6CB1</x:v>
      </x:c>
      <x:c r="AD367" s="34" t="n">
        <x:v>11</x:v>
      </x:c>
      <x:c r="AE367" s="34" t="n">
        <x:v>108</x:v>
      </x:c>
      <x:c r="AF367" s="34" t="n">
        <x:v>177</x:v>
      </x:c>
      <x:c r="AG367" s="32" t="n">
        <x:v>204.94</x:v>
      </x:c>
      <x:c r="AH367" s="32" t="n">
        <x:v>88.3</x:v>
      </x:c>
      <x:c r="AI367" s="32" t="n">
        <x:v>36.86</x:v>
      </x:c>
      <x:c r="AJ367" s="32" t="n">
        <x:v>44.19</x:v>
      </x:c>
      <x:c r="AK367" s="32" t="n">
        <x:v>1.01</x:v>
      </x:c>
      <x:c r="AL367" s="32" t="n">
        <x:v>-43.61</x:v>
      </x:c>
      <x:c r="AM367" s="32" t="str">
        <x:v>#FFFFFF</x:v>
      </x:c>
      <x:c r="AN367" s="32" t="str">
        <x:v>White</x:v>
      </x:c>
      <x:c r="AO367" s="32" t="n">
        <x:v>5.53</x:v>
      </x:c>
      <x:c r="AP367" s="32" t="n">
        <x:v>3.79</x:v>
      </x:c>
      <x:c r="AQ367" s="32" t="n">
        <x:v>5.53</x:v>
      </x:c>
      <x:c r="AR367" s="32" t="n">
        <x:v>0.139706</x:v>
      </x:c>
      <x:c r="AS367" t="str">
        <x:v>PASS</x:v>
      </x:c>
      <x:c r="AT367" t="str">
        <x:v>--cda-mus-640</x:v>
      </x:c>
      <x:c r="AU367" t="str">
        <x:v>var(--cda-mus-640)</x:v>
      </x:c>
      <x:c r="AV367" t="str">
        <x:v>Median RGB from official PDF swatch (screen reference only)</x:v>
      </x:c>
      <x:c r="AW367" t="str">
        <x:v>https://www.carandache.com/content_files/uploaded_doc/product/10986/Colour_Chart_Museum.pdf</x:v>
      </x:c>
      <x:c r="AX367" t="n">
        <x:v>1</x:v>
      </x:c>
      <x:c r="AY367" t="str">
        <x:v>Official</x:v>
      </x:c>
      <x:c r="AZ367" t="str">
        <x:v>Official where available; curated Traditional Chinese/Japanese otherwise</x:v>
      </x:c>
      <x:c r="BA367" t="str">
        <x:v>Verified from official chart; digital HEX is approximate</x:v>
      </x:c>
      <x:c r="BB367" t="str">
        <x:v>Physical media appearance varies by paper, pressure, layering, water and scan/display profile.</x:v>
      </x:c>
    </x:row>
    <x:row r="368">
      <x:c r="A368" t="str">
        <x:f>G368&amp;"|"&amp;L368</x:f>
        <x:v>MUS|149</x:v>
      </x:c>
      <x:c r="B368" t="str">
        <x:v>846768ce-4dfb-5756-bb4d-24ec84a155fb</x:v>
      </x:c>
      <x:c r="C368" t="str">
        <x:v>CDA-MUS-149</x:v>
      </x:c>
      <x:c r="D368" t="str">
        <x:v>b0b0f599-0beb-5dd7-b398-ef01ad96ff1b</x:v>
      </x:c>
      <x:c r="E368" t="str">
        <x:v>CDA-CODE-149</x:v>
      </x:c>
      <x:c r="F368" t="str">
        <x:v>Caran d’Ache</x:v>
      </x:c>
      <x:c r="G368" t="str">
        <x:v>MUS</x:v>
      </x:c>
      <x:c r="H368" t="str">
        <x:v>MUSEUM Aquarelle</x:v>
      </x:c>
      <x:c r="I368" t="str">
        <x:v>Extra-fine water-soluble coloured pencil</x:v>
      </x:c>
      <x:c r="J368" t="str">
        <x:v>Professional</x:v>
      </x:c>
      <x:c r="K368" s="30" t="n">
        <x:v>27</x:v>
      </x:c>
      <x:c r="L368" s="30" t="str">
        <x:v>149</x:v>
      </x:c>
      <x:c r="M368" t="str">
        <x:v>Night blue</x:v>
      </x:c>
      <x:c r="N368" t="str">
        <x:v>夜藍</x:v>
      </x:c>
      <x:c r="O368" t="str">
        <x:v>ナイト ブルー</x:v>
      </x:c>
      <x:c r="P368" t="str">
        <x:v>ナイト ブルー</x:v>
      </x:c>
      <x:c r="Q368" t="str">
        <x:v>Bleu nuit</x:v>
      </x:c>
      <x:c r="R368" t="str">
        <x:v>Nachtblau</x:v>
      </x:c>
      <x:c r="S368" t="str">
        <x:v>Blu notte</x:v>
      </x:c>
      <x:c r="T368" t="str">
        <x:v>Azul noche</x:v>
      </x:c>
      <x:c r="U368" t="str"/>
      <x:c r="V368" t="str"/>
      <x:c r="W368" t="str">
        <x:v>PB60</x:v>
      </x:c>
      <x:c r="X368" t="n">
        <x:f>IF(W368="",0,LEN(W368)-LEN(SUBSTITUTE(W368,"/",""))+1)</x:f>
        <x:v>1</x:v>
      </x:c>
      <x:c r="Y368" t="str">
        <x:v>HHH</x:v>
      </x:c>
      <x:c r="Z368" s="32" t="n">
        <x:v>3</x:v>
      </x:c>
      <x:c r="AA368" s="32" t="n">
        <x:v>5</x:v>
      </x:c>
      <x:c r="AB368" s="32" t="str">
        <x:v>Blue Wool Scale / UV 150h</x:v>
      </x:c>
      <x:c r="AC368" t="str">
        <x:v>#3260A6</x:v>
      </x:c>
      <x:c r="AD368" s="34" t="n">
        <x:v>50</x:v>
      </x:c>
      <x:c r="AE368" s="34" t="n">
        <x:v>96</x:v>
      </x:c>
      <x:c r="AF368" s="34" t="n">
        <x:v>166</x:v>
      </x:c>
      <x:c r="AG368" s="32" t="n">
        <x:v>216.21</x:v>
      </x:c>
      <x:c r="AH368" s="32" t="n">
        <x:v>53.7</x:v>
      </x:c>
      <x:c r="AI368" s="32" t="n">
        <x:v>42.35</x:v>
      </x:c>
      <x:c r="AJ368" s="32" t="n">
        <x:v>40.89</x:v>
      </x:c>
      <x:c r="AK368" s="32" t="n">
        <x:v>8.23</x:v>
      </x:c>
      <x:c r="AL368" s="32" t="n">
        <x:v>-42.35</x:v>
      </x:c>
      <x:c r="AM368" s="32" t="str">
        <x:v>#FFFFFF</x:v>
      </x:c>
      <x:c r="AN368" s="32" t="str">
        <x:v>White</x:v>
      </x:c>
      <x:c r="AO368" s="32" t="n">
        <x:v>6.25</x:v>
      </x:c>
      <x:c r="AP368" s="32" t="n">
        <x:v>3.36</x:v>
      </x:c>
      <x:c r="AQ368" s="32" t="n">
        <x:v>6.25</x:v>
      </x:c>
      <x:c r="AR368" s="32" t="n">
        <x:v>0.11797</x:v>
      </x:c>
      <x:c r="AS368" t="str">
        <x:v>PASS</x:v>
      </x:c>
      <x:c r="AT368" t="str">
        <x:v>--cda-mus-149</x:v>
      </x:c>
      <x:c r="AU368" t="str">
        <x:v>var(--cda-mus-149)</x:v>
      </x:c>
      <x:c r="AV368" t="str">
        <x:v>Median RGB from official PDF swatch (screen reference only)</x:v>
      </x:c>
      <x:c r="AW368" t="str">
        <x:v>https://www.carandache.com/content_files/uploaded_doc/product/10986/Colour_Chart_Museum.pdf</x:v>
      </x:c>
      <x:c r="AX368" t="n">
        <x:v>1</x:v>
      </x:c>
      <x:c r="AY368" t="str">
        <x:v>Official</x:v>
      </x:c>
      <x:c r="AZ368" t="str">
        <x:v>Official where available; curated Traditional Chinese/Japanese otherwise</x:v>
      </x:c>
      <x:c r="BA368" t="str">
        <x:v>Verified from official chart; digital HEX is approximate</x:v>
      </x:c>
      <x:c r="BB368" t="str">
        <x:v>Physical media appearance varies by paper, pressure, layering, water and scan/display profile.</x:v>
      </x:c>
    </x:row>
    <x:row r="369">
      <x:c r="A369" t="str">
        <x:f>G369&amp;"|"&amp;L369</x:f>
        <x:v>MUS|159</x:v>
      </x:c>
      <x:c r="B369" t="str">
        <x:v>a4160f2d-c01f-5dd6-8b27-c568e00687c3</x:v>
      </x:c>
      <x:c r="C369" t="str">
        <x:v>CDA-MUS-159</x:v>
      </x:c>
      <x:c r="D369" t="str">
        <x:v>08addc77-b004-586f-abb1-86a724f3b33e</x:v>
      </x:c>
      <x:c r="E369" t="str">
        <x:v>CDA-CODE-159</x:v>
      </x:c>
      <x:c r="F369" t="str">
        <x:v>Caran d’Ache</x:v>
      </x:c>
      <x:c r="G369" t="str">
        <x:v>MUS</x:v>
      </x:c>
      <x:c r="H369" t="str">
        <x:v>MUSEUM Aquarelle</x:v>
      </x:c>
      <x:c r="I369" t="str">
        <x:v>Extra-fine water-soluble coloured pencil</x:v>
      </x:c>
      <x:c r="J369" t="str">
        <x:v>Professional</x:v>
      </x:c>
      <x:c r="K369" s="30" t="n">
        <x:v>28</x:v>
      </x:c>
      <x:c r="L369" s="30" t="str">
        <x:v>159</x:v>
      </x:c>
      <x:c r="M369" t="str">
        <x:v>Prussian Blue</x:v>
      </x:c>
      <x:c r="N369" t="str">
        <x:v>普魯士藍</x:v>
      </x:c>
      <x:c r="O369" t="str">
        <x:v>プルシャン ブルー</x:v>
      </x:c>
      <x:c r="P369" t="str">
        <x:v>プルシャン ブルー</x:v>
      </x:c>
      <x:c r="Q369" t="str">
        <x:v>Bleu de Prusse</x:v>
      </x:c>
      <x:c r="R369" t="str">
        <x:v>Preussischblau</x:v>
      </x:c>
      <x:c r="S369" t="str">
        <x:v>Blu di Prussia</x:v>
      </x:c>
      <x:c r="T369" t="str">
        <x:v>Azul de Prusia</x:v>
      </x:c>
      <x:c r="U369" t="str"/>
      <x:c r="V369" t="str"/>
      <x:c r="W369" t="str">
        <x:v>PBk6/PB60</x:v>
      </x:c>
      <x:c r="X369" t="n">
        <x:f>IF(W369="",0,LEN(W369)-LEN(SUBSTITUTE(W369,"/",""))+1)</x:f>
        <x:v>2</x:v>
      </x:c>
      <x:c r="Y369" t="str">
        <x:v>HHH</x:v>
      </x:c>
      <x:c r="Z369" s="32" t="n">
        <x:v>3</x:v>
      </x:c>
      <x:c r="AA369" s="32" t="n">
        <x:v>5</x:v>
      </x:c>
      <x:c r="AB369" s="32" t="str">
        <x:v>Blue Wool Scale / UV 150h</x:v>
      </x:c>
      <x:c r="AC369" t="str">
        <x:v>#507FAC</x:v>
      </x:c>
      <x:c r="AD369" s="34" t="n">
        <x:v>80</x:v>
      </x:c>
      <x:c r="AE369" s="34" t="n">
        <x:v>127</x:v>
      </x:c>
      <x:c r="AF369" s="34" t="n">
        <x:v>172</x:v>
      </x:c>
      <x:c r="AG369" s="32" t="n">
        <x:v>209.35</x:v>
      </x:c>
      <x:c r="AH369" s="32" t="n">
        <x:v>36.51</x:v>
      </x:c>
      <x:c r="AI369" s="32" t="n">
        <x:v>49.41</x:v>
      </x:c>
      <x:c r="AJ369" s="32" t="n">
        <x:v>51.68</x:v>
      </x:c>
      <x:c r="AK369" s="32" t="n">
        <x:v>-2.79</x:v>
      </x:c>
      <x:c r="AL369" s="32" t="n">
        <x:v>-28.77</x:v>
      </x:c>
      <x:c r="AM369" s="32" t="str">
        <x:v>#000000</x:v>
      </x:c>
      <x:c r="AN369" s="32" t="str">
        <x:v>Black</x:v>
      </x:c>
      <x:c r="AO369" s="32" t="n">
        <x:v>4.97</x:v>
      </x:c>
      <x:c r="AP369" s="32" t="n">
        <x:v>4.97</x:v>
      </x:c>
      <x:c r="AQ369" s="32" t="n">
        <x:v>4.22</x:v>
      </x:c>
      <x:c r="AR369" s="32" t="n">
        <x:v>0.198628</x:v>
      </x:c>
      <x:c r="AS369" t="str">
        <x:v>PASS</x:v>
      </x:c>
      <x:c r="AT369" t="str">
        <x:v>--cda-mus-159</x:v>
      </x:c>
      <x:c r="AU369" t="str">
        <x:v>var(--cda-mus-159)</x:v>
      </x:c>
      <x:c r="AV369" t="str">
        <x:v>Median RGB from official PDF swatch (screen reference only)</x:v>
      </x:c>
      <x:c r="AW369" t="str">
        <x:v>https://www.carandache.com/content_files/uploaded_doc/product/10986/Colour_Chart_Museum.pdf</x:v>
      </x:c>
      <x:c r="AX369" t="n">
        <x:v>1</x:v>
      </x:c>
      <x:c r="AY369" t="str">
        <x:v>Official</x:v>
      </x:c>
      <x:c r="AZ369" t="str">
        <x:v>Official where available; curated Traditional Chinese/Japanese otherwise</x:v>
      </x:c>
      <x:c r="BA369" t="str">
        <x:v>Verified from official chart; digital HEX is approximate</x:v>
      </x:c>
      <x:c r="BB369" t="str">
        <x:v>Physical media appearance varies by paper, pressure, layering, water and scan/display profile.</x:v>
      </x:c>
    </x:row>
    <x:row r="370">
      <x:c r="A370" t="str">
        <x:f>G370&amp;"|"&amp;L370</x:f>
        <x:v>MUS|161</x:v>
      </x:c>
      <x:c r="B370" t="str">
        <x:v>da1c4374-81b7-59b5-8d05-3be46ce76f73</x:v>
      </x:c>
      <x:c r="C370" t="str">
        <x:v>CDA-MUS-161</x:v>
      </x:c>
      <x:c r="D370" t="str">
        <x:v>6ffc111a-0ad6-541a-8290-6ab5dc59fcce</x:v>
      </x:c>
      <x:c r="E370" t="str">
        <x:v>CDA-CODE-161</x:v>
      </x:c>
      <x:c r="F370" t="str">
        <x:v>Caran d’Ache</x:v>
      </x:c>
      <x:c r="G370" t="str">
        <x:v>MUS</x:v>
      </x:c>
      <x:c r="H370" t="str">
        <x:v>MUSEUM Aquarelle</x:v>
      </x:c>
      <x:c r="I370" t="str">
        <x:v>Extra-fine water-soluble coloured pencil</x:v>
      </x:c>
      <x:c r="J370" t="str">
        <x:v>Professional</x:v>
      </x:c>
      <x:c r="K370" s="30" t="n">
        <x:v>29</x:v>
      </x:c>
      <x:c r="L370" s="30" t="str">
        <x:v>161</x:v>
      </x:c>
      <x:c r="M370" t="str">
        <x:v>Light blue</x:v>
      </x:c>
      <x:c r="N370" t="str">
        <x:v>淺藍色</x:v>
      </x:c>
      <x:c r="O370" t="str">
        <x:v>ライト ブルー</x:v>
      </x:c>
      <x:c r="P370" t="str">
        <x:v>ライト ブルー</x:v>
      </x:c>
      <x:c r="Q370" t="str">
        <x:v>Bleu clair</x:v>
      </x:c>
      <x:c r="R370" t="str">
        <x:v>Hellblau</x:v>
      </x:c>
      <x:c r="S370" t="str">
        <x:v>Azzurro chiaro</x:v>
      </x:c>
      <x:c r="T370" t="str">
        <x:v>Azul claro</x:v>
      </x:c>
      <x:c r="U370" t="str"/>
      <x:c r="V370" t="str"/>
      <x:c r="W370" t="str">
        <x:v>PBk9/PB15:3</x:v>
      </x:c>
      <x:c r="X370" t="n">
        <x:f>IF(W370="",0,LEN(W370)-LEN(SUBSTITUTE(W370,"/",""))+1)</x:f>
        <x:v>2</x:v>
      </x:c>
      <x:c r="Y370" t="str">
        <x:v>HH</x:v>
      </x:c>
      <x:c r="Z370" s="32" t="n">
        <x:v>2</x:v>
      </x:c>
      <x:c r="AA370" s="32" t="n">
        <x:v>5</x:v>
      </x:c>
      <x:c r="AB370" s="32" t="str">
        <x:v>Blue Wool Scale / UV 150h</x:v>
      </x:c>
      <x:c r="AC370" t="str">
        <x:v>#74C7E2</x:v>
      </x:c>
      <x:c r="AD370" s="34" t="n">
        <x:v>116</x:v>
      </x:c>
      <x:c r="AE370" s="34" t="n">
        <x:v>199</x:v>
      </x:c>
      <x:c r="AF370" s="34" t="n">
        <x:v>226</x:v>
      </x:c>
      <x:c r="AG370" s="32" t="n">
        <x:v>194.73</x:v>
      </x:c>
      <x:c r="AH370" s="32" t="n">
        <x:v>65.48</x:v>
      </x:c>
      <x:c r="AI370" s="32" t="n">
        <x:v>67.06</x:v>
      </x:c>
      <x:c r="AJ370" s="32" t="n">
        <x:v>76.1</x:v>
      </x:c>
      <x:c r="AK370" s="32" t="n">
        <x:v>-18.12</x:v>
      </x:c>
      <x:c r="AL370" s="32" t="n">
        <x:v>-21.24</x:v>
      </x:c>
      <x:c r="AM370" s="32" t="str">
        <x:v>#000000</x:v>
      </x:c>
      <x:c r="AN370" s="32" t="str">
        <x:v>Black</x:v>
      </x:c>
      <x:c r="AO370" s="32" t="n">
        <x:v>11.01</x:v>
      </x:c>
      <x:c r="AP370" s="32" t="n">
        <x:v>11.01</x:v>
      </x:c>
      <x:c r="AQ370" s="32" t="n">
        <x:v>1.91</x:v>
      </x:c>
      <x:c r="AR370" s="32" t="n">
        <x:v>0.500508</x:v>
      </x:c>
      <x:c r="AS370" t="str">
        <x:v>PASS</x:v>
      </x:c>
      <x:c r="AT370" t="str">
        <x:v>--cda-mus-161</x:v>
      </x:c>
      <x:c r="AU370" t="str">
        <x:v>var(--cda-mus-161)</x:v>
      </x:c>
      <x:c r="AV370" t="str">
        <x:v>Median RGB from official PDF swatch (screen reference only)</x:v>
      </x:c>
      <x:c r="AW370" t="str">
        <x:v>https://www.carandache.com/content_files/uploaded_doc/product/10986/Colour_Chart_Museum.pdf</x:v>
      </x:c>
      <x:c r="AX370" t="n">
        <x:v>1</x:v>
      </x:c>
      <x:c r="AY370" t="str">
        <x:v>Official</x:v>
      </x:c>
      <x:c r="AZ370" t="str">
        <x:v>Official where available; curated Traditional Chinese/Japanese otherwise</x:v>
      </x:c>
      <x:c r="BA370" t="str">
        <x:v>Verified from official chart; digital HEX is approximate</x:v>
      </x:c>
      <x:c r="BB370" t="str">
        <x:v>Physical media appearance varies by paper, pressure, layering, water and scan/display profile.</x:v>
      </x:c>
    </x:row>
    <x:row r="371">
      <x:c r="A371" t="str">
        <x:f>G371&amp;"|"&amp;L371</x:f>
        <x:v>MUS|162</x:v>
      </x:c>
      <x:c r="B371" t="str">
        <x:v>00156f28-00dd-58a5-92d2-19022bc4c74c</x:v>
      </x:c>
      <x:c r="C371" t="str">
        <x:v>CDA-MUS-162</x:v>
      </x:c>
      <x:c r="D371" t="str">
        <x:v>6d7dcd75-009a-599d-a72f-1b6cf18443b9</x:v>
      </x:c>
      <x:c r="E371" t="str">
        <x:v>CDA-CODE-162</x:v>
      </x:c>
      <x:c r="F371" t="str">
        <x:v>Caran d’Ache</x:v>
      </x:c>
      <x:c r="G371" t="str">
        <x:v>MUS</x:v>
      </x:c>
      <x:c r="H371" t="str">
        <x:v>MUSEUM Aquarelle</x:v>
      </x:c>
      <x:c r="I371" t="str">
        <x:v>Extra-fine water-soluble coloured pencil</x:v>
      </x:c>
      <x:c r="J371" t="str">
        <x:v>Professional</x:v>
      </x:c>
      <x:c r="K371" s="30" t="n">
        <x:v>30</x:v>
      </x:c>
      <x:c r="L371" s="30" t="str">
        <x:v>162</x:v>
      </x:c>
      <x:c r="M371" t="str">
        <x:v>Phthalocyanine blue</x:v>
      </x:c>
      <x:c r="N371" t="str">
        <x:v>酞菁藍</x:v>
      </x:c>
      <x:c r="O371" t="str">
        <x:v>フタロシアニン ブルー</x:v>
      </x:c>
      <x:c r="P371" t="str">
        <x:v>フタロシアニン ブルー</x:v>
      </x:c>
      <x:c r="Q371" t="str">
        <x:v>Bleu de phtalocyanine</x:v>
      </x:c>
      <x:c r="R371" t="str">
        <x:v>Phthalocyaninblau</x:v>
      </x:c>
      <x:c r="S371" t="str">
        <x:v>Blu ftalo</x:v>
      </x:c>
      <x:c r="T371" t="str">
        <x:v>Azul phtalo</x:v>
      </x:c>
      <x:c r="U371" t="str"/>
      <x:c r="V371" t="str"/>
      <x:c r="W371" t="str">
        <x:v>PB15:3</x:v>
      </x:c>
      <x:c r="X371" t="n">
        <x:f>IF(W371="",0,LEN(W371)-LEN(SUBSTITUTE(W371,"/",""))+1)</x:f>
        <x:v>1</x:v>
      </x:c>
      <x:c r="Y371" t="str">
        <x:v>HHH</x:v>
      </x:c>
      <x:c r="Z371" s="32" t="n">
        <x:v>3</x:v>
      </x:c>
      <x:c r="AA371" s="32" t="n">
        <x:v>5</x:v>
      </x:c>
      <x:c r="AB371" s="32" t="str">
        <x:v>Blue Wool Scale / UV 150h</x:v>
      </x:c>
      <x:c r="AC371" t="str">
        <x:v>#2CA8DD</x:v>
      </x:c>
      <x:c r="AD371" s="34" t="n">
        <x:v>44</x:v>
      </x:c>
      <x:c r="AE371" s="34" t="n">
        <x:v>168</x:v>
      </x:c>
      <x:c r="AF371" s="34" t="n">
        <x:v>221</x:v>
      </x:c>
      <x:c r="AG371" s="32" t="n">
        <x:v>197.97</x:v>
      </x:c>
      <x:c r="AH371" s="32" t="n">
        <x:v>72.24</x:v>
      </x:c>
      <x:c r="AI371" s="32" t="n">
        <x:v>51.96</x:v>
      </x:c>
      <x:c r="AJ371" s="32" t="n">
        <x:v>64.77</x:v>
      </x:c>
      <x:c r="AK371" s="32" t="n">
        <x:v>-15.11</x:v>
      </x:c>
      <x:c r="AL371" s="32" t="n">
        <x:v>-36.13</x:v>
      </x:c>
      <x:c r="AM371" s="32" t="str">
        <x:v>#000000</x:v>
      </x:c>
      <x:c r="AN371" s="32" t="str">
        <x:v>Black</x:v>
      </x:c>
      <x:c r="AO371" s="32" t="n">
        <x:v>7.75</x:v>
      </x:c>
      <x:c r="AP371" s="32" t="n">
        <x:v>7.75</x:v>
      </x:c>
      <x:c r="AQ371" s="32" t="n">
        <x:v>2.71</x:v>
      </x:c>
      <x:c r="AR371" s="32" t="n">
        <x:v>0.337612</x:v>
      </x:c>
      <x:c r="AS371" t="str">
        <x:v>PASS</x:v>
      </x:c>
      <x:c r="AT371" t="str">
        <x:v>--cda-mus-162</x:v>
      </x:c>
      <x:c r="AU371" t="str">
        <x:v>var(--cda-mus-162)</x:v>
      </x:c>
      <x:c r="AV371" t="str">
        <x:v>Median RGB from official PDF swatch (screen reference only)</x:v>
      </x:c>
      <x:c r="AW371" t="str">
        <x:v>https://www.carandache.com/content_files/uploaded_doc/product/10986/Colour_Chart_Museum.pdf</x:v>
      </x:c>
      <x:c r="AX371" t="n">
        <x:v>1</x:v>
      </x:c>
      <x:c r="AY371" t="str">
        <x:v>Official</x:v>
      </x:c>
      <x:c r="AZ371" t="str">
        <x:v>Official where available; curated Traditional Chinese/Japanese otherwise</x:v>
      </x:c>
      <x:c r="BA371" t="str">
        <x:v>Verified from official chart; digital HEX is approximate</x:v>
      </x:c>
      <x:c r="BB371" t="str">
        <x:v>Physical media appearance varies by paper, pressure, layering, water and scan/display profile.</x:v>
      </x:c>
    </x:row>
    <x:row r="372">
      <x:c r="A372" t="str">
        <x:f>G372&amp;"|"&amp;L372</x:f>
        <x:v>MUS|670</x:v>
      </x:c>
      <x:c r="B372" t="str">
        <x:v>92c72a9f-21f9-5049-a2d7-15348ddb2587</x:v>
      </x:c>
      <x:c r="C372" t="str">
        <x:v>CDA-MUS-670</x:v>
      </x:c>
      <x:c r="D372" t="str">
        <x:v>a76095f6-edb6-5489-9821-27eec0081a78</x:v>
      </x:c>
      <x:c r="E372" t="str">
        <x:v>CDA-CODE-670</x:v>
      </x:c>
      <x:c r="F372" t="str">
        <x:v>Caran d’Ache</x:v>
      </x:c>
      <x:c r="G372" t="str">
        <x:v>MUS</x:v>
      </x:c>
      <x:c r="H372" t="str">
        <x:v>MUSEUM Aquarelle</x:v>
      </x:c>
      <x:c r="I372" t="str">
        <x:v>Extra-fine water-soluble coloured pencil</x:v>
      </x:c>
      <x:c r="J372" t="str">
        <x:v>Professional</x:v>
      </x:c>
      <x:c r="K372" s="30" t="n">
        <x:v>31</x:v>
      </x:c>
      <x:c r="L372" s="30" t="str">
        <x:v>670</x:v>
      </x:c>
      <x:c r="M372" t="str">
        <x:v>Permanent Blue</x:v>
      </x:c>
      <x:c r="N372" t="str">
        <x:v>永固藍</x:v>
      </x:c>
      <x:c r="O372" t="str">
        <x:v>パーマネントブルー</x:v>
      </x:c>
      <x:c r="P372" t="str">
        <x:v>パーマネントブルー</x:v>
      </x:c>
      <x:c r="Q372" t="str">
        <x:v>Bleu permanent</x:v>
      </x:c>
      <x:c r="R372" t="str">
        <x:v>Permanentblau</x:v>
      </x:c>
      <x:c r="S372" t="str">
        <x:v>Blu permanente</x:v>
      </x:c>
      <x:c r="T372" t="str">
        <x:v>Azul permanente</x:v>
      </x:c>
      <x:c r="U372" t="str"/>
      <x:c r="V372" t="str"/>
      <x:c r="W372" t="str">
        <x:v>PG7/PB15:3</x:v>
      </x:c>
      <x:c r="X372" t="n">
        <x:f>IF(W372="",0,LEN(W372)-LEN(SUBSTITUTE(W372,"/",""))+1)</x:f>
        <x:v>2</x:v>
      </x:c>
      <x:c r="Y372" t="str">
        <x:v>HHH</x:v>
      </x:c>
      <x:c r="Z372" s="32" t="n">
        <x:v>3</x:v>
      </x:c>
      <x:c r="AA372" s="32" t="n">
        <x:v>5</x:v>
      </x:c>
      <x:c r="AB372" s="32" t="str">
        <x:v>Blue Wool Scale / UV 150h</x:v>
      </x:c>
      <x:c r="AC372" t="str">
        <x:v>#1170A1</x:v>
      </x:c>
      <x:c r="AD372" s="34" t="n">
        <x:v>17</x:v>
      </x:c>
      <x:c r="AE372" s="34" t="n">
        <x:v>112</x:v>
      </x:c>
      <x:c r="AF372" s="34" t="n">
        <x:v>161</x:v>
      </x:c>
      <x:c r="AG372" s="32" t="n">
        <x:v>200.42</x:v>
      </x:c>
      <x:c r="AH372" s="32" t="n">
        <x:v>80.9</x:v>
      </x:c>
      <x:c r="AI372" s="32" t="n">
        <x:v>34.9</x:v>
      </x:c>
      <x:c r="AJ372" s="32" t="n">
        <x:v>44.63</x:v>
      </x:c>
      <x:c r="AK372" s="32" t="n">
        <x:v>-7.37</x:v>
      </x:c>
      <x:c r="AL372" s="32" t="n">
        <x:v>-33.52</x:v>
      </x:c>
      <x:c r="AM372" s="32" t="str">
        <x:v>#FFFFFF</x:v>
      </x:c>
      <x:c r="AN372" s="32" t="str">
        <x:v>White</x:v>
      </x:c>
      <x:c r="AO372" s="32" t="n">
        <x:v>5.45</x:v>
      </x:c>
      <x:c r="AP372" s="32" t="n">
        <x:v>3.86</x:v>
      </x:c>
      <x:c r="AQ372" s="32" t="n">
        <x:v>5.45</x:v>
      </x:c>
      <x:c r="AR372" s="32" t="n">
        <x:v>0.142807</x:v>
      </x:c>
      <x:c r="AS372" t="str">
        <x:v>PASS</x:v>
      </x:c>
      <x:c r="AT372" t="str">
        <x:v>--cda-mus-670</x:v>
      </x:c>
      <x:c r="AU372" t="str">
        <x:v>var(--cda-mus-670)</x:v>
      </x:c>
      <x:c r="AV372" t="str">
        <x:v>Median RGB from official PDF swatch (screen reference only)</x:v>
      </x:c>
      <x:c r="AW372" t="str">
        <x:v>https://www.carandache.com/content_files/uploaded_doc/product/10986/Colour_Chart_Museum.pdf</x:v>
      </x:c>
      <x:c r="AX372" t="n">
        <x:v>1</x:v>
      </x:c>
      <x:c r="AY372" t="str">
        <x:v>Official</x:v>
      </x:c>
      <x:c r="AZ372" t="str">
        <x:v>Official where available; curated Traditional Chinese/Japanese otherwise</x:v>
      </x:c>
      <x:c r="BA372" t="str">
        <x:v>Verified from official chart; digital HEX is approximate</x:v>
      </x:c>
      <x:c r="BB372" t="str">
        <x:v>Physical media appearance varies by paper, pressure, layering, water and scan/display profile.</x:v>
      </x:c>
    </x:row>
    <x:row r="373">
      <x:c r="A373" t="str">
        <x:f>G373&amp;"|"&amp;L373</x:f>
        <x:v>MUS|185</x:v>
      </x:c>
      <x:c r="B373" t="str">
        <x:v>e8b52448-4b29-5216-b855-ae0154d51680</x:v>
      </x:c>
      <x:c r="C373" t="str">
        <x:v>CDA-MUS-185</x:v>
      </x:c>
      <x:c r="D373" t="str">
        <x:v>12724f05-b502-59f7-a985-93fdace159dd</x:v>
      </x:c>
      <x:c r="E373" t="str">
        <x:v>CDA-CODE-185</x:v>
      </x:c>
      <x:c r="F373" t="str">
        <x:v>Caran d’Ache</x:v>
      </x:c>
      <x:c r="G373" t="str">
        <x:v>MUS</x:v>
      </x:c>
      <x:c r="H373" t="str">
        <x:v>MUSEUM Aquarelle</x:v>
      </x:c>
      <x:c r="I373" t="str">
        <x:v>Extra-fine water-soluble coloured pencil</x:v>
      </x:c>
      <x:c r="J373" t="str">
        <x:v>Professional</x:v>
      </x:c>
      <x:c r="K373" s="30" t="n">
        <x:v>32</x:v>
      </x:c>
      <x:c r="L373" s="30" t="str">
        <x:v>185</x:v>
      </x:c>
      <x:c r="M373" t="str">
        <x:v>Ice blue</x:v>
      </x:c>
      <x:c r="N373" t="str">
        <x:v>冰藍</x:v>
      </x:c>
      <x:c r="O373" t="str">
        <x:v>アイス ブルー</x:v>
      </x:c>
      <x:c r="P373" t="str">
        <x:v>アイス ブルー</x:v>
      </x:c>
      <x:c r="Q373" t="str">
        <x:v>Bleu glacier</x:v>
      </x:c>
      <x:c r="R373" t="str">
        <x:v>Eisblau</x:v>
      </x:c>
      <x:c r="S373" t="str">
        <x:v>Blu di ghiaccio</x:v>
      </x:c>
      <x:c r="T373" t="str">
        <x:v>Azul hielo</x:v>
      </x:c>
      <x:c r="U373" t="str"/>
      <x:c r="V373" t="str"/>
      <x:c r="W373" t="str">
        <x:v>PB16</x:v>
      </x:c>
      <x:c r="X373" t="n">
        <x:f>IF(W373="",0,LEN(W373)-LEN(SUBSTITUTE(W373,"/",""))+1)</x:f>
        <x:v>1</x:v>
      </x:c>
      <x:c r="Y373" t="str">
        <x:v>HH</x:v>
      </x:c>
      <x:c r="Z373" s="32" t="n">
        <x:v>2</x:v>
      </x:c>
      <x:c r="AA373" s="32" t="n">
        <x:v>5</x:v>
      </x:c>
      <x:c r="AB373" s="32" t="str">
        <x:v>Blue Wool Scale / UV 150h</x:v>
      </x:c>
      <x:c r="AC373" t="str">
        <x:v>#0B98C5</x:v>
      </x:c>
      <x:c r="AD373" s="34" t="n">
        <x:v>11</x:v>
      </x:c>
      <x:c r="AE373" s="34" t="n">
        <x:v>152</x:v>
      </x:c>
      <x:c r="AF373" s="34" t="n">
        <x:v>197</x:v>
      </x:c>
      <x:c r="AG373" s="32" t="n">
        <x:v>194.52</x:v>
      </x:c>
      <x:c r="AH373" s="32" t="n">
        <x:v>89.42</x:v>
      </x:c>
      <x:c r="AI373" s="32" t="n">
        <x:v>40.78</x:v>
      </x:c>
      <x:c r="AJ373" s="32" t="n">
        <x:v>58.56</x:v>
      </x:c>
      <x:c r="AK373" s="32" t="n">
        <x:v>-17.02</x:v>
      </x:c>
      <x:c r="AL373" s="32" t="n">
        <x:v>-32.45</x:v>
      </x:c>
      <x:c r="AM373" s="32" t="str">
        <x:v>#000000</x:v>
      </x:c>
      <x:c r="AN373" s="32" t="str">
        <x:v>Black</x:v>
      </x:c>
      <x:c r="AO373" s="32" t="n">
        <x:v>6.31</x:v>
      </x:c>
      <x:c r="AP373" s="32" t="n">
        <x:v>6.31</x:v>
      </x:c>
      <x:c r="AQ373" s="32" t="n">
        <x:v>3.33</x:v>
      </x:c>
      <x:c r="AR373" s="32" t="n">
        <x:v>0.265588</x:v>
      </x:c>
      <x:c r="AS373" t="str">
        <x:v>PASS</x:v>
      </x:c>
      <x:c r="AT373" t="str">
        <x:v>--cda-mus-185</x:v>
      </x:c>
      <x:c r="AU373" t="str">
        <x:v>var(--cda-mus-185)</x:v>
      </x:c>
      <x:c r="AV373" t="str">
        <x:v>Median RGB from official PDF swatch (screen reference only)</x:v>
      </x:c>
      <x:c r="AW373" t="str">
        <x:v>https://www.carandache.com/content_files/uploaded_doc/product/10986/Colour_Chart_Museum.pdf</x:v>
      </x:c>
      <x:c r="AX373" t="n">
        <x:v>1</x:v>
      </x:c>
      <x:c r="AY373" t="str">
        <x:v>Official</x:v>
      </x:c>
      <x:c r="AZ373" t="str">
        <x:v>Official where available; curated Traditional Chinese/Japanese otherwise</x:v>
      </x:c>
      <x:c r="BA373" t="str">
        <x:v>Verified from official chart; digital HEX is approximate</x:v>
      </x:c>
      <x:c r="BB373" t="str">
        <x:v>Physical media appearance varies by paper, pressure, layering, water and scan/display profile.</x:v>
      </x:c>
    </x:row>
    <x:row r="374">
      <x:c r="A374" t="str">
        <x:f>G374&amp;"|"&amp;L374</x:f>
        <x:v>MUS|171</x:v>
      </x:c>
      <x:c r="B374" t="str">
        <x:v>e0076acf-09b4-50f8-9af8-18525dc4b961</x:v>
      </x:c>
      <x:c r="C374" t="str">
        <x:v>CDA-MUS-171</x:v>
      </x:c>
      <x:c r="D374" t="str">
        <x:v>8af82ae3-1ed6-53f3-82c5-825de5d678dc</x:v>
      </x:c>
      <x:c r="E374" t="str">
        <x:v>CDA-CODE-171</x:v>
      </x:c>
      <x:c r="F374" t="str">
        <x:v>Caran d’Ache</x:v>
      </x:c>
      <x:c r="G374" t="str">
        <x:v>MUS</x:v>
      </x:c>
      <x:c r="H374" t="str">
        <x:v>MUSEUM Aquarelle</x:v>
      </x:c>
      <x:c r="I374" t="str">
        <x:v>Extra-fine water-soluble coloured pencil</x:v>
      </x:c>
      <x:c r="J374" t="str">
        <x:v>Professional</x:v>
      </x:c>
      <x:c r="K374" s="30" t="n">
        <x:v>33</x:v>
      </x:c>
      <x:c r="L374" s="30" t="str">
        <x:v>171</x:v>
      </x:c>
      <x:c r="M374" t="str">
        <x:v>Turquoise blue</x:v>
      </x:c>
      <x:c r="N374" t="str">
        <x:v>土耳其藍</x:v>
      </x:c>
      <x:c r="O374" t="str">
        <x:v>ターコイズ ブルー</x:v>
      </x:c>
      <x:c r="P374" t="str">
        <x:v>ターコイズ ブルー</x:v>
      </x:c>
      <x:c r="Q374" t="str">
        <x:v>Bleu turquoise</x:v>
      </x:c>
      <x:c r="R374" t="str">
        <x:v>Türkisblau</x:v>
      </x:c>
      <x:c r="S374" t="str">
        <x:v>Blu turchese</x:v>
      </x:c>
      <x:c r="T374" t="str">
        <x:v>Azul turquesa</x:v>
      </x:c>
      <x:c r="U374" t="str"/>
      <x:c r="V374" t="str"/>
      <x:c r="W374" t="str">
        <x:v>PB15/PG7</x:v>
      </x:c>
      <x:c r="X374" t="n">
        <x:f>IF(W374="",0,LEN(W374)-LEN(SUBSTITUTE(W374,"/",""))+1)</x:f>
        <x:v>2</x:v>
      </x:c>
      <x:c r="Y374" t="str">
        <x:v>HHH</x:v>
      </x:c>
      <x:c r="Z374" s="32" t="n">
        <x:v>3</x:v>
      </x:c>
      <x:c r="AA374" s="32" t="n">
        <x:v>5</x:v>
      </x:c>
      <x:c r="AB374" s="32" t="str">
        <x:v>Blue Wool Scale / UV 150h</x:v>
      </x:c>
      <x:c r="AC374" t="str">
        <x:v>#25A6BE</x:v>
      </x:c>
      <x:c r="AD374" s="34" t="n">
        <x:v>37</x:v>
      </x:c>
      <x:c r="AE374" s="34" t="n">
        <x:v>166</x:v>
      </x:c>
      <x:c r="AF374" s="34" t="n">
        <x:v>190</x:v>
      </x:c>
      <x:c r="AG374" s="32" t="n">
        <x:v>189.41</x:v>
      </x:c>
      <x:c r="AH374" s="32" t="n">
        <x:v>67.4</x:v>
      </x:c>
      <x:c r="AI374" s="32" t="n">
        <x:v>44.51</x:v>
      </x:c>
      <x:c r="AJ374" s="32" t="n">
        <x:v>62.83</x:v>
      </x:c>
      <x:c r="AK374" s="32" t="n">
        <x:v>-25.11</x:v>
      </x:c>
      <x:c r="AL374" s="32" t="n">
        <x:v>-21.92</x:v>
      </x:c>
      <x:c r="AM374" s="32" t="str">
        <x:v>#000000</x:v>
      </x:c>
      <x:c r="AN374" s="32" t="str">
        <x:v>Black</x:v>
      </x:c>
      <x:c r="AO374" s="32" t="n">
        <x:v>7.28</x:v>
      </x:c>
      <x:c r="AP374" s="32" t="n">
        <x:v>7.28</x:v>
      </x:c>
      <x:c r="AQ374" s="32" t="n">
        <x:v>2.89</x:v>
      </x:c>
      <x:c r="AR374" s="32" t="n">
        <x:v>0.313835</x:v>
      </x:c>
      <x:c r="AS374" t="str">
        <x:v>PASS</x:v>
      </x:c>
      <x:c r="AT374" t="str">
        <x:v>--cda-mus-171</x:v>
      </x:c>
      <x:c r="AU374" t="str">
        <x:v>var(--cda-mus-171)</x:v>
      </x:c>
      <x:c r="AV374" t="str">
        <x:v>Median RGB from official PDF swatch (screen reference only)</x:v>
      </x:c>
      <x:c r="AW374" t="str">
        <x:v>https://www.carandache.com/content_files/uploaded_doc/product/10986/Colour_Chart_Museum.pdf</x:v>
      </x:c>
      <x:c r="AX374" t="n">
        <x:v>1</x:v>
      </x:c>
      <x:c r="AY374" t="str">
        <x:v>Official</x:v>
      </x:c>
      <x:c r="AZ374" t="str">
        <x:v>Official where available; curated Traditional Chinese/Japanese otherwise</x:v>
      </x:c>
      <x:c r="BA374" t="str">
        <x:v>Verified from official chart; digital HEX is approximate</x:v>
      </x:c>
      <x:c r="BB374" t="str">
        <x:v>Physical media appearance varies by paper, pressure, layering, water and scan/display profile.</x:v>
      </x:c>
    </x:row>
    <x:row r="375">
      <x:c r="A375" t="str">
        <x:f>G375&amp;"|"&amp;L375</x:f>
        <x:v>MUS|181</x:v>
      </x:c>
      <x:c r="B375" t="str">
        <x:v>448690ea-0c71-5898-b9d2-cb08cd802717</x:v>
      </x:c>
      <x:c r="C375" t="str">
        <x:v>CDA-MUS-181</x:v>
      </x:c>
      <x:c r="D375" t="str">
        <x:v>af2a2944-e566-5dee-8ba8-64d621eb0cbf</x:v>
      </x:c>
      <x:c r="E375" t="str">
        <x:v>CDA-CODE-181</x:v>
      </x:c>
      <x:c r="F375" t="str">
        <x:v>Caran d’Ache</x:v>
      </x:c>
      <x:c r="G375" t="str">
        <x:v>MUS</x:v>
      </x:c>
      <x:c r="H375" t="str">
        <x:v>MUSEUM Aquarelle</x:v>
      </x:c>
      <x:c r="I375" t="str">
        <x:v>Extra-fine water-soluble coloured pencil</x:v>
      </x:c>
      <x:c r="J375" t="str">
        <x:v>Professional</x:v>
      </x:c>
      <x:c r="K375" s="30" t="n">
        <x:v>34</x:v>
      </x:c>
      <x:c r="L375" s="30" t="str">
        <x:v>181</x:v>
      </x:c>
      <x:c r="M375" t="str">
        <x:v>Light malachite green</x:v>
      </x:c>
      <x:c r="N375" t="str">
        <x:v>淺孔雀石綠</x:v>
      </x:c>
      <x:c r="O375" t="str">
        <x:v>ライト マラカイト グリーン</x:v>
      </x:c>
      <x:c r="P375" t="str">
        <x:v>ライト マラカイト グリーン</x:v>
      </x:c>
      <x:c r="Q375" t="str">
        <x:v>Vert de malachite clair</x:v>
      </x:c>
      <x:c r="R375" t="str">
        <x:v>Hellmalachitgrün</x:v>
      </x:c>
      <x:c r="S375" t="str">
        <x:v>Verde malachite chiaro</x:v>
      </x:c>
      <x:c r="T375" t="str">
        <x:v>Verde malaquita claro</x:v>
      </x:c>
      <x:c r="U375" t="str"/>
      <x:c r="V375" t="str"/>
      <x:c r="W375" t="str">
        <x:v>PG7/PBk9</x:v>
      </x:c>
      <x:c r="X375" t="n">
        <x:f>IF(W375="",0,LEN(W375)-LEN(SUBSTITUTE(W375,"/",""))+1)</x:f>
        <x:v>2</x:v>
      </x:c>
      <x:c r="Y375" t="str">
        <x:v>HHH</x:v>
      </x:c>
      <x:c r="Z375" s="32" t="n">
        <x:v>3</x:v>
      </x:c>
      <x:c r="AA375" s="32" t="n">
        <x:v>5</x:v>
      </x:c>
      <x:c r="AB375" s="32" t="str">
        <x:v>Blue Wool Scale / UV 150h</x:v>
      </x:c>
      <x:c r="AC375" t="str">
        <x:v>#9CCEBD</x:v>
      </x:c>
      <x:c r="AD375" s="34" t="n">
        <x:v>156</x:v>
      </x:c>
      <x:c r="AE375" s="34" t="n">
        <x:v>206</x:v>
      </x:c>
      <x:c r="AF375" s="34" t="n">
        <x:v>189</x:v>
      </x:c>
      <x:c r="AG375" s="32" t="n">
        <x:v>159.6</x:v>
      </x:c>
      <x:c r="AH375" s="32" t="n">
        <x:v>33.78</x:v>
      </x:c>
      <x:c r="AI375" s="32" t="n">
        <x:v>70.98</x:v>
      </x:c>
      <x:c r="AJ375" s="32" t="n">
        <x:v>78.97</x:v>
      </x:c>
      <x:c r="AK375" s="32" t="n">
        <x:v>-19.78</x:v>
      </x:c>
      <x:c r="AL375" s="32" t="n">
        <x:v>3.17</x:v>
      </x:c>
      <x:c r="AM375" s="32" t="str">
        <x:v>#000000</x:v>
      </x:c>
      <x:c r="AN375" s="32" t="str">
        <x:v>Black</x:v>
      </x:c>
      <x:c r="AO375" s="32" t="n">
        <x:v>11.98</x:v>
      </x:c>
      <x:c r="AP375" s="32" t="n">
        <x:v>11.98</x:v>
      </x:c>
      <x:c r="AQ375" s="32" t="n">
        <x:v>1.75</x:v>
      </x:c>
      <x:c r="AR375" s="32" t="n">
        <x:v>0.548847</x:v>
      </x:c>
      <x:c r="AS375" t="str">
        <x:v>PASS</x:v>
      </x:c>
      <x:c r="AT375" t="str">
        <x:v>--cda-mus-181</x:v>
      </x:c>
      <x:c r="AU375" t="str">
        <x:v>var(--cda-mus-181)</x:v>
      </x:c>
      <x:c r="AV375" t="str">
        <x:v>Median RGB from official PDF swatch (screen reference only)</x:v>
      </x:c>
      <x:c r="AW375" t="str">
        <x:v>https://www.carandache.com/content_files/uploaded_doc/product/10986/Colour_Chart_Museum.pdf</x:v>
      </x:c>
      <x:c r="AX375" t="n">
        <x:v>1</x:v>
      </x:c>
      <x:c r="AY375" t="str">
        <x:v>Official</x:v>
      </x:c>
      <x:c r="AZ375" t="str">
        <x:v>Official where available; curated Traditional Chinese/Japanese otherwise</x:v>
      </x:c>
      <x:c r="BA375" t="str">
        <x:v>Verified from official chart; digital HEX is approximate</x:v>
      </x:c>
      <x:c r="BB375" t="str">
        <x:v>Physical media appearance varies by paper, pressure, layering, water and scan/display profile.</x:v>
      </x:c>
    </x:row>
    <x:row r="376">
      <x:c r="A376" t="str">
        <x:f>G376&amp;"|"&amp;L376</x:f>
        <x:v>MUS|182</x:v>
      </x:c>
      <x:c r="B376" t="str">
        <x:v>8ad7fb98-b6fc-5685-9fd1-1d49fc4a90e1</x:v>
      </x:c>
      <x:c r="C376" t="str">
        <x:v>CDA-MUS-182</x:v>
      </x:c>
      <x:c r="D376" t="str">
        <x:v>1e70d834-fddd-5135-a908-aff1980efa95</x:v>
      </x:c>
      <x:c r="E376" t="str">
        <x:v>CDA-CODE-182</x:v>
      </x:c>
      <x:c r="F376" t="str">
        <x:v>Caran d’Ache</x:v>
      </x:c>
      <x:c r="G376" t="str">
        <x:v>MUS</x:v>
      </x:c>
      <x:c r="H376" t="str">
        <x:v>MUSEUM Aquarelle</x:v>
      </x:c>
      <x:c r="I376" t="str">
        <x:v>Extra-fine water-soluble coloured pencil</x:v>
      </x:c>
      <x:c r="J376" t="str">
        <x:v>Professional</x:v>
      </x:c>
      <x:c r="K376" s="30" t="n">
        <x:v>35</x:v>
      </x:c>
      <x:c r="L376" s="30" t="str">
        <x:v>182</x:v>
      </x:c>
      <x:c r="M376" t="str">
        <x:v>Cobalt green</x:v>
      </x:c>
      <x:c r="N376" t="str">
        <x:v>鈷綠</x:v>
      </x:c>
      <x:c r="O376" t="str">
        <x:v>コバルト グリーン</x:v>
      </x:c>
      <x:c r="P376" t="str">
        <x:v>コバルト グリーン</x:v>
      </x:c>
      <x:c r="Q376" t="str">
        <x:v>Vert de Cobalt</x:v>
      </x:c>
      <x:c r="R376" t="str">
        <x:v>Kobaltgrün</x:v>
      </x:c>
      <x:c r="S376" t="str">
        <x:v>Verde di cobalto</x:v>
      </x:c>
      <x:c r="T376" t="str">
        <x:v>Verde cobalto</x:v>
      </x:c>
      <x:c r="U376" t="str"/>
      <x:c r="V376" t="str"/>
      <x:c r="W376" t="str">
        <x:v>PG50</x:v>
      </x:c>
      <x:c r="X376" t="n">
        <x:f>IF(W376="",0,LEN(W376)-LEN(SUBSTITUTE(W376,"/",""))+1)</x:f>
        <x:v>1</x:v>
      </x:c>
      <x:c r="Y376" t="str">
        <x:v>HHH</x:v>
      </x:c>
      <x:c r="Z376" s="32" t="n">
        <x:v>3</x:v>
      </x:c>
      <x:c r="AA376" s="32" t="n">
        <x:v>5</x:v>
      </x:c>
      <x:c r="AB376" s="32" t="str">
        <x:v>Blue Wool Scale / UV 150h</x:v>
      </x:c>
      <x:c r="AC376" t="str">
        <x:v>#D3E6D7</x:v>
      </x:c>
      <x:c r="AD376" s="34" t="n">
        <x:v>211</x:v>
      </x:c>
      <x:c r="AE376" s="34" t="n">
        <x:v>230</x:v>
      </x:c>
      <x:c r="AF376" s="34" t="n">
        <x:v>215</x:v>
      </x:c>
      <x:c r="AG376" s="32" t="n">
        <x:v>132.63</x:v>
      </x:c>
      <x:c r="AH376" s="32" t="n">
        <x:v>27.54</x:v>
      </x:c>
      <x:c r="AI376" s="32" t="n">
        <x:v>86.47</x:v>
      </x:c>
      <x:c r="AJ376" s="32" t="n">
        <x:v>89.56</x:v>
      </x:c>
      <x:c r="AK376" s="32" t="n">
        <x:v>-9.06</x:v>
      </x:c>
      <x:c r="AL376" s="32" t="n">
        <x:v>5.15</x:v>
      </x:c>
      <x:c r="AM376" s="32" t="str">
        <x:v>#000000</x:v>
      </x:c>
      <x:c r="AN376" s="32" t="str">
        <x:v>Black</x:v>
      </x:c>
      <x:c r="AO376" s="32" t="n">
        <x:v>16.07</x:v>
      </x:c>
      <x:c r="AP376" s="32" t="n">
        <x:v>16.07</x:v>
      </x:c>
      <x:c r="AQ376" s="32" t="n">
        <x:v>1.31</x:v>
      </x:c>
      <x:c r="AR376" s="32" t="n">
        <x:v>0.753488</x:v>
      </x:c>
      <x:c r="AS376" t="str">
        <x:v>PASS</x:v>
      </x:c>
      <x:c r="AT376" t="str">
        <x:v>--cda-mus-182</x:v>
      </x:c>
      <x:c r="AU376" t="str">
        <x:v>var(--cda-mus-182)</x:v>
      </x:c>
      <x:c r="AV376" t="str">
        <x:v>Median RGB from official PDF swatch (screen reference only)</x:v>
      </x:c>
      <x:c r="AW376" t="str">
        <x:v>https://www.carandache.com/content_files/uploaded_doc/product/10986/Colour_Chart_Museum.pdf</x:v>
      </x:c>
      <x:c r="AX376" t="n">
        <x:v>1</x:v>
      </x:c>
      <x:c r="AY376" t="str">
        <x:v>Official</x:v>
      </x:c>
      <x:c r="AZ376" t="str">
        <x:v>Official where available; curated Traditional Chinese/Japanese otherwise</x:v>
      </x:c>
      <x:c r="BA376" t="str">
        <x:v>Verified from official chart; digital HEX is approximate</x:v>
      </x:c>
      <x:c r="BB376" t="str">
        <x:v>Physical media appearance varies by paper, pressure, layering, water and scan/display profile.</x:v>
      </x:c>
    </x:row>
    <x:row r="377">
      <x:c r="A377" t="str">
        <x:f>G377&amp;"|"&amp;L377</x:f>
        <x:v>MUS|212</x:v>
      </x:c>
      <x:c r="B377" t="str">
        <x:v>a9eab484-1b61-55cd-bb79-a1606b0357cd</x:v>
      </x:c>
      <x:c r="C377" t="str">
        <x:v>CDA-MUS-212</x:v>
      </x:c>
      <x:c r="D377" t="str">
        <x:v>c4654ab2-e8d8-51fb-bafc-1edaae0fcf72</x:v>
      </x:c>
      <x:c r="E377" t="str">
        <x:v>CDA-CODE-212</x:v>
      </x:c>
      <x:c r="F377" t="str">
        <x:v>Caran d’Ache</x:v>
      </x:c>
      <x:c r="G377" t="str">
        <x:v>MUS</x:v>
      </x:c>
      <x:c r="H377" t="str">
        <x:v>MUSEUM Aquarelle</x:v>
      </x:c>
      <x:c r="I377" t="str">
        <x:v>Extra-fine water-soluble coloured pencil</x:v>
      </x:c>
      <x:c r="J377" t="str">
        <x:v>Professional</x:v>
      </x:c>
      <x:c r="K377" s="30" t="n">
        <x:v>36</x:v>
      </x:c>
      <x:c r="L377" s="30" t="str">
        <x:v>212</x:v>
      </x:c>
      <x:c r="M377" t="str">
        <x:v>Chromium oxyde green</x:v>
      </x:c>
      <x:c r="N377" t="str">
        <x:v>氧化鉻綠</x:v>
      </x:c>
      <x:c r="O377" t="str">
        <x:v>クロミウム オキサイド グリーン</x:v>
      </x:c>
      <x:c r="P377" t="str">
        <x:v>クロミウム オキサイド グリーン</x:v>
      </x:c>
      <x:c r="Q377" t="str">
        <x:v>Vert oxyde de chrome</x:v>
      </x:c>
      <x:c r="R377" t="str">
        <x:v>Chromoxydgrün</x:v>
      </x:c>
      <x:c r="S377" t="str">
        <x:v>Ossido di cromo verde</x:v>
      </x:c>
      <x:c r="T377" t="str">
        <x:v>Oxido de cromo verde</x:v>
      </x:c>
      <x:c r="U377" t="str"/>
      <x:c r="V377" t="str"/>
      <x:c r="W377" t="str">
        <x:v>PG17­</x:v>
      </x:c>
      <x:c r="X377" t="n">
        <x:f>IF(W377="",0,LEN(W377)-LEN(SUBSTITUTE(W377,"/",""))+1)</x:f>
        <x:v>1</x:v>
      </x:c>
      <x:c r="Y377" t="str">
        <x:v>HHH</x:v>
      </x:c>
      <x:c r="Z377" s="32" t="n">
        <x:v>3</x:v>
      </x:c>
      <x:c r="AA377" s="32" t="n">
        <x:v>5</x:v>
      </x:c>
      <x:c r="AB377" s="32" t="str">
        <x:v>Blue Wool Scale / UV 150h</x:v>
      </x:c>
      <x:c r="AC377" t="str">
        <x:v>#9AC592</x:v>
      </x:c>
      <x:c r="AD377" s="34" t="n">
        <x:v>154</x:v>
      </x:c>
      <x:c r="AE377" s="34" t="n">
        <x:v>197</x:v>
      </x:c>
      <x:c r="AF377" s="34" t="n">
        <x:v>146</x:v>
      </x:c>
      <x:c r="AG377" s="32" t="n">
        <x:v>110.59</x:v>
      </x:c>
      <x:c r="AH377" s="32" t="n">
        <x:v>30.54</x:v>
      </x:c>
      <x:c r="AI377" s="32" t="n">
        <x:v>67.25</x:v>
      </x:c>
      <x:c r="AJ377" s="32" t="n">
        <x:v>75.37</x:v>
      </x:c>
      <x:c r="AK377" s="32" t="n">
        <x:v>-23.97</x:v>
      </x:c>
      <x:c r="AL377" s="32" t="n">
        <x:v>21.07</x:v>
      </x:c>
      <x:c r="AM377" s="32" t="str">
        <x:v>#000000</x:v>
      </x:c>
      <x:c r="AN377" s="32" t="str">
        <x:v>Black</x:v>
      </x:c>
      <x:c r="AO377" s="32" t="n">
        <x:v>10.78</x:v>
      </x:c>
      <x:c r="AP377" s="32" t="n">
        <x:v>10.78</x:v>
      </x:c>
      <x:c r="AQ377" s="32" t="n">
        <x:v>1.95</x:v>
      </x:c>
      <x:c r="AR377" s="32" t="n">
        <x:v>0.488779</x:v>
      </x:c>
      <x:c r="AS377" t="str">
        <x:v>PASS</x:v>
      </x:c>
      <x:c r="AT377" t="str">
        <x:v>--cda-mus-212</x:v>
      </x:c>
      <x:c r="AU377" t="str">
        <x:v>var(--cda-mus-212)</x:v>
      </x:c>
      <x:c r="AV377" t="str">
        <x:v>Median RGB from official PDF swatch (screen reference only)</x:v>
      </x:c>
      <x:c r="AW377" t="str">
        <x:v>https://www.carandache.com/content_files/uploaded_doc/product/10986/Colour_Chart_Museum.pdf</x:v>
      </x:c>
      <x:c r="AX377" t="n">
        <x:v>1</x:v>
      </x:c>
      <x:c r="AY377" t="str">
        <x:v>Official</x:v>
      </x:c>
      <x:c r="AZ377" t="str">
        <x:v>Official where available; curated Traditional Chinese/Japanese otherwise</x:v>
      </x:c>
      <x:c r="BA377" t="str">
        <x:v>Verified from official chart; digital HEX is approximate</x:v>
      </x:c>
      <x:c r="BB377" t="str">
        <x:v>Physical media appearance varies by paper, pressure, layering, water and scan/display profile.</x:v>
      </x:c>
    </x:row>
    <x:row r="378">
      <x:c r="A378" t="str">
        <x:f>G378&amp;"|"&amp;L378</x:f>
        <x:v>MUS|225</x:v>
      </x:c>
      <x:c r="B378" t="str">
        <x:v>5c370dfd-8983-51b6-b5dc-365697b9df71</x:v>
      </x:c>
      <x:c r="C378" t="str">
        <x:v>CDA-MUS-225</x:v>
      </x:c>
      <x:c r="D378" t="str">
        <x:v>d67f22eb-8649-5739-bafd-f445d45c47b5</x:v>
      </x:c>
      <x:c r="E378" t="str">
        <x:v>CDA-CODE-225</x:v>
      </x:c>
      <x:c r="F378" t="str">
        <x:v>Caran d’Ache</x:v>
      </x:c>
      <x:c r="G378" t="str">
        <x:v>MUS</x:v>
      </x:c>
      <x:c r="H378" t="str">
        <x:v>MUSEUM Aquarelle</x:v>
      </x:c>
      <x:c r="I378" t="str">
        <x:v>Extra-fine water-soluble coloured pencil</x:v>
      </x:c>
      <x:c r="J378" t="str">
        <x:v>Professional</x:v>
      </x:c>
      <x:c r="K378" s="30" t="n">
        <x:v>37</x:v>
      </x:c>
      <x:c r="L378" s="30" t="str">
        <x:v>225</x:v>
      </x:c>
      <x:c r="M378" t="str">
        <x:v>Moss green</x:v>
      </x:c>
      <x:c r="N378" t="str">
        <x:v>苔綠色</x:v>
      </x:c>
      <x:c r="O378" t="str">
        <x:v>モス グリーン</x:v>
      </x:c>
      <x:c r="P378" t="str">
        <x:v>モス グリーン</x:v>
      </x:c>
      <x:c r="Q378" t="str">
        <x:v>Vert mousse</x:v>
      </x:c>
      <x:c r="R378" t="str">
        <x:v>Moosgrün</x:v>
      </x:c>
      <x:c r="S378" t="str">
        <x:v>Verde muschio</x:v>
      </x:c>
      <x:c r="T378" t="str">
        <x:v>Verde musgo</x:v>
      </x:c>
      <x:c r="U378" t="str"/>
      <x:c r="V378" t="str"/>
      <x:c r="W378" t="str">
        <x:v>PB15/PBk7/PY74/PY3</x:v>
      </x:c>
      <x:c r="X378" t="n">
        <x:f>IF(W378="",0,LEN(W378)-LEN(SUBSTITUTE(W378,"/",""))+1)</x:f>
        <x:v>4</x:v>
      </x:c>
      <x:c r="Y378" t="str">
        <x:v>HHH</x:v>
      </x:c>
      <x:c r="Z378" s="32" t="n">
        <x:v>3</x:v>
      </x:c>
      <x:c r="AA378" s="32" t="n">
        <x:v>5</x:v>
      </x:c>
      <x:c r="AB378" s="32" t="str">
        <x:v>Blue Wool Scale / UV 150h</x:v>
      </x:c>
      <x:c r="AC378" t="str">
        <x:v>#39854E</x:v>
      </x:c>
      <x:c r="AD378" s="34" t="n">
        <x:v>57</x:v>
      </x:c>
      <x:c r="AE378" s="34" t="n">
        <x:v>133</x:v>
      </x:c>
      <x:c r="AF378" s="34" t="n">
        <x:v>78</x:v>
      </x:c>
      <x:c r="AG378" s="32" t="n">
        <x:v>136.58</x:v>
      </x:c>
      <x:c r="AH378" s="32" t="n">
        <x:v>40</x:v>
      </x:c>
      <x:c r="AI378" s="32" t="n">
        <x:v>37.25</x:v>
      </x:c>
      <x:c r="AJ378" s="32" t="n">
        <x:v>49.73</x:v>
      </x:c>
      <x:c r="AK378" s="32" t="n">
        <x:v>-36.39</x:v>
      </x:c>
      <x:c r="AL378" s="32" t="n">
        <x:v>22.75</x:v>
      </x:c>
      <x:c r="AM378" s="32" t="str">
        <x:v>#000000</x:v>
      </x:c>
      <x:c r="AN378" s="32" t="str">
        <x:v>Black</x:v>
      </x:c>
      <x:c r="AO378" s="32" t="n">
        <x:v>4.64</x:v>
      </x:c>
      <x:c r="AP378" s="32" t="n">
        <x:v>4.64</x:v>
      </x:c>
      <x:c r="AQ378" s="32" t="n">
        <x:v>4.53</x:v>
      </x:c>
      <x:c r="AR378" s="32" t="n">
        <x:v>0.18195</x:v>
      </x:c>
      <x:c r="AS378" t="str">
        <x:v>PASS</x:v>
      </x:c>
      <x:c r="AT378" t="str">
        <x:v>--cda-mus-225</x:v>
      </x:c>
      <x:c r="AU378" t="str">
        <x:v>var(--cda-mus-225)</x:v>
      </x:c>
      <x:c r="AV378" t="str">
        <x:v>Median RGB from official PDF swatch (screen reference only)</x:v>
      </x:c>
      <x:c r="AW378" t="str">
        <x:v>https://www.carandache.com/content_files/uploaded_doc/product/10986/Colour_Chart_Museum.pdf</x:v>
      </x:c>
      <x:c r="AX378" t="n">
        <x:v>1</x:v>
      </x:c>
      <x:c r="AY378" t="str">
        <x:v>Official</x:v>
      </x:c>
      <x:c r="AZ378" t="str">
        <x:v>Official where available; curated Traditional Chinese/Japanese otherwise</x:v>
      </x:c>
      <x:c r="BA378" t="str">
        <x:v>Verified from official chart; digital HEX is approximate</x:v>
      </x:c>
      <x:c r="BB378" t="str">
        <x:v>Physical media appearance varies by paper, pressure, layering, water and scan/display profile.</x:v>
      </x:c>
    </x:row>
    <x:row r="379">
      <x:c r="A379" t="str">
        <x:f>G379&amp;"|"&amp;L379</x:f>
        <x:v>MUS|719</x:v>
      </x:c>
      <x:c r="B379" t="str">
        <x:v>fb8fae41-6a17-5b7a-a9d7-b4fb2556365e</x:v>
      </x:c>
      <x:c r="C379" t="str">
        <x:v>CDA-MUS-719</x:v>
      </x:c>
      <x:c r="D379" t="str">
        <x:v>01dd26ab-6e02-5056-9d96-5443617efb5f</x:v>
      </x:c>
      <x:c r="E379" t="str">
        <x:v>CDA-CODE-719</x:v>
      </x:c>
      <x:c r="F379" t="str">
        <x:v>Caran d’Ache</x:v>
      </x:c>
      <x:c r="G379" t="str">
        <x:v>MUS</x:v>
      </x:c>
      <x:c r="H379" t="str">
        <x:v>MUSEUM Aquarelle</x:v>
      </x:c>
      <x:c r="I379" t="str">
        <x:v>Extra-fine water-soluble coloured pencil</x:v>
      </x:c>
      <x:c r="J379" t="str">
        <x:v>Professional</x:v>
      </x:c>
      <x:c r="K379" s="30" t="n">
        <x:v>38</x:v>
      </x:c>
      <x:c r="L379" s="30" t="str">
        <x:v>719</x:v>
      </x:c>
      <x:c r="M379" t="str">
        <x:v>Dark phthalocyanine green</x:v>
      </x:c>
      <x:c r="N379" t="str">
        <x:v>深酞菁綠</x:v>
      </x:c>
      <x:c r="O379" t="str">
        <x:v>ダークフタロシアニングリーン</x:v>
      </x:c>
      <x:c r="P379" t="str">
        <x:v>ダークフタロシアニングリーン</x:v>
      </x:c>
      <x:c r="Q379" t="str">
        <x:v>Vert Phtalo foncé</x:v>
      </x:c>
      <x:c r="R379" t="str">
        <x:v>Dunkelphthalocyaningrün</x:v>
      </x:c>
      <x:c r="S379" t="str">
        <x:v>Verde ftalo scuro</x:v>
      </x:c>
      <x:c r="T379" t="str">
        <x:v>Verde phtalo oscuro</x:v>
      </x:c>
      <x:c r="U379" t="str"/>
      <x:c r="V379" t="str"/>
      <x:c r="W379" t="str">
        <x:v>PB15/PBk7/PY74/PY3</x:v>
      </x:c>
      <x:c r="X379" t="n">
        <x:f>IF(W379="",0,LEN(W379)-LEN(SUBSTITUTE(W379,"/",""))+1)</x:f>
        <x:v>4</x:v>
      </x:c>
      <x:c r="Y379" t="str">
        <x:v>HH</x:v>
      </x:c>
      <x:c r="Z379" s="32" t="n">
        <x:v>2</x:v>
      </x:c>
      <x:c r="AA379" s="32" t="n">
        <x:v>5</x:v>
      </x:c>
      <x:c r="AB379" s="32" t="str">
        <x:v>Blue Wool Scale / UV 150h</x:v>
      </x:c>
      <x:c r="AC379" t="str">
        <x:v>#457450</x:v>
      </x:c>
      <x:c r="AD379" s="34" t="n">
        <x:v>69</x:v>
      </x:c>
      <x:c r="AE379" s="34" t="n">
        <x:v>116</x:v>
      </x:c>
      <x:c r="AF379" s="34" t="n">
        <x:v>80</x:v>
      </x:c>
      <x:c r="AG379" s="32" t="n">
        <x:v>134.04</x:v>
      </x:c>
      <x:c r="AH379" s="32" t="n">
        <x:v>25.41</x:v>
      </x:c>
      <x:c r="AI379" s="32" t="n">
        <x:v>36.27</x:v>
      </x:c>
      <x:c r="AJ379" s="32" t="n">
        <x:v>44.71</x:v>
      </x:c>
      <x:c r="AK379" s="32" t="n">
        <x:v>-24.48</x:v>
      </x:c>
      <x:c r="AL379" s="32" t="n">
        <x:v>14.98</x:v>
      </x:c>
      <x:c r="AM379" s="32" t="str">
        <x:v>#FFFFFF</x:v>
      </x:c>
      <x:c r="AN379" s="32" t="str">
        <x:v>White</x:v>
      </x:c>
      <x:c r="AO379" s="32" t="n">
        <x:v>5.43</x:v>
      </x:c>
      <x:c r="AP379" s="32" t="n">
        <x:v>3.87</x:v>
      </x:c>
      <x:c r="AQ379" s="32" t="n">
        <x:v>5.43</x:v>
      </x:c>
      <x:c r="AR379" s="32" t="n">
        <x:v>0.143352</x:v>
      </x:c>
      <x:c r="AS379" t="str">
        <x:v>PASS</x:v>
      </x:c>
      <x:c r="AT379" t="str">
        <x:v>--cda-mus-719</x:v>
      </x:c>
      <x:c r="AU379" t="str">
        <x:v>var(--cda-mus-719)</x:v>
      </x:c>
      <x:c r="AV379" t="str">
        <x:v>Median RGB from official PDF swatch (screen reference only)</x:v>
      </x:c>
      <x:c r="AW379" t="str">
        <x:v>https://www.carandache.com/content_files/uploaded_doc/product/10986/Colour_Chart_Museum.pdf</x:v>
      </x:c>
      <x:c r="AX379" t="n">
        <x:v>1</x:v>
      </x:c>
      <x:c r="AY379" t="str">
        <x:v>Official</x:v>
      </x:c>
      <x:c r="AZ379" t="str">
        <x:v>Official where available; curated Traditional Chinese/Japanese otherwise</x:v>
      </x:c>
      <x:c r="BA379" t="str">
        <x:v>Verified from official chart; digital HEX is approximate</x:v>
      </x:c>
      <x:c r="BB379" t="str">
        <x:v>Physical media appearance varies by paper, pressure, layering, water and scan/display profile.</x:v>
      </x:c>
    </x:row>
    <x:row r="380">
      <x:c r="A380" t="str">
        <x:f>G380&amp;"|"&amp;L380</x:f>
        <x:v>MUS|249</x:v>
      </x:c>
      <x:c r="B380" t="str">
        <x:v>1090330b-1443-5ef2-87e3-cfb8e79cd2ae</x:v>
      </x:c>
      <x:c r="C380" t="str">
        <x:v>CDA-MUS-249</x:v>
      </x:c>
      <x:c r="D380" t="str">
        <x:v>e6c72f87-8dc4-5cb7-90a2-d6b44c12faf7</x:v>
      </x:c>
      <x:c r="E380" t="str">
        <x:v>CDA-CODE-249</x:v>
      </x:c>
      <x:c r="F380" t="str">
        <x:v>Caran d’Ache</x:v>
      </x:c>
      <x:c r="G380" t="str">
        <x:v>MUS</x:v>
      </x:c>
      <x:c r="H380" t="str">
        <x:v>MUSEUM Aquarelle</x:v>
      </x:c>
      <x:c r="I380" t="str">
        <x:v>Extra-fine water-soluble coloured pencil</x:v>
      </x:c>
      <x:c r="J380" t="str">
        <x:v>Professional</x:v>
      </x:c>
      <x:c r="K380" s="30" t="n">
        <x:v>39</x:v>
      </x:c>
      <x:c r="L380" s="30" t="str">
        <x:v>249</x:v>
      </x:c>
      <x:c r="M380" t="str">
        <x:v>Olive</x:v>
      </x:c>
      <x:c r="N380" t="str">
        <x:v>深橄欖色</x:v>
      </x:c>
      <x:c r="O380" t="str">
        <x:v>オリーブ</x:v>
      </x:c>
      <x:c r="P380" t="str">
        <x:v>オリーブ</x:v>
      </x:c>
      <x:c r="Q380" t="str">
        <x:v>Olive foncé</x:v>
      </x:c>
      <x:c r="R380" t="str">
        <x:v>Dunkeloliv</x:v>
      </x:c>
      <x:c r="S380" t="str">
        <x:v>Oliva scuro</x:v>
      </x:c>
      <x:c r="T380" t="str">
        <x:v>Oliva oscuro</x:v>
      </x:c>
      <x:c r="U380" t="str"/>
      <x:c r="V380" t="str"/>
      <x:c r="W380" t="str">
        <x:v>PY1/PG7/PBk6/PO61</x:v>
      </x:c>
      <x:c r="X380" t="n">
        <x:f>IF(W380="",0,LEN(W380)-LEN(SUBSTITUTE(W380,"/",""))+1)</x:f>
        <x:v>4</x:v>
      </x:c>
      <x:c r="Y380" t="str">
        <x:v>HHH</x:v>
      </x:c>
      <x:c r="Z380" s="32" t="n">
        <x:v>3</x:v>
      </x:c>
      <x:c r="AA380" s="32" t="n">
        <x:v>5</x:v>
      </x:c>
      <x:c r="AB380" s="32" t="str">
        <x:v>Blue Wool Scale / UV 150h</x:v>
      </x:c>
      <x:c r="AC380" t="str">
        <x:v>#98B737</x:v>
      </x:c>
      <x:c r="AD380" s="34" t="n">
        <x:v>152</x:v>
      </x:c>
      <x:c r="AE380" s="34" t="n">
        <x:v>183</x:v>
      </x:c>
      <x:c r="AF380" s="34" t="n">
        <x:v>55</x:v>
      </x:c>
      <x:c r="AG380" s="32" t="n">
        <x:v>74.53</x:v>
      </x:c>
      <x:c r="AH380" s="32" t="n">
        <x:v>53.78</x:v>
      </x:c>
      <x:c r="AI380" s="32" t="n">
        <x:v>46.67</x:v>
      </x:c>
      <x:c r="AJ380" s="32" t="n">
        <x:v>70.05</x:v>
      </x:c>
      <x:c r="AK380" s="32" t="n">
        <x:v>-28.31</x:v>
      </x:c>
      <x:c r="AL380" s="32" t="n">
        <x:v>58.48</x:v>
      </x:c>
      <x:c r="AM380" s="32" t="str">
        <x:v>#000000</x:v>
      </x:c>
      <x:c r="AN380" s="32" t="str">
        <x:v>Black</x:v>
      </x:c>
      <x:c r="AO380" s="32" t="n">
        <x:v>9.16</x:v>
      </x:c>
      <x:c r="AP380" s="32" t="n">
        <x:v>9.16</x:v>
      </x:c>
      <x:c r="AQ380" s="32" t="n">
        <x:v>2.29</x:v>
      </x:c>
      <x:c r="AR380" s="32" t="n">
        <x:v>0.408182</x:v>
      </x:c>
      <x:c r="AS380" t="str">
        <x:v>PASS</x:v>
      </x:c>
      <x:c r="AT380" t="str">
        <x:v>--cda-mus-249</x:v>
      </x:c>
      <x:c r="AU380" t="str">
        <x:v>var(--cda-mus-249)</x:v>
      </x:c>
      <x:c r="AV380" t="str">
        <x:v>Median RGB from official PDF swatch (screen reference only)</x:v>
      </x:c>
      <x:c r="AW380" t="str">
        <x:v>https://www.carandache.com/content_files/uploaded_doc/product/10986/Colour_Chart_Museum.pdf</x:v>
      </x:c>
      <x:c r="AX380" t="n">
        <x:v>1</x:v>
      </x:c>
      <x:c r="AY380" t="str">
        <x:v>Official</x:v>
      </x:c>
      <x:c r="AZ380" t="str">
        <x:v>Official where available; curated Traditional Chinese/Japanese otherwise</x:v>
      </x:c>
      <x:c r="BA380" t="str">
        <x:v>Verified from official chart; digital HEX is approximate</x:v>
      </x:c>
      <x:c r="BB380" t="str">
        <x:v>Physical media appearance varies by paper, pressure, layering, water and scan/display profile.</x:v>
      </x:c>
    </x:row>
    <x:row r="381">
      <x:c r="A381" t="str">
        <x:f>G381&amp;"|"&amp;L381</x:f>
        <x:v>MUS|245</x:v>
      </x:c>
      <x:c r="B381" t="str">
        <x:v>d8271c3d-c0d9-55a2-af23-2b3242c6a88f</x:v>
      </x:c>
      <x:c r="C381" t="str">
        <x:v>CDA-MUS-245</x:v>
      </x:c>
      <x:c r="D381" t="str">
        <x:v>592280bd-2cc9-5bea-bb70-ba5d26898542</x:v>
      </x:c>
      <x:c r="E381" t="str">
        <x:v>CDA-CODE-245</x:v>
      </x:c>
      <x:c r="F381" t="str">
        <x:v>Caran d’Ache</x:v>
      </x:c>
      <x:c r="G381" t="str">
        <x:v>MUS</x:v>
      </x:c>
      <x:c r="H381" t="str">
        <x:v>MUSEUM Aquarelle</x:v>
      </x:c>
      <x:c r="I381" t="str">
        <x:v>Extra-fine water-soluble coloured pencil</x:v>
      </x:c>
      <x:c r="J381" t="str">
        <x:v>Professional</x:v>
      </x:c>
      <x:c r="K381" s="30" t="n">
        <x:v>40</x:v>
      </x:c>
      <x:c r="L381" s="30" t="str">
        <x:v>245</x:v>
      </x:c>
      <x:c r="M381" t="str">
        <x:v>Light olive</x:v>
      </x:c>
      <x:c r="N381" t="str">
        <x:v>淺橄欖色</x:v>
      </x:c>
      <x:c r="O381" t="str">
        <x:v>ライト オリーブ</x:v>
      </x:c>
      <x:c r="P381" t="str">
        <x:v>ライト オリーブ</x:v>
      </x:c>
      <x:c r="Q381" t="str">
        <x:v>Olive clair</x:v>
      </x:c>
      <x:c r="R381" t="str">
        <x:v>Helloliv</x:v>
      </x:c>
      <x:c r="S381" t="str">
        <x:v>Oliva chiaro</x:v>
      </x:c>
      <x:c r="T381" t="str">
        <x:v>Oliva claro</x:v>
      </x:c>
      <x:c r="U381" t="str"/>
      <x:c r="V381" t="str"/>
      <x:c r="W381" t="str">
        <x:v>PO61/PY1/PG7</x:v>
      </x:c>
      <x:c r="X381" t="n">
        <x:f>IF(W381="",0,LEN(W381)-LEN(SUBSTITUTE(W381,"/",""))+1)</x:f>
        <x:v>3</x:v>
      </x:c>
      <x:c r="Y381" t="str">
        <x:v>HHH</x:v>
      </x:c>
      <x:c r="Z381" s="32" t="n">
        <x:v>3</x:v>
      </x:c>
      <x:c r="AA381" s="32" t="n">
        <x:v>5</x:v>
      </x:c>
      <x:c r="AB381" s="32" t="str">
        <x:v>Blue Wool Scale / UV 150h</x:v>
      </x:c>
      <x:c r="AC381" t="str">
        <x:v>#ACBB25</x:v>
      </x:c>
      <x:c r="AD381" s="34" t="n">
        <x:v>172</x:v>
      </x:c>
      <x:c r="AE381" s="34" t="n">
        <x:v>187</x:v>
      </x:c>
      <x:c r="AF381" s="34" t="n">
        <x:v>37</x:v>
      </x:c>
      <x:c r="AG381" s="32" t="n">
        <x:v>66</x:v>
      </x:c>
      <x:c r="AH381" s="32" t="n">
        <x:v>66.96</x:v>
      </x:c>
      <x:c r="AI381" s="32" t="n">
        <x:v>43.92</x:v>
      </x:c>
      <x:c r="AJ381" s="32" t="n">
        <x:v>72.53</x:v>
      </x:c>
      <x:c r="AK381" s="32" t="n">
        <x:v>-22.79</x:v>
      </x:c>
      <x:c r="AL381" s="32" t="n">
        <x:v>67.22</x:v>
      </x:c>
      <x:c r="AM381" s="32" t="str">
        <x:v>#000000</x:v>
      </x:c>
      <x:c r="AN381" s="32" t="str">
        <x:v>Black</x:v>
      </x:c>
      <x:c r="AO381" s="32" t="n">
        <x:v>9.89</x:v>
      </x:c>
      <x:c r="AP381" s="32" t="n">
        <x:v>9.89</x:v>
      </x:c>
      <x:c r="AQ381" s="32" t="n">
        <x:v>2.12</x:v>
      </x:c>
      <x:c r="AR381" s="32" t="n">
        <x:v>0.444449</x:v>
      </x:c>
      <x:c r="AS381" t="str">
        <x:v>PASS</x:v>
      </x:c>
      <x:c r="AT381" t="str">
        <x:v>--cda-mus-245</x:v>
      </x:c>
      <x:c r="AU381" t="str">
        <x:v>var(--cda-mus-245)</x:v>
      </x:c>
      <x:c r="AV381" t="str">
        <x:v>Median RGB from official PDF swatch (screen reference only)</x:v>
      </x:c>
      <x:c r="AW381" t="str">
        <x:v>https://www.carandache.com/content_files/uploaded_doc/product/10986/Colour_Chart_Museum.pdf</x:v>
      </x:c>
      <x:c r="AX381" t="n">
        <x:v>1</x:v>
      </x:c>
      <x:c r="AY381" t="str">
        <x:v>Official</x:v>
      </x:c>
      <x:c r="AZ381" t="str">
        <x:v>Official where available; curated Traditional Chinese/Japanese otherwise</x:v>
      </x:c>
      <x:c r="BA381" t="str">
        <x:v>Verified from official chart; digital HEX is approximate</x:v>
      </x:c>
      <x:c r="BB381" t="str">
        <x:v>Physical media appearance varies by paper, pressure, layering, water and scan/display profile.</x:v>
      </x:c>
    </x:row>
    <x:row r="382">
      <x:c r="A382" t="str">
        <x:f>G382&amp;"|"&amp;L382</x:f>
        <x:v>MUS|025</x:v>
      </x:c>
      <x:c r="B382" t="str">
        <x:v>6e1eb72d-125a-5479-b6cf-cac2fba34a4e</x:v>
      </x:c>
      <x:c r="C382" t="str">
        <x:v>CDA-MUS-025</x:v>
      </x:c>
      <x:c r="D382" t="str">
        <x:v>d214ba2e-de61-50e2-9d33-f10155cc817b</x:v>
      </x:c>
      <x:c r="E382" t="str">
        <x:v>CDA-CODE-025</x:v>
      </x:c>
      <x:c r="F382" t="str">
        <x:v>Caran d’Ache</x:v>
      </x:c>
      <x:c r="G382" t="str">
        <x:v>MUS</x:v>
      </x:c>
      <x:c r="H382" t="str">
        <x:v>MUSEUM Aquarelle</x:v>
      </x:c>
      <x:c r="I382" t="str">
        <x:v>Extra-fine water-soluble coloured pencil</x:v>
      </x:c>
      <x:c r="J382" t="str">
        <x:v>Professional</x:v>
      </x:c>
      <x:c r="K382" s="30" t="n">
        <x:v>41</x:v>
      </x:c>
      <x:c r="L382" s="30" t="str">
        <x:v>025</x:v>
      </x:c>
      <x:c r="M382" t="str">
        <x:v>Green ochre</x:v>
      </x:c>
      <x:c r="N382" t="str">
        <x:v>綠赭色</x:v>
      </x:c>
      <x:c r="O382" t="str">
        <x:v>グリーンオーカー</x:v>
      </x:c>
      <x:c r="P382" t="str">
        <x:v>グリーンオーカー</x:v>
      </x:c>
      <x:c r="Q382" t="str">
        <x:v>Ocre vert</x:v>
      </x:c>
      <x:c r="R382" t="str">
        <x:v>Grünocker</x:v>
      </x:c>
      <x:c r="S382" t="str">
        <x:v>Ocra verde</x:v>
      </x:c>
      <x:c r="T382" t="str">
        <x:v>Ocre verde</x:v>
      </x:c>
      <x:c r="U382" t="str"/>
      <x:c r="V382" t="str"/>
      <x:c r="W382" t="str">
        <x:v>PY3/PY42/PO62/PBk6/PY13</x:v>
      </x:c>
      <x:c r="X382" t="n">
        <x:f>IF(W382="",0,LEN(W382)-LEN(SUBSTITUTE(W382,"/",""))+1)</x:f>
        <x:v>5</x:v>
      </x:c>
      <x:c r="Y382" t="str">
        <x:v>H</x:v>
      </x:c>
      <x:c r="Z382" s="32" t="n">
        <x:v>1</x:v>
      </x:c>
      <x:c r="AA382" s="32" t="n">
        <x:v>5</x:v>
      </x:c>
      <x:c r="AB382" s="32" t="str">
        <x:v>Blue Wool Scale / UV 150h</x:v>
      </x:c>
      <x:c r="AC382" t="str">
        <x:v>#F0C84A</x:v>
      </x:c>
      <x:c r="AD382" s="34" t="n">
        <x:v>240</x:v>
      </x:c>
      <x:c r="AE382" s="34" t="n">
        <x:v>200</x:v>
      </x:c>
      <x:c r="AF382" s="34" t="n">
        <x:v>74</x:v>
      </x:c>
      <x:c r="AG382" s="32" t="n">
        <x:v>45.54</x:v>
      </x:c>
      <x:c r="AH382" s="32" t="n">
        <x:v>84.69</x:v>
      </x:c>
      <x:c r="AI382" s="32" t="n">
        <x:v>61.57</x:v>
      </x:c>
      <x:c r="AJ382" s="32" t="n">
        <x:v>82.02</x:v>
      </x:c>
      <x:c r="AK382" s="32" t="n">
        <x:v>1.19</x:v>
      </x:c>
      <x:c r="AL382" s="32" t="n">
        <x:v>65.53</x:v>
      </x:c>
      <x:c r="AM382" s="32" t="str">
        <x:v>#000000</x:v>
      </x:c>
      <x:c r="AN382" s="32" t="str">
        <x:v>Black</x:v>
      </x:c>
      <x:c r="AO382" s="32" t="n">
        <x:v>13.07</x:v>
      </x:c>
      <x:c r="AP382" s="32" t="n">
        <x:v>13.07</x:v>
      </x:c>
      <x:c r="AQ382" s="32" t="n">
        <x:v>1.61</x:v>
      </x:c>
      <x:c r="AR382" s="32" t="n">
        <x:v>0.603282</x:v>
      </x:c>
      <x:c r="AS382" t="str">
        <x:v>PASS</x:v>
      </x:c>
      <x:c r="AT382" t="str">
        <x:v>--cda-mus-025</x:v>
      </x:c>
      <x:c r="AU382" t="str">
        <x:v>var(--cda-mus-025)</x:v>
      </x:c>
      <x:c r="AV382" t="str">
        <x:v>Median RGB from official PDF swatch (screen reference only)</x:v>
      </x:c>
      <x:c r="AW382" t="str">
        <x:v>https://www.carandache.com/content_files/uploaded_doc/product/10986/Colour_Chart_Museum.pdf</x:v>
      </x:c>
      <x:c r="AX382" t="n">
        <x:v>1</x:v>
      </x:c>
      <x:c r="AY382" t="str">
        <x:v>Official</x:v>
      </x:c>
      <x:c r="AZ382" t="str">
        <x:v>Official where available; curated Traditional Chinese/Japanese otherwise</x:v>
      </x:c>
      <x:c r="BA382" t="str">
        <x:v>Verified from official chart; digital HEX is approximate</x:v>
      </x:c>
      <x:c r="BB382" t="str">
        <x:v>Physical media appearance varies by paper, pressure, layering, water and scan/display profile.</x:v>
      </x:c>
    </x:row>
    <x:row r="383">
      <x:c r="A383" t="str">
        <x:f>G383&amp;"|"&amp;L383</x:f>
        <x:v>MUS|015</x:v>
      </x:c>
      <x:c r="B383" t="str">
        <x:v>47e90940-286e-5e45-a06b-ee6406e432c7</x:v>
      </x:c>
      <x:c r="C383" t="str">
        <x:v>CDA-MUS-015</x:v>
      </x:c>
      <x:c r="D383" t="str">
        <x:v>f8bcbda9-5354-53c7-b875-44dc8d27a8ac</x:v>
      </x:c>
      <x:c r="E383" t="str">
        <x:v>CDA-CODE-015</x:v>
      </x:c>
      <x:c r="F383" t="str">
        <x:v>Caran d’Ache</x:v>
      </x:c>
      <x:c r="G383" t="str">
        <x:v>MUS</x:v>
      </x:c>
      <x:c r="H383" t="str">
        <x:v>MUSEUM Aquarelle</x:v>
      </x:c>
      <x:c r="I383" t="str">
        <x:v>Extra-fine water-soluble coloured pencil</x:v>
      </x:c>
      <x:c r="J383" t="str">
        <x:v>Professional</x:v>
      </x:c>
      <x:c r="K383" s="30" t="n">
        <x:v>42</x:v>
      </x:c>
      <x:c r="L383" s="30" t="str">
        <x:v>015</x:v>
      </x:c>
      <x:c r="M383" t="str">
        <x:v>Olive yellow</x:v>
      </x:c>
      <x:c r="N383" t="str">
        <x:v>橄欖黃</x:v>
      </x:c>
      <x:c r="O383" t="str">
        <x:v>オリーヴ イエロー</x:v>
      </x:c>
      <x:c r="P383" t="str">
        <x:v>オリーヴ イエロー</x:v>
      </x:c>
      <x:c r="Q383" t="str">
        <x:v>Jaune olive</x:v>
      </x:c>
      <x:c r="R383" t="str">
        <x:v>Gelboliv</x:v>
      </x:c>
      <x:c r="S383" t="str">
        <x:v>Giallo oliva</x:v>
      </x:c>
      <x:c r="T383" t="str">
        <x:v>Amarillo oliva</x:v>
      </x:c>
      <x:c r="U383" t="str"/>
      <x:c r="V383" t="str"/>
      <x:c r="W383" t="str">
        <x:v>PY3/PBk7</x:v>
      </x:c>
      <x:c r="X383" t="n">
        <x:f>IF(W383="",0,LEN(W383)-LEN(SUBSTITUTE(W383,"/",""))+1)</x:f>
        <x:v>2</x:v>
      </x:c>
      <x:c r="Y383" t="str">
        <x:v>HHH</x:v>
      </x:c>
      <x:c r="Z383" s="32" t="n">
        <x:v>3</x:v>
      </x:c>
      <x:c r="AA383" s="32" t="n">
        <x:v>5</x:v>
      </x:c>
      <x:c r="AB383" s="32" t="str">
        <x:v>Blue Wool Scale / UV 150h</x:v>
      </x:c>
      <x:c r="AC383" t="str">
        <x:v>#DEDA68</x:v>
      </x:c>
      <x:c r="AD383" s="34" t="n">
        <x:v>222</x:v>
      </x:c>
      <x:c r="AE383" s="34" t="n">
        <x:v>218</x:v>
      </x:c>
      <x:c r="AF383" s="34" t="n">
        <x:v>104</x:v>
      </x:c>
      <x:c r="AG383" s="32" t="n">
        <x:v>57.97</x:v>
      </x:c>
      <x:c r="AH383" s="32" t="n">
        <x:v>64.13</x:v>
      </x:c>
      <x:c r="AI383" s="32" t="n">
        <x:v>63.92</x:v>
      </x:c>
      <x:c r="AJ383" s="32" t="n">
        <x:v>85.34</x:v>
      </x:c>
      <x:c r="AK383" s="32" t="n">
        <x:v>-13.45</x:v>
      </x:c>
      <x:c r="AL383" s="32" t="n">
        <x:v>55.74</x:v>
      </x:c>
      <x:c r="AM383" s="32" t="str">
        <x:v>#000000</x:v>
      </x:c>
      <x:c r="AN383" s="32" t="str">
        <x:v>Black</x:v>
      </x:c>
      <x:c r="AO383" s="32" t="n">
        <x:v>14.33</x:v>
      </x:c>
      <x:c r="AP383" s="32" t="n">
        <x:v>14.33</x:v>
      </x:c>
      <x:c r="AQ383" s="32" t="n">
        <x:v>1.47</x:v>
      </x:c>
      <x:c r="AR383" s="32" t="n">
        <x:v>0.666719</x:v>
      </x:c>
      <x:c r="AS383" t="str">
        <x:v>PASS</x:v>
      </x:c>
      <x:c r="AT383" t="str">
        <x:v>--cda-mus-015</x:v>
      </x:c>
      <x:c r="AU383" t="str">
        <x:v>var(--cda-mus-015)</x:v>
      </x:c>
      <x:c r="AV383" t="str">
        <x:v>Median RGB from official PDF swatch (screen reference only)</x:v>
      </x:c>
      <x:c r="AW383" t="str">
        <x:v>https://www.carandache.com/content_files/uploaded_doc/product/10986/Colour_Chart_Museum.pdf</x:v>
      </x:c>
      <x:c r="AX383" t="n">
        <x:v>1</x:v>
      </x:c>
      <x:c r="AY383" t="str">
        <x:v>Official</x:v>
      </x:c>
      <x:c r="AZ383" t="str">
        <x:v>Official where available; curated Traditional Chinese/Japanese otherwise</x:v>
      </x:c>
      <x:c r="BA383" t="str">
        <x:v>Verified from official chart; digital HEX is approximate</x:v>
      </x:c>
      <x:c r="BB383" t="str">
        <x:v>Physical media appearance varies by paper, pressure, layering, water and scan/display profile.</x:v>
      </x:c>
    </x:row>
    <x:row r="384">
      <x:c r="A384" t="str">
        <x:f>G384&amp;"|"&amp;L384</x:f>
        <x:v>MUS|470</x:v>
      </x:c>
      <x:c r="B384" t="str">
        <x:v>7d855a77-15a0-5cf5-ace1-dc1c4e483191</x:v>
      </x:c>
      <x:c r="C384" t="str">
        <x:v>CDA-MUS-470</x:v>
      </x:c>
      <x:c r="D384" t="str">
        <x:v>e5fd455d-0e91-54ba-bac2-04493fa22e11</x:v>
      </x:c>
      <x:c r="E384" t="str">
        <x:v>CDA-CODE-470</x:v>
      </x:c>
      <x:c r="F384" t="str">
        <x:v>Caran d’Ache</x:v>
      </x:c>
      <x:c r="G384" t="str">
        <x:v>MUS</x:v>
      </x:c>
      <x:c r="H384" t="str">
        <x:v>MUSEUM Aquarelle</x:v>
      </x:c>
      <x:c r="I384" t="str">
        <x:v>Extra-fine water-soluble coloured pencil</x:v>
      </x:c>
      <x:c r="J384" t="str">
        <x:v>Professional</x:v>
      </x:c>
      <x:c r="K384" s="30" t="n">
        <x:v>43</x:v>
      </x:c>
      <x:c r="L384" s="30" t="str">
        <x:v>470</x:v>
      </x:c>
      <x:c r="M384" t="str">
        <x:v>Spring Green</x:v>
      </x:c>
      <x:c r="N384" t="str">
        <x:v>春綠色</x:v>
      </x:c>
      <x:c r="O384" t="str">
        <x:v>スプリング グリーン</x:v>
      </x:c>
      <x:c r="P384" t="str">
        <x:v>スプリング グリーン</x:v>
      </x:c>
      <x:c r="Q384" t="str">
        <x:v>Vert de Mai</x:v>
      </x:c>
      <x:c r="R384" t="str">
        <x:v>Maigrün</x:v>
      </x:c>
      <x:c r="S384" t="str">
        <x:v>Verde primavera</x:v>
      </x:c>
      <x:c r="T384" t="str">
        <x:v>Verde de mayo</x:v>
      </x:c>
      <x:c r="U384" t="str"/>
      <x:c r="V384" t="str"/>
      <x:c r="W384" t="str">
        <x:v>PG7/PY3</x:v>
      </x:c>
      <x:c r="X384" t="n">
        <x:f>IF(W384="",0,LEN(W384)-LEN(SUBSTITUTE(W384,"/",""))+1)</x:f>
        <x:v>2</x:v>
      </x:c>
      <x:c r="Y384" t="str">
        <x:v>HHH</x:v>
      </x:c>
      <x:c r="Z384" s="32" t="n">
        <x:v>3</x:v>
      </x:c>
      <x:c r="AA384" s="32" t="n">
        <x:v>5</x:v>
      </x:c>
      <x:c r="AB384" s="32" t="str">
        <x:v>Blue Wool Scale / UV 150h</x:v>
      </x:c>
      <x:c r="AC384" t="str">
        <x:v>#D7DD72</x:v>
      </x:c>
      <x:c r="AD384" s="34" t="n">
        <x:v>215</x:v>
      </x:c>
      <x:c r="AE384" s="34" t="n">
        <x:v>221</x:v>
      </x:c>
      <x:c r="AF384" s="34" t="n">
        <x:v>114</x:v>
      </x:c>
      <x:c r="AG384" s="32" t="n">
        <x:v>63.36</x:v>
      </x:c>
      <x:c r="AH384" s="32" t="n">
        <x:v>61.14</x:v>
      </x:c>
      <x:c r="AI384" s="32" t="n">
        <x:v>65.69</x:v>
      </x:c>
      <x:c r="AJ384" s="32" t="n">
        <x:v>85.69</x:v>
      </x:c>
      <x:c r="AK384" s="32" t="n">
        <x:v>-16.89</x:v>
      </x:c>
      <x:c r="AL384" s="32" t="n">
        <x:v>51.38</x:v>
      </x:c>
      <x:c r="AM384" s="32" t="str">
        <x:v>#000000</x:v>
      </x:c>
      <x:c r="AN384" s="32" t="str">
        <x:v>Black</x:v>
      </x:c>
      <x:c r="AO384" s="32" t="n">
        <x:v>14.47</x:v>
      </x:c>
      <x:c r="AP384" s="32" t="n">
        <x:v>14.47</x:v>
      </x:c>
      <x:c r="AQ384" s="32" t="n">
        <x:v>1.45</x:v>
      </x:c>
      <x:c r="AR384" s="32" t="n">
        <x:v>0.673749</x:v>
      </x:c>
      <x:c r="AS384" t="str">
        <x:v>PASS</x:v>
      </x:c>
      <x:c r="AT384" t="str">
        <x:v>--cda-mus-470</x:v>
      </x:c>
      <x:c r="AU384" t="str">
        <x:v>var(--cda-mus-470)</x:v>
      </x:c>
      <x:c r="AV384" t="str">
        <x:v>Median RGB from official PDF swatch (screen reference only)</x:v>
      </x:c>
      <x:c r="AW384" t="str">
        <x:v>https://www.carandache.com/content_files/uploaded_doc/product/10986/Colour_Chart_Museum.pdf</x:v>
      </x:c>
      <x:c r="AX384" t="n">
        <x:v>1</x:v>
      </x:c>
      <x:c r="AY384" t="str">
        <x:v>Official</x:v>
      </x:c>
      <x:c r="AZ384" t="str">
        <x:v>Official where available; curated Traditional Chinese/Japanese otherwise</x:v>
      </x:c>
      <x:c r="BA384" t="str">
        <x:v>Verified from official chart; digital HEX is approximate</x:v>
      </x:c>
      <x:c r="BB384" t="str">
        <x:v>Physical media appearance varies by paper, pressure, layering, water and scan/display profile.</x:v>
      </x:c>
    </x:row>
    <x:row r="385">
      <x:c r="A385" t="str">
        <x:f>G385&amp;"|"&amp;L385</x:f>
        <x:v>MUS|720</x:v>
      </x:c>
      <x:c r="B385" t="str">
        <x:v>a419f119-2aa5-5b1b-9d1d-7e124982469b</x:v>
      </x:c>
      <x:c r="C385" t="str">
        <x:v>CDA-MUS-720</x:v>
      </x:c>
      <x:c r="D385" t="str">
        <x:v>45ea4757-a06c-528d-95a0-af6022384e81</x:v>
      </x:c>
      <x:c r="E385" t="str">
        <x:v>CDA-CODE-720</x:v>
      </x:c>
      <x:c r="F385" t="str">
        <x:v>Caran d’Ache</x:v>
      </x:c>
      <x:c r="G385" t="str">
        <x:v>MUS</x:v>
      </x:c>
      <x:c r="H385" t="str">
        <x:v>MUSEUM Aquarelle</x:v>
      </x:c>
      <x:c r="I385" t="str">
        <x:v>Extra-fine water-soluble coloured pencil</x:v>
      </x:c>
      <x:c r="J385" t="str">
        <x:v>Professional</x:v>
      </x:c>
      <x:c r="K385" s="30" t="n">
        <x:v>44</x:v>
      </x:c>
      <x:c r="L385" s="30" t="str">
        <x:v>720</x:v>
      </x:c>
      <x:c r="M385" t="str">
        <x:v>Bright Green</x:v>
      </x:c>
      <x:c r="N385" t="str">
        <x:v>亮綠色</x:v>
      </x:c>
      <x:c r="O385" t="str">
        <x:v>ブライトグリーン</x:v>
      </x:c>
      <x:c r="P385" t="str">
        <x:v>ブライトグリーン</x:v>
      </x:c>
      <x:c r="Q385" t="str">
        <x:v>Vert brillant</x:v>
      </x:c>
      <x:c r="R385" t="str">
        <x:v>Brillantgrün</x:v>
      </x:c>
      <x:c r="S385" t="str">
        <x:v>Verde brillante</x:v>
      </x:c>
      <x:c r="T385" t="str">
        <x:v>Verde brillante</x:v>
      </x:c>
      <x:c r="U385" t="str"/>
      <x:c r="V385" t="str"/>
      <x:c r="W385" t="str">
        <x:v>PG36/PY1/PY3</x:v>
      </x:c>
      <x:c r="X385" t="n">
        <x:f>IF(W385="",0,LEN(W385)-LEN(SUBSTITUTE(W385,"/",""))+1)</x:f>
        <x:v>3</x:v>
      </x:c>
      <x:c r="Y385" t="str">
        <x:v>HHH</x:v>
      </x:c>
      <x:c r="Z385" s="32" t="n">
        <x:v>3</x:v>
      </x:c>
      <x:c r="AA385" s="32" t="n">
        <x:v>5</x:v>
      </x:c>
      <x:c r="AB385" s="32" t="str">
        <x:v>Blue Wool Scale / UV 150h</x:v>
      </x:c>
      <x:c r="AC385" t="str">
        <x:v>#64AF37</x:v>
      </x:c>
      <x:c r="AD385" s="34" t="n">
        <x:v>100</x:v>
      </x:c>
      <x:c r="AE385" s="34" t="n">
        <x:v>175</x:v>
      </x:c>
      <x:c r="AF385" s="34" t="n">
        <x:v>55</x:v>
      </x:c>
      <x:c r="AG385" s="32" t="n">
        <x:v>97.5</x:v>
      </x:c>
      <x:c r="AH385" s="32" t="n">
        <x:v>52.17</x:v>
      </x:c>
      <x:c r="AI385" s="32" t="n">
        <x:v>45.1</x:v>
      </x:c>
      <x:c r="AJ385" s="32" t="n">
        <x:v>64.68</x:v>
      </x:c>
      <x:c r="AK385" s="32" t="n">
        <x:v>-44.17</x:v>
      </x:c>
      <x:c r="AL385" s="32" t="n">
        <x:v>52.02</x:v>
      </x:c>
      <x:c r="AM385" s="32" t="str">
        <x:v>#000000</x:v>
      </x:c>
      <x:c r="AN385" s="32" t="str">
        <x:v>Black</x:v>
      </x:c>
      <x:c r="AO385" s="32" t="n">
        <x:v>7.73</x:v>
      </x:c>
      <x:c r="AP385" s="32" t="n">
        <x:v>7.73</x:v>
      </x:c>
      <x:c r="AQ385" s="32" t="n">
        <x:v>2.72</x:v>
      </x:c>
      <x:c r="AR385" s="32" t="n">
        <x:v>0.336451</x:v>
      </x:c>
      <x:c r="AS385" t="str">
        <x:v>PASS</x:v>
      </x:c>
      <x:c r="AT385" t="str">
        <x:v>--cda-mus-720</x:v>
      </x:c>
      <x:c r="AU385" t="str">
        <x:v>var(--cda-mus-720)</x:v>
      </x:c>
      <x:c r="AV385" t="str">
        <x:v>Median RGB from official PDF swatch (screen reference only)</x:v>
      </x:c>
      <x:c r="AW385" t="str">
        <x:v>https://www.carandache.com/content_files/uploaded_doc/product/10986/Colour_Chart_Museum.pdf</x:v>
      </x:c>
      <x:c r="AX385" t="n">
        <x:v>1</x:v>
      </x:c>
      <x:c r="AY385" t="str">
        <x:v>Official</x:v>
      </x:c>
      <x:c r="AZ385" t="str">
        <x:v>Official where available; curated Traditional Chinese/Japanese otherwise</x:v>
      </x:c>
      <x:c r="BA385" t="str">
        <x:v>Verified from official chart; digital HEX is approximate</x:v>
      </x:c>
      <x:c r="BB385" t="str">
        <x:v>Physical media appearance varies by paper, pressure, layering, water and scan/display profile.</x:v>
      </x:c>
    </x:row>
    <x:row r="386">
      <x:c r="A386" t="str">
        <x:f>G386&amp;"|"&amp;L386</x:f>
        <x:v>MUS|220</x:v>
      </x:c>
      <x:c r="B386" t="str">
        <x:v>2a440770-14ef-5009-a595-a2c505c84077</x:v>
      </x:c>
      <x:c r="C386" t="str">
        <x:v>CDA-MUS-220</x:v>
      </x:c>
      <x:c r="D386" t="str">
        <x:v>69a03597-fa02-5bd4-9968-b3f74f6fcd04</x:v>
      </x:c>
      <x:c r="E386" t="str">
        <x:v>CDA-CODE-220</x:v>
      </x:c>
      <x:c r="F386" t="str">
        <x:v>Caran d’Ache</x:v>
      </x:c>
      <x:c r="G386" t="str">
        <x:v>MUS</x:v>
      </x:c>
      <x:c r="H386" t="str">
        <x:v>MUSEUM Aquarelle</x:v>
      </x:c>
      <x:c r="I386" t="str">
        <x:v>Extra-fine water-soluble coloured pencil</x:v>
      </x:c>
      <x:c r="J386" t="str">
        <x:v>Professional</x:v>
      </x:c>
      <x:c r="K386" s="30" t="n">
        <x:v>45</x:v>
      </x:c>
      <x:c r="L386" s="30" t="str">
        <x:v>220</x:v>
      </x:c>
      <x:c r="M386" t="str">
        <x:v>Grass Green</x:v>
      </x:c>
      <x:c r="N386" t="str">
        <x:v>草綠色</x:v>
      </x:c>
      <x:c r="O386" t="str">
        <x:v>グラス グリーン</x:v>
      </x:c>
      <x:c r="P386" t="str">
        <x:v>グラス グリーン</x:v>
      </x:c>
      <x:c r="Q386" t="str">
        <x:v>Vert Prairie</x:v>
      </x:c>
      <x:c r="R386" t="str">
        <x:v>Grasgrün</x:v>
      </x:c>
      <x:c r="S386" t="str">
        <x:v>Verde prato</x:v>
      </x:c>
      <x:c r="T386" t="str">
        <x:v>Verde prado</x:v>
      </x:c>
      <x:c r="U386" t="str"/>
      <x:c r="V386" t="str"/>
      <x:c r="W386" t="str">
        <x:v>PY3/PG7/PY1</x:v>
      </x:c>
      <x:c r="X386" t="n">
        <x:f>IF(W386="",0,LEN(W386)-LEN(SUBSTITUTE(W386,"/",""))+1)</x:f>
        <x:v>3</x:v>
      </x:c>
      <x:c r="Y386" t="str">
        <x:v>HHH</x:v>
      </x:c>
      <x:c r="Z386" s="32" t="n">
        <x:v>3</x:v>
      </x:c>
      <x:c r="AA386" s="32" t="n">
        <x:v>5</x:v>
      </x:c>
      <x:c r="AB386" s="32" t="str">
        <x:v>Blue Wool Scale / UV 150h</x:v>
      </x:c>
      <x:c r="AC386" t="str">
        <x:v>#7DB73E</x:v>
      </x:c>
      <x:c r="AD386" s="34" t="n">
        <x:v>125</x:v>
      </x:c>
      <x:c r="AE386" s="34" t="n">
        <x:v>183</x:v>
      </x:c>
      <x:c r="AF386" s="34" t="n">
        <x:v>62</x:v>
      </x:c>
      <x:c r="AG386" s="32" t="n">
        <x:v>88.76</x:v>
      </x:c>
      <x:c r="AH386" s="32" t="n">
        <x:v>49.39</x:v>
      </x:c>
      <x:c r="AI386" s="32" t="n">
        <x:v>48.04</x:v>
      </x:c>
      <x:c r="AJ386" s="32" t="n">
        <x:v>68.44</x:v>
      </x:c>
      <x:c r="AK386" s="32" t="n">
        <x:v>-38.32</x:v>
      </x:c>
      <x:c r="AL386" s="32" t="n">
        <x:v>53.53</x:v>
      </x:c>
      <x:c r="AM386" s="32" t="str">
        <x:v>#000000</x:v>
      </x:c>
      <x:c r="AN386" s="32" t="str">
        <x:v>Black</x:v>
      </x:c>
      <x:c r="AO386" s="32" t="n">
        <x:v>8.71</x:v>
      </x:c>
      <x:c r="AP386" s="32" t="n">
        <x:v>8.71</x:v>
      </x:c>
      <x:c r="AQ386" s="32" t="n">
        <x:v>2.41</x:v>
      </x:c>
      <x:c r="AR386" s="32" t="n">
        <x:v>0.385747</x:v>
      </x:c>
      <x:c r="AS386" t="str">
        <x:v>PASS</x:v>
      </x:c>
      <x:c r="AT386" t="str">
        <x:v>--cda-mus-220</x:v>
      </x:c>
      <x:c r="AU386" t="str">
        <x:v>var(--cda-mus-220)</x:v>
      </x:c>
      <x:c r="AV386" t="str">
        <x:v>Median RGB from official PDF swatch (screen reference only)</x:v>
      </x:c>
      <x:c r="AW386" t="str">
        <x:v>https://www.carandache.com/content_files/uploaded_doc/product/10986/Colour_Chart_Museum.pdf</x:v>
      </x:c>
      <x:c r="AX386" t="n">
        <x:v>1</x:v>
      </x:c>
      <x:c r="AY386" t="str">
        <x:v>Official</x:v>
      </x:c>
      <x:c r="AZ386" t="str">
        <x:v>Official where available; curated Traditional Chinese/Japanese otherwise</x:v>
      </x:c>
      <x:c r="BA386" t="str">
        <x:v>Verified from official chart; digital HEX is approximate</x:v>
      </x:c>
      <x:c r="BB386" t="str">
        <x:v>Physical media appearance varies by paper, pressure, layering, water and scan/display profile.</x:v>
      </x:c>
    </x:row>
    <x:row r="387">
      <x:c r="A387" t="str">
        <x:f>G387&amp;"|"&amp;L387</x:f>
        <x:v>MUS|210</x:v>
      </x:c>
      <x:c r="B387" t="str">
        <x:v>2503546a-e6e8-599e-aef4-569e0ab77497</x:v>
      </x:c>
      <x:c r="C387" t="str">
        <x:v>CDA-MUS-210</x:v>
      </x:c>
      <x:c r="D387" t="str">
        <x:v>20169bd8-fae1-5c8f-b26d-df9ab6e5a19c</x:v>
      </x:c>
      <x:c r="E387" t="str">
        <x:v>CDA-CODE-210</x:v>
      </x:c>
      <x:c r="F387" t="str">
        <x:v>Caran d’Ache</x:v>
      </x:c>
      <x:c r="G387" t="str">
        <x:v>MUS</x:v>
      </x:c>
      <x:c r="H387" t="str">
        <x:v>MUSEUM Aquarelle</x:v>
      </x:c>
      <x:c r="I387" t="str">
        <x:v>Extra-fine water-soluble coloured pencil</x:v>
      </x:c>
      <x:c r="J387" t="str">
        <x:v>Professional</x:v>
      </x:c>
      <x:c r="K387" s="30" t="n">
        <x:v>46</x:v>
      </x:c>
      <x:c r="L387" s="30" t="str">
        <x:v>210</x:v>
      </x:c>
      <x:c r="M387" t="str">
        <x:v>Emerald green</x:v>
      </x:c>
      <x:c r="N387" t="str">
        <x:v>祖母綠</x:v>
      </x:c>
      <x:c r="O387" t="str">
        <x:v>エメラルド グリーン</x:v>
      </x:c>
      <x:c r="P387" t="str">
        <x:v>エメラルド グリーン</x:v>
      </x:c>
      <x:c r="Q387" t="str">
        <x:v>Vert émeraude</x:v>
      </x:c>
      <x:c r="R387" t="str">
        <x:v>Smaragdgrün</x:v>
      </x:c>
      <x:c r="S387" t="str">
        <x:v>Verde smeraldo</x:v>
      </x:c>
      <x:c r="T387" t="str">
        <x:v>Verde esmeralda</x:v>
      </x:c>
      <x:c r="U387" t="str"/>
      <x:c r="V387" t="str"/>
      <x:c r="W387" t="str">
        <x:v>PY3/PB15:3</x:v>
      </x:c>
      <x:c r="X387" t="n">
        <x:f>IF(W387="",0,LEN(W387)-LEN(SUBSTITUTE(W387,"/",""))+1)</x:f>
        <x:v>2</x:v>
      </x:c>
      <x:c r="Y387" t="str">
        <x:v>HH</x:v>
      </x:c>
      <x:c r="Z387" s="32" t="n">
        <x:v>2</x:v>
      </x:c>
      <x:c r="AA387" s="32" t="n">
        <x:v>5</x:v>
      </x:c>
      <x:c r="AB387" s="32" t="str">
        <x:v>Blue Wool Scale / UV 150h</x:v>
      </x:c>
      <x:c r="AC387" t="str">
        <x:v>#60B163</x:v>
      </x:c>
      <x:c r="AD387" s="34" t="n">
        <x:v>96</x:v>
      </x:c>
      <x:c r="AE387" s="34" t="n">
        <x:v>177</x:v>
      </x:c>
      <x:c r="AF387" s="34" t="n">
        <x:v>99</x:v>
      </x:c>
      <x:c r="AG387" s="32" t="n">
        <x:v>122.22</x:v>
      </x:c>
      <x:c r="AH387" s="32" t="n">
        <x:v>34.18</x:v>
      </x:c>
      <x:c r="AI387" s="32" t="n">
        <x:v>53.53</x:v>
      </x:c>
      <x:c r="AJ387" s="32" t="n">
        <x:v>65.62</x:v>
      </x:c>
      <x:c r="AK387" s="32" t="n">
        <x:v>-41.14</x:v>
      </x:c>
      <x:c r="AL387" s="32" t="n">
        <x:v>32.34</x:v>
      </x:c>
      <x:c r="AM387" s="32" t="str">
        <x:v>#000000</x:v>
      </x:c>
      <x:c r="AN387" s="32" t="str">
        <x:v>Black</x:v>
      </x:c>
      <x:c r="AO387" s="32" t="n">
        <x:v>7.97</x:v>
      </x:c>
      <x:c r="AP387" s="32" t="n">
        <x:v>7.97</x:v>
      </x:c>
      <x:c r="AQ387" s="32" t="n">
        <x:v>2.64</x:v>
      </x:c>
      <x:c r="AR387" s="32" t="n">
        <x:v>0.348319</x:v>
      </x:c>
      <x:c r="AS387" t="str">
        <x:v>PASS</x:v>
      </x:c>
      <x:c r="AT387" t="str">
        <x:v>--cda-mus-210</x:v>
      </x:c>
      <x:c r="AU387" t="str">
        <x:v>var(--cda-mus-210)</x:v>
      </x:c>
      <x:c r="AV387" t="str">
        <x:v>Median RGB from official PDF swatch (screen reference only)</x:v>
      </x:c>
      <x:c r="AW387" t="str">
        <x:v>https://www.carandache.com/content_files/uploaded_doc/product/10986/Colour_Chart_Museum.pdf</x:v>
      </x:c>
      <x:c r="AX387" t="n">
        <x:v>1</x:v>
      </x:c>
      <x:c r="AY387" t="str">
        <x:v>Official</x:v>
      </x:c>
      <x:c r="AZ387" t="str">
        <x:v>Official where available; curated Traditional Chinese/Japanese otherwise</x:v>
      </x:c>
      <x:c r="BA387" t="str">
        <x:v>Verified from official chart; digital HEX is approximate</x:v>
      </x:c>
      <x:c r="BB387" t="str">
        <x:v>Physical media appearance varies by paper, pressure, layering, water and scan/display profile.</x:v>
      </x:c>
    </x:row>
    <x:row r="388">
      <x:c r="A388" t="str">
        <x:f>G388&amp;"|"&amp;L388</x:f>
        <x:v>MUS|214</x:v>
      </x:c>
      <x:c r="B388" t="str">
        <x:v>082682ee-1ac8-5a44-ba1c-35cf18093f9b</x:v>
      </x:c>
      <x:c r="C388" t="str">
        <x:v>CDA-MUS-214</x:v>
      </x:c>
      <x:c r="D388" t="str">
        <x:v>0176cdf8-a3fa-5528-ae60-e5daa068acaa</x:v>
      </x:c>
      <x:c r="E388" t="str">
        <x:v>CDA-CODE-214</x:v>
      </x:c>
      <x:c r="F388" t="str">
        <x:v>Caran d’Ache</x:v>
      </x:c>
      <x:c r="G388" t="str">
        <x:v>MUS</x:v>
      </x:c>
      <x:c r="H388" t="str">
        <x:v>MUSEUM Aquarelle</x:v>
      </x:c>
      <x:c r="I388" t="str">
        <x:v>Extra-fine water-soluble coloured pencil</x:v>
      </x:c>
      <x:c r="J388" t="str">
        <x:v>Professional</x:v>
      </x:c>
      <x:c r="K388" s="30" t="n">
        <x:v>47</x:v>
      </x:c>
      <x:c r="L388" s="30" t="str">
        <x:v>214</x:v>
      </x:c>
      <x:c r="M388" t="str">
        <x:v>Beryl green</x:v>
      </x:c>
      <x:c r="N388" t="str">
        <x:v>綠柱石綠</x:v>
      </x:c>
      <x:c r="O388" t="str">
        <x:v>ベリルグリーン</x:v>
      </x:c>
      <x:c r="P388" t="str">
        <x:v>ベリルグリーン</x:v>
      </x:c>
      <x:c r="Q388" t="str">
        <x:v>Vert Béryl</x:v>
      </x:c>
      <x:c r="R388" t="str">
        <x:v>Berylgrün</x:v>
      </x:c>
      <x:c r="S388" t="str">
        <x:v>Verde Beryl</x:v>
      </x:c>
      <x:c r="T388" t="str">
        <x:v>Verde Beryl</x:v>
      </x:c>
      <x:c r="U388" t="str"/>
      <x:c r="V388" t="str"/>
      <x:c r="W388" t="str">
        <x:v>PG7</x:v>
      </x:c>
      <x:c r="X388" t="n">
        <x:f>IF(W388="",0,LEN(W388)-LEN(SUBSTITUTE(W388,"/",""))+1)</x:f>
        <x:v>1</x:v>
      </x:c>
      <x:c r="Y388" t="str">
        <x:v>HHH</x:v>
      </x:c>
      <x:c r="Z388" s="32" t="n">
        <x:v>3</x:v>
      </x:c>
      <x:c r="AA388" s="32" t="n">
        <x:v>5</x:v>
      </x:c>
      <x:c r="AB388" s="32" t="str">
        <x:v>Blue Wool Scale / UV 150h</x:v>
      </x:c>
      <x:c r="AC388" t="str">
        <x:v>#62B4A3</x:v>
      </x:c>
      <x:c r="AD388" s="34" t="n">
        <x:v>98</x:v>
      </x:c>
      <x:c r="AE388" s="34" t="n">
        <x:v>180</x:v>
      </x:c>
      <x:c r="AF388" s="34" t="n">
        <x:v>163</x:v>
      </x:c>
      <x:c r="AG388" s="32" t="n">
        <x:v>167.56</x:v>
      </x:c>
      <x:c r="AH388" s="32" t="n">
        <x:v>35.34</x:v>
      </x:c>
      <x:c r="AI388" s="32" t="n">
        <x:v>54.51</x:v>
      </x:c>
      <x:c r="AJ388" s="32" t="n">
        <x:v>67.93</x:v>
      </x:c>
      <x:c r="AK388" s="32" t="n">
        <x:v>-29.22</x:v>
      </x:c>
      <x:c r="AL388" s="32" t="n">
        <x:v>0.9</x:v>
      </x:c>
      <x:c r="AM388" s="32" t="str">
        <x:v>#000000</x:v>
      </x:c>
      <x:c r="AN388" s="32" t="str">
        <x:v>Black</x:v>
      </x:c>
      <x:c r="AO388" s="32" t="n">
        <x:v>8.58</x:v>
      </x:c>
      <x:c r="AP388" s="32" t="n">
        <x:v>8.58</x:v>
      </x:c>
      <x:c r="AQ388" s="32" t="n">
        <x:v>2.45</x:v>
      </x:c>
      <x:c r="AR388" s="32" t="n">
        <x:v>0.378835</x:v>
      </x:c>
      <x:c r="AS388" t="str">
        <x:v>PASS</x:v>
      </x:c>
      <x:c r="AT388" t="str">
        <x:v>--cda-mus-214</x:v>
      </x:c>
      <x:c r="AU388" t="str">
        <x:v>var(--cda-mus-214)</x:v>
      </x:c>
      <x:c r="AV388" t="str">
        <x:v>Median RGB from official PDF swatch (screen reference only)</x:v>
      </x:c>
      <x:c r="AW388" t="str">
        <x:v>https://www.carandache.com/content_files/uploaded_doc/product/10986/Colour_Chart_Museum.pdf</x:v>
      </x:c>
      <x:c r="AX388" t="n">
        <x:v>1</x:v>
      </x:c>
      <x:c r="AY388" t="str">
        <x:v>Official</x:v>
      </x:c>
      <x:c r="AZ388" t="str">
        <x:v>Official where available; curated Traditional Chinese/Japanese otherwise</x:v>
      </x:c>
      <x:c r="BA388" t="str">
        <x:v>Verified from official chart; digital HEX is approximate</x:v>
      </x:c>
      <x:c r="BB388" t="str">
        <x:v>Physical media appearance varies by paper, pressure, layering, water and scan/display profile.</x:v>
      </x:c>
    </x:row>
    <x:row r="389">
      <x:c r="A389" t="str">
        <x:f>G389&amp;"|"&amp;L389</x:f>
        <x:v>MUS|710</x:v>
      </x:c>
      <x:c r="B389" t="str">
        <x:v>e8c201c5-275b-59a7-9351-d6eed664927e</x:v>
      </x:c>
      <x:c r="C389" t="str">
        <x:v>CDA-MUS-710</x:v>
      </x:c>
      <x:c r="D389" t="str">
        <x:v>7ea92f7f-586c-548b-94f9-236bd9e56ace</x:v>
      </x:c>
      <x:c r="E389" t="str">
        <x:v>CDA-CODE-710</x:v>
      </x:c>
      <x:c r="F389" t="str">
        <x:v>Caran d’Ache</x:v>
      </x:c>
      <x:c r="G389" t="str">
        <x:v>MUS</x:v>
      </x:c>
      <x:c r="H389" t="str">
        <x:v>MUSEUM Aquarelle</x:v>
      </x:c>
      <x:c r="I389" t="str">
        <x:v>Extra-fine water-soluble coloured pencil</x:v>
      </x:c>
      <x:c r="J389" t="str">
        <x:v>Professional</x:v>
      </x:c>
      <x:c r="K389" s="30" t="n">
        <x:v>48</x:v>
      </x:c>
      <x:c r="L389" s="30" t="str">
        <x:v>710</x:v>
      </x:c>
      <x:c r="M389" t="str">
        <x:v>Phthalocyanine Green</x:v>
      </x:c>
      <x:c r="N389" t="str">
        <x:v>酞菁綠</x:v>
      </x:c>
      <x:c r="O389" t="str">
        <x:v>フタロシアニングリーン</x:v>
      </x:c>
      <x:c r="P389" t="str">
        <x:v>フタロシアニングリーン</x:v>
      </x:c>
      <x:c r="Q389" t="str">
        <x:v>Vert Phtalo</x:v>
      </x:c>
      <x:c r="R389" t="str">
        <x:v>Phthalocyaningrün</x:v>
      </x:c>
      <x:c r="S389" t="str">
        <x:v>Verde ftalo</x:v>
      </x:c>
      <x:c r="T389" t="str">
        <x:v>Verde phtalo</x:v>
      </x:c>
      <x:c r="U389" t="str"/>
      <x:c r="V389" t="str"/>
      <x:c r="W389" t="str">
        <x:v>PG7</x:v>
      </x:c>
      <x:c r="X389" t="n">
        <x:f>IF(W389="",0,LEN(W389)-LEN(SUBSTITUTE(W389,"/",""))+1)</x:f>
        <x:v>1</x:v>
      </x:c>
      <x:c r="Y389" t="str">
        <x:v>HHH</x:v>
      </x:c>
      <x:c r="Z389" s="32" t="n">
        <x:v>3</x:v>
      </x:c>
      <x:c r="AA389" s="32" t="n">
        <x:v>5</x:v>
      </x:c>
      <x:c r="AB389" s="32" t="str">
        <x:v>Blue Wool Scale / UV 150h</x:v>
      </x:c>
      <x:c r="AC389" t="str">
        <x:v>#299273</x:v>
      </x:c>
      <x:c r="AD389" s="34" t="n">
        <x:v>41</x:v>
      </x:c>
      <x:c r="AE389" s="34" t="n">
        <x:v>146</x:v>
      </x:c>
      <x:c r="AF389" s="34" t="n">
        <x:v>115</x:v>
      </x:c>
      <x:c r="AG389" s="32" t="n">
        <x:v>162.29</x:v>
      </x:c>
      <x:c r="AH389" s="32" t="n">
        <x:v>56.15</x:v>
      </x:c>
      <x:c r="AI389" s="32" t="n">
        <x:v>36.67</x:v>
      </x:c>
      <x:c r="AJ389" s="32" t="n">
        <x:v>54.31</x:v>
      </x:c>
      <x:c r="AK389" s="32" t="n">
        <x:v>-37.2</x:v>
      </x:c>
      <x:c r="AL389" s="32" t="n">
        <x:v>7.98</x:v>
      </x:c>
      <x:c r="AM389" s="32" t="str">
        <x:v>#000000</x:v>
      </x:c>
      <x:c r="AN389" s="32" t="str">
        <x:v>Black</x:v>
      </x:c>
      <x:c r="AO389" s="32" t="n">
        <x:v>5.45</x:v>
      </x:c>
      <x:c r="AP389" s="32" t="n">
        <x:v>5.45</x:v>
      </x:c>
      <x:c r="AQ389" s="32" t="n">
        <x:v>3.85</x:v>
      </x:c>
      <x:c r="AR389" s="32" t="n">
        <x:v>0.22267</x:v>
      </x:c>
      <x:c r="AS389" t="str">
        <x:v>PASS</x:v>
      </x:c>
      <x:c r="AT389" t="str">
        <x:v>--cda-mus-710</x:v>
      </x:c>
      <x:c r="AU389" t="str">
        <x:v>var(--cda-mus-710)</x:v>
      </x:c>
      <x:c r="AV389" t="str">
        <x:v>Median RGB from official PDF swatch (screen reference only)</x:v>
      </x:c>
      <x:c r="AW389" t="str">
        <x:v>https://www.carandache.com/content_files/uploaded_doc/product/10986/Colour_Chart_Museum.pdf</x:v>
      </x:c>
      <x:c r="AX389" t="n">
        <x:v>1</x:v>
      </x:c>
      <x:c r="AY389" t="str">
        <x:v>Official</x:v>
      </x:c>
      <x:c r="AZ389" t="str">
        <x:v>Official where available; curated Traditional Chinese/Japanese otherwise</x:v>
      </x:c>
      <x:c r="BA389" t="str">
        <x:v>Verified from official chart; digital HEX is approximate</x:v>
      </x:c>
      <x:c r="BB389" t="str">
        <x:v>Physical media appearance varies by paper, pressure, layering, water and scan/display profile.</x:v>
      </x:c>
    </x:row>
    <x:row r="390">
      <x:c r="A390" t="str">
        <x:f>G390&amp;"|"&amp;L390</x:f>
        <x:v>MUS|739</x:v>
      </x:c>
      <x:c r="B390" t="str">
        <x:v>841dab1c-419d-5617-9a3b-f5cc13c85828</x:v>
      </x:c>
      <x:c r="C390" t="str">
        <x:v>CDA-MUS-739</x:v>
      </x:c>
      <x:c r="D390" t="str">
        <x:v>05533add-1662-5b3c-a80e-e27e3ea148cd</x:v>
      </x:c>
      <x:c r="E390" t="str">
        <x:v>CDA-CODE-739</x:v>
      </x:c>
      <x:c r="F390" t="str">
        <x:v>Caran d’Ache</x:v>
      </x:c>
      <x:c r="G390" t="str">
        <x:v>MUS</x:v>
      </x:c>
      <x:c r="H390" t="str">
        <x:v>MUSEUM Aquarelle</x:v>
      </x:c>
      <x:c r="I390" t="str">
        <x:v>Extra-fine water-soluble coloured pencil</x:v>
      </x:c>
      <x:c r="J390" t="str">
        <x:v>Professional</x:v>
      </x:c>
      <x:c r="K390" s="30" t="n">
        <x:v>49</x:v>
      </x:c>
      <x:c r="L390" s="30" t="str">
        <x:v>739</x:v>
      </x:c>
      <x:c r="M390" t="str">
        <x:v>Dark sap green</x:v>
      </x:c>
      <x:c r="N390" t="str">
        <x:v>深樹液綠</x:v>
      </x:c>
      <x:c r="O390" t="str">
        <x:v>ダークサップグリーン</x:v>
      </x:c>
      <x:c r="P390" t="str">
        <x:v>ダークサップグリーン</x:v>
      </x:c>
      <x:c r="Q390" t="str">
        <x:v>Vert sapin foncé</x:v>
      </x:c>
      <x:c r="R390" t="str">
        <x:v>Dunkel tannengrün</x:v>
      </x:c>
      <x:c r="S390" t="str">
        <x:v>Verde abete scuro</x:v>
      </x:c>
      <x:c r="T390" t="str">
        <x:v>Verde Abeto oscuro</x:v>
      </x:c>
      <x:c r="U390" t="str"/>
      <x:c r="V390" t="str"/>
      <x:c r="W390" t="str">
        <x:v>PG7/PBk6</x:v>
      </x:c>
      <x:c r="X390" t="n">
        <x:f>IF(W390="",0,LEN(W390)-LEN(SUBSTITUTE(W390,"/",""))+1)</x:f>
        <x:v>2</x:v>
      </x:c>
      <x:c r="Y390" t="str">
        <x:v>HHH</x:v>
      </x:c>
      <x:c r="Z390" s="32" t="n">
        <x:v>3</x:v>
      </x:c>
      <x:c r="AA390" s="32" t="n">
        <x:v>5</x:v>
      </x:c>
      <x:c r="AB390" s="32" t="str">
        <x:v>Blue Wool Scale / UV 150h</x:v>
      </x:c>
      <x:c r="AC390" t="str">
        <x:v>#36A9A6</x:v>
      </x:c>
      <x:c r="AD390" s="34" t="n">
        <x:v>54</x:v>
      </x:c>
      <x:c r="AE390" s="34" t="n">
        <x:v>169</x:v>
      </x:c>
      <x:c r="AF390" s="34" t="n">
        <x:v>166</x:v>
      </x:c>
      <x:c r="AG390" s="32" t="n">
        <x:v>178.43</x:v>
      </x:c>
      <x:c r="AH390" s="32" t="n">
        <x:v>51.57</x:v>
      </x:c>
      <x:c r="AI390" s="32" t="n">
        <x:v>43.73</x:v>
      </x:c>
      <x:c r="AJ390" s="32" t="n">
        <x:v>63.27</x:v>
      </x:c>
      <x:c r="AK390" s="32" t="n">
        <x:v>-31.97</x:v>
      </x:c>
      <x:c r="AL390" s="32" t="n">
        <x:v>-7.8</x:v>
      </x:c>
      <x:c r="AM390" s="32" t="str">
        <x:v>#000000</x:v>
      </x:c>
      <x:c r="AN390" s="32" t="str">
        <x:v>Black</x:v>
      </x:c>
      <x:c r="AO390" s="32" t="n">
        <x:v>7.38</x:v>
      </x:c>
      <x:c r="AP390" s="32" t="n">
        <x:v>7.38</x:v>
      </x:c>
      <x:c r="AQ390" s="32" t="n">
        <x:v>2.84</x:v>
      </x:c>
      <x:c r="AR390" s="32" t="n">
        <x:v>0.319134</x:v>
      </x:c>
      <x:c r="AS390" t="str">
        <x:v>PASS</x:v>
      </x:c>
      <x:c r="AT390" t="str">
        <x:v>--cda-mus-739</x:v>
      </x:c>
      <x:c r="AU390" t="str">
        <x:v>var(--cda-mus-739)</x:v>
      </x:c>
      <x:c r="AV390" t="str">
        <x:v>Median RGB from official PDF swatch (screen reference only)</x:v>
      </x:c>
      <x:c r="AW390" t="str">
        <x:v>https://www.carandache.com/content_files/uploaded_doc/product/10986/Colour_Chart_Museum.pdf</x:v>
      </x:c>
      <x:c r="AX390" t="n">
        <x:v>1</x:v>
      </x:c>
      <x:c r="AY390" t="str">
        <x:v>Official</x:v>
      </x:c>
      <x:c r="AZ390" t="str">
        <x:v>Official where available; curated Traditional Chinese/Japanese otherwise</x:v>
      </x:c>
      <x:c r="BA390" t="str">
        <x:v>Verified from official chart; digital HEX is approximate</x:v>
      </x:c>
      <x:c r="BB390" t="str">
        <x:v>Physical media appearance varies by paper, pressure, layering, water and scan/display profile.</x:v>
      </x:c>
    </x:row>
    <x:row r="391">
      <x:c r="A391" t="str">
        <x:f>G391&amp;"|"&amp;L391</x:f>
        <x:v>MUS|736</x:v>
      </x:c>
      <x:c r="B391" t="str">
        <x:v>4160771b-6694-5e41-aa24-85b321c8e9a5</x:v>
      </x:c>
      <x:c r="C391" t="str">
        <x:v>CDA-MUS-736</x:v>
      </x:c>
      <x:c r="D391" t="str">
        <x:v>d40b9436-8b9d-5cce-9be9-a1f17bad987d</x:v>
      </x:c>
      <x:c r="E391" t="str">
        <x:v>CDA-CODE-736</x:v>
      </x:c>
      <x:c r="F391" t="str">
        <x:v>Caran d’Ache</x:v>
      </x:c>
      <x:c r="G391" t="str">
        <x:v>MUS</x:v>
      </x:c>
      <x:c r="H391" t="str">
        <x:v>MUSEUM Aquarelle</x:v>
      </x:c>
      <x:c r="I391" t="str">
        <x:v>Extra-fine water-soluble coloured pencil</x:v>
      </x:c>
      <x:c r="J391" t="str">
        <x:v>Professional</x:v>
      </x:c>
      <x:c r="K391" s="30" t="n">
        <x:v>50</x:v>
      </x:c>
      <x:c r="L391" s="30" t="str">
        <x:v>736</x:v>
      </x:c>
      <x:c r="M391" t="str">
        <x:v>Brown Olive 50%</x:v>
      </x:c>
      <x:c r="N391" t="str">
        <x:v>棕橄欖色 50%</x:v>
      </x:c>
      <x:c r="O391" t="str">
        <x:v>ブラウンオリーブ50%</x:v>
      </x:c>
      <x:c r="P391" t="str">
        <x:v>ブラウンオリーブ50%</x:v>
      </x:c>
      <x:c r="Q391" t="str">
        <x:v>Olive brunâtre 50%</x:v>
      </x:c>
      <x:c r="R391" t="str">
        <x:v>Braunoliv 50%</x:v>
      </x:c>
      <x:c r="S391" t="str">
        <x:v>Oliva bruna 50%</x:v>
      </x:c>
      <x:c r="T391" t="str">
        <x:v>Oliva marrón 50%</x:v>
      </x:c>
      <x:c r="U391" t="str"/>
      <x:c r="V391" t="str"/>
      <x:c r="W391" t="str">
        <x:v>PY42/PBk6</x:v>
      </x:c>
      <x:c r="X391" t="n">
        <x:f>IF(W391="",0,LEN(W391)-LEN(SUBSTITUTE(W391,"/",""))+1)</x:f>
        <x:v>2</x:v>
      </x:c>
      <x:c r="Y391" t="str">
        <x:v>HHH</x:v>
      </x:c>
      <x:c r="Z391" s="32" t="n">
        <x:v>3</x:v>
      </x:c>
      <x:c r="AA391" s="32" t="n">
        <x:v>5</x:v>
      </x:c>
      <x:c r="AB391" s="32" t="str">
        <x:v>Blue Wool Scale / UV 150h</x:v>
      </x:c>
      <x:c r="AC391" t="str">
        <x:v>#C6AA57</x:v>
      </x:c>
      <x:c r="AD391" s="34" t="n">
        <x:v>198</x:v>
      </x:c>
      <x:c r="AE391" s="34" t="n">
        <x:v>170</x:v>
      </x:c>
      <x:c r="AF391" s="34" t="n">
        <x:v>87</x:v>
      </x:c>
      <x:c r="AG391" s="32" t="n">
        <x:v>44.86</x:v>
      </x:c>
      <x:c r="AH391" s="32" t="n">
        <x:v>49.33</x:v>
      </x:c>
      <x:c r="AI391" s="32" t="n">
        <x:v>55.88</x:v>
      </x:c>
      <x:c r="AJ391" s="32" t="n">
        <x:v>70.49</x:v>
      </x:c>
      <x:c r="AK391" s="32" t="n">
        <x:v>-0.02</x:v>
      </x:c>
      <x:c r="AL391" s="32" t="n">
        <x:v>45.96</x:v>
      </x:c>
      <x:c r="AM391" s="32" t="str">
        <x:v>#000000</x:v>
      </x:c>
      <x:c r="AN391" s="32" t="str">
        <x:v>Black</x:v>
      </x:c>
      <x:c r="AO391" s="32" t="n">
        <x:v>9.29</x:v>
      </x:c>
      <x:c r="AP391" s="32" t="n">
        <x:v>9.29</x:v>
      </x:c>
      <x:c r="AQ391" s="32" t="n">
        <x:v>2.26</x:v>
      </x:c>
      <x:c r="AR391" s="32" t="n">
        <x:v>0.414433</x:v>
      </x:c>
      <x:c r="AS391" t="str">
        <x:v>PASS</x:v>
      </x:c>
      <x:c r="AT391" t="str">
        <x:v>--cda-mus-736</x:v>
      </x:c>
      <x:c r="AU391" t="str">
        <x:v>var(--cda-mus-736)</x:v>
      </x:c>
      <x:c r="AV391" t="str">
        <x:v>Median RGB from official PDF swatch (screen reference only)</x:v>
      </x:c>
      <x:c r="AW391" t="str">
        <x:v>https://www.carandache.com/content_files/uploaded_doc/product/10986/Colour_Chart_Museum.pdf</x:v>
      </x:c>
      <x:c r="AX391" t="n">
        <x:v>1</x:v>
      </x:c>
      <x:c r="AY391" t="str">
        <x:v>Official</x:v>
      </x:c>
      <x:c r="AZ391" t="str">
        <x:v>Official where available; curated Traditional Chinese/Japanese otherwise</x:v>
      </x:c>
      <x:c r="BA391" t="str">
        <x:v>Verified from official chart; digital HEX is approximate</x:v>
      </x:c>
      <x:c r="BB391" t="str">
        <x:v>Physical media appearance varies by paper, pressure, layering, water and scan/display profile.</x:v>
      </x:c>
    </x:row>
    <x:row r="392">
      <x:c r="A392" t="str">
        <x:f>G392&amp;"|"&amp;L392</x:f>
        <x:v>MUS|039</x:v>
      </x:c>
      <x:c r="B392" t="str">
        <x:v>091975d7-8a6b-5c4e-82ba-b1595d2563dd</x:v>
      </x:c>
      <x:c r="C392" t="str">
        <x:v>CDA-MUS-039</x:v>
      </x:c>
      <x:c r="D392" t="str">
        <x:v>f03df3aa-e67d-56c5-88be-9f28d0654f47</x:v>
      </x:c>
      <x:c r="E392" t="str">
        <x:v>CDA-CODE-039</x:v>
      </x:c>
      <x:c r="F392" t="str">
        <x:v>Caran d’Ache</x:v>
      </x:c>
      <x:c r="G392" t="str">
        <x:v>MUS</x:v>
      </x:c>
      <x:c r="H392" t="str">
        <x:v>MUSEUM Aquarelle</x:v>
      </x:c>
      <x:c r="I392" t="str">
        <x:v>Extra-fine water-soluble coloured pencil</x:v>
      </x:c>
      <x:c r="J392" t="str">
        <x:v>Professional</x:v>
      </x:c>
      <x:c r="K392" s="30" t="n">
        <x:v>51</x:v>
      </x:c>
      <x:c r="L392" s="30" t="str">
        <x:v>039</x:v>
      </x:c>
      <x:c r="M392" t="str">
        <x:v>Olive brown</x:v>
      </x:c>
      <x:c r="N392" t="str">
        <x:v>橄欖棕</x:v>
      </x:c>
      <x:c r="O392" t="str">
        <x:v>オリーブ ブラウン</x:v>
      </x:c>
      <x:c r="P392" t="str">
        <x:v>オリーブ ブラウン</x:v>
      </x:c>
      <x:c r="Q392" t="str">
        <x:v>Olive brunâtre</x:v>
      </x:c>
      <x:c r="R392" t="str">
        <x:v>Olivbraun</x:v>
      </x:c>
      <x:c r="S392" t="str">
        <x:v>Oliva bruna</x:v>
      </x:c>
      <x:c r="T392" t="str">
        <x:v>Pardo Oliva</x:v>
      </x:c>
      <x:c r="U392" t="str"/>
      <x:c r="V392" t="str"/>
      <x:c r="W392" t="str">
        <x:v>PBk6/PY42</x:v>
      </x:c>
      <x:c r="X392" t="n">
        <x:f>IF(W392="",0,LEN(W392)-LEN(SUBSTITUTE(W392,"/",""))+1)</x:f>
        <x:v>2</x:v>
      </x:c>
      <x:c r="Y392" t="str">
        <x:v>HHH</x:v>
      </x:c>
      <x:c r="Z392" s="32" t="n">
        <x:v>3</x:v>
      </x:c>
      <x:c r="AA392" s="32" t="n">
        <x:v>5</x:v>
      </x:c>
      <x:c r="AB392" s="32" t="str">
        <x:v>Blue Wool Scale / UV 150h</x:v>
      </x:c>
      <x:c r="AC392" t="str">
        <x:v>#967A4E</x:v>
      </x:c>
      <x:c r="AD392" s="34" t="n">
        <x:v>150</x:v>
      </x:c>
      <x:c r="AE392" s="34" t="n">
        <x:v>122</x:v>
      </x:c>
      <x:c r="AF392" s="34" t="n">
        <x:v>78</x:v>
      </x:c>
      <x:c r="AG392" s="32" t="n">
        <x:v>36.67</x:v>
      </x:c>
      <x:c r="AH392" s="32" t="n">
        <x:v>31.58</x:v>
      </x:c>
      <x:c r="AI392" s="32" t="n">
        <x:v>44.71</x:v>
      </x:c>
      <x:c r="AJ392" s="32" t="n">
        <x:v>52.9</x:v>
      </x:c>
      <x:c r="AK392" s="32" t="n">
        <x:v>4.87</x:v>
      </x:c>
      <x:c r="AL392" s="32" t="n">
        <x:v>28.11</x:v>
      </x:c>
      <x:c r="AM392" s="32" t="str">
        <x:v>#000000</x:v>
      </x:c>
      <x:c r="AN392" s="32" t="str">
        <x:v>Black</x:v>
      </x:c>
      <x:c r="AO392" s="32" t="n">
        <x:v>5.19</x:v>
      </x:c>
      <x:c r="AP392" s="32" t="n">
        <x:v>5.19</x:v>
      </x:c>
      <x:c r="AQ392" s="32" t="n">
        <x:v>4.05</x:v>
      </x:c>
      <x:c r="AR392" s="32" t="n">
        <x:v>0.209532</x:v>
      </x:c>
      <x:c r="AS392" t="str">
        <x:v>PASS</x:v>
      </x:c>
      <x:c r="AT392" t="str">
        <x:v>--cda-mus-039</x:v>
      </x:c>
      <x:c r="AU392" t="str">
        <x:v>var(--cda-mus-039)</x:v>
      </x:c>
      <x:c r="AV392" t="str">
        <x:v>Median RGB from official PDF swatch (screen reference only)</x:v>
      </x:c>
      <x:c r="AW392" t="str">
        <x:v>https://www.carandache.com/content_files/uploaded_doc/product/10986/Colour_Chart_Museum.pdf</x:v>
      </x:c>
      <x:c r="AX392" t="n">
        <x:v>1</x:v>
      </x:c>
      <x:c r="AY392" t="str">
        <x:v>Official</x:v>
      </x:c>
      <x:c r="AZ392" t="str">
        <x:v>Official where available; curated Traditional Chinese/Japanese otherwise</x:v>
      </x:c>
      <x:c r="BA392" t="str">
        <x:v>Verified from official chart; digital HEX is approximate</x:v>
      </x:c>
      <x:c r="BB392" t="str">
        <x:v>Physical media appearance varies by paper, pressure, layering, water and scan/display profile.</x:v>
      </x:c>
    </x:row>
    <x:row r="393">
      <x:c r="A393" t="str">
        <x:f>G393&amp;"|"&amp;L393</x:f>
        <x:v>MUS|037</x:v>
      </x:c>
      <x:c r="B393" t="str">
        <x:v>b1e125b9-db90-50b6-b27e-dffd190c3a7e</x:v>
      </x:c>
      <x:c r="C393" t="str">
        <x:v>CDA-MUS-037</x:v>
      </x:c>
      <x:c r="D393" t="str">
        <x:v>59b41d64-1bde-519b-97de-9680e20c652e</x:v>
      </x:c>
      <x:c r="E393" t="str">
        <x:v>CDA-CODE-037</x:v>
      </x:c>
      <x:c r="F393" t="str">
        <x:v>Caran d’Ache</x:v>
      </x:c>
      <x:c r="G393" t="str">
        <x:v>MUS</x:v>
      </x:c>
      <x:c r="H393" t="str">
        <x:v>MUSEUM Aquarelle</x:v>
      </x:c>
      <x:c r="I393" t="str">
        <x:v>Extra-fine water-soluble coloured pencil</x:v>
      </x:c>
      <x:c r="J393" t="str">
        <x:v>Professional</x:v>
      </x:c>
      <x:c r="K393" s="30" t="n">
        <x:v>52</x:v>
      </x:c>
      <x:c r="L393" s="30" t="str">
        <x:v>037</x:v>
      </x:c>
      <x:c r="M393" t="str">
        <x:v>Brown ochre</x:v>
      </x:c>
      <x:c r="N393" t="str">
        <x:v>棕赭色</x:v>
      </x:c>
      <x:c r="O393" t="str">
        <x:v>ブラウン オーカー</x:v>
      </x:c>
      <x:c r="P393" t="str">
        <x:v>ブラウン オーカー</x:v>
      </x:c>
      <x:c r="Q393" t="str">
        <x:v>Ocre brun</x:v>
      </x:c>
      <x:c r="R393" t="str">
        <x:v>Braunocker</x:v>
      </x:c>
      <x:c r="S393" t="str">
        <x:v>Ocra bruna</x:v>
      </x:c>
      <x:c r="T393" t="str">
        <x:v>Ocre pardo</x:v>
      </x:c>
      <x:c r="U393" t="str"/>
      <x:c r="V393" t="str"/>
      <x:c r="W393" t="str">
        <x:v>PY42/PR101/PBk9</x:v>
      </x:c>
      <x:c r="X393" t="n">
        <x:f>IF(W393="",0,LEN(W393)-LEN(SUBSTITUTE(W393,"/",""))+1)</x:f>
        <x:v>3</x:v>
      </x:c>
      <x:c r="Y393" t="str">
        <x:v>HHH</x:v>
      </x:c>
      <x:c r="Z393" s="32" t="n">
        <x:v>3</x:v>
      </x:c>
      <x:c r="AA393" s="32" t="n">
        <x:v>5</x:v>
      </x:c>
      <x:c r="AB393" s="32" t="str">
        <x:v>Blue Wool Scale / UV 150h</x:v>
      </x:c>
      <x:c r="AC393" t="str">
        <x:v>#D87D46</x:v>
      </x:c>
      <x:c r="AD393" s="34" t="n">
        <x:v>216</x:v>
      </x:c>
      <x:c r="AE393" s="34" t="n">
        <x:v>125</x:v>
      </x:c>
      <x:c r="AF393" s="34" t="n">
        <x:v>70</x:v>
      </x:c>
      <x:c r="AG393" s="32" t="n">
        <x:v>22.6</x:v>
      </x:c>
      <x:c r="AH393" s="32" t="n">
        <x:v>65.18</x:v>
      </x:c>
      <x:c r="AI393" s="32" t="n">
        <x:v>56.08</x:v>
      </x:c>
      <x:c r="AJ393" s="32" t="n">
        <x:v>61.41</x:v>
      </x:c>
      <x:c r="AK393" s="32" t="n">
        <x:v>30.65</x:v>
      </x:c>
      <x:c r="AL393" s="32" t="n">
        <x:v>44.47</x:v>
      </x:c>
      <x:c r="AM393" s="32" t="str">
        <x:v>#000000</x:v>
      </x:c>
      <x:c r="AN393" s="32" t="str">
        <x:v>Black</x:v>
      </x:c>
      <x:c r="AO393" s="32" t="n">
        <x:v>6.94</x:v>
      </x:c>
      <x:c r="AP393" s="32" t="n">
        <x:v>6.94</x:v>
      </x:c>
      <x:c r="AQ393" s="32" t="n">
        <x:v>3.03</x:v>
      </x:c>
      <x:c r="AR393" s="32" t="n">
        <x:v>0.297084</x:v>
      </x:c>
      <x:c r="AS393" t="str">
        <x:v>PASS</x:v>
      </x:c>
      <x:c r="AT393" t="str">
        <x:v>--cda-mus-037</x:v>
      </x:c>
      <x:c r="AU393" t="str">
        <x:v>var(--cda-mus-037)</x:v>
      </x:c>
      <x:c r="AV393" t="str">
        <x:v>Median RGB from official PDF swatch (screen reference only)</x:v>
      </x:c>
      <x:c r="AW393" t="str">
        <x:v>https://www.carandache.com/content_files/uploaded_doc/product/10986/Colour_Chart_Museum.pdf</x:v>
      </x:c>
      <x:c r="AX393" t="n">
        <x:v>1</x:v>
      </x:c>
      <x:c r="AY393" t="str">
        <x:v>Official</x:v>
      </x:c>
      <x:c r="AZ393" t="str">
        <x:v>Official where available; curated Traditional Chinese/Japanese otherwise</x:v>
      </x:c>
      <x:c r="BA393" t="str">
        <x:v>Verified from official chart; digital HEX is approximate</x:v>
      </x:c>
      <x:c r="BB393" t="str">
        <x:v>Physical media appearance varies by paper, pressure, layering, water and scan/display profile.</x:v>
      </x:c>
    </x:row>
    <x:row r="394">
      <x:c r="A394" t="str">
        <x:f>G394&amp;"|"&amp;L394</x:f>
        <x:v>MUS|036</x:v>
      </x:c>
      <x:c r="B394" t="str">
        <x:v>8461318e-8892-5447-b5a2-d32d3123e2ff</x:v>
      </x:c>
      <x:c r="C394" t="str">
        <x:v>CDA-MUS-036</x:v>
      </x:c>
      <x:c r="D394" t="str">
        <x:v>0f5afcdf-d0ec-594e-9317-d048151338ad</x:v>
      </x:c>
      <x:c r="E394" t="str">
        <x:v>CDA-CODE-036</x:v>
      </x:c>
      <x:c r="F394" t="str">
        <x:v>Caran d’Ache</x:v>
      </x:c>
      <x:c r="G394" t="str">
        <x:v>MUS</x:v>
      </x:c>
      <x:c r="H394" t="str">
        <x:v>MUSEUM Aquarelle</x:v>
      </x:c>
      <x:c r="I394" t="str">
        <x:v>Extra-fine water-soluble coloured pencil</x:v>
      </x:c>
      <x:c r="J394" t="str">
        <x:v>Professional</x:v>
      </x:c>
      <x:c r="K394" s="30" t="n">
        <x:v>53</x:v>
      </x:c>
      <x:c r="L394" s="30" t="str">
        <x:v>036</x:v>
      </x:c>
      <x:c r="M394" t="str">
        <x:v>Raw sienna</x:v>
      </x:c>
      <x:c r="N394" t="str">
        <x:v>生赭色</x:v>
      </x:c>
      <x:c r="O394" t="str">
        <x:v>ロｰシェンナ</x:v>
      </x:c>
      <x:c r="P394" t="str">
        <x:v>ロｰシェンナ</x:v>
      </x:c>
      <x:c r="Q394" t="str">
        <x:v>Sienne naturelle</x:v>
      </x:c>
      <x:c r="R394" t="str">
        <x:v>Siena natur</x:v>
      </x:c>
      <x:c r="S394" t="str">
        <x:v>Terra di Siena naturale</x:v>
      </x:c>
      <x:c r="T394" t="str">
        <x:v>Siena natural</x:v>
      </x:c>
      <x:c r="U394" t="str"/>
      <x:c r="V394" t="str"/>
      <x:c r="W394" t="str">
        <x:v>PY42</x:v>
      </x:c>
      <x:c r="X394" t="n">
        <x:f>IF(W394="",0,LEN(W394)-LEN(SUBSTITUTE(W394,"/",""))+1)</x:f>
        <x:v>1</x:v>
      </x:c>
      <x:c r="Y394" t="str">
        <x:v>HHH</x:v>
      </x:c>
      <x:c r="Z394" s="32" t="n">
        <x:v>3</x:v>
      </x:c>
      <x:c r="AA394" s="32" t="n">
        <x:v>5</x:v>
      </x:c>
      <x:c r="AB394" s="32" t="str">
        <x:v>Blue Wool Scale / UV 150h</x:v>
      </x:c>
      <x:c r="AC394" t="str">
        <x:v>#F7CC8E</x:v>
      </x:c>
      <x:c r="AD394" s="34" t="n">
        <x:v>247</x:v>
      </x:c>
      <x:c r="AE394" s="34" t="n">
        <x:v>204</x:v>
      </x:c>
      <x:c r="AF394" s="34" t="n">
        <x:v>142</x:v>
      </x:c>
      <x:c r="AG394" s="32" t="n">
        <x:v>35.43</x:v>
      </x:c>
      <x:c r="AH394" s="32" t="n">
        <x:v>86.78</x:v>
      </x:c>
      <x:c r="AI394" s="32" t="n">
        <x:v>76.27</x:v>
      </x:c>
      <x:c r="AJ394" s="32" t="n">
        <x:v>84.44</x:v>
      </x:c>
      <x:c r="AK394" s="32" t="n">
        <x:v>7.21</x:v>
      </x:c>
      <x:c r="AL394" s="32" t="n">
        <x:v>36.56</x:v>
      </x:c>
      <x:c r="AM394" s="32" t="str">
        <x:v>#000000</x:v>
      </x:c>
      <x:c r="AN394" s="32" t="str">
        <x:v>Black</x:v>
      </x:c>
      <x:c r="AO394" s="32" t="n">
        <x:v>13.98</x:v>
      </x:c>
      <x:c r="AP394" s="32" t="n">
        <x:v>13.98</x:v>
      </x:c>
      <x:c r="AQ394" s="32" t="n">
        <x:v>1.5</x:v>
      </x:c>
      <x:c r="AR394" s="32" t="n">
        <x:v>0.649129</x:v>
      </x:c>
      <x:c r="AS394" t="str">
        <x:v>PASS</x:v>
      </x:c>
      <x:c r="AT394" t="str">
        <x:v>--cda-mus-036</x:v>
      </x:c>
      <x:c r="AU394" t="str">
        <x:v>var(--cda-mus-036)</x:v>
      </x:c>
      <x:c r="AV394" t="str">
        <x:v>Median RGB from official PDF swatch (screen reference only)</x:v>
      </x:c>
      <x:c r="AW394" t="str">
        <x:v>https://www.carandache.com/content_files/uploaded_doc/product/10986/Colour_Chart_Museum.pdf</x:v>
      </x:c>
      <x:c r="AX394" t="n">
        <x:v>1</x:v>
      </x:c>
      <x:c r="AY394" t="str">
        <x:v>Official</x:v>
      </x:c>
      <x:c r="AZ394" t="str">
        <x:v>Official where available; curated Traditional Chinese/Japanese otherwise</x:v>
      </x:c>
      <x:c r="BA394" t="str">
        <x:v>Verified from official chart; digital HEX is approximate</x:v>
      </x:c>
      <x:c r="BB394" t="str">
        <x:v>Physical media appearance varies by paper, pressure, layering, water and scan/display profile.</x:v>
      </x:c>
    </x:row>
    <x:row r="395">
      <x:c r="A395" t="str">
        <x:f>G395&amp;"|"&amp;L395</x:f>
        <x:v>MUS|034</x:v>
      </x:c>
      <x:c r="B395" t="str">
        <x:v>9e90cf7e-517c-599b-84ab-591e43b6fb9d</x:v>
      </x:c>
      <x:c r="C395" t="str">
        <x:v>CDA-MUS-034</x:v>
      </x:c>
      <x:c r="D395" t="str">
        <x:v>0537fc38-1d75-5d53-a870-df514997a629</x:v>
      </x:c>
      <x:c r="E395" t="str">
        <x:v>CDA-CODE-034</x:v>
      </x:c>
      <x:c r="F395" t="str">
        <x:v>Caran d’Ache</x:v>
      </x:c>
      <x:c r="G395" t="str">
        <x:v>MUS</x:v>
      </x:c>
      <x:c r="H395" t="str">
        <x:v>MUSEUM Aquarelle</x:v>
      </x:c>
      <x:c r="I395" t="str">
        <x:v>Extra-fine water-soluble coloured pencil</x:v>
      </x:c>
      <x:c r="J395" t="str">
        <x:v>Professional</x:v>
      </x:c>
      <x:c r="K395" s="30" t="n">
        <x:v>54</x:v>
      </x:c>
      <x:c r="L395" s="30" t="str">
        <x:v>034</x:v>
      </x:c>
      <x:c r="M395" t="str">
        <x:v>Yellow ochre</x:v>
      </x:c>
      <x:c r="N395" t="str">
        <x:v>黃赭色</x:v>
      </x:c>
      <x:c r="O395" t="str">
        <x:v>イエローオーカー</x:v>
      </x:c>
      <x:c r="P395" t="str">
        <x:v>イエローオーカー</x:v>
      </x:c>
      <x:c r="Q395" t="str">
        <x:v>Ocre Jaune</x:v>
      </x:c>
      <x:c r="R395" t="str">
        <x:v>Gelbocker</x:v>
      </x:c>
      <x:c r="S395" t="str">
        <x:v>Ocra giallo</x:v>
      </x:c>
      <x:c r="T395" t="str">
        <x:v>Ocre amarillo</x:v>
      </x:c>
      <x:c r="U395" t="str"/>
      <x:c r="V395" t="str"/>
      <x:c r="W395" t="str">
        <x:v>PY42/PY184</x:v>
      </x:c>
      <x:c r="X395" t="n">
        <x:f>IF(W395="",0,LEN(W395)-LEN(SUBSTITUTE(W395,"/",""))+1)</x:f>
        <x:v>2</x:v>
      </x:c>
      <x:c r="Y395" t="str">
        <x:v>HHH</x:v>
      </x:c>
      <x:c r="Z395" s="32" t="n">
        <x:v>3</x:v>
      </x:c>
      <x:c r="AA395" s="32" t="n">
        <x:v>5</x:v>
      </x:c>
      <x:c r="AB395" s="32" t="str">
        <x:v>Blue Wool Scale / UV 150h</x:v>
      </x:c>
      <x:c r="AC395" t="str">
        <x:v>#FAD996</x:v>
      </x:c>
      <x:c r="AD395" s="34" t="n">
        <x:v>250</x:v>
      </x:c>
      <x:c r="AE395" s="34" t="n">
        <x:v>217</x:v>
      </x:c>
      <x:c r="AF395" s="34" t="n">
        <x:v>150</x:v>
      </x:c>
      <x:c r="AG395" s="32" t="n">
        <x:v>40.2</x:v>
      </x:c>
      <x:c r="AH395" s="32" t="n">
        <x:v>90.91</x:v>
      </x:c>
      <x:c r="AI395" s="32" t="n">
        <x:v>78.43</x:v>
      </x:c>
      <x:c r="AJ395" s="32" t="n">
        <x:v>88.04</x:v>
      </x:c>
      <x:c r="AK395" s="32" t="n">
        <x:v>2.52</x:v>
      </x:c>
      <x:c r="AL395" s="32" t="n">
        <x:v>37.23</x:v>
      </x:c>
      <x:c r="AM395" s="32" t="str">
        <x:v>#000000</x:v>
      </x:c>
      <x:c r="AN395" s="32" t="str">
        <x:v>Black</x:v>
      </x:c>
      <x:c r="AO395" s="32" t="n">
        <x:v>15.43</x:v>
      </x:c>
      <x:c r="AP395" s="32" t="n">
        <x:v>15.43</x:v>
      </x:c>
      <x:c r="AQ395" s="32" t="n">
        <x:v>1.36</x:v>
      </x:c>
      <x:c r="AR395" s="32" t="n">
        <x:v>0.721517</x:v>
      </x:c>
      <x:c r="AS395" t="str">
        <x:v>PASS</x:v>
      </x:c>
      <x:c r="AT395" t="str">
        <x:v>--cda-mus-034</x:v>
      </x:c>
      <x:c r="AU395" t="str">
        <x:v>var(--cda-mus-034)</x:v>
      </x:c>
      <x:c r="AV395" t="str">
        <x:v>Median RGB from official PDF swatch (screen reference only)</x:v>
      </x:c>
      <x:c r="AW395" t="str">
        <x:v>https://www.carandache.com/content_files/uploaded_doc/product/10986/Colour_Chart_Museum.pdf</x:v>
      </x:c>
      <x:c r="AX395" t="n">
        <x:v>1</x:v>
      </x:c>
      <x:c r="AY395" t="str">
        <x:v>Official</x:v>
      </x:c>
      <x:c r="AZ395" t="str">
        <x:v>Official where available; curated Traditional Chinese/Japanese otherwise</x:v>
      </x:c>
      <x:c r="BA395" t="str">
        <x:v>Verified from official chart; digital HEX is approximate</x:v>
      </x:c>
      <x:c r="BB395" t="str">
        <x:v>Physical media appearance varies by paper, pressure, layering, water and scan/display profile.</x:v>
      </x:c>
    </x:row>
    <x:row r="396">
      <x:c r="A396" t="str">
        <x:f>G396&amp;"|"&amp;L396</x:f>
        <x:v>MUS|548</x:v>
      </x:c>
      <x:c r="B396" t="str">
        <x:v>ba51c2b1-e6fc-5c22-987f-68e0a660706a</x:v>
      </x:c>
      <x:c r="C396" t="str">
        <x:v>CDA-MUS-548</x:v>
      </x:c>
      <x:c r="D396" t="str">
        <x:v>797bbd12-75ce-5096-9f93-f1c2fd4218a3</x:v>
      </x:c>
      <x:c r="E396" t="str">
        <x:v>CDA-CODE-548</x:v>
      </x:c>
      <x:c r="F396" t="str">
        <x:v>Caran d’Ache</x:v>
      </x:c>
      <x:c r="G396" t="str">
        <x:v>MUS</x:v>
      </x:c>
      <x:c r="H396" t="str">
        <x:v>MUSEUM Aquarelle</x:v>
      </x:c>
      <x:c r="I396" t="str">
        <x:v>Extra-fine water-soluble coloured pencil</x:v>
      </x:c>
      <x:c r="J396" t="str">
        <x:v>Professional</x:v>
      </x:c>
      <x:c r="K396" s="30" t="n">
        <x:v>55</x:v>
      </x:c>
      <x:c r="L396" s="30" t="str">
        <x:v>548</x:v>
      </x:c>
      <x:c r="M396" t="str">
        <x:v>Umber</x:v>
      </x:c>
      <x:c r="N396" t="str">
        <x:v>褐土色</x:v>
      </x:c>
      <x:c r="O396" t="str">
        <x:v>ジェニュインアンバー</x:v>
      </x:c>
      <x:c r="P396" t="str">
        <x:v>ジェニュインアンバー</x:v>
      </x:c>
      <x:c r="Q396" t="str">
        <x:v>Ombre Naturelle</x:v>
      </x:c>
      <x:c r="R396" t="str">
        <x:v>Echtumbra</x:v>
      </x:c>
      <x:c r="S396" t="str">
        <x:v>Ombra permanente</x:v>
      </x:c>
      <x:c r="T396" t="str">
        <x:v>Sombra permanente</x:v>
      </x:c>
      <x:c r="U396" t="str"/>
      <x:c r="V396" t="str"/>
      <x:c r="W396" t="str">
        <x:v>PBk11/PY42</x:v>
      </x:c>
      <x:c r="X396" t="n">
        <x:f>IF(W396="",0,LEN(W396)-LEN(SUBSTITUTE(W396,"/",""))+1)</x:f>
        <x:v>2</x:v>
      </x:c>
      <x:c r="Y396" t="str">
        <x:v>HHH</x:v>
      </x:c>
      <x:c r="Z396" s="32" t="n">
        <x:v>3</x:v>
      </x:c>
      <x:c r="AA396" s="32" t="n">
        <x:v>5</x:v>
      </x:c>
      <x:c r="AB396" s="32" t="str">
        <x:v>Blue Wool Scale / UV 150h</x:v>
      </x:c>
      <x:c r="AC396" t="str">
        <x:v>#D0A86E</x:v>
      </x:c>
      <x:c r="AD396" s="34" t="n">
        <x:v>208</x:v>
      </x:c>
      <x:c r="AE396" s="34" t="n">
        <x:v>168</x:v>
      </x:c>
      <x:c r="AF396" s="34" t="n">
        <x:v>110</x:v>
      </x:c>
      <x:c r="AG396" s="32" t="n">
        <x:v>35.51</x:v>
      </x:c>
      <x:c r="AH396" s="32" t="n">
        <x:v>51.04</x:v>
      </x:c>
      <x:c r="AI396" s="32" t="n">
        <x:v>62.35</x:v>
      </x:c>
      <x:c r="AJ396" s="32" t="n">
        <x:v>71.24</x:v>
      </x:c>
      <x:c r="AK396" s="32" t="n">
        <x:v>7.28</x:v>
      </x:c>
      <x:c r="AL396" s="32" t="n">
        <x:v>35.41</x:v>
      </x:c>
      <x:c r="AM396" s="32" t="str">
        <x:v>#000000</x:v>
      </x:c>
      <x:c r="AN396" s="32" t="str">
        <x:v>Black</x:v>
      </x:c>
      <x:c r="AO396" s="32" t="n">
        <x:v>9.51</x:v>
      </x:c>
      <x:c r="AP396" s="32" t="n">
        <x:v>9.51</x:v>
      </x:c>
      <x:c r="AQ396" s="32" t="n">
        <x:v>2.21</x:v>
      </x:c>
      <x:c r="AR396" s="32" t="n">
        <x:v>0.425409</x:v>
      </x:c>
      <x:c r="AS396" t="str">
        <x:v>PASS</x:v>
      </x:c>
      <x:c r="AT396" t="str">
        <x:v>--cda-mus-548</x:v>
      </x:c>
      <x:c r="AU396" t="str">
        <x:v>var(--cda-mus-548)</x:v>
      </x:c>
      <x:c r="AV396" t="str">
        <x:v>Median RGB from official PDF swatch (screen reference only)</x:v>
      </x:c>
      <x:c r="AW396" t="str">
        <x:v>https://www.carandache.com/content_files/uploaded_doc/product/10986/Colour_Chart_Museum.pdf</x:v>
      </x:c>
      <x:c r="AX396" t="n">
        <x:v>1</x:v>
      </x:c>
      <x:c r="AY396" t="str">
        <x:v>Official</x:v>
      </x:c>
      <x:c r="AZ396" t="str">
        <x:v>Official where available; curated Traditional Chinese/Japanese otherwise</x:v>
      </x:c>
      <x:c r="BA396" t="str">
        <x:v>Verified from official chart; digital HEX is approximate</x:v>
      </x:c>
      <x:c r="BB396" t="str">
        <x:v>Physical media appearance varies by paper, pressure, layering, water and scan/display profile.</x:v>
      </x:c>
    </x:row>
    <x:row r="397">
      <x:c r="A397" t="str">
        <x:f>G397&amp;"|"&amp;L397</x:f>
        <x:v>MUS|052</x:v>
      </x:c>
      <x:c r="B397" t="str">
        <x:v>739efdb9-1da8-57c6-ac2a-9c0b9008ba14</x:v>
      </x:c>
      <x:c r="C397" t="str">
        <x:v>CDA-MUS-052</x:v>
      </x:c>
      <x:c r="D397" t="str">
        <x:v>c578249b-2849-5910-b333-baf5c652e1b3</x:v>
      </x:c>
      <x:c r="E397" t="str">
        <x:v>CDA-CODE-052</x:v>
      </x:c>
      <x:c r="F397" t="str">
        <x:v>Caran d’Ache</x:v>
      </x:c>
      <x:c r="G397" t="str">
        <x:v>MUS</x:v>
      </x:c>
      <x:c r="H397" t="str">
        <x:v>MUSEUM Aquarelle</x:v>
      </x:c>
      <x:c r="I397" t="str">
        <x:v>Extra-fine water-soluble coloured pencil</x:v>
      </x:c>
      <x:c r="J397" t="str">
        <x:v>Professional</x:v>
      </x:c>
      <x:c r="K397" s="30" t="n">
        <x:v>56</x:v>
      </x:c>
      <x:c r="L397" s="30" t="str">
        <x:v>052</x:v>
      </x:c>
      <x:c r="M397" t="str">
        <x:v>Saffron</x:v>
      </x:c>
      <x:c r="N397" t="str">
        <x:v>藏紅花黃</x:v>
      </x:c>
      <x:c r="O397" t="str">
        <x:v>サフラン</x:v>
      </x:c>
      <x:c r="P397" t="str">
        <x:v>サフラン</x:v>
      </x:c>
      <x:c r="Q397" t="str">
        <x:v>Safran</x:v>
      </x:c>
      <x:c r="R397" t="str">
        <x:v>Safran</x:v>
      </x:c>
      <x:c r="S397" t="str">
        <x:v>Zafferano</x:v>
      </x:c>
      <x:c r="T397" t="str">
        <x:v>Azafrán</x:v>
      </x:c>
      <x:c r="U397" t="str"/>
      <x:c r="V397" t="str"/>
      <x:c r="W397" t="str">
        <x:v>PO82/PR101</x:v>
      </x:c>
      <x:c r="X397" t="n">
        <x:f>IF(W397="",0,LEN(W397)-LEN(SUBSTITUTE(W397,"/",""))+1)</x:f>
        <x:v>2</x:v>
      </x:c>
      <x:c r="Y397" t="str">
        <x:v>HH</x:v>
      </x:c>
      <x:c r="Z397" s="32" t="n">
        <x:v>2</x:v>
      </x:c>
      <x:c r="AA397" s="32" t="n">
        <x:v>5</x:v>
      </x:c>
      <x:c r="AB397" s="32" t="str">
        <x:v>Blue Wool Scale / UV 150h</x:v>
      </x:c>
      <x:c r="AC397" t="str">
        <x:v>#F3B96D</x:v>
      </x:c>
      <x:c r="AD397" s="34" t="n">
        <x:v>243</x:v>
      </x:c>
      <x:c r="AE397" s="34" t="n">
        <x:v>185</x:v>
      </x:c>
      <x:c r="AF397" s="34" t="n">
        <x:v>109</x:v>
      </x:c>
      <x:c r="AG397" s="32" t="n">
        <x:v>34.03</x:v>
      </x:c>
      <x:c r="AH397" s="32" t="n">
        <x:v>84.81</x:v>
      </x:c>
      <x:c r="AI397" s="32" t="n">
        <x:v>69.02</x:v>
      </x:c>
      <x:c r="AJ397" s="32" t="n">
        <x:v>78.96</x:v>
      </x:c>
      <x:c r="AK397" s="32" t="n">
        <x:v>12.52</x:v>
      </x:c>
      <x:c r="AL397" s="32" t="n">
        <x:v>46.28</x:v>
      </x:c>
      <x:c r="AM397" s="32" t="str">
        <x:v>#000000</x:v>
      </x:c>
      <x:c r="AN397" s="32" t="str">
        <x:v>Black</x:v>
      </x:c>
      <x:c r="AO397" s="32" t="n">
        <x:v>11.97</x:v>
      </x:c>
      <x:c r="AP397" s="32" t="n">
        <x:v>11.97</x:v>
      </x:c>
      <x:c r="AQ397" s="32" t="n">
        <x:v>1.75</x:v>
      </x:c>
      <x:c r="AR397" s="32" t="n">
        <x:v>0.548567</x:v>
      </x:c>
      <x:c r="AS397" t="str">
        <x:v>PASS</x:v>
      </x:c>
      <x:c r="AT397" t="str">
        <x:v>--cda-mus-052</x:v>
      </x:c>
      <x:c r="AU397" t="str">
        <x:v>var(--cda-mus-052)</x:v>
      </x:c>
      <x:c r="AV397" t="str">
        <x:v>Median RGB from official PDF swatch (screen reference only)</x:v>
      </x:c>
      <x:c r="AW397" t="str">
        <x:v>https://www.carandache.com/content_files/uploaded_doc/product/10986/Colour_Chart_Museum.pdf</x:v>
      </x:c>
      <x:c r="AX397" t="n">
        <x:v>1</x:v>
      </x:c>
      <x:c r="AY397" t="str">
        <x:v>Official</x:v>
      </x:c>
      <x:c r="AZ397" t="str">
        <x:v>Official where available; curated Traditional Chinese/Japanese otherwise</x:v>
      </x:c>
      <x:c r="BA397" t="str">
        <x:v>Verified from official chart; digital HEX is approximate</x:v>
      </x:c>
      <x:c r="BB397" t="str">
        <x:v>Physical media appearance varies by paper, pressure, layering, water and scan/display profile.</x:v>
      </x:c>
    </x:row>
    <x:row r="398">
      <x:c r="A398" t="str">
        <x:f>G398&amp;"|"&amp;L398</x:f>
        <x:v>MUS|542</x:v>
      </x:c>
      <x:c r="B398" t="str">
        <x:v>e71e3124-9075-565a-b912-3530a3df1895</x:v>
      </x:c>
      <x:c r="C398" t="str">
        <x:v>CDA-MUS-542</x:v>
      </x:c>
      <x:c r="D398" t="str">
        <x:v>e6b97c63-44ad-5921-912c-ff40fdb5df56</x:v>
      </x:c>
      <x:c r="E398" t="str">
        <x:v>CDA-CODE-542</x:v>
      </x:c>
      <x:c r="F398" t="str">
        <x:v>Caran d’Ache</x:v>
      </x:c>
      <x:c r="G398" t="str">
        <x:v>MUS</x:v>
      </x:c>
      <x:c r="H398" t="str">
        <x:v>MUSEUM Aquarelle</x:v>
      </x:c>
      <x:c r="I398" t="str">
        <x:v>Extra-fine water-soluble coloured pencil</x:v>
      </x:c>
      <x:c r="J398" t="str">
        <x:v>Professional</x:v>
      </x:c>
      <x:c r="K398" s="30" t="n">
        <x:v>57</x:v>
      </x:c>
      <x:c r="L398" s="30" t="str">
        <x:v>542</x:v>
      </x:c>
      <x:c r="M398" t="str">
        <x:v>Light flesh 10%</x:v>
      </x:c>
      <x:c r="N398" t="str">
        <x:v>淺膚色 10%</x:v>
      </x:c>
      <x:c r="O398" t="str">
        <x:v>ライトフレッシュ10%</x:v>
      </x:c>
      <x:c r="P398" t="str">
        <x:v>ライトフレッシュ10%</x:v>
      </x:c>
      <x:c r="Q398" t="str">
        <x:v>Chair claire 10%</x:v>
      </x:c>
      <x:c r="R398" t="str">
        <x:v>Hellfleischfarbig 10%</x:v>
      </x:c>
      <x:c r="S398" t="str">
        <x:v>Incarnato chiaro 10%</x:v>
      </x:c>
      <x:c r="T398" t="str">
        <x:v>Carne claro 10%</x:v>
      </x:c>
      <x:c r="U398" t="str"/>
      <x:c r="V398" t="str"/>
      <x:c r="W398" t="str">
        <x:v>PO82</x:v>
      </x:c>
      <x:c r="X398" t="n">
        <x:f>IF(W398="",0,LEN(W398)-LEN(SUBSTITUTE(W398,"/",""))+1)</x:f>
        <x:v>1</x:v>
      </x:c>
      <x:c r="Y398" t="str">
        <x:v>HHH</x:v>
      </x:c>
      <x:c r="Z398" s="32" t="n">
        <x:v>3</x:v>
      </x:c>
      <x:c r="AA398" s="32" t="n">
        <x:v>5</x:v>
      </x:c>
      <x:c r="AB398" s="32" t="str">
        <x:v>Blue Wool Scale / UV 150h</x:v>
      </x:c>
      <x:c r="AC398" t="str">
        <x:v>#F8E2C5</x:v>
      </x:c>
      <x:c r="AD398" s="34" t="n">
        <x:v>248</x:v>
      </x:c>
      <x:c r="AE398" s="34" t="n">
        <x:v>226</x:v>
      </x:c>
      <x:c r="AF398" s="34" t="n">
        <x:v>197</x:v>
      </x:c>
      <x:c r="AG398" s="32" t="n">
        <x:v>34.12</x:v>
      </x:c>
      <x:c r="AH398" s="32" t="n">
        <x:v>78.46</x:v>
      </x:c>
      <x:c r="AI398" s="32" t="n">
        <x:v>87.25</x:v>
      </x:c>
      <x:c r="AJ398" s="32" t="n">
        <x:v>90.95</x:v>
      </x:c>
      <x:c r="AK398" s="32" t="n">
        <x:v>3.04</x:v>
      </x:c>
      <x:c r="AL398" s="32" t="n">
        <x:v>16.92</x:v>
      </x:c>
      <x:c r="AM398" s="32" t="str">
        <x:v>#000000</x:v>
      </x:c>
      <x:c r="AN398" s="32" t="str">
        <x:v>Black</x:v>
      </x:c>
      <x:c r="AO398" s="32" t="n">
        <x:v>16.68</x:v>
      </x:c>
      <x:c r="AP398" s="32" t="n">
        <x:v>16.68</x:v>
      </x:c>
      <x:c r="AQ398" s="32" t="n">
        <x:v>1.26</x:v>
      </x:c>
      <x:c r="AR398" s="32" t="n">
        <x:v>0.783804</x:v>
      </x:c>
      <x:c r="AS398" t="str">
        <x:v>PASS</x:v>
      </x:c>
      <x:c r="AT398" t="str">
        <x:v>--cda-mus-542</x:v>
      </x:c>
      <x:c r="AU398" t="str">
        <x:v>var(--cda-mus-542)</x:v>
      </x:c>
      <x:c r="AV398" t="str">
        <x:v>Median RGB from official PDF swatch (screen reference only)</x:v>
      </x:c>
      <x:c r="AW398" t="str">
        <x:v>https://www.carandache.com/content_files/uploaded_doc/product/10986/Colour_Chart_Museum.pdf</x:v>
      </x:c>
      <x:c r="AX398" t="n">
        <x:v>1</x:v>
      </x:c>
      <x:c r="AY398" t="str">
        <x:v>Official</x:v>
      </x:c>
      <x:c r="AZ398" t="str">
        <x:v>Official where available; curated Traditional Chinese/Japanese otherwise</x:v>
      </x:c>
      <x:c r="BA398" t="str">
        <x:v>Verified from official chart; digital HEX is approximate</x:v>
      </x:c>
      <x:c r="BB398" t="str">
        <x:v>Physical media appearance varies by paper, pressure, layering, water and scan/display profile.</x:v>
      </x:c>
    </x:row>
    <x:row r="399">
      <x:c r="A399" t="str">
        <x:f>G399&amp;"|"&amp;L399</x:f>
        <x:v>MUS|041</x:v>
      </x:c>
      <x:c r="B399" t="str">
        <x:v>bc247b1e-6832-5132-81e2-2c2fdc1aaacb</x:v>
      </x:c>
      <x:c r="C399" t="str">
        <x:v>CDA-MUS-041</x:v>
      </x:c>
      <x:c r="D399" t="str">
        <x:v>ceca6685-d7aa-5cc6-ae9f-101c1861f467</x:v>
      </x:c>
      <x:c r="E399" t="str">
        <x:v>CDA-CODE-041</x:v>
      </x:c>
      <x:c r="F399" t="str">
        <x:v>Caran d’Ache</x:v>
      </x:c>
      <x:c r="G399" t="str">
        <x:v>MUS</x:v>
      </x:c>
      <x:c r="H399" t="str">
        <x:v>MUSEUM Aquarelle</x:v>
      </x:c>
      <x:c r="I399" t="str">
        <x:v>Extra-fine water-soluble coloured pencil</x:v>
      </x:c>
      <x:c r="J399" t="str">
        <x:v>Professional</x:v>
      </x:c>
      <x:c r="K399" s="30" t="n">
        <x:v>58</x:v>
      </x:c>
      <x:c r="L399" s="30" t="str">
        <x:v>041</x:v>
      </x:c>
      <x:c r="M399" t="str">
        <x:v>Apricot</x:v>
      </x:c>
      <x:c r="N399" t="str">
        <x:v>杏色</x:v>
      </x:c>
      <x:c r="O399" t="str">
        <x:v>アプリコット</x:v>
      </x:c>
      <x:c r="P399" t="str">
        <x:v>アプリコット</x:v>
      </x:c>
      <x:c r="Q399" t="str">
        <x:v>Abricot</x:v>
      </x:c>
      <x:c r="R399" t="str">
        <x:v>Aprikose</x:v>
      </x:c>
      <x:c r="S399" t="str">
        <x:v>Albicocca</x:v>
      </x:c>
      <x:c r="T399" t="str">
        <x:v>Albaricoque</x:v>
      </x:c>
      <x:c r="U399" t="str"/>
      <x:c r="V399" t="str"/>
      <x:c r="W399" t="str">
        <x:v>PO61</x:v>
      </x:c>
      <x:c r="X399" t="n">
        <x:f>IF(W399="",0,LEN(W399)-LEN(SUBSTITUTE(W399,"/",""))+1)</x:f>
        <x:v>1</x:v>
      </x:c>
      <x:c r="Y399" t="str">
        <x:v>HHH</x:v>
      </x:c>
      <x:c r="Z399" s="32" t="n">
        <x:v>3</x:v>
      </x:c>
      <x:c r="AA399" s="32" t="n">
        <x:v>5</x:v>
      </x:c>
      <x:c r="AB399" s="32" t="str">
        <x:v>Blue Wool Scale / UV 150h</x:v>
      </x:c>
      <x:c r="AC399" t="str">
        <x:v>#F1AE71</x:v>
      </x:c>
      <x:c r="AD399" s="34" t="n">
        <x:v>241</x:v>
      </x:c>
      <x:c r="AE399" s="34" t="n">
        <x:v>174</x:v>
      </x:c>
      <x:c r="AF399" s="34" t="n">
        <x:v>113</x:v>
      </x:c>
      <x:c r="AG399" s="32" t="n">
        <x:v>28.59</x:v>
      </x:c>
      <x:c r="AH399" s="32" t="n">
        <x:v>82.05</x:v>
      </x:c>
      <x:c r="AI399" s="32" t="n">
        <x:v>69.41</x:v>
      </x:c>
      <x:c r="AJ399" s="32" t="n">
        <x:v>76.17</x:v>
      </x:c>
      <x:c r="AK399" s="32" t="n">
        <x:v>17.83</x:v>
      </x:c>
      <x:c r="AL399" s="32" t="n">
        <x:v>40.79</x:v>
      </x:c>
      <x:c r="AM399" s="32" t="str">
        <x:v>#000000</x:v>
      </x:c>
      <x:c r="AN399" s="32" t="str">
        <x:v>Black</x:v>
      </x:c>
      <x:c r="AO399" s="32" t="n">
        <x:v>11.03</x:v>
      </x:c>
      <x:c r="AP399" s="32" t="n">
        <x:v>11.03</x:v>
      </x:c>
      <x:c r="AQ399" s="32" t="n">
        <x:v>1.9</x:v>
      </x:c>
      <x:c r="AR399" s="32" t="n">
        <x:v>0.501651</x:v>
      </x:c>
      <x:c r="AS399" t="str">
        <x:v>PASS</x:v>
      </x:c>
      <x:c r="AT399" t="str">
        <x:v>--cda-mus-041</x:v>
      </x:c>
      <x:c r="AU399" t="str">
        <x:v>var(--cda-mus-041)</x:v>
      </x:c>
      <x:c r="AV399" t="str">
        <x:v>Median RGB from official PDF swatch (screen reference only)</x:v>
      </x:c>
      <x:c r="AW399" t="str">
        <x:v>https://www.carandache.com/content_files/uploaded_doc/product/10986/Colour_Chart_Museum.pdf</x:v>
      </x:c>
      <x:c r="AX399" t="n">
        <x:v>1</x:v>
      </x:c>
      <x:c r="AY399" t="str">
        <x:v>Official</x:v>
      </x:c>
      <x:c r="AZ399" t="str">
        <x:v>Official where available; curated Traditional Chinese/Japanese otherwise</x:v>
      </x:c>
      <x:c r="BA399" t="str">
        <x:v>Verified from official chart; digital HEX is approximate</x:v>
      </x:c>
      <x:c r="BB399" t="str">
        <x:v>Physical media appearance varies by paper, pressure, layering, water and scan/display profile.</x:v>
      </x:c>
    </x:row>
    <x:row r="400">
      <x:c r="A400" t="str">
        <x:f>G400&amp;"|"&amp;L400</x:f>
        <x:v>MUS|055</x:v>
      </x:c>
      <x:c r="B400" t="str">
        <x:v>e7b5a8bf-3064-5f79-af56-4115ee2175ea</x:v>
      </x:c>
      <x:c r="C400" t="str">
        <x:v>CDA-MUS-055</x:v>
      </x:c>
      <x:c r="D400" t="str">
        <x:v>658096e9-f9b4-5937-8e83-5eee039511f9</x:v>
      </x:c>
      <x:c r="E400" t="str">
        <x:v>CDA-CODE-055</x:v>
      </x:c>
      <x:c r="F400" t="str">
        <x:v>Caran d’Ache</x:v>
      </x:c>
      <x:c r="G400" t="str">
        <x:v>MUS</x:v>
      </x:c>
      <x:c r="H400" t="str">
        <x:v>MUSEUM Aquarelle</x:v>
      </x:c>
      <x:c r="I400" t="str">
        <x:v>Extra-fine water-soluble coloured pencil</x:v>
      </x:c>
      <x:c r="J400" t="str">
        <x:v>Professional</x:v>
      </x:c>
      <x:c r="K400" s="30" t="n">
        <x:v>59</x:v>
      </x:c>
      <x:c r="L400" s="30" t="str">
        <x:v>055</x:v>
      </x:c>
      <x:c r="M400" t="str">
        <x:v>Cinnamon</x:v>
      </x:c>
      <x:c r="N400" t="str">
        <x:v>肉桂色</x:v>
      </x:c>
      <x:c r="O400" t="str">
        <x:v>シナモン</x:v>
      </x:c>
      <x:c r="P400" t="str">
        <x:v>シナモン</x:v>
      </x:c>
      <x:c r="Q400" t="str">
        <x:v>Cannelle</x:v>
      </x:c>
      <x:c r="R400" t="str">
        <x:v>Zimtbraun</x:v>
      </x:c>
      <x:c r="S400" t="str">
        <x:v>Cannella</x:v>
      </x:c>
      <x:c r="T400" t="str">
        <x:v>Canela</x:v>
      </x:c>
      <x:c r="U400" t="str"/>
      <x:c r="V400" t="str"/>
      <x:c r="W400" t="str">
        <x:v>PY42/PR101/PY184</x:v>
      </x:c>
      <x:c r="X400" t="n">
        <x:f>IF(W400="",0,LEN(W400)-LEN(SUBSTITUTE(W400,"/",""))+1)</x:f>
        <x:v>3</x:v>
      </x:c>
      <x:c r="Y400" t="str">
        <x:v>HHH</x:v>
      </x:c>
      <x:c r="Z400" s="32" t="n">
        <x:v>3</x:v>
      </x:c>
      <x:c r="AA400" s="32" t="n">
        <x:v>5</x:v>
      </x:c>
      <x:c r="AB400" s="32" t="str">
        <x:v>Blue Wool Scale / UV 150h</x:v>
      </x:c>
      <x:c r="AC400" t="str">
        <x:v>#BD6549</x:v>
      </x:c>
      <x:c r="AD400" s="34" t="n">
        <x:v>189</x:v>
      </x:c>
      <x:c r="AE400" s="34" t="n">
        <x:v>101</x:v>
      </x:c>
      <x:c r="AF400" s="34" t="n">
        <x:v>73</x:v>
      </x:c>
      <x:c r="AG400" s="32" t="n">
        <x:v>14.48</x:v>
      </x:c>
      <x:c r="AH400" s="32" t="n">
        <x:v>46.77</x:v>
      </x:c>
      <x:c r="AI400" s="32" t="n">
        <x:v>51.37</x:v>
      </x:c>
      <x:c r="AJ400" s="32" t="n">
        <x:v>52.52</x:v>
      </x:c>
      <x:c r="AK400" s="32" t="n">
        <x:v>32.71</x:v>
      </x:c>
      <x:c r="AL400" s="32" t="n">
        <x:v>31.45</x:v>
      </x:c>
      <x:c r="AM400" s="32" t="str">
        <x:v>#000000</x:v>
      </x:c>
      <x:c r="AN400" s="32" t="str">
        <x:v>Black</x:v>
      </x:c>
      <x:c r="AO400" s="32" t="n">
        <x:v>5.12</x:v>
      </x:c>
      <x:c r="AP400" s="32" t="n">
        <x:v>5.12</x:v>
      </x:c>
      <x:c r="AQ400" s="32" t="n">
        <x:v>4.1</x:v>
      </x:c>
      <x:c r="AR400" s="32" t="n">
        <x:v>0.206072</x:v>
      </x:c>
      <x:c r="AS400" t="str">
        <x:v>PASS</x:v>
      </x:c>
      <x:c r="AT400" t="str">
        <x:v>--cda-mus-055</x:v>
      </x:c>
      <x:c r="AU400" t="str">
        <x:v>var(--cda-mus-055)</x:v>
      </x:c>
      <x:c r="AV400" t="str">
        <x:v>Median RGB from official PDF swatch (screen reference only)</x:v>
      </x:c>
      <x:c r="AW400" t="str">
        <x:v>https://www.carandache.com/content_files/uploaded_doc/product/10986/Colour_Chart_Museum.pdf</x:v>
      </x:c>
      <x:c r="AX400" t="n">
        <x:v>1</x:v>
      </x:c>
      <x:c r="AY400" t="str">
        <x:v>Official</x:v>
      </x:c>
      <x:c r="AZ400" t="str">
        <x:v>Official where available; curated Traditional Chinese/Japanese otherwise</x:v>
      </x:c>
      <x:c r="BA400" t="str">
        <x:v>Verified from official chart; digital HEX is approximate</x:v>
      </x:c>
      <x:c r="BB400" t="str">
        <x:v>Physical media appearance varies by paper, pressure, layering, water and scan/display profile.</x:v>
      </x:c>
    </x:row>
    <x:row r="401">
      <x:c r="A401" t="str">
        <x:f>G401&amp;"|"&amp;L401</x:f>
        <x:v>MUS|077</x:v>
      </x:c>
      <x:c r="B401" t="str">
        <x:v>2d14c4ff-1d3b-5760-845d-f0d93a729cc8</x:v>
      </x:c>
      <x:c r="C401" t="str">
        <x:v>CDA-MUS-077</x:v>
      </x:c>
      <x:c r="D401" t="str">
        <x:v>e3494ca6-14f6-5a22-a9b3-6f44868b6493</x:v>
      </x:c>
      <x:c r="E401" t="str">
        <x:v>CDA-CODE-077</x:v>
      </x:c>
      <x:c r="F401" t="str">
        <x:v>Caran d’Ache</x:v>
      </x:c>
      <x:c r="G401" t="str">
        <x:v>MUS</x:v>
      </x:c>
      <x:c r="H401" t="str">
        <x:v>MUSEUM Aquarelle</x:v>
      </x:c>
      <x:c r="I401" t="str">
        <x:v>Extra-fine water-soluble coloured pencil</x:v>
      </x:c>
      <x:c r="J401" t="str">
        <x:v>Professional</x:v>
      </x:c>
      <x:c r="K401" s="30" t="n">
        <x:v>60</x:v>
      </x:c>
      <x:c r="L401" s="30" t="str">
        <x:v>077</x:v>
      </x:c>
      <x:c r="M401" t="str">
        <x:v>Burnt ochre</x:v>
      </x:c>
      <x:c r="N401" t="str">
        <x:v>熟赭色</x:v>
      </x:c>
      <x:c r="O401" t="str">
        <x:v>バーントオーカー</x:v>
      </x:c>
      <x:c r="P401" t="str">
        <x:v>バーントオーカー</x:v>
      </x:c>
      <x:c r="Q401" t="str">
        <x:v>Ocre brûlée</x:v>
      </x:c>
      <x:c r="R401" t="str">
        <x:v>Ocker gebrannt</x:v>
      </x:c>
      <x:c r="S401" t="str">
        <x:v>Ocra bruciata</x:v>
      </x:c>
      <x:c r="T401" t="str">
        <x:v>Ocre Quemado</x:v>
      </x:c>
      <x:c r="U401" t="str"/>
      <x:c r="V401" t="str"/>
      <x:c r="W401" t="str">
        <x:v>PR101/PY42</x:v>
      </x:c>
      <x:c r="X401" t="n">
        <x:f>IF(W401="",0,LEN(W401)-LEN(SUBSTITUTE(W401,"/",""))+1)</x:f>
        <x:v>2</x:v>
      </x:c>
      <x:c r="Y401" t="str">
        <x:v>HHH</x:v>
      </x:c>
      <x:c r="Z401" s="32" t="n">
        <x:v>3</x:v>
      </x:c>
      <x:c r="AA401" s="32" t="n">
        <x:v>5</x:v>
      </x:c>
      <x:c r="AB401" s="32" t="str">
        <x:v>Blue Wool Scale / UV 150h</x:v>
      </x:c>
      <x:c r="AC401" t="str">
        <x:v>#DA8356</x:v>
      </x:c>
      <x:c r="AD401" s="34" t="n">
        <x:v>218</x:v>
      </x:c>
      <x:c r="AE401" s="34" t="n">
        <x:v>131</x:v>
      </x:c>
      <x:c r="AF401" s="34" t="n">
        <x:v>86</x:v>
      </x:c>
      <x:c r="AG401" s="32" t="n">
        <x:v>20.45</x:v>
      </x:c>
      <x:c r="AH401" s="32" t="n">
        <x:v>64.08</x:v>
      </x:c>
      <x:c r="AI401" s="32" t="n">
        <x:v>59.61</x:v>
      </x:c>
      <x:c r="AJ401" s="32" t="n">
        <x:v>63.19</x:v>
      </x:c>
      <x:c r="AK401" s="32" t="n">
        <x:v>29.3</x:v>
      </x:c>
      <x:c r="AL401" s="32" t="n">
        <x:v>38.29</x:v>
      </x:c>
      <x:c r="AM401" s="32" t="str">
        <x:v>#000000</x:v>
      </x:c>
      <x:c r="AN401" s="32" t="str">
        <x:v>Black</x:v>
      </x:c>
      <x:c r="AO401" s="32" t="n">
        <x:v>7.36</x:v>
      </x:c>
      <x:c r="AP401" s="32" t="n">
        <x:v>7.36</x:v>
      </x:c>
      <x:c r="AQ401" s="32" t="n">
        <x:v>2.85</x:v>
      </x:c>
      <x:c r="AR401" s="32" t="n">
        <x:v>0.318099</x:v>
      </x:c>
      <x:c r="AS401" t="str">
        <x:v>PASS</x:v>
      </x:c>
      <x:c r="AT401" t="str">
        <x:v>--cda-mus-077</x:v>
      </x:c>
      <x:c r="AU401" t="str">
        <x:v>var(--cda-mus-077)</x:v>
      </x:c>
      <x:c r="AV401" t="str">
        <x:v>Median RGB from official PDF swatch (screen reference only)</x:v>
      </x:c>
      <x:c r="AW401" t="str">
        <x:v>https://www.carandache.com/content_files/uploaded_doc/product/10986/Colour_Chart_Museum.pdf</x:v>
      </x:c>
      <x:c r="AX401" t="n">
        <x:v>1</x:v>
      </x:c>
      <x:c r="AY401" t="str">
        <x:v>Official</x:v>
      </x:c>
      <x:c r="AZ401" t="str">
        <x:v>Official where available; curated Traditional Chinese/Japanese otherwise</x:v>
      </x:c>
      <x:c r="BA401" t="str">
        <x:v>Verified from official chart; digital HEX is approximate</x:v>
      </x:c>
      <x:c r="BB401" t="str">
        <x:v>Physical media appearance varies by paper, pressure, layering, water and scan/display profile.</x:v>
      </x:c>
    </x:row>
    <x:row r="402">
      <x:c r="A402" t="str">
        <x:f>G402&amp;"|"&amp;L402</x:f>
        <x:v>MUS|059</x:v>
      </x:c>
      <x:c r="B402" t="str">
        <x:v>ee7579e7-0ef0-5b88-8f66-27f313d6549b</x:v>
      </x:c>
      <x:c r="C402" t="str">
        <x:v>CDA-MUS-059</x:v>
      </x:c>
      <x:c r="D402" t="str">
        <x:v>82af754c-0796-57d3-b910-c32329865240</x:v>
      </x:c>
      <x:c r="E402" t="str">
        <x:v>CDA-CODE-059</x:v>
      </x:c>
      <x:c r="F402" t="str">
        <x:v>Caran d’Ache</x:v>
      </x:c>
      <x:c r="G402" t="str">
        <x:v>MUS</x:v>
      </x:c>
      <x:c r="H402" t="str">
        <x:v>MUSEUM Aquarelle</x:v>
      </x:c>
      <x:c r="I402" t="str">
        <x:v>Extra-fine water-soluble coloured pencil</x:v>
      </x:c>
      <x:c r="J402" t="str">
        <x:v>Professional</x:v>
      </x:c>
      <x:c r="K402" s="30" t="n">
        <x:v>61</x:v>
      </x:c>
      <x:c r="L402" s="30" t="str">
        <x:v>059</x:v>
      </x:c>
      <x:c r="M402" t="str">
        <x:v>Brown</x:v>
      </x:c>
      <x:c r="N402" t="str">
        <x:v>棕色</x:v>
      </x:c>
      <x:c r="O402" t="str">
        <x:v>ブラウン</x:v>
      </x:c>
      <x:c r="P402" t="str">
        <x:v>ブラウン</x:v>
      </x:c>
      <x:c r="Q402" t="str">
        <x:v>Brun</x:v>
      </x:c>
      <x:c r="R402" t="str">
        <x:v>Braun</x:v>
      </x:c>
      <x:c r="S402" t="str">
        <x:v>Marrone</x:v>
      </x:c>
      <x:c r="T402" t="str">
        <x:v>Marrón</x:v>
      </x:c>
      <x:c r="U402" t="str"/>
      <x:c r="V402" t="str"/>
      <x:c r="W402" t="str">
        <x:v>PR101/PBk6</x:v>
      </x:c>
      <x:c r="X402" t="n">
        <x:f>IF(W402="",0,LEN(W402)-LEN(SUBSTITUTE(W402,"/",""))+1)</x:f>
        <x:v>2</x:v>
      </x:c>
      <x:c r="Y402" t="str">
        <x:v>HHH</x:v>
      </x:c>
      <x:c r="Z402" s="32" t="n">
        <x:v>3</x:v>
      </x:c>
      <x:c r="AA402" s="32" t="n">
        <x:v>5</x:v>
      </x:c>
      <x:c r="AB402" s="32" t="str">
        <x:v>Blue Wool Scale / UV 150h</x:v>
      </x:c>
      <x:c r="AC402" t="str">
        <x:v>#863F38</x:v>
      </x:c>
      <x:c r="AD402" s="34" t="n">
        <x:v>134</x:v>
      </x:c>
      <x:c r="AE402" s="34" t="n">
        <x:v>63</x:v>
      </x:c>
      <x:c r="AF402" s="34" t="n">
        <x:v>56</x:v>
      </x:c>
      <x:c r="AG402" s="32" t="n">
        <x:v>5.38</x:v>
      </x:c>
      <x:c r="AH402" s="32" t="n">
        <x:v>41.05</x:v>
      </x:c>
      <x:c r="AI402" s="32" t="n">
        <x:v>37.25</x:v>
      </x:c>
      <x:c r="AJ402" s="32" t="n">
        <x:v>35.81</x:v>
      </x:c>
      <x:c r="AK402" s="32" t="n">
        <x:v>29.75</x:v>
      </x:c>
      <x:c r="AL402" s="32" t="n">
        <x:v>18.62</x:v>
      </x:c>
      <x:c r="AM402" s="32" t="str">
        <x:v>#FFFFFF</x:v>
      </x:c>
      <x:c r="AN402" s="32" t="str">
        <x:v>White</x:v>
      </x:c>
      <x:c r="AO402" s="32" t="n">
        <x:v>7.55</x:v>
      </x:c>
      <x:c r="AP402" s="32" t="n">
        <x:v>2.78</x:v>
      </x:c>
      <x:c r="AQ402" s="32" t="n">
        <x:v>7.55</x:v>
      </x:c>
      <x:c r="AR402" s="32" t="n">
        <x:v>0.089089</x:v>
      </x:c>
      <x:c r="AS402" t="str">
        <x:v>PASS</x:v>
      </x:c>
      <x:c r="AT402" t="str">
        <x:v>--cda-mus-059</x:v>
      </x:c>
      <x:c r="AU402" t="str">
        <x:v>var(--cda-mus-059)</x:v>
      </x:c>
      <x:c r="AV402" t="str">
        <x:v>Median RGB from official PDF swatch (screen reference only)</x:v>
      </x:c>
      <x:c r="AW402" t="str">
        <x:v>https://www.carandache.com/content_files/uploaded_doc/product/10986/Colour_Chart_Museum.pdf</x:v>
      </x:c>
      <x:c r="AX402" t="n">
        <x:v>1</x:v>
      </x:c>
      <x:c r="AY402" t="str">
        <x:v>Official</x:v>
      </x:c>
      <x:c r="AZ402" t="str">
        <x:v>Official where available; curated Traditional Chinese/Japanese otherwise</x:v>
      </x:c>
      <x:c r="BA402" t="str">
        <x:v>Verified from official chart; digital HEX is approximate</x:v>
      </x:c>
      <x:c r="BB402" t="str">
        <x:v>Physical media appearance varies by paper, pressure, layering, water and scan/display profile.</x:v>
      </x:c>
    </x:row>
    <x:row r="403">
      <x:c r="A403" t="str">
        <x:f>G403&amp;"|"&amp;L403</x:f>
        <x:v>MUS|044</x:v>
      </x:c>
      <x:c r="B403" t="str">
        <x:v>62ed9d16-dbb2-5b9b-989d-7a1679b74ad9</x:v>
      </x:c>
      <x:c r="C403" t="str">
        <x:v>CDA-MUS-044</x:v>
      </x:c>
      <x:c r="D403" t="str">
        <x:v>a055982d-ba3a-5326-a9f9-53708f4fbbec</x:v>
      </x:c>
      <x:c r="E403" t="str">
        <x:v>CDA-CODE-044</x:v>
      </x:c>
      <x:c r="F403" t="str">
        <x:v>Caran d’Ache</x:v>
      </x:c>
      <x:c r="G403" t="str">
        <x:v>MUS</x:v>
      </x:c>
      <x:c r="H403" t="str">
        <x:v>MUSEUM Aquarelle</x:v>
      </x:c>
      <x:c r="I403" t="str">
        <x:v>Extra-fine water-soluble coloured pencil</x:v>
      </x:c>
      <x:c r="J403" t="str">
        <x:v>Professional</x:v>
      </x:c>
      <x:c r="K403" s="30" t="n">
        <x:v>62</x:v>
      </x:c>
      <x:c r="L403" s="30" t="str">
        <x:v>044</x:v>
      </x:c>
      <x:c r="M403" t="str">
        <x:v>Terracotta</x:v>
      </x:c>
      <x:c r="N403" t="str">
        <x:v>赤陶色</x:v>
      </x:c>
      <x:c r="O403" t="str">
        <x:v>テラコッタ</x:v>
      </x:c>
      <x:c r="P403" t="str">
        <x:v>テラコッタ</x:v>
      </x:c>
      <x:c r="Q403" t="str">
        <x:v>Terracotta</x:v>
      </x:c>
      <x:c r="R403" t="str">
        <x:v>Terracotta</x:v>
      </x:c>
      <x:c r="S403" t="str">
        <x:v>Terracotta</x:v>
      </x:c>
      <x:c r="T403" t="str">
        <x:v>Terracotta</x:v>
      </x:c>
      <x:c r="U403" t="str"/>
      <x:c r="V403" t="str"/>
      <x:c r="W403" t="str">
        <x:v>PR101/PO82</x:v>
      </x:c>
      <x:c r="X403" t="n">
        <x:f>IF(W403="",0,LEN(W403)-LEN(SUBSTITUTE(W403,"/",""))+1)</x:f>
        <x:v>2</x:v>
      </x:c>
      <x:c r="Y403" t="str">
        <x:v>HHH</x:v>
      </x:c>
      <x:c r="Z403" s="32" t="n">
        <x:v>3</x:v>
      </x:c>
      <x:c r="AA403" s="32" t="n">
        <x:v>5</x:v>
      </x:c>
      <x:c r="AB403" s="32" t="str">
        <x:v>Blue Wool Scale / UV 150h</x:v>
      </x:c>
      <x:c r="AC403" t="str">
        <x:v>#E78C7C</x:v>
      </x:c>
      <x:c r="AD403" s="34" t="n">
        <x:v>231</x:v>
      </x:c>
      <x:c r="AE403" s="34" t="n">
        <x:v>140</x:v>
      </x:c>
      <x:c r="AF403" s="34" t="n">
        <x:v>124</x:v>
      </x:c>
      <x:c r="AG403" s="32" t="n">
        <x:v>8.97</x:v>
      </x:c>
      <x:c r="AH403" s="32" t="n">
        <x:v>69.03</x:v>
      </x:c>
      <x:c r="AI403" s="32" t="n">
        <x:v>69.61</x:v>
      </x:c>
      <x:c r="AJ403" s="32" t="n">
        <x:v>67.43</x:v>
      </x:c>
      <x:c r="AK403" s="32" t="n">
        <x:v>32.88</x:v>
      </x:c>
      <x:c r="AL403" s="32" t="n">
        <x:v>23.33</x:v>
      </x:c>
      <x:c r="AM403" s="32" t="str">
        <x:v>#000000</x:v>
      </x:c>
      <x:c r="AN403" s="32" t="str">
        <x:v>Black</x:v>
      </x:c>
      <x:c r="AO403" s="32" t="n">
        <x:v>8.44</x:v>
      </x:c>
      <x:c r="AP403" s="32" t="n">
        <x:v>8.44</x:v>
      </x:c>
      <x:c r="AQ403" s="32" t="n">
        <x:v>2.49</x:v>
      </x:c>
      <x:c r="AR403" s="32" t="n">
        <x:v>0.372003</x:v>
      </x:c>
      <x:c r="AS403" t="str">
        <x:v>PASS</x:v>
      </x:c>
      <x:c r="AT403" t="str">
        <x:v>--cda-mus-044</x:v>
      </x:c>
      <x:c r="AU403" t="str">
        <x:v>var(--cda-mus-044)</x:v>
      </x:c>
      <x:c r="AV403" t="str">
        <x:v>Median RGB from official PDF swatch (screen reference only)</x:v>
      </x:c>
      <x:c r="AW403" t="str">
        <x:v>https://www.carandache.com/content_files/uploaded_doc/product/10986/Colour_Chart_Museum.pdf</x:v>
      </x:c>
      <x:c r="AX403" t="n">
        <x:v>1</x:v>
      </x:c>
      <x:c r="AY403" t="str">
        <x:v>Official</x:v>
      </x:c>
      <x:c r="AZ403" t="str">
        <x:v>Official where available; curated Traditional Chinese/Japanese otherwise</x:v>
      </x:c>
      <x:c r="BA403" t="str">
        <x:v>Verified from official chart; digital HEX is approximate</x:v>
      </x:c>
      <x:c r="BB403" t="str">
        <x:v>Physical media appearance varies by paper, pressure, layering, water and scan/display profile.</x:v>
      </x:c>
    </x:row>
    <x:row r="404">
      <x:c r="A404" t="str">
        <x:f>G404&amp;"|"&amp;L404</x:f>
        <x:v>MUS|065</x:v>
      </x:c>
      <x:c r="B404" t="str">
        <x:v>d30b19af-0b79-56ac-a822-87a084ddbe42</x:v>
      </x:c>
      <x:c r="C404" t="str">
        <x:v>CDA-MUS-065</x:v>
      </x:c>
      <x:c r="D404" t="str">
        <x:v>91a3d2cf-6d79-536f-9dd3-6acea80af176</x:v>
      </x:c>
      <x:c r="E404" t="str">
        <x:v>CDA-CODE-065</x:v>
      </x:c>
      <x:c r="F404" t="str">
        <x:v>Caran d’Ache</x:v>
      </x:c>
      <x:c r="G404" t="str">
        <x:v>MUS</x:v>
      </x:c>
      <x:c r="H404" t="str">
        <x:v>MUSEUM Aquarelle</x:v>
      </x:c>
      <x:c r="I404" t="str">
        <x:v>Extra-fine water-soluble coloured pencil</x:v>
      </x:c>
      <x:c r="J404" t="str">
        <x:v>Professional</x:v>
      </x:c>
      <x:c r="K404" s="30" t="n">
        <x:v>63</x:v>
      </x:c>
      <x:c r="L404" s="30" t="str">
        <x:v>065</x:v>
      </x:c>
      <x:c r="M404" t="str">
        <x:v>Russet</x:v>
      </x:c>
      <x:c r="N404" t="str">
        <x:v>赤褐色</x:v>
      </x:c>
      <x:c r="O404" t="str">
        <x:v>ラセット</x:v>
      </x:c>
      <x:c r="P404" t="str">
        <x:v>ラセット</x:v>
      </x:c>
      <x:c r="Q404" t="str">
        <x:v>Sanguine</x:v>
      </x:c>
      <x:c r="R404" t="str">
        <x:v>Rotbraun</x:v>
      </x:c>
      <x:c r="S404" t="str">
        <x:v>Sanguigna</x:v>
      </x:c>
      <x:c r="T404" t="str">
        <x:v>Sanguina</x:v>
      </x:c>
      <x:c r="U404" t="str"/>
      <x:c r="V404" t="str"/>
      <x:c r="W404" t="str">
        <x:v>PY42/PR101/PR188</x:v>
      </x:c>
      <x:c r="X404" t="n">
        <x:f>IF(W404="",0,LEN(W404)-LEN(SUBSTITUTE(W404,"/",""))+1)</x:f>
        <x:v>3</x:v>
      </x:c>
      <x:c r="Y404" t="str">
        <x:v>HHH</x:v>
      </x:c>
      <x:c r="Z404" s="32" t="n">
        <x:v>3</x:v>
      </x:c>
      <x:c r="AA404" s="32" t="n">
        <x:v>5</x:v>
      </x:c>
      <x:c r="AB404" s="32" t="str">
        <x:v>Blue Wool Scale / UV 150h</x:v>
      </x:c>
      <x:c r="AC404" t="str">
        <x:v>#E14A44</x:v>
      </x:c>
      <x:c r="AD404" s="34" t="n">
        <x:v>225</x:v>
      </x:c>
      <x:c r="AE404" s="34" t="n">
        <x:v>74</x:v>
      </x:c>
      <x:c r="AF404" s="34" t="n">
        <x:v>68</x:v>
      </x:c>
      <x:c r="AG404" s="32" t="n">
        <x:v>2.29</x:v>
      </x:c>
      <x:c r="AH404" s="32" t="n">
        <x:v>72.35</x:v>
      </x:c>
      <x:c r="AI404" s="32" t="n">
        <x:v>57.45</x:v>
      </x:c>
      <x:c r="AJ404" s="32" t="n">
        <x:v>53.31</x:v>
      </x:c>
      <x:c r="AK404" s="32" t="n">
        <x:v>58.1</x:v>
      </x:c>
      <x:c r="AL404" s="32" t="n">
        <x:v>36.55</x:v>
      </x:c>
      <x:c r="AM404" s="32" t="str">
        <x:v>#000000</x:v>
      </x:c>
      <x:c r="AN404" s="32" t="str">
        <x:v>Black</x:v>
      </x:c>
      <x:c r="AO404" s="32" t="n">
        <x:v>5.26</x:v>
      </x:c>
      <x:c r="AP404" s="32" t="n">
        <x:v>5.26</x:v>
      </x:c>
      <x:c r="AQ404" s="32" t="n">
        <x:v>3.99</x:v>
      </x:c>
      <x:c r="AR404" s="32" t="n">
        <x:v>0.213225</x:v>
      </x:c>
      <x:c r="AS404" t="str">
        <x:v>PASS</x:v>
      </x:c>
      <x:c r="AT404" t="str">
        <x:v>--cda-mus-065</x:v>
      </x:c>
      <x:c r="AU404" t="str">
        <x:v>var(--cda-mus-065)</x:v>
      </x:c>
      <x:c r="AV404" t="str">
        <x:v>Median RGB from official PDF swatch (screen reference only)</x:v>
      </x:c>
      <x:c r="AW404" t="str">
        <x:v>https://www.carandache.com/content_files/uploaded_doc/product/10986/Colour_Chart_Museum.pdf</x:v>
      </x:c>
      <x:c r="AX404" t="n">
        <x:v>1</x:v>
      </x:c>
      <x:c r="AY404" t="str">
        <x:v>Official</x:v>
      </x:c>
      <x:c r="AZ404" t="str">
        <x:v>Official where available; curated Traditional Chinese/Japanese otherwise</x:v>
      </x:c>
      <x:c r="BA404" t="str">
        <x:v>Verified from official chart; digital HEX is approximate</x:v>
      </x:c>
      <x:c r="BB404" t="str">
        <x:v>Physical media appearance varies by paper, pressure, layering, water and scan/display profile.</x:v>
      </x:c>
    </x:row>
    <x:row r="405">
      <x:c r="A405" t="str">
        <x:f>G405&amp;"|"&amp;L405</x:f>
        <x:v>MUS|866</x:v>
      </x:c>
      <x:c r="B405" t="str">
        <x:v>667f9bdb-d83d-5ec0-bea7-c643a4d4219c</x:v>
      </x:c>
      <x:c r="C405" t="str">
        <x:v>CDA-MUS-866</x:v>
      </x:c>
      <x:c r="D405" t="str">
        <x:v>cfc42192-70a7-5ede-8295-1b9b9640d45c</x:v>
      </x:c>
      <x:c r="E405" t="str">
        <x:v>CDA-CODE-866</x:v>
      </x:c>
      <x:c r="F405" t="str">
        <x:v>Caran d’Ache</x:v>
      </x:c>
      <x:c r="G405" t="str">
        <x:v>MUS</x:v>
      </x:c>
      <x:c r="H405" t="str">
        <x:v>MUSEUM Aquarelle</x:v>
      </x:c>
      <x:c r="I405" t="str">
        <x:v>Extra-fine water-soluble coloured pencil</x:v>
      </x:c>
      <x:c r="J405" t="str">
        <x:v>Professional</x:v>
      </x:c>
      <x:c r="K405" s="30" t="n">
        <x:v>64</x:v>
      </x:c>
      <x:c r="L405" s="30" t="str">
        <x:v>866</x:v>
      </x:c>
      <x:c r="M405" t="str">
        <x:v>Burnt sienna 50%</x:v>
      </x:c>
      <x:c r="N405" t="str">
        <x:v>熟赭紅 50%</x:v>
      </x:c>
      <x:c r="O405" t="str">
        <x:v>バーントシェンナ50%</x:v>
      </x:c>
      <x:c r="P405" t="str">
        <x:v>バーントシェンナ50%</x:v>
      </x:c>
      <x:c r="Q405" t="str">
        <x:v>Sienne brûlée 50%</x:v>
      </x:c>
      <x:c r="R405" t="str">
        <x:v>Siena gebrannt 50%</x:v>
      </x:c>
      <x:c r="S405" t="str">
        <x:v>Siena bruciata 50%</x:v>
      </x:c>
      <x:c r="T405" t="str">
        <x:v>Sienna Quemada 50%</x:v>
      </x:c>
      <x:c r="U405" t="str"/>
      <x:c r="V405" t="str"/>
      <x:c r="W405" t="str">
        <x:v>PR101/PBk6</x:v>
      </x:c>
      <x:c r="X405" t="n">
        <x:f>IF(W405="",0,LEN(W405)-LEN(SUBSTITUTE(W405,"/",""))+1)</x:f>
        <x:v>2</x:v>
      </x:c>
      <x:c r="Y405" t="str">
        <x:v>HH</x:v>
      </x:c>
      <x:c r="Z405" s="32" t="n">
        <x:v>2</x:v>
      </x:c>
      <x:c r="AA405" s="32" t="n">
        <x:v>5</x:v>
      </x:c>
      <x:c r="AB405" s="32" t="str">
        <x:v>Blue Wool Scale / UV 150h</x:v>
      </x:c>
      <x:c r="AC405" t="str">
        <x:v>#B96F6E</x:v>
      </x:c>
      <x:c r="AD405" s="34" t="n">
        <x:v>185</x:v>
      </x:c>
      <x:c r="AE405" s="34" t="n">
        <x:v>111</x:v>
      </x:c>
      <x:c r="AF405" s="34" t="n">
        <x:v>110</x:v>
      </x:c>
      <x:c r="AG405" s="32" t="n">
        <x:v>0.8</x:v>
      </x:c>
      <x:c r="AH405" s="32" t="n">
        <x:v>34.88</x:v>
      </x:c>
      <x:c r="AI405" s="32" t="n">
        <x:v>57.84</x:v>
      </x:c>
      <x:c r="AJ405" s="32" t="n">
        <x:v>54.88</x:v>
      </x:c>
      <x:c r="AK405" s="32" t="n">
        <x:v>29.19</x:v>
      </x:c>
      <x:c r="AL405" s="32" t="n">
        <x:v>13.15</x:v>
      </x:c>
      <x:c r="AM405" s="32" t="str">
        <x:v>#000000</x:v>
      </x:c>
      <x:c r="AN405" s="32" t="str">
        <x:v>Black</x:v>
      </x:c>
      <x:c r="AO405" s="32" t="n">
        <x:v>5.56</x:v>
      </x:c>
      <x:c r="AP405" s="32" t="n">
        <x:v>5.56</x:v>
      </x:c>
      <x:c r="AQ405" s="32" t="n">
        <x:v>3.78</x:v>
      </x:c>
      <x:c r="AR405" s="32" t="n">
        <x:v>0.22809</x:v>
      </x:c>
      <x:c r="AS405" t="str">
        <x:v>PASS</x:v>
      </x:c>
      <x:c r="AT405" t="str">
        <x:v>--cda-mus-866</x:v>
      </x:c>
      <x:c r="AU405" t="str">
        <x:v>var(--cda-mus-866)</x:v>
      </x:c>
      <x:c r="AV405" t="str">
        <x:v>Median RGB from official PDF swatch (screen reference only)</x:v>
      </x:c>
      <x:c r="AW405" t="str">
        <x:v>https://www.carandache.com/content_files/uploaded_doc/product/10986/Colour_Chart_Museum.pdf</x:v>
      </x:c>
      <x:c r="AX405" t="n">
        <x:v>1</x:v>
      </x:c>
      <x:c r="AY405" t="str">
        <x:v>Official</x:v>
      </x:c>
      <x:c r="AZ405" t="str">
        <x:v>Official where available; curated Traditional Chinese/Japanese otherwise</x:v>
      </x:c>
      <x:c r="BA405" t="str">
        <x:v>Verified from official chart; digital HEX is approximate</x:v>
      </x:c>
      <x:c r="BB405" t="str">
        <x:v>Physical media appearance varies by paper, pressure, layering, water and scan/display profile.</x:v>
      </x:c>
    </x:row>
    <x:row r="406">
      <x:c r="A406" t="str">
        <x:f>G406&amp;"|"&amp;L406</x:f>
        <x:v>MUS|057</x:v>
      </x:c>
      <x:c r="B406" t="str">
        <x:v>8cb91521-5b97-5fb6-bf3e-fc26eac40fb3</x:v>
      </x:c>
      <x:c r="C406" t="str">
        <x:v>CDA-MUS-057</x:v>
      </x:c>
      <x:c r="D406" t="str">
        <x:v>ea39b452-023c-5e72-a7d0-684cd549a60a</x:v>
      </x:c>
      <x:c r="E406" t="str">
        <x:v>CDA-CODE-057</x:v>
      </x:c>
      <x:c r="F406" t="str">
        <x:v>Caran d’Ache</x:v>
      </x:c>
      <x:c r="G406" t="str">
        <x:v>MUS</x:v>
      </x:c>
      <x:c r="H406" t="str">
        <x:v>MUSEUM Aquarelle</x:v>
      </x:c>
      <x:c r="I406" t="str">
        <x:v>Extra-fine water-soluble coloured pencil</x:v>
      </x:c>
      <x:c r="J406" t="str">
        <x:v>Professional</x:v>
      </x:c>
      <x:c r="K406" s="30" t="n">
        <x:v>65</x:v>
      </x:c>
      <x:c r="L406" s="30" t="str">
        <x:v>057</x:v>
      </x:c>
      <x:c r="M406" t="str">
        <x:v>Chestnut</x:v>
      </x:c>
      <x:c r="N406" t="str">
        <x:v>栗棕色</x:v>
      </x:c>
      <x:c r="O406" t="str">
        <x:v>チェストナット</x:v>
      </x:c>
      <x:c r="P406" t="str">
        <x:v>チェストナット</x:v>
      </x:c>
      <x:c r="Q406" t="str">
        <x:v>Brun châtaigne</x:v>
      </x:c>
      <x:c r="R406" t="str">
        <x:v>Kastanienbraun</x:v>
      </x:c>
      <x:c r="S406" t="str">
        <x:v>Castano</x:v>
      </x:c>
      <x:c r="T406" t="str">
        <x:v>Castaña</x:v>
      </x:c>
      <x:c r="U406" t="str"/>
      <x:c r="V406" t="str"/>
      <x:c r="W406" t="str">
        <x:v>PY42/PR101/PBk11/PY184</x:v>
      </x:c>
      <x:c r="X406" t="n">
        <x:f>IF(W406="",0,LEN(W406)-LEN(SUBSTITUTE(W406,"/",""))+1)</x:f>
        <x:v>4</x:v>
      </x:c>
      <x:c r="Y406" t="str">
        <x:v>HHH</x:v>
      </x:c>
      <x:c r="Z406" s="32" t="n">
        <x:v>3</x:v>
      </x:c>
      <x:c r="AA406" s="32" t="n">
        <x:v>5</x:v>
      </x:c>
      <x:c r="AB406" s="32" t="str">
        <x:v>Blue Wool Scale / UV 150h</x:v>
      </x:c>
      <x:c r="AC406" t="str">
        <x:v>#813437</x:v>
      </x:c>
      <x:c r="AD406" s="34" t="n">
        <x:v>129</x:v>
      </x:c>
      <x:c r="AE406" s="34" t="n">
        <x:v>52</x:v>
      </x:c>
      <x:c r="AF406" s="34" t="n">
        <x:v>55</x:v>
      </x:c>
      <x:c r="AG406" s="32" t="n">
        <x:v>357.66</x:v>
      </x:c>
      <x:c r="AH406" s="32" t="n">
        <x:v>42.54</x:v>
      </x:c>
      <x:c r="AI406" s="32" t="n">
        <x:v>35.49</x:v>
      </x:c>
      <x:c r="AJ406" s="32" t="n">
        <x:v>32.7</x:v>
      </x:c>
      <x:c r="AK406" s="32" t="n">
        <x:v>33.53</x:v>
      </x:c>
      <x:c r="AL406" s="32" t="n">
        <x:v>15</x:v>
      </x:c>
      <x:c r="AM406" s="32" t="str">
        <x:v>#FFFFFF</x:v>
      </x:c>
      <x:c r="AN406" s="32" t="str">
        <x:v>White</x:v>
      </x:c>
      <x:c r="AO406" s="32" t="n">
        <x:v>8.47</x:v>
      </x:c>
      <x:c r="AP406" s="32" t="n">
        <x:v>2.48</x:v>
      </x:c>
      <x:c r="AQ406" s="32" t="n">
        <x:v>8.47</x:v>
      </x:c>
      <x:c r="AR406" s="32" t="n">
        <x:v>0.073989</x:v>
      </x:c>
      <x:c r="AS406" t="str">
        <x:v>PASS</x:v>
      </x:c>
      <x:c r="AT406" t="str">
        <x:v>--cda-mus-057</x:v>
      </x:c>
      <x:c r="AU406" t="str">
        <x:v>var(--cda-mus-057)</x:v>
      </x:c>
      <x:c r="AV406" t="str">
        <x:v>Median RGB from official PDF swatch (screen reference only)</x:v>
      </x:c>
      <x:c r="AW406" t="str">
        <x:v>https://www.carandache.com/content_files/uploaded_doc/product/10986/Colour_Chart_Museum.pdf</x:v>
      </x:c>
      <x:c r="AX406" t="n">
        <x:v>1</x:v>
      </x:c>
      <x:c r="AY406" t="str">
        <x:v>Official</x:v>
      </x:c>
      <x:c r="AZ406" t="str">
        <x:v>Official where available; curated Traditional Chinese/Japanese otherwise</x:v>
      </x:c>
      <x:c r="BA406" t="str">
        <x:v>Verified from official chart; digital HEX is approximate</x:v>
      </x:c>
      <x:c r="BB406" t="str">
        <x:v>Physical media appearance varies by paper, pressure, layering, water and scan/display profile.</x:v>
      </x:c>
    </x:row>
    <x:row r="407">
      <x:c r="A407" t="str">
        <x:f>G407&amp;"|"&amp;L407</x:f>
        <x:v>MUS|049</x:v>
      </x:c>
      <x:c r="B407" t="str">
        <x:v>a52e0d66-f5c8-53ce-8122-46d2b9bbe393</x:v>
      </x:c>
      <x:c r="C407" t="str">
        <x:v>CDA-MUS-049</x:v>
      </x:c>
      <x:c r="D407" t="str">
        <x:v>66f5918f-2d51-598e-b3d7-bb4f1b3fc4b4</x:v>
      </x:c>
      <x:c r="E407" t="str">
        <x:v>CDA-CODE-049</x:v>
      </x:c>
      <x:c r="F407" t="str">
        <x:v>Caran d’Ache</x:v>
      </x:c>
      <x:c r="G407" t="str">
        <x:v>MUS</x:v>
      </x:c>
      <x:c r="H407" t="str">
        <x:v>MUSEUM Aquarelle</x:v>
      </x:c>
      <x:c r="I407" t="str">
        <x:v>Extra-fine water-soluble coloured pencil</x:v>
      </x:c>
      <x:c r="J407" t="str">
        <x:v>Professional</x:v>
      </x:c>
      <x:c r="K407" s="30" t="n">
        <x:v>66</x:v>
      </x:c>
      <x:c r="L407" s="30" t="str">
        <x:v>049</x:v>
      </x:c>
      <x:c r="M407" t="str">
        <x:v>Raw Umber</x:v>
      </x:c>
      <x:c r="N407" t="str">
        <x:v>生褐色</x:v>
      </x:c>
      <x:c r="O407" t="str">
        <x:v>ロー アンバー</x:v>
      </x:c>
      <x:c r="P407" t="str">
        <x:v>ロー アンバー</x:v>
      </x:c>
      <x:c r="Q407" t="str">
        <x:v>Terre d’ombre</x:v>
      </x:c>
      <x:c r="R407" t="str">
        <x:v>Umbra Natur</x:v>
      </x:c>
      <x:c r="S407" t="str">
        <x:v>Ombra naturale</x:v>
      </x:c>
      <x:c r="T407" t="str">
        <x:v>Sombra natural</x:v>
      </x:c>
      <x:c r="U407" t="str"/>
      <x:c r="V407" t="str"/>
      <x:c r="W407" t="str">
        <x:v>PY42/PR101/PY184/PBk6</x:v>
      </x:c>
      <x:c r="X407" t="n">
        <x:f>IF(W407="",0,LEN(W407)-LEN(SUBSTITUTE(W407,"/",""))+1)</x:f>
        <x:v>4</x:v>
      </x:c>
      <x:c r="Y407" t="str">
        <x:v>HHH</x:v>
      </x:c>
      <x:c r="Z407" s="32" t="n">
        <x:v>3</x:v>
      </x:c>
      <x:c r="AA407" s="32" t="n">
        <x:v>5</x:v>
      </x:c>
      <x:c r="AB407" s="32" t="str">
        <x:v>Blue Wool Scale / UV 150h</x:v>
      </x:c>
      <x:c r="AC407" t="str">
        <x:v>#7B5048</x:v>
      </x:c>
      <x:c r="AD407" s="34" t="n">
        <x:v>123</x:v>
      </x:c>
      <x:c r="AE407" s="34" t="n">
        <x:v>80</x:v>
      </x:c>
      <x:c r="AF407" s="34" t="n">
        <x:v>72</x:v>
      </x:c>
      <x:c r="AG407" s="32" t="n">
        <x:v>9.41</x:v>
      </x:c>
      <x:c r="AH407" s="32" t="n">
        <x:v>26.15</x:v>
      </x:c>
      <x:c r="AI407" s="32" t="n">
        <x:v>38.24</x:v>
      </x:c>
      <x:c r="AJ407" s="32" t="n">
        <x:v>38.58</x:v>
      </x:c>
      <x:c r="AK407" s="32" t="n">
        <x:v>17.01</x:v>
      </x:c>
      <x:c r="AL407" s="32" t="n">
        <x:v>12.13</x:v>
      </x:c>
      <x:c r="AM407" s="32" t="str">
        <x:v>#FFFFFF</x:v>
      </x:c>
      <x:c r="AN407" s="32" t="str">
        <x:v>White</x:v>
      </x:c>
      <x:c r="AO407" s="32" t="n">
        <x:v>6.81</x:v>
      </x:c>
      <x:c r="AP407" s="32" t="n">
        <x:v>3.08</x:v>
      </x:c>
      <x:c r="AQ407" s="32" t="n">
        <x:v>6.81</x:v>
      </x:c>
      <x:c r="AR407" s="32" t="n">
        <x:v>0.104162</x:v>
      </x:c>
      <x:c r="AS407" t="str">
        <x:v>PASS</x:v>
      </x:c>
      <x:c r="AT407" t="str">
        <x:v>--cda-mus-049</x:v>
      </x:c>
      <x:c r="AU407" t="str">
        <x:v>var(--cda-mus-049)</x:v>
      </x:c>
      <x:c r="AV407" t="str">
        <x:v>Median RGB from official PDF swatch (screen reference only)</x:v>
      </x:c>
      <x:c r="AW407" t="str">
        <x:v>https://www.carandache.com/content_files/uploaded_doc/product/10986/Colour_Chart_Museum.pdf</x:v>
      </x:c>
      <x:c r="AX407" t="n">
        <x:v>1</x:v>
      </x:c>
      <x:c r="AY407" t="str">
        <x:v>Official</x:v>
      </x:c>
      <x:c r="AZ407" t="str">
        <x:v>Official where available; curated Traditional Chinese/Japanese otherwise</x:v>
      </x:c>
      <x:c r="BA407" t="str">
        <x:v>Verified from official chart; digital HEX is approximate</x:v>
      </x:c>
      <x:c r="BB407" t="str">
        <x:v>Physical media appearance varies by paper, pressure, layering, water and scan/display profile.</x:v>
      </x:c>
    </x:row>
    <x:row r="408">
      <x:c r="A408" t="str">
        <x:f>G408&amp;"|"&amp;L408</x:f>
        <x:v>MUS|046</x:v>
      </x:c>
      <x:c r="B408" t="str">
        <x:v>f00f03cc-89b7-50d8-a86b-130128fa8adf</x:v>
      </x:c>
      <x:c r="C408" t="str">
        <x:v>CDA-MUS-046</x:v>
      </x:c>
      <x:c r="D408" t="str">
        <x:v>d6092a56-5cb2-52a3-93d7-9c1109a5f21e</x:v>
      </x:c>
      <x:c r="E408" t="str">
        <x:v>CDA-CODE-046</x:v>
      </x:c>
      <x:c r="F408" t="str">
        <x:v>Caran d’Ache</x:v>
      </x:c>
      <x:c r="G408" t="str">
        <x:v>MUS</x:v>
      </x:c>
      <x:c r="H408" t="str">
        <x:v>MUSEUM Aquarelle</x:v>
      </x:c>
      <x:c r="I408" t="str">
        <x:v>Extra-fine water-soluble coloured pencil</x:v>
      </x:c>
      <x:c r="J408" t="str">
        <x:v>Professional</x:v>
      </x:c>
      <x:c r="K408" s="30" t="n">
        <x:v>67</x:v>
      </x:c>
      <x:c r="L408" s="30" t="str">
        <x:v>046</x:v>
      </x:c>
      <x:c r="M408" t="str">
        <x:v>Cassel earth</x:v>
      </x:c>
      <x:c r="N408" t="str">
        <x:v>卡塞爾土色</x:v>
      </x:c>
      <x:c r="O408" t="str">
        <x:v>カッセルアース</x:v>
      </x:c>
      <x:c r="P408" t="str">
        <x:v>カッセルアース</x:v>
      </x:c>
      <x:c r="Q408" t="str">
        <x:v>Terre de Cassel</x:v>
      </x:c>
      <x:c r="R408" t="str">
        <x:v>Kasseler Erde</x:v>
      </x:c>
      <x:c r="S408" t="str">
        <x:v>Terra di Kassel</x:v>
      </x:c>
      <x:c r="T408" t="str">
        <x:v>Tierra de Cassel</x:v>
      </x:c>
      <x:c r="U408" t="str"/>
      <x:c r="V408" t="str"/>
      <x:c r="W408" t="str">
        <x:v>PY42/PR101/PY184/PBk6</x:v>
      </x:c>
      <x:c r="X408" t="n">
        <x:f>IF(W408="",0,LEN(W408)-LEN(SUBSTITUTE(W408,"/",""))+1)</x:f>
        <x:v>4</x:v>
      </x:c>
      <x:c r="Y408" t="str">
        <x:v>HHH</x:v>
      </x:c>
      <x:c r="Z408" s="32" t="n">
        <x:v>3</x:v>
      </x:c>
      <x:c r="AA408" s="32" t="n">
        <x:v>5</x:v>
      </x:c>
      <x:c r="AB408" s="32" t="str">
        <x:v>Blue Wool Scale / UV 150h</x:v>
      </x:c>
      <x:c r="AC408" t="str">
        <x:v>#8F6F58</x:v>
      </x:c>
      <x:c r="AD408" s="34" t="n">
        <x:v>143</x:v>
      </x:c>
      <x:c r="AE408" s="34" t="n">
        <x:v>111</x:v>
      </x:c>
      <x:c r="AF408" s="34" t="n">
        <x:v>88</x:v>
      </x:c>
      <x:c r="AG408" s="32" t="n">
        <x:v>25.09</x:v>
      </x:c>
      <x:c r="AH408" s="32" t="n">
        <x:v>23.81</x:v>
      </x:c>
      <x:c r="AI408" s="32" t="n">
        <x:v>45.29</x:v>
      </x:c>
      <x:c r="AJ408" s="32" t="n">
        <x:v>49.39</x:v>
      </x:c>
      <x:c r="AK408" s="32" t="n">
        <x:v>9.33</x:v>
      </x:c>
      <x:c r="AL408" s="32" t="n">
        <x:v>17.66</x:v>
      </x:c>
      <x:c r="AM408" s="32" t="str">
        <x:v>#000000</x:v>
      </x:c>
      <x:c r="AN408" s="32" t="str">
        <x:v>Black</x:v>
      </x:c>
      <x:c r="AO408" s="32" t="n">
        <x:v>4.58</x:v>
      </x:c>
      <x:c r="AP408" s="32" t="n">
        <x:v>4.58</x:v>
      </x:c>
      <x:c r="AQ408" s="32" t="n">
        <x:v>4.58</x:v>
      </x:c>
      <x:c r="AR408" s="32" t="n">
        <x:v>0.179131</x:v>
      </x:c>
      <x:c r="AS408" t="str">
        <x:v>PASS</x:v>
      </x:c>
      <x:c r="AT408" t="str">
        <x:v>--cda-mus-046</x:v>
      </x:c>
      <x:c r="AU408" t="str">
        <x:v>var(--cda-mus-046)</x:v>
      </x:c>
      <x:c r="AV408" t="str">
        <x:v>Median RGB from official PDF swatch (screen reference only)</x:v>
      </x:c>
      <x:c r="AW408" t="str">
        <x:v>https://www.carandache.com/content_files/uploaded_doc/product/10986/Colour_Chart_Museum.pdf</x:v>
      </x:c>
      <x:c r="AX408" t="n">
        <x:v>1</x:v>
      </x:c>
      <x:c r="AY408" t="str">
        <x:v>Official</x:v>
      </x:c>
      <x:c r="AZ408" t="str">
        <x:v>Official where available; curated Traditional Chinese/Japanese otherwise</x:v>
      </x:c>
      <x:c r="BA408" t="str">
        <x:v>Verified from official chart; digital HEX is approximate</x:v>
      </x:c>
      <x:c r="BB408" t="str">
        <x:v>Physical media appearance varies by paper, pressure, layering, water and scan/display profile.</x:v>
      </x:c>
    </x:row>
    <x:row r="409">
      <x:c r="A409" t="str">
        <x:f>G409&amp;"|"&amp;L409</x:f>
        <x:v>MUS|746</x:v>
      </x:c>
      <x:c r="B409" t="str">
        <x:v>0162c1f3-ff76-5d15-bd79-3c1d05ae1165</x:v>
      </x:c>
      <x:c r="C409" t="str">
        <x:v>CDA-MUS-746</x:v>
      </x:c>
      <x:c r="D409" t="str">
        <x:v>1c5a3b98-9174-57d0-bd87-a6f4469fcb6c</x:v>
      </x:c>
      <x:c r="E409" t="str">
        <x:v>CDA-CODE-746</x:v>
      </x:c>
      <x:c r="F409" t="str">
        <x:v>Caran d’Ache</x:v>
      </x:c>
      <x:c r="G409" t="str">
        <x:v>MUS</x:v>
      </x:c>
      <x:c r="H409" t="str">
        <x:v>MUSEUM Aquarelle</x:v>
      </x:c>
      <x:c r="I409" t="str">
        <x:v>Extra-fine water-soluble coloured pencil</x:v>
      </x:c>
      <x:c r="J409" t="str">
        <x:v>Professional</x:v>
      </x:c>
      <x:c r="K409" s="30" t="n">
        <x:v>68</x:v>
      </x:c>
      <x:c r="L409" s="30" t="str">
        <x:v>746</x:v>
      </x:c>
      <x:c r="M409" t="str">
        <x:v>Dark flesh 50%</x:v>
      </x:c>
      <x:c r="N409" t="str">
        <x:v>深膚色 50%</x:v>
      </x:c>
      <x:c r="O409" t="str">
        <x:v>ダークフレッシュ50%</x:v>
      </x:c>
      <x:c r="P409" t="str">
        <x:v>ダークフレッシュ50%</x:v>
      </x:c>
      <x:c r="Q409" t="str">
        <x:v>Chair foncée 50%</x:v>
      </x:c>
      <x:c r="R409" t="str">
        <x:v>Dunkelfleischfarbig 50%</x:v>
      </x:c>
      <x:c r="S409" t="str">
        <x:v>Incarnato chiaro 50%</x:v>
      </x:c>
      <x:c r="T409" t="str">
        <x:v>Carne oscuro 50 %</x:v>
      </x:c>
      <x:c r="U409" t="str"/>
      <x:c r="V409" t="str"/>
      <x:c r="W409" t="str">
        <x:v>PR101/PY42/PBk6</x:v>
      </x:c>
      <x:c r="X409" t="n">
        <x:f>IF(W409="",0,LEN(W409)-LEN(SUBSTITUTE(W409,"/",""))+1)</x:f>
        <x:v>3</x:v>
      </x:c>
      <x:c r="Y409" t="str">
        <x:v>HHH</x:v>
      </x:c>
      <x:c r="Z409" s="32" t="n">
        <x:v>3</x:v>
      </x:c>
      <x:c r="AA409" s="32" t="n">
        <x:v>5</x:v>
      </x:c>
      <x:c r="AB409" s="32" t="str">
        <x:v>Blue Wool Scale / UV 150h</x:v>
      </x:c>
      <x:c r="AC409" t="str">
        <x:v>#A88065</x:v>
      </x:c>
      <x:c r="AD409" s="34" t="n">
        <x:v>168</x:v>
      </x:c>
      <x:c r="AE409" s="34" t="n">
        <x:v>128</x:v>
      </x:c>
      <x:c r="AF409" s="34" t="n">
        <x:v>101</x:v>
      </x:c>
      <x:c r="AG409" s="32" t="n">
        <x:v>24.18</x:v>
      </x:c>
      <x:c r="AH409" s="32" t="n">
        <x:v>27.8</x:v>
      </x:c>
      <x:c r="AI409" s="32" t="n">
        <x:v>52.75</x:v>
      </x:c>
      <x:c r="AJ409" s="32" t="n">
        <x:v>56.79</x:v>
      </x:c>
      <x:c r="AK409" s="32" t="n">
        <x:v>11.74</x:v>
      </x:c>
      <x:c r="AL409" s="32" t="n">
        <x:v>20.62</x:v>
      </x:c>
      <x:c r="AM409" s="32" t="str">
        <x:v>#000000</x:v>
      </x:c>
      <x:c r="AN409" s="32" t="str">
        <x:v>Black</x:v>
      </x:c>
      <x:c r="AO409" s="32" t="n">
        <x:v>5.94</x:v>
      </x:c>
      <x:c r="AP409" s="32" t="n">
        <x:v>5.94</x:v>
      </x:c>
      <x:c r="AQ409" s="32" t="n">
        <x:v>3.54</x:v>
      </x:c>
      <x:c r="AR409" s="32" t="n">
        <x:v>0.247028</x:v>
      </x:c>
      <x:c r="AS409" t="str">
        <x:v>PASS</x:v>
      </x:c>
      <x:c r="AT409" t="str">
        <x:v>--cda-mus-746</x:v>
      </x:c>
      <x:c r="AU409" t="str">
        <x:v>var(--cda-mus-746)</x:v>
      </x:c>
      <x:c r="AV409" t="str">
        <x:v>Median RGB from official PDF swatch (screen reference only)</x:v>
      </x:c>
      <x:c r="AW409" t="str">
        <x:v>https://www.carandache.com/content_files/uploaded_doc/product/10986/Colour_Chart_Museum.pdf</x:v>
      </x:c>
      <x:c r="AX409" t="n">
        <x:v>1</x:v>
      </x:c>
      <x:c r="AY409" t="str">
        <x:v>Official</x:v>
      </x:c>
      <x:c r="AZ409" t="str">
        <x:v>Official where available; curated Traditional Chinese/Japanese otherwise</x:v>
      </x:c>
      <x:c r="BA409" t="str">
        <x:v>Verified from official chart; digital HEX is approximate</x:v>
      </x:c>
      <x:c r="BB409" t="str">
        <x:v>Physical media appearance varies by paper, pressure, layering, water and scan/display profile.</x:v>
      </x:c>
    </x:row>
    <x:row r="410">
      <x:c r="A410" t="str">
        <x:f>G410&amp;"|"&amp;L410</x:f>
        <x:v>MUS|808</x:v>
      </x:c>
      <x:c r="B410" t="str">
        <x:v>6bf1113e-fc6d-5797-9bc4-1f1f8160b5ae</x:v>
      </x:c>
      <x:c r="C410" t="str">
        <x:v>CDA-MUS-808</x:v>
      </x:c>
      <x:c r="D410" t="str">
        <x:v>6cbb1dd3-e8e7-5b5f-a6af-10bc7843d2f6</x:v>
      </x:c>
      <x:c r="E410" t="str">
        <x:v>CDA-CODE-808</x:v>
      </x:c>
      <x:c r="F410" t="str">
        <x:v>Caran d’Ache</x:v>
      </x:c>
      <x:c r="G410" t="str">
        <x:v>MUS</x:v>
      </x:c>
      <x:c r="H410" t="str">
        <x:v>MUSEUM Aquarelle</x:v>
      </x:c>
      <x:c r="I410" t="str">
        <x:v>Extra-fine water-soluble coloured pencil</x:v>
      </x:c>
      <x:c r="J410" t="str">
        <x:v>Professional</x:v>
      </x:c>
      <x:c r="K410" s="30" t="n">
        <x:v>69</x:v>
      </x:c>
      <x:c r="L410" s="30" t="str">
        <x:v>808</x:v>
      </x:c>
      <x:c r="M410" t="str">
        <x:v>French grey</x:v>
      </x:c>
      <x:c r="N410" t="str">
        <x:v>法國灰</x:v>
      </x:c>
      <x:c r="O410" t="str">
        <x:v>フレンチグレイ</x:v>
      </x:c>
      <x:c r="P410" t="str">
        <x:v>フレンチグレイ</x:v>
      </x:c>
      <x:c r="Q410" t="str">
        <x:v>Gris français</x:v>
      </x:c>
      <x:c r="R410" t="str">
        <x:v>Französischgrau</x:v>
      </x:c>
      <x:c r="S410" t="str">
        <x:v>Grigio francese</x:v>
      </x:c>
      <x:c r="T410" t="str">
        <x:v>Gris Francés</x:v>
      </x:c>
      <x:c r="U410" t="str"/>
      <x:c r="V410" t="str"/>
      <x:c r="W410" t="str">
        <x:v>PY42/PBk6/PR101</x:v>
      </x:c>
      <x:c r="X410" t="n">
        <x:f>IF(W410="",0,LEN(W410)-LEN(SUBSTITUTE(W410,"/",""))+1)</x:f>
        <x:v>3</x:v>
      </x:c>
      <x:c r="Y410" t="str">
        <x:v>HHH</x:v>
      </x:c>
      <x:c r="Z410" s="32" t="n">
        <x:v>3</x:v>
      </x:c>
      <x:c r="AA410" s="32" t="n">
        <x:v>5</x:v>
      </x:c>
      <x:c r="AB410" s="32" t="str">
        <x:v>Blue Wool Scale / UV 150h</x:v>
      </x:c>
      <x:c r="AC410" t="str">
        <x:v>#725C4F</x:v>
      </x:c>
      <x:c r="AD410" s="34" t="n">
        <x:v>114</x:v>
      </x:c>
      <x:c r="AE410" s="34" t="n">
        <x:v>92</x:v>
      </x:c>
      <x:c r="AF410" s="34" t="n">
        <x:v>79</x:v>
      </x:c>
      <x:c r="AG410" s="32" t="n">
        <x:v>22.29</x:v>
      </x:c>
      <x:c r="AH410" s="32" t="n">
        <x:v>18.13</x:v>
      </x:c>
      <x:c r="AI410" s="32" t="n">
        <x:v>37.84</x:v>
      </x:c>
      <x:c r="AJ410" s="32" t="n">
        <x:v>40.89</x:v>
      </x:c>
      <x:c r="AK410" s="32" t="n">
        <x:v>6.85</x:v>
      </x:c>
      <x:c r="AL410" s="32" t="n">
        <x:v>10.87</x:v>
      </x:c>
      <x:c r="AM410" s="32" t="str">
        <x:v>#FFFFFF</x:v>
      </x:c>
      <x:c r="AN410" s="32" t="str">
        <x:v>White</x:v>
      </x:c>
      <x:c r="AO410" s="32" t="n">
        <x:v>6.25</x:v>
      </x:c>
      <x:c r="AP410" s="32" t="n">
        <x:v>3.36</x:v>
      </x:c>
      <x:c r="AQ410" s="32" t="n">
        <x:v>6.25</x:v>
      </x:c>
      <x:c r="AR410" s="32" t="n">
        <x:v>0.117962</x:v>
      </x:c>
      <x:c r="AS410" t="str">
        <x:v>PASS</x:v>
      </x:c>
      <x:c r="AT410" t="str">
        <x:v>--cda-mus-808</x:v>
      </x:c>
      <x:c r="AU410" t="str">
        <x:v>var(--cda-mus-808)</x:v>
      </x:c>
      <x:c r="AV410" t="str">
        <x:v>Median RGB from official PDF swatch (screen reference only)</x:v>
      </x:c>
      <x:c r="AW410" t="str">
        <x:v>https://www.carandache.com/content_files/uploaded_doc/product/10986/Colour_Chart_Museum.pdf</x:v>
      </x:c>
      <x:c r="AX410" t="n">
        <x:v>1</x:v>
      </x:c>
      <x:c r="AY410" t="str">
        <x:v>Official</x:v>
      </x:c>
      <x:c r="AZ410" t="str">
        <x:v>Official where available; curated Traditional Chinese/Japanese otherwise</x:v>
      </x:c>
      <x:c r="BA410" t="str">
        <x:v>Verified from official chart; digital HEX is approximate</x:v>
      </x:c>
      <x:c r="BB410" t="str">
        <x:v>Physical media appearance varies by paper, pressure, layering, water and scan/display profile.</x:v>
      </x:c>
    </x:row>
    <x:row r="411">
      <x:c r="A411" t="str">
        <x:f>G411&amp;"|"&amp;L411</x:f>
        <x:v>MUS|906</x:v>
      </x:c>
      <x:c r="B411" t="str">
        <x:v>cc4d5310-1792-5beb-afde-9fcf3222734a</x:v>
      </x:c>
      <x:c r="C411" t="str">
        <x:v>CDA-MUS-906</x:v>
      </x:c>
      <x:c r="D411" t="str">
        <x:v>37077cbe-078d-5546-9db4-c470ae253c0a</x:v>
      </x:c>
      <x:c r="E411" t="str">
        <x:v>CDA-CODE-906</x:v>
      </x:c>
      <x:c r="F411" t="str">
        <x:v>Caran d’Ache</x:v>
      </x:c>
      <x:c r="G411" t="str">
        <x:v>MUS</x:v>
      </x:c>
      <x:c r="H411" t="str">
        <x:v>MUSEUM Aquarelle</x:v>
      </x:c>
      <x:c r="I411" t="str">
        <x:v>Extra-fine water-soluble coloured pencil</x:v>
      </x:c>
      <x:c r="J411" t="str">
        <x:v>Professional</x:v>
      </x:c>
      <x:c r="K411" s="30" t="n">
        <x:v>70</x:v>
      </x:c>
      <x:c r="L411" s="30" t="str">
        <x:v>906</x:v>
      </x:c>
      <x:c r="M411" t="str">
        <x:v>Sepia 50%</x:v>
      </x:c>
      <x:c r="N411" t="str">
        <x:v>深褐色 50%</x:v>
      </x:c>
      <x:c r="O411" t="str">
        <x:v>セピア50%</x:v>
      </x:c>
      <x:c r="P411" t="str">
        <x:v>セピア50%</x:v>
      </x:c>
      <x:c r="Q411" t="str">
        <x:v>Sépia 50%</x:v>
      </x:c>
      <x:c r="R411" t="str">
        <x:v>Sepia 50%</x:v>
      </x:c>
      <x:c r="S411" t="str">
        <x:v>Seppia 50%</x:v>
      </x:c>
      <x:c r="T411" t="str">
        <x:v>Sepia 50%</x:v>
      </x:c>
      <x:c r="U411" t="str"/>
      <x:c r="V411" t="str"/>
      <x:c r="W411" t="str">
        <x:v>PR101/PBk7/PBk11/PY42</x:v>
      </x:c>
      <x:c r="X411" t="n">
        <x:f>IF(W411="",0,LEN(W411)-LEN(SUBSTITUTE(W411,"/",""))+1)</x:f>
        <x:v>4</x:v>
      </x:c>
      <x:c r="Y411" t="str">
        <x:v>HHH</x:v>
      </x:c>
      <x:c r="Z411" s="32" t="n">
        <x:v>3</x:v>
      </x:c>
      <x:c r="AA411" s="32" t="n">
        <x:v>5</x:v>
      </x:c>
      <x:c r="AB411" s="32" t="str">
        <x:v>Blue Wool Scale / UV 150h</x:v>
      </x:c>
      <x:c r="AC411" t="str">
        <x:v>#826063</x:v>
      </x:c>
      <x:c r="AD411" s="34" t="n">
        <x:v>130</x:v>
      </x:c>
      <x:c r="AE411" s="34" t="n">
        <x:v>96</x:v>
      </x:c>
      <x:c r="AF411" s="34" t="n">
        <x:v>99</x:v>
      </x:c>
      <x:c r="AG411" s="32" t="n">
        <x:v>354.71</x:v>
      </x:c>
      <x:c r="AH411" s="32" t="n">
        <x:v>15.04</x:v>
      </x:c>
      <x:c r="AI411" s="32" t="n">
        <x:v>44.31</x:v>
      </x:c>
      <x:c r="AJ411" s="32" t="n">
        <x:v>44.25</x:v>
      </x:c>
      <x:c r="AK411" s="32" t="n">
        <x:v>14.29</x:v>
      </x:c>
      <x:c r="AL411" s="32" t="n">
        <x:v>3.71</x:v>
      </x:c>
      <x:c r="AM411" s="32" t="str">
        <x:v>#FFFFFF</x:v>
      </x:c>
      <x:c r="AN411" s="32" t="str">
        <x:v>White</x:v>
      </x:c>
      <x:c r="AO411" s="32" t="n">
        <x:v>5.52</x:v>
      </x:c>
      <x:c r="AP411" s="32" t="n">
        <x:v>3.8</x:v>
      </x:c>
      <x:c r="AQ411" s="32" t="n">
        <x:v>5.52</x:v>
      </x:c>
      <x:c r="AR411" s="32" t="n">
        <x:v>0.140124</x:v>
      </x:c>
      <x:c r="AS411" t="str">
        <x:v>PASS</x:v>
      </x:c>
      <x:c r="AT411" t="str">
        <x:v>--cda-mus-906</x:v>
      </x:c>
      <x:c r="AU411" t="str">
        <x:v>var(--cda-mus-906)</x:v>
      </x:c>
      <x:c r="AV411" t="str">
        <x:v>Median RGB from official PDF swatch (screen reference only)</x:v>
      </x:c>
      <x:c r="AW411" t="str">
        <x:v>https://www.carandache.com/content_files/uploaded_doc/product/10986/Colour_Chart_Museum.pdf</x:v>
      </x:c>
      <x:c r="AX411" t="n">
        <x:v>1</x:v>
      </x:c>
      <x:c r="AY411" t="str">
        <x:v>Official</x:v>
      </x:c>
      <x:c r="AZ411" t="str">
        <x:v>Official where available; curated Traditional Chinese/Japanese otherwise</x:v>
      </x:c>
      <x:c r="BA411" t="str">
        <x:v>Verified from official chart; digital HEX is approximate</x:v>
      </x:c>
      <x:c r="BB411" t="str">
        <x:v>Physical media appearance varies by paper, pressure, layering, water and scan/display profile.</x:v>
      </x:c>
    </x:row>
    <x:row r="412">
      <x:c r="A412" t="str">
        <x:f>G412&amp;"|"&amp;L412</x:f>
        <x:v>MUS|902</x:v>
      </x:c>
      <x:c r="B412" t="str">
        <x:v>dd98b386-49cc-574e-89eb-3be60e245f41</x:v>
      </x:c>
      <x:c r="C412" t="str">
        <x:v>CDA-MUS-902</x:v>
      </x:c>
      <x:c r="D412" t="str">
        <x:v>302500f6-a3f2-54f5-9719-36f2124eb98d</x:v>
      </x:c>
      <x:c r="E412" t="str">
        <x:v>CDA-CODE-902</x:v>
      </x:c>
      <x:c r="F412" t="str">
        <x:v>Caran d’Ache</x:v>
      </x:c>
      <x:c r="G412" t="str">
        <x:v>MUS</x:v>
      </x:c>
      <x:c r="H412" t="str">
        <x:v>MUSEUM Aquarelle</x:v>
      </x:c>
      <x:c r="I412" t="str">
        <x:v>Extra-fine water-soluble coloured pencil</x:v>
      </x:c>
      <x:c r="J412" t="str">
        <x:v>Professional</x:v>
      </x:c>
      <x:c r="K412" s="30" t="n">
        <x:v>71</x:v>
      </x:c>
      <x:c r="L412" s="30" t="str">
        <x:v>902</x:v>
      </x:c>
      <x:c r="M412" t="str">
        <x:v>Sepia 10%</x:v>
      </x:c>
      <x:c r="N412" t="str">
        <x:v>深褐色 10%</x:v>
      </x:c>
      <x:c r="O412" t="str">
        <x:v>セピア10%</x:v>
      </x:c>
      <x:c r="P412" t="str">
        <x:v>セピア10%</x:v>
      </x:c>
      <x:c r="Q412" t="str">
        <x:v>Sépia 10%</x:v>
      </x:c>
      <x:c r="R412" t="str">
        <x:v>Sepia 10%</x:v>
      </x:c>
      <x:c r="S412" t="str">
        <x:v>Seppia 10%</x:v>
      </x:c>
      <x:c r="T412" t="str">
        <x:v>Sepia 10%</x:v>
      </x:c>
      <x:c r="U412" t="str"/>
      <x:c r="V412" t="str"/>
      <x:c r="W412" t="str">
        <x:v>PR101/PBk7/PBk11/PY42</x:v>
      </x:c>
      <x:c r="X412" t="n">
        <x:f>IF(W412="",0,LEN(W412)-LEN(SUBSTITUTE(W412,"/",""))+1)</x:f>
        <x:v>4</x:v>
      </x:c>
      <x:c r="Y412" t="str">
        <x:v>HHH</x:v>
      </x:c>
      <x:c r="Z412" s="32" t="n">
        <x:v>3</x:v>
      </x:c>
      <x:c r="AA412" s="32" t="n">
        <x:v>5</x:v>
      </x:c>
      <x:c r="AB412" s="32" t="str">
        <x:v>Blue Wool Scale / UV 150h</x:v>
      </x:c>
      <x:c r="AC412" t="str">
        <x:v>#B79995</x:v>
      </x:c>
      <x:c r="AD412" s="34" t="n">
        <x:v>183</x:v>
      </x:c>
      <x:c r="AE412" s="34" t="n">
        <x:v>153</x:v>
      </x:c>
      <x:c r="AF412" s="34" t="n">
        <x:v>149</x:v>
      </x:c>
      <x:c r="AG412" s="32" t="n">
        <x:v>7.06</x:v>
      </x:c>
      <x:c r="AH412" s="32" t="n">
        <x:v>19.1</x:v>
      </x:c>
      <x:c r="AI412" s="32" t="n">
        <x:v>65.1</x:v>
      </x:c>
      <x:c r="AJ412" s="32" t="n">
        <x:v>65.76</x:v>
      </x:c>
      <x:c r="AK412" s="32" t="n">
        <x:v>10.48</x:v>
      </x:c>
      <x:c r="AL412" s="32" t="n">
        <x:v>6.26</x:v>
      </x:c>
      <x:c r="AM412" s="32" t="str">
        <x:v>#000000</x:v>
      </x:c>
      <x:c r="AN412" s="32" t="str">
        <x:v>Black</x:v>
      </x:c>
      <x:c r="AO412" s="32" t="n">
        <x:v>8</x:v>
      </x:c>
      <x:c r="AP412" s="32" t="n">
        <x:v>8</x:v>
      </x:c>
      <x:c r="AQ412" s="32" t="n">
        <x:v>2.62</x:v>
      </x:c>
      <x:c r="AR412" s="32" t="n">
        <x:v>0.350197</x:v>
      </x:c>
      <x:c r="AS412" t="str">
        <x:v>PASS</x:v>
      </x:c>
      <x:c r="AT412" t="str">
        <x:v>--cda-mus-902</x:v>
      </x:c>
      <x:c r="AU412" t="str">
        <x:v>var(--cda-mus-902)</x:v>
      </x:c>
      <x:c r="AV412" t="str">
        <x:v>Median RGB from official PDF swatch (screen reference only)</x:v>
      </x:c>
      <x:c r="AW412" t="str">
        <x:v>https://www.carandache.com/content_files/uploaded_doc/product/10986/Colour_Chart_Museum.pdf</x:v>
      </x:c>
      <x:c r="AX412" t="n">
        <x:v>1</x:v>
      </x:c>
      <x:c r="AY412" t="str">
        <x:v>Official</x:v>
      </x:c>
      <x:c r="AZ412" t="str">
        <x:v>Official where available; curated Traditional Chinese/Japanese otherwise</x:v>
      </x:c>
      <x:c r="BA412" t="str">
        <x:v>Verified from official chart; digital HEX is approximate</x:v>
      </x:c>
      <x:c r="BB412" t="str">
        <x:v>Physical media appearance varies by paper, pressure, layering, water and scan/display profile.</x:v>
      </x:c>
    </x:row>
    <x:row r="413">
      <x:c r="A413" t="str">
        <x:f>G413&amp;"|"&amp;L413</x:f>
        <x:v>MUS|004</x:v>
      </x:c>
      <x:c r="B413" t="str">
        <x:v>c34a9125-1428-5acf-bfe1-d983b59fee36</x:v>
      </x:c>
      <x:c r="C413" t="str">
        <x:v>CDA-MUS-004</x:v>
      </x:c>
      <x:c r="D413" t="str">
        <x:v>de4df521-dec4-520d-ab19-51053b9c58ea</x:v>
      </x:c>
      <x:c r="E413" t="str">
        <x:v>CDA-CODE-004</x:v>
      </x:c>
      <x:c r="F413" t="str">
        <x:v>Caran d’Ache</x:v>
      </x:c>
      <x:c r="G413" t="str">
        <x:v>MUS</x:v>
      </x:c>
      <x:c r="H413" t="str">
        <x:v>MUSEUM Aquarelle</x:v>
      </x:c>
      <x:c r="I413" t="str">
        <x:v>Extra-fine water-soluble coloured pencil</x:v>
      </x:c>
      <x:c r="J413" t="str">
        <x:v>Professional</x:v>
      </x:c>
      <x:c r="K413" s="30" t="n">
        <x:v>72</x:v>
      </x:c>
      <x:c r="L413" s="30" t="str">
        <x:v>004</x:v>
      </x:c>
      <x:c r="M413" t="str">
        <x:v>Steel grey</x:v>
      </x:c>
      <x:c r="N413" t="str">
        <x:v>鋼灰色</x:v>
      </x:c>
      <x:c r="O413" t="str">
        <x:v>スチール グレイ</x:v>
      </x:c>
      <x:c r="P413" t="str">
        <x:v>スチール グレイ</x:v>
      </x:c>
      <x:c r="Q413" t="str">
        <x:v>Gris acier</x:v>
      </x:c>
      <x:c r="R413" t="str">
        <x:v>Stahlgrau</x:v>
      </x:c>
      <x:c r="S413" t="str">
        <x:v>Grigio acciaio</x:v>
      </x:c>
      <x:c r="T413" t="str">
        <x:v>Gris acero</x:v>
      </x:c>
      <x:c r="U413" t="str"/>
      <x:c r="V413" t="str"/>
      <x:c r="W413" t="str">
        <x:v>PBk7/PB15</x:v>
      </x:c>
      <x:c r="X413" t="n">
        <x:f>IF(W413="",0,LEN(W413)-LEN(SUBSTITUTE(W413,"/",""))+1)</x:f>
        <x:v>2</x:v>
      </x:c>
      <x:c r="Y413" t="str">
        <x:v>HHH</x:v>
      </x:c>
      <x:c r="Z413" s="32" t="n">
        <x:v>3</x:v>
      </x:c>
      <x:c r="AA413" s="32" t="n">
        <x:v>5</x:v>
      </x:c>
      <x:c r="AB413" s="32" t="str">
        <x:v>Blue Wool Scale / UV 150h</x:v>
      </x:c>
      <x:c r="AC413" t="str">
        <x:v>#CFD0D4</x:v>
      </x:c>
      <x:c r="AD413" s="34" t="n">
        <x:v>207</x:v>
      </x:c>
      <x:c r="AE413" s="34" t="n">
        <x:v>208</x:v>
      </x:c>
      <x:c r="AF413" s="34" t="n">
        <x:v>212</x:v>
      </x:c>
      <x:c r="AG413" s="32" t="n">
        <x:v>228</x:v>
      </x:c>
      <x:c r="AH413" s="32" t="n">
        <x:v>5.49</x:v>
      </x:c>
      <x:c r="AI413" s="32" t="n">
        <x:v>82.16</x:v>
      </x:c>
      <x:c r="AJ413" s="32" t="n">
        <x:v>83.51</x:v>
      </x:c>
      <x:c r="AK413" s="32" t="n">
        <x:v>0.39</x:v>
      </x:c>
      <x:c r="AL413" s="32" t="n">
        <x:v>-2.1</x:v>
      </x:c>
      <x:c r="AM413" s="32" t="str">
        <x:v>#000000</x:v>
      </x:c>
      <x:c r="AN413" s="32" t="str">
        <x:v>Black</x:v>
      </x:c>
      <x:c r="AO413" s="32" t="n">
        <x:v>13.63</x:v>
      </x:c>
      <x:c r="AP413" s="32" t="n">
        <x:v>13.63</x:v>
      </x:c>
      <x:c r="AQ413" s="32" t="n">
        <x:v>1.54</x:v>
      </x:c>
      <x:c r="AR413" s="32" t="n">
        <x:v>0.631306</x:v>
      </x:c>
      <x:c r="AS413" t="str">
        <x:v>PASS</x:v>
      </x:c>
      <x:c r="AT413" t="str">
        <x:v>--cda-mus-004</x:v>
      </x:c>
      <x:c r="AU413" t="str">
        <x:v>var(--cda-mus-004)</x:v>
      </x:c>
      <x:c r="AV413" t="str">
        <x:v>Median RGB from official PDF swatch (screen reference only)</x:v>
      </x:c>
      <x:c r="AW413" t="str">
        <x:v>https://www.carandache.com/content_files/uploaded_doc/product/10986/Colour_Chart_Museum.pdf</x:v>
      </x:c>
      <x:c r="AX413" t="n">
        <x:v>1</x:v>
      </x:c>
      <x:c r="AY413" t="str">
        <x:v>Official</x:v>
      </x:c>
      <x:c r="AZ413" t="str">
        <x:v>Official where available; curated Traditional Chinese/Japanese otherwise</x:v>
      </x:c>
      <x:c r="BA413" t="str">
        <x:v>Verified from official chart; digital HEX is approximate</x:v>
      </x:c>
      <x:c r="BB413" t="str">
        <x:v>Physical media appearance varies by paper, pressure, layering, water and scan/display profile.</x:v>
      </x:c>
    </x:row>
    <x:row r="414">
      <x:c r="A414" t="str">
        <x:f>G414&amp;"|"&amp;L414</x:f>
        <x:v>MUS|508</x:v>
      </x:c>
      <x:c r="B414" t="str">
        <x:v>7feb0fc3-5994-5c3e-a39c-7c8c33d76f1c</x:v>
      </x:c>
      <x:c r="C414" t="str">
        <x:v>CDA-MUS-508</x:v>
      </x:c>
      <x:c r="D414" t="str">
        <x:v>ac1b5a77-594e-5945-b354-658024eb187d</x:v>
      </x:c>
      <x:c r="E414" t="str">
        <x:v>CDA-CODE-508</x:v>
      </x:c>
      <x:c r="F414" t="str">
        <x:v>Caran d’Ache</x:v>
      </x:c>
      <x:c r="G414" t="str">
        <x:v>MUS</x:v>
      </x:c>
      <x:c r="H414" t="str">
        <x:v>MUSEUM Aquarelle</x:v>
      </x:c>
      <x:c r="I414" t="str">
        <x:v>Extra-fine water-soluble coloured pencil</x:v>
      </x:c>
      <x:c r="J414" t="str">
        <x:v>Professional</x:v>
      </x:c>
      <x:c r="K414" s="30" t="n">
        <x:v>73</x:v>
      </x:c>
      <x:c r="L414" s="30" t="str">
        <x:v>508</x:v>
      </x:c>
      <x:c r="M414" t="str">
        <x:v>Payne’s grey</x:v>
      </x:c>
      <x:c r="N414" t="str">
        <x:v>佩恩灰</x:v>
      </x:c>
      <x:c r="O414" t="str">
        <x:v>ペインズグレイ</x:v>
      </x:c>
      <x:c r="P414" t="str">
        <x:v>ペインズグレイ</x:v>
      </x:c>
      <x:c r="Q414" t="str">
        <x:v>Gris de Payne</x:v>
      </x:c>
      <x:c r="R414" t="str">
        <x:v>Paynesgrau</x:v>
      </x:c>
      <x:c r="S414" t="str">
        <x:v>Grigio di Payne</x:v>
      </x:c>
      <x:c r="T414" t="str">
        <x:v>Gris de Payne</x:v>
      </x:c>
      <x:c r="U414" t="str"/>
      <x:c r="V414" t="str"/>
      <x:c r="W414" t="str">
        <x:v>PBk6/PB29</x:v>
      </x:c>
      <x:c r="X414" t="n">
        <x:f>IF(W414="",0,LEN(W414)-LEN(SUBSTITUTE(W414,"/",""))+1)</x:f>
        <x:v>2</x:v>
      </x:c>
      <x:c r="Y414" t="str">
        <x:v>HH</x:v>
      </x:c>
      <x:c r="Z414" s="32" t="n">
        <x:v>2</x:v>
      </x:c>
      <x:c r="AA414" s="32" t="n">
        <x:v>5</x:v>
      </x:c>
      <x:c r="AB414" s="32" t="str">
        <x:v>Blue Wool Scale / UV 150h</x:v>
      </x:c>
      <x:c r="AC414" t="str">
        <x:v>#6F7487</x:v>
      </x:c>
      <x:c r="AD414" s="34" t="n">
        <x:v>111</x:v>
      </x:c>
      <x:c r="AE414" s="34" t="n">
        <x:v>116</x:v>
      </x:c>
      <x:c r="AF414" s="34" t="n">
        <x:v>135</x:v>
      </x:c>
      <x:c r="AG414" s="32" t="n">
        <x:v>227.5</x:v>
      </x:c>
      <x:c r="AH414" s="32" t="n">
        <x:v>9.76</x:v>
      </x:c>
      <x:c r="AI414" s="32" t="n">
        <x:v>48.24</x:v>
      </x:c>
      <x:c r="AJ414" s="32" t="n">
        <x:v>49.03</x:v>
      </x:c>
      <x:c r="AK414" s="32" t="n">
        <x:v>2.36</x:v>
      </x:c>
      <x:c r="AL414" s="32" t="n">
        <x:v>-11.02</x:v>
      </x:c>
      <x:c r="AM414" s="32" t="str">
        <x:v>#FFFFFF</x:v>
      </x:c>
      <x:c r="AN414" s="32" t="str">
        <x:v>White</x:v>
      </x:c>
      <x:c r="AO414" s="32" t="n">
        <x:v>4.64</x:v>
      </x:c>
      <x:c r="AP414" s="32" t="n">
        <x:v>4.52</x:v>
      </x:c>
      <x:c r="AQ414" s="32" t="n">
        <x:v>4.64</x:v>
      </x:c>
      <x:c r="AR414" s="32" t="n">
        <x:v>0.176196</x:v>
      </x:c>
      <x:c r="AS414" t="str">
        <x:v>PASS</x:v>
      </x:c>
      <x:c r="AT414" t="str">
        <x:v>--cda-mus-508</x:v>
      </x:c>
      <x:c r="AU414" t="str">
        <x:v>var(--cda-mus-508)</x:v>
      </x:c>
      <x:c r="AV414" t="str">
        <x:v>Median RGB from official PDF swatch (screen reference only)</x:v>
      </x:c>
      <x:c r="AW414" t="str">
        <x:v>https://www.carandache.com/content_files/uploaded_doc/product/10986/Colour_Chart_Museum.pdf</x:v>
      </x:c>
      <x:c r="AX414" t="n">
        <x:v>1</x:v>
      </x:c>
      <x:c r="AY414" t="str">
        <x:v>Official</x:v>
      </x:c>
      <x:c r="AZ414" t="str">
        <x:v>Official where available; curated Traditional Chinese/Japanese otherwise</x:v>
      </x:c>
      <x:c r="BA414" t="str">
        <x:v>Verified from official chart; digital HEX is approximate</x:v>
      </x:c>
      <x:c r="BB414" t="str">
        <x:v>Physical media appearance varies by paper, pressure, layering, water and scan/display profile.</x:v>
      </x:c>
    </x:row>
    <x:row r="415">
      <x:c r="A415" t="str">
        <x:f>G415&amp;"|"&amp;L415</x:f>
        <x:v>MUS|495</x:v>
      </x:c>
      <x:c r="B415" t="str">
        <x:v>15abbcc7-1c2e-598b-b91e-b664050b381d</x:v>
      </x:c>
      <x:c r="C415" t="str">
        <x:v>CDA-MUS-495</x:v>
      </x:c>
      <x:c r="D415" t="str">
        <x:v>2389d9d0-ecac-5dc3-922c-5004968271df</x:v>
      </x:c>
      <x:c r="E415" t="str">
        <x:v>CDA-CODE-495</x:v>
      </x:c>
      <x:c r="F415" t="str">
        <x:v>Caran d’Ache</x:v>
      </x:c>
      <x:c r="G415" t="str">
        <x:v>MUS</x:v>
      </x:c>
      <x:c r="H415" t="str">
        <x:v>MUSEUM Aquarelle</x:v>
      </x:c>
      <x:c r="I415" t="str">
        <x:v>Extra-fine water-soluble coloured pencil</x:v>
      </x:c>
      <x:c r="J415" t="str">
        <x:v>Professional</x:v>
      </x:c>
      <x:c r="K415" s="30" t="n">
        <x:v>74</x:v>
      </x:c>
      <x:c r="L415" s="30" t="str">
        <x:v>495</x:v>
      </x:c>
      <x:c r="M415" t="str">
        <x:v>Slate grey</x:v>
      </x:c>
      <x:c r="N415" t="str">
        <x:v>板岩灰</x:v>
      </x:c>
      <x:c r="O415" t="str">
        <x:v>スレート グレイ</x:v>
      </x:c>
      <x:c r="P415" t="str">
        <x:v>スレート グレイ</x:v>
      </x:c>
      <x:c r="Q415" t="str">
        <x:v>Gris ardoise</x:v>
      </x:c>
      <x:c r="R415" t="str">
        <x:v>Schiefergrau</x:v>
      </x:c>
      <x:c r="S415" t="str">
        <x:v>Grigio ardesia</x:v>
      </x:c>
      <x:c r="T415" t="str">
        <x:v>Gris pizarra</x:v>
      </x:c>
      <x:c r="U415" t="str"/>
      <x:c r="V415" t="str"/>
      <x:c r="W415" t="str">
        <x:v>Graphite</x:v>
      </x:c>
      <x:c r="X415" t="n">
        <x:f>IF(W415="",0,LEN(W415)-LEN(SUBSTITUTE(W415,"/",""))+1)</x:f>
        <x:v>1</x:v>
      </x:c>
      <x:c r="Y415" t="str">
        <x:v>HHH</x:v>
      </x:c>
      <x:c r="Z415" s="32" t="n">
        <x:v>3</x:v>
      </x:c>
      <x:c r="AA415" s="32" t="n">
        <x:v>5</x:v>
      </x:c>
      <x:c r="AB415" s="32" t="str">
        <x:v>Blue Wool Scale / UV 150h</x:v>
      </x:c>
      <x:c r="AC415" t="str">
        <x:v>#97948D</x:v>
      </x:c>
      <x:c r="AD415" s="34" t="n">
        <x:v>151</x:v>
      </x:c>
      <x:c r="AE415" s="34" t="n">
        <x:v>148</x:v>
      </x:c>
      <x:c r="AF415" s="34" t="n">
        <x:v>141</x:v>
      </x:c>
      <x:c r="AG415" s="32" t="n">
        <x:v>42</x:v>
      </x:c>
      <x:c r="AH415" s="32" t="n">
        <x:v>4.59</x:v>
      </x:c>
      <x:c r="AI415" s="32" t="n">
        <x:v>57.25</x:v>
      </x:c>
      <x:c r="AJ415" s="32" t="n">
        <x:v>61.38</x:v>
      </x:c>
      <x:c r="AK415" s="32" t="n">
        <x:v>-0.21</x:v>
      </x:c>
      <x:c r="AL415" s="32" t="n">
        <x:v>4.09</x:v>
      </x:c>
      <x:c r="AM415" s="32" t="str">
        <x:v>#000000</x:v>
      </x:c>
      <x:c r="AN415" s="32" t="str">
        <x:v>Black</x:v>
      </x:c>
      <x:c r="AO415" s="32" t="n">
        <x:v>6.94</x:v>
      </x:c>
      <x:c r="AP415" s="32" t="n">
        <x:v>6.94</x:v>
      </x:c>
      <x:c r="AQ415" s="32" t="n">
        <x:v>3.03</x:v>
      </x:c>
      <x:c r="AR415" s="32" t="n">
        <x:v>0.296822</x:v>
      </x:c>
      <x:c r="AS415" t="str">
        <x:v>PASS</x:v>
      </x:c>
      <x:c r="AT415" t="str">
        <x:v>--cda-mus-495</x:v>
      </x:c>
      <x:c r="AU415" t="str">
        <x:v>var(--cda-mus-495)</x:v>
      </x:c>
      <x:c r="AV415" t="str">
        <x:v>Median RGB from official PDF swatch (screen reference only)</x:v>
      </x:c>
      <x:c r="AW415" t="str">
        <x:v>https://www.carandache.com/content_files/uploaded_doc/product/10986/Colour_Chart_Museum.pdf</x:v>
      </x:c>
      <x:c r="AX415" t="n">
        <x:v>1</x:v>
      </x:c>
      <x:c r="AY415" t="str">
        <x:v>Official</x:v>
      </x:c>
      <x:c r="AZ415" t="str">
        <x:v>Official where available; curated Traditional Chinese/Japanese otherwise</x:v>
      </x:c>
      <x:c r="BA415" t="str">
        <x:v>Verified from official chart; digital HEX is approximate</x:v>
      </x:c>
      <x:c r="BB415" t="str">
        <x:v>Physical media appearance varies by paper, pressure, layering, water and scan/display profile.</x:v>
      </x:c>
    </x:row>
    <x:row r="416">
      <x:c r="A416" t="str">
        <x:f>G416&amp;"|"&amp;L416</x:f>
        <x:v>MUS|496</x:v>
      </x:c>
      <x:c r="B416" t="str">
        <x:v>f36a30df-3619-5aad-a08d-fdca0bd4234a</x:v>
      </x:c>
      <x:c r="C416" t="str">
        <x:v>CDA-MUS-496</x:v>
      </x:c>
      <x:c r="D416" t="str">
        <x:v>91d57ab5-52d4-5164-8f15-564f1470e385</x:v>
      </x:c>
      <x:c r="E416" t="str">
        <x:v>CDA-CODE-496</x:v>
      </x:c>
      <x:c r="F416" t="str">
        <x:v>Caran d’Ache</x:v>
      </x:c>
      <x:c r="G416" t="str">
        <x:v>MUS</x:v>
      </x:c>
      <x:c r="H416" t="str">
        <x:v>MUSEUM Aquarelle</x:v>
      </x:c>
      <x:c r="I416" t="str">
        <x:v>Extra-fine water-soluble coloured pencil</x:v>
      </x:c>
      <x:c r="J416" t="str">
        <x:v>Professional</x:v>
      </x:c>
      <x:c r="K416" s="30" t="n">
        <x:v>75</x:v>
      </x:c>
      <x:c r="L416" s="30" t="str">
        <x:v>496</x:v>
      </x:c>
      <x:c r="M416" t="str">
        <x:v>Ivory Black</x:v>
      </x:c>
      <x:c r="N416" t="str">
        <x:v>象牙黑</x:v>
      </x:c>
      <x:c r="O416" t="str">
        <x:v>アイボリ ブラック</x:v>
      </x:c>
      <x:c r="P416" t="str">
        <x:v>アイボリ ブラック</x:v>
      </x:c>
      <x:c r="Q416" t="str">
        <x:v>Noir d’Ivoire</x:v>
      </x:c>
      <x:c r="R416" t="str">
        <x:v>Elfenbeinschwarz</x:v>
      </x:c>
      <x:c r="S416" t="str">
        <x:v>Nero d’avorio</x:v>
      </x:c>
      <x:c r="T416" t="str">
        <x:v>Negro marfil</x:v>
      </x:c>
      <x:c r="U416" t="str"/>
      <x:c r="V416" t="str"/>
      <x:c r="W416" t="str">
        <x:v>PBk7</x:v>
      </x:c>
      <x:c r="X416" t="n">
        <x:f>IF(W416="",0,LEN(W416)-LEN(SUBSTITUTE(W416,"/",""))+1)</x:f>
        <x:v>1</x:v>
      </x:c>
      <x:c r="Y416" t="str">
        <x:v>HHH</x:v>
      </x:c>
      <x:c r="Z416" s="32" t="n">
        <x:v>3</x:v>
      </x:c>
      <x:c r="AA416" s="32" t="n">
        <x:v>5</x:v>
      </x:c>
      <x:c r="AB416" s="32" t="str">
        <x:v>Blue Wool Scale / UV 150h</x:v>
      </x:c>
      <x:c r="AC416" t="str">
        <x:v>#423C37</x:v>
      </x:c>
      <x:c r="AD416" s="34" t="n">
        <x:v>66</x:v>
      </x:c>
      <x:c r="AE416" s="34" t="n">
        <x:v>60</x:v>
      </x:c>
      <x:c r="AF416" s="34" t="n">
        <x:v>55</x:v>
      </x:c>
      <x:c r="AG416" s="32" t="n">
        <x:v>27.27</x:v>
      </x:c>
      <x:c r="AH416" s="32" t="n">
        <x:v>9.09</x:v>
      </x:c>
      <x:c r="AI416" s="32" t="n">
        <x:v>23.73</x:v>
      </x:c>
      <x:c r="AJ416" s="32" t="n">
        <x:v>25.76</x:v>
      </x:c>
      <x:c r="AK416" s="32" t="n">
        <x:v>1.57</x:v>
      </x:c>
      <x:c r="AL416" s="32" t="n">
        <x:v>4.03</x:v>
      </x:c>
      <x:c r="AM416" s="32" t="str">
        <x:v>#FFFFFF</x:v>
      </x:c>
      <x:c r="AN416" s="32" t="str">
        <x:v>White</x:v>
      </x:c>
      <x:c r="AO416" s="32" t="n">
        <x:v>10.86</x:v>
      </x:c>
      <x:c r="AP416" s="32" t="n">
        <x:v>1.93</x:v>
      </x:c>
      <x:c r="AQ416" s="32" t="n">
        <x:v>10.86</x:v>
      </x:c>
      <x:c r="AR416" s="32" t="n">
        <x:v>0.046658</x:v>
      </x:c>
      <x:c r="AS416" t="str">
        <x:v>PASS</x:v>
      </x:c>
      <x:c r="AT416" t="str">
        <x:v>--cda-mus-496</x:v>
      </x:c>
      <x:c r="AU416" t="str">
        <x:v>var(--cda-mus-496)</x:v>
      </x:c>
      <x:c r="AV416" t="str">
        <x:v>Median RGB from official PDF swatch (screen reference only)</x:v>
      </x:c>
      <x:c r="AW416" t="str">
        <x:v>https://www.carandache.com/content_files/uploaded_doc/product/10986/Colour_Chart_Museum.pdf</x:v>
      </x:c>
      <x:c r="AX416" t="n">
        <x:v>1</x:v>
      </x:c>
      <x:c r="AY416" t="str">
        <x:v>Official</x:v>
      </x:c>
      <x:c r="AZ416" t="str">
        <x:v>Official where available; curated Traditional Chinese/Japanese otherwise</x:v>
      </x:c>
      <x:c r="BA416" t="str">
        <x:v>Verified from official chart; digital HEX is approximate</x:v>
      </x:c>
      <x:c r="BB416" t="str">
        <x:v>Physical media appearance varies by paper, pressure, layering, water and scan/display profile.</x:v>
      </x:c>
    </x:row>
    <x:row r="417">
      <x:c r="A417" t="str">
        <x:f>G417&amp;"|"&amp;L417</x:f>
        <x:v>MUS|009</x:v>
      </x:c>
      <x:c r="B417" t="str">
        <x:v>66d33d36-5532-5d71-aaec-a005e50b3e29</x:v>
      </x:c>
      <x:c r="C417" t="str">
        <x:v>CDA-MUS-009</x:v>
      </x:c>
      <x:c r="D417" t="str">
        <x:v>2d957d29-ed22-5cec-97bd-83295e45a493</x:v>
      </x:c>
      <x:c r="E417" t="str">
        <x:v>CDA-CODE-009</x:v>
      </x:c>
      <x:c r="F417" t="str">
        <x:v>Caran d’Ache</x:v>
      </x:c>
      <x:c r="G417" t="str">
        <x:v>MUS</x:v>
      </x:c>
      <x:c r="H417" t="str">
        <x:v>MUSEUM Aquarelle</x:v>
      </x:c>
      <x:c r="I417" t="str">
        <x:v>Extra-fine water-soluble coloured pencil</x:v>
      </x:c>
      <x:c r="J417" t="str">
        <x:v>Professional</x:v>
      </x:c>
      <x:c r="K417" s="30" t="n">
        <x:v>76</x:v>
      </x:c>
      <x:c r="L417" s="30" t="str">
        <x:v>009</x:v>
      </x:c>
      <x:c r="M417" t="str">
        <x:v>Black</x:v>
      </x:c>
      <x:c r="N417" t="str">
        <x:v>黑色</x:v>
      </x:c>
      <x:c r="O417" t="str">
        <x:v>ブラック</x:v>
      </x:c>
      <x:c r="P417" t="str">
        <x:v>ブラック</x:v>
      </x:c>
      <x:c r="Q417" t="str">
        <x:v>Noir</x:v>
      </x:c>
      <x:c r="R417" t="str">
        <x:v>Schwarz</x:v>
      </x:c>
      <x:c r="S417" t="str">
        <x:v>Nero</x:v>
      </x:c>
      <x:c r="T417" t="str">
        <x:v>Negro</x:v>
      </x:c>
      <x:c r="U417" t="str"/>
      <x:c r="V417" t="str"/>
      <x:c r="W417" t="str">
        <x:v>PBk6</x:v>
      </x:c>
      <x:c r="X417" t="n">
        <x:f>IF(W417="",0,LEN(W417)-LEN(SUBSTITUTE(W417,"/",""))+1)</x:f>
        <x:v>1</x:v>
      </x:c>
      <x:c r="Y417" t="str">
        <x:v>HHH</x:v>
      </x:c>
      <x:c r="Z417" s="32" t="n">
        <x:v>3</x:v>
      </x:c>
      <x:c r="AA417" s="32" t="n">
        <x:v>5</x:v>
      </x:c>
      <x:c r="AB417" s="32" t="str">
        <x:v>Blue Wool Scale / UV 150h</x:v>
      </x:c>
      <x:c r="AC417" t="str">
        <x:v>#696969</x:v>
      </x:c>
      <x:c r="AD417" s="34" t="n">
        <x:v>105</x:v>
      </x:c>
      <x:c r="AE417" s="34" t="n">
        <x:v>105</x:v>
      </x:c>
      <x:c r="AF417" s="34" t="n">
        <x:v>105</x:v>
      </x:c>
      <x:c r="AG417" s="32" t="n">
        <x:v>0</x:v>
      </x:c>
      <x:c r="AH417" s="32" t="n">
        <x:v>0</x:v>
      </x:c>
      <x:c r="AI417" s="32" t="n">
        <x:v>41.18</x:v>
      </x:c>
      <x:c r="AJ417" s="32" t="n">
        <x:v>44.41</x:v>
      </x:c>
      <x:c r="AK417" s="32" t="n">
        <x:v>0</x:v>
      </x:c>
      <x:c r="AL417" s="32" t="n">
        <x:v>0</x:v>
      </x:c>
      <x:c r="AM417" s="32" t="str">
        <x:v>#FFFFFF</x:v>
      </x:c>
      <x:c r="AN417" s="32" t="str">
        <x:v>White</x:v>
      </x:c>
      <x:c r="AO417" s="32" t="n">
        <x:v>5.49</x:v>
      </x:c>
      <x:c r="AP417" s="32" t="n">
        <x:v>3.83</x:v>
      </x:c>
      <x:c r="AQ417" s="32" t="n">
        <x:v>5.49</x:v>
      </x:c>
      <x:c r="AR417" s="32" t="n">
        <x:v>0.141263</x:v>
      </x:c>
      <x:c r="AS417" t="str">
        <x:v>PASS</x:v>
      </x:c>
      <x:c r="AT417" t="str">
        <x:v>--cda-mus-009</x:v>
      </x:c>
      <x:c r="AU417" t="str">
        <x:v>var(--cda-mus-009)</x:v>
      </x:c>
      <x:c r="AV417" t="str">
        <x:v>Median RGB from official PDF swatch (screen reference only)</x:v>
      </x:c>
      <x:c r="AW417" t="str">
        <x:v>https://www.carandache.com/content_files/uploaded_doc/product/10986/Colour_Chart_Museum.pdf</x:v>
      </x:c>
      <x:c r="AX417" t="n">
        <x:v>1</x:v>
      </x:c>
      <x:c r="AY417" t="str">
        <x:v>Official</x:v>
      </x:c>
      <x:c r="AZ417" t="str">
        <x:v>Official where available; curated Traditional Chinese/Japanese otherwise</x:v>
      </x:c>
      <x:c r="BA417" t="str">
        <x:v>Verified from official chart; digital HEX is approximate</x:v>
      </x:c>
      <x:c r="BB417" t="str">
        <x:v>Physical media appearance varies by paper, pressure, layering, water and scan/display profile.</x:v>
      </x:c>
    </x:row>
    <x:row r="418">
      <x:c r="A418" t="str">
        <x:f>G418&amp;"|"&amp;L418</x:f>
        <x:v>NC2|011</x:v>
      </x:c>
      <x:c r="B418" t="str">
        <x:v>46b4bdde-3f4b-54fb-9219-11f09cd19a07</x:v>
      </x:c>
      <x:c r="C418" t="str">
        <x:v>CDA-NC2-011</x:v>
      </x:c>
      <x:c r="D418" t="str">
        <x:v>43a8d005-d4eb-5d75-b7e7-67ed5cabd5f4</x:v>
      </x:c>
      <x:c r="E418" t="str">
        <x:v>CDA-CODE-011</x:v>
      </x:c>
      <x:c r="F418" t="str">
        <x:v>Caran d’Ache</x:v>
      </x:c>
      <x:c r="G418" t="str">
        <x:v>NC2</x:v>
      </x:c>
      <x:c r="H418" t="str">
        <x:v>NEOCOLOR II Aquarelle</x:v>
      </x:c>
      <x:c r="I418" t="str">
        <x:v>Water-soluble wax pastel</x:v>
      </x:c>
      <x:c r="J418" t="str">
        <x:v>Artist</x:v>
      </x:c>
      <x:c r="K418" s="30" t="n">
        <x:v>1</x:v>
      </x:c>
      <x:c r="L418" s="30" t="str">
        <x:v>011</x:v>
      </x:c>
      <x:c r="M418" t="str">
        <x:v>Pale yellow</x:v>
      </x:c>
      <x:c r="N418" t="str">
        <x:v>淡黃色</x:v>
      </x:c>
      <x:c r="O418" t="str">
        <x:v>ペールイエロー</x:v>
      </x:c>
      <x:c r="P418" t="str"/>
      <x:c r="Q418" t="str">
        <x:v>Jaune lumière</x:v>
      </x:c>
      <x:c r="R418" t="str">
        <x:v>Lichtgelb</x:v>
      </x:c>
      <x:c r="S418" t="str">
        <x:v>Giallo chiaro</x:v>
      </x:c>
      <x:c r="T418" t="str">
        <x:v>Amarillo luminoso</x:v>
      </x:c>
      <x:c r="U418" t="str"/>
      <x:c r="V418" t="str"/>
      <x:c r="W418" t="str"/>
      <x:c r="X418" t="n">
        <x:f>IF(W418="",0,LEN(W418)-LEN(SUBSTITUTE(W418,"/",""))+1)</x:f>
        <x:v>0</x:v>
      </x:c>
      <x:c r="Y418" t="str">
        <x:v>H</x:v>
      </x:c>
      <x:c r="Z418" s="32" t="n">
        <x:v>1.67</x:v>
      </x:c>
      <x:c r="AA418" s="32" t="n">
        <x:v>3</x:v>
      </x:c>
      <x:c r="AB418" s="32" t="str">
        <x:v>Blue Wool Scale / UV 150h</x:v>
      </x:c>
      <x:c r="AC418" t="str">
        <x:v>#FFF7CA</x:v>
      </x:c>
      <x:c r="AD418" s="34" t="n">
        <x:v>255</x:v>
      </x:c>
      <x:c r="AE418" s="34" t="n">
        <x:v>247</x:v>
      </x:c>
      <x:c r="AF418" s="34" t="n">
        <x:v>202</x:v>
      </x:c>
      <x:c r="AG418" s="32" t="n">
        <x:v>50.94</x:v>
      </x:c>
      <x:c r="AH418" s="32" t="n">
        <x:v>100</x:v>
      </x:c>
      <x:c r="AI418" s="32" t="n">
        <x:v>89.61</x:v>
      </x:c>
      <x:c r="AJ418" s="32" t="n">
        <x:v>96.84</x:v>
      </x:c>
      <x:c r="AK418" s="32" t="n">
        <x:v>-4.35</x:v>
      </x:c>
      <x:c r="AL418" s="32" t="n">
        <x:v>22.64</x:v>
      </x:c>
      <x:c r="AM418" s="32" t="str">
        <x:v>#000000</x:v>
      </x:c>
      <x:c r="AN418" s="32" t="str">
        <x:v>Black</x:v>
      </x:c>
      <x:c r="AO418" s="32" t="n">
        <x:v>19.41</x:v>
      </x:c>
      <x:c r="AP418" s="32" t="n">
        <x:v>19.41</x:v>
      </x:c>
      <x:c r="AQ418" s="32" t="n">
        <x:v>1.08</x:v>
      </x:c>
      <x:c r="AR418" s="32" t="n">
        <x:v>0.920458</x:v>
      </x:c>
      <x:c r="AS418" t="str">
        <x:v>PASS</x:v>
      </x:c>
      <x:c r="AT418" t="str">
        <x:v>--cda-nc2-011</x:v>
      </x:c>
      <x:c r="AU418" t="str">
        <x:v>var(--cda-nc2-011)</x:v>
      </x:c>
      <x:c r="AV418" t="str">
        <x:v>Median RGB from official PDF swatch (screen reference only)</x:v>
      </x:c>
      <x:c r="AW418" t="str">
        <x:v>https://www.carandache.com/content_files/uploaded_doc/product/10603/Colour_Chart_NeocolorII_841.pdf</x:v>
      </x:c>
      <x:c r="AX418" t="n">
        <x:v>1</x:v>
      </x:c>
      <x:c r="AY418" t="str">
        <x:v>Official</x:v>
      </x:c>
      <x:c r="AZ418" t="str">
        <x:v>Official where available; curated Traditional Chinese/Japanese otherwise</x:v>
      </x:c>
      <x:c r="BA418" t="str">
        <x:v>Verified from official chart; digital HEX is approximate</x:v>
      </x:c>
      <x:c r="BB418" t="str">
        <x:v>Physical media appearance varies by paper, pressure, layering, water and scan/display profile.</x:v>
      </x:c>
    </x:row>
    <x:row r="419">
      <x:c r="A419" t="str">
        <x:f>G419&amp;"|"&amp;L419</x:f>
        <x:v>NC2|240</x:v>
      </x:c>
      <x:c r="B419" t="str">
        <x:v>b750fce5-0304-563d-9119-0a0bfad6afef</x:v>
      </x:c>
      <x:c r="C419" t="str">
        <x:v>CDA-NC2-240</x:v>
      </x:c>
      <x:c r="D419" t="str">
        <x:v>e71849e5-e37c-518f-99a0-9189b6af2b63</x:v>
      </x:c>
      <x:c r="E419" t="str">
        <x:v>CDA-CODE-240</x:v>
      </x:c>
      <x:c r="F419" t="str">
        <x:v>Caran d’Ache</x:v>
      </x:c>
      <x:c r="G419" t="str">
        <x:v>NC2</x:v>
      </x:c>
      <x:c r="H419" t="str">
        <x:v>NEOCOLOR II Aquarelle</x:v>
      </x:c>
      <x:c r="I419" t="str">
        <x:v>Water-soluble wax pastel</x:v>
      </x:c>
      <x:c r="J419" t="str">
        <x:v>Artist</x:v>
      </x:c>
      <x:c r="K419" s="30" t="n">
        <x:v>2</x:v>
      </x:c>
      <x:c r="L419" s="30" t="str">
        <x:v>240</x:v>
      </x:c>
      <x:c r="M419" t="str">
        <x:v>Lemon yellow</x:v>
      </x:c>
      <x:c r="N419" t="str">
        <x:v>檸檬黃</x:v>
      </x:c>
      <x:c r="O419" t="str">
        <x:v>レモンイエロー</x:v>
      </x:c>
      <x:c r="P419" t="str"/>
      <x:c r="Q419" t="str">
        <x:v>Jaune citron</x:v>
      </x:c>
      <x:c r="R419" t="str">
        <x:v>Zitronengelb</x:v>
      </x:c>
      <x:c r="S419" t="str">
        <x:v>Giallo limone</x:v>
      </x:c>
      <x:c r="T419" t="str">
        <x:v>Amarillo limón</x:v>
      </x:c>
      <x:c r="U419" t="str"/>
      <x:c r="V419" t="str"/>
      <x:c r="W419" t="str"/>
      <x:c r="X419" t="n">
        <x:f>IF(W419="",0,LEN(W419)-LEN(SUBSTITUTE(W419,"/",""))+1)</x:f>
        <x:v>0</x:v>
      </x:c>
      <x:c r="Y419" t="str">
        <x:v>H</x:v>
      </x:c>
      <x:c r="Z419" s="32" t="n">
        <x:v>1.67</x:v>
      </x:c>
      <x:c r="AA419" s="32" t="n">
        <x:v>3</x:v>
      </x:c>
      <x:c r="AB419" s="32" t="str">
        <x:v>Blue Wool Scale / UV 150h</x:v>
      </x:c>
      <x:c r="AC419" t="str">
        <x:v>#FDF299</x:v>
      </x:c>
      <x:c r="AD419" s="34" t="n">
        <x:v>253</x:v>
      </x:c>
      <x:c r="AE419" s="34" t="n">
        <x:v>242</x:v>
      </x:c>
      <x:c r="AF419" s="34" t="n">
        <x:v>153</x:v>
      </x:c>
      <x:c r="AG419" s="32" t="n">
        <x:v>53.4</x:v>
      </x:c>
      <x:c r="AH419" s="32" t="n">
        <x:v>96.15</x:v>
      </x:c>
      <x:c r="AI419" s="32" t="n">
        <x:v>79.61</x:v>
      </x:c>
      <x:c r="AJ419" s="32" t="n">
        <x:v>94.61</x:v>
      </x:c>
      <x:c r="AK419" s="32" t="n">
        <x:v>-8.61</x:v>
      </x:c>
      <x:c r="AL419" s="32" t="n">
        <x:v>44.25</x:v>
      </x:c>
      <x:c r="AM419" s="32" t="str">
        <x:v>#000000</x:v>
      </x:c>
      <x:c r="AN419" s="32" t="str">
        <x:v>Black</x:v>
      </x:c>
      <x:c r="AO419" s="32" t="n">
        <x:v>18.34</x:v>
      </x:c>
      <x:c r="AP419" s="32" t="n">
        <x:v>18.34</x:v>
      </x:c>
      <x:c r="AQ419" s="32" t="n">
        <x:v>1.15</x:v>
      </x:c>
      <x:c r="AR419" s="32" t="n">
        <x:v>0.866868</x:v>
      </x:c>
      <x:c r="AS419" t="str">
        <x:v>PASS</x:v>
      </x:c>
      <x:c r="AT419" t="str">
        <x:v>--cda-nc2-240</x:v>
      </x:c>
      <x:c r="AU419" t="str">
        <x:v>var(--cda-nc2-240)</x:v>
      </x:c>
      <x:c r="AV419" t="str">
        <x:v>Median RGB from official PDF swatch (screen reference only)</x:v>
      </x:c>
      <x:c r="AW419" t="str">
        <x:v>https://www.carandache.com/content_files/uploaded_doc/product/10603/Colour_Chart_NeocolorII_841.pdf</x:v>
      </x:c>
      <x:c r="AX419" t="n">
        <x:v>1</x:v>
      </x:c>
      <x:c r="AY419" t="str">
        <x:v>Official</x:v>
      </x:c>
      <x:c r="AZ419" t="str">
        <x:v>Official where available; curated Traditional Chinese/Japanese otherwise</x:v>
      </x:c>
      <x:c r="BA419" t="str">
        <x:v>Verified from official chart; digital HEX is approximate</x:v>
      </x:c>
      <x:c r="BB419" t="str">
        <x:v>Physical media appearance varies by paper, pressure, layering, water and scan/display profile.</x:v>
      </x:c>
    </x:row>
    <x:row r="420">
      <x:c r="A420" t="str">
        <x:f>G420&amp;"|"&amp;L420</x:f>
        <x:v>NC2|250</x:v>
      </x:c>
      <x:c r="B420" t="str">
        <x:v>def0c064-3cb0-57e7-bacf-862510a3c518</x:v>
      </x:c>
      <x:c r="C420" t="str">
        <x:v>CDA-NC2-250</x:v>
      </x:c>
      <x:c r="D420" t="str">
        <x:v>a36f41da-2a4f-5347-af79-4684b0317670</x:v>
      </x:c>
      <x:c r="E420" t="str">
        <x:v>CDA-CODE-250</x:v>
      </x:c>
      <x:c r="F420" t="str">
        <x:v>Caran d’Ache</x:v>
      </x:c>
      <x:c r="G420" t="str">
        <x:v>NC2</x:v>
      </x:c>
      <x:c r="H420" t="str">
        <x:v>NEOCOLOR II Aquarelle</x:v>
      </x:c>
      <x:c r="I420" t="str">
        <x:v>Water-soluble wax pastel</x:v>
      </x:c>
      <x:c r="J420" t="str">
        <x:v>Artist</x:v>
      </x:c>
      <x:c r="K420" s="30" t="n">
        <x:v>3</x:v>
      </x:c>
      <x:c r="L420" s="30" t="str">
        <x:v>250</x:v>
      </x:c>
      <x:c r="M420" t="str">
        <x:v>Canary yellow</x:v>
      </x:c>
      <x:c r="N420" t="str">
        <x:v>金絲雀黃</x:v>
      </x:c>
      <x:c r="O420" t="str">
        <x:v>カナリアイエロー</x:v>
      </x:c>
      <x:c r="P420" t="str"/>
      <x:c r="Q420" t="str">
        <x:v>Jaune canari</x:v>
      </x:c>
      <x:c r="R420" t="str">
        <x:v>Kanariengelb</x:v>
      </x:c>
      <x:c r="S420" t="str">
        <x:v>Giallo canarino</x:v>
      </x:c>
      <x:c r="T420" t="str">
        <x:v>Amarillo canário</x:v>
      </x:c>
      <x:c r="U420" t="str"/>
      <x:c r="V420" t="str"/>
      <x:c r="W420" t="str"/>
      <x:c r="X420" t="n">
        <x:f>IF(W420="",0,LEN(W420)-LEN(SUBSTITUTE(W420,"/",""))+1)</x:f>
        <x:v>0</x:v>
      </x:c>
      <x:c r="Y420" t="str">
        <x:v>H</x:v>
      </x:c>
      <x:c r="Z420" s="32" t="n">
        <x:v>1.67</x:v>
      </x:c>
      <x:c r="AA420" s="32" t="n">
        <x:v>3</x:v>
      </x:c>
      <x:c r="AB420" s="32" t="str">
        <x:v>Blue Wool Scale / UV 150h</x:v>
      </x:c>
      <x:c r="AC420" t="str">
        <x:v>#FDF39B</x:v>
      </x:c>
      <x:c r="AD420" s="34" t="n">
        <x:v>253</x:v>
      </x:c>
      <x:c r="AE420" s="34" t="n">
        <x:v>243</x:v>
      </x:c>
      <x:c r="AF420" s="34" t="n">
        <x:v>155</x:v>
      </x:c>
      <x:c r="AG420" s="32" t="n">
        <x:v>53.88</x:v>
      </x:c>
      <x:c r="AH420" s="32" t="n">
        <x:v>96.08</x:v>
      </x:c>
      <x:c r="AI420" s="32" t="n">
        <x:v>80</x:v>
      </x:c>
      <x:c r="AJ420" s="32" t="n">
        <x:v>94.89</x:v>
      </x:c>
      <x:c r="AK420" s="32" t="n">
        <x:v>-8.89</x:v>
      </x:c>
      <x:c r="AL420" s="32" t="n">
        <x:v>43.62</x:v>
      </x:c>
      <x:c r="AM420" s="32" t="str">
        <x:v>#000000</x:v>
      </x:c>
      <x:c r="AN420" s="32" t="str">
        <x:v>Black</x:v>
      </x:c>
      <x:c r="AO420" s="32" t="n">
        <x:v>18.47</x:v>
      </x:c>
      <x:c r="AP420" s="32" t="n">
        <x:v>18.47</x:v>
      </x:c>
      <x:c r="AQ420" s="32" t="n">
        <x:v>1.14</x:v>
      </x:c>
      <x:c r="AR420" s="32" t="n">
        <x:v>0.873504</x:v>
      </x:c>
      <x:c r="AS420" t="str">
        <x:v>PASS</x:v>
      </x:c>
      <x:c r="AT420" t="str">
        <x:v>--cda-nc2-250</x:v>
      </x:c>
      <x:c r="AU420" t="str">
        <x:v>var(--cda-nc2-250)</x:v>
      </x:c>
      <x:c r="AV420" t="str">
        <x:v>Median RGB from official PDF swatch (screen reference only)</x:v>
      </x:c>
      <x:c r="AW420" t="str">
        <x:v>https://www.carandache.com/content_files/uploaded_doc/product/10603/Colour_Chart_NeocolorII_841.pdf</x:v>
      </x:c>
      <x:c r="AX420" t="n">
        <x:v>1</x:v>
      </x:c>
      <x:c r="AY420" t="str">
        <x:v>Official</x:v>
      </x:c>
      <x:c r="AZ420" t="str">
        <x:v>Official where available; curated Traditional Chinese/Japanese otherwise</x:v>
      </x:c>
      <x:c r="BA420" t="str">
        <x:v>Verified from official chart; digital HEX is approximate</x:v>
      </x:c>
      <x:c r="BB420" t="str">
        <x:v>Physical media appearance varies by paper, pressure, layering, water and scan/display profile.</x:v>
      </x:c>
    </x:row>
    <x:row r="421">
      <x:c r="A421" t="str">
        <x:f>G421&amp;"|"&amp;L421</x:f>
        <x:v>NC2|010</x:v>
      </x:c>
      <x:c r="B421" t="str">
        <x:v>0dfec478-4716-5c89-9a19-502c4c2732af</x:v>
      </x:c>
      <x:c r="C421" t="str">
        <x:v>CDA-NC2-010</x:v>
      </x:c>
      <x:c r="D421" t="str">
        <x:v>2eb703d0-d144-5025-ac87-72936a922e7c</x:v>
      </x:c>
      <x:c r="E421" t="str">
        <x:v>CDA-CODE-010</x:v>
      </x:c>
      <x:c r="F421" t="str">
        <x:v>Caran d’Ache</x:v>
      </x:c>
      <x:c r="G421" t="str">
        <x:v>NC2</x:v>
      </x:c>
      <x:c r="H421" t="str">
        <x:v>NEOCOLOR II Aquarelle</x:v>
      </x:c>
      <x:c r="I421" t="str">
        <x:v>Water-soluble wax pastel</x:v>
      </x:c>
      <x:c r="J421" t="str">
        <x:v>Artist</x:v>
      </x:c>
      <x:c r="K421" s="30" t="n">
        <x:v>4</x:v>
      </x:c>
      <x:c r="L421" s="30" t="str">
        <x:v>010</x:v>
      </x:c>
      <x:c r="M421" t="str">
        <x:v>Yellow</x:v>
      </x:c>
      <x:c r="N421" t="str">
        <x:v>黃色</x:v>
      </x:c>
      <x:c r="O421" t="str">
        <x:v>イエロー</x:v>
      </x:c>
      <x:c r="P421" t="str"/>
      <x:c r="Q421" t="str">
        <x:v>Jaune</x:v>
      </x:c>
      <x:c r="R421" t="str">
        <x:v>Gelb</x:v>
      </x:c>
      <x:c r="S421" t="str">
        <x:v>Giallo</x:v>
      </x:c>
      <x:c r="T421" t="str">
        <x:v>Amarillo</x:v>
      </x:c>
      <x:c r="U421" t="str"/>
      <x:c r="V421" t="str"/>
      <x:c r="W421" t="str"/>
      <x:c r="X421" t="n">
        <x:f>IF(W421="",0,LEN(W421)-LEN(SUBSTITUTE(W421,"/",""))+1)</x:f>
        <x:v>0</x:v>
      </x:c>
      <x:c r="Y421" t="str">
        <x:v>H</x:v>
      </x:c>
      <x:c r="Z421" s="32" t="n">
        <x:v>1.67</x:v>
      </x:c>
      <x:c r="AA421" s="32" t="n">
        <x:v>3</x:v>
      </x:c>
      <x:c r="AB421" s="32" t="str">
        <x:v>Blue Wool Scale / UV 150h</x:v>
      </x:c>
      <x:c r="AC421" t="str">
        <x:v>#FFEF57</x:v>
      </x:c>
      <x:c r="AD421" s="34" t="n">
        <x:v>255</x:v>
      </x:c>
      <x:c r="AE421" s="34" t="n">
        <x:v>239</x:v>
      </x:c>
      <x:c r="AF421" s="34" t="n">
        <x:v>87</x:v>
      </x:c>
      <x:c r="AG421" s="32" t="n">
        <x:v>54.29</x:v>
      </x:c>
      <x:c r="AH421" s="32" t="n">
        <x:v>100</x:v>
      </x:c>
      <x:c r="AI421" s="32" t="n">
        <x:v>67.06</x:v>
      </x:c>
      <x:c r="AJ421" s="32" t="n">
        <x:v>93.31</x:v>
      </x:c>
      <x:c r="AK421" s="32" t="n">
        <x:v>-11.55</x:v>
      </x:c>
      <x:c r="AL421" s="32" t="n">
        <x:v>72.41</x:v>
      </x:c>
      <x:c r="AM421" s="32" t="str">
        <x:v>#000000</x:v>
      </x:c>
      <x:c r="AN421" s="32" t="str">
        <x:v>Black</x:v>
      </x:c>
      <x:c r="AO421" s="32" t="n">
        <x:v>17.74</x:v>
      </x:c>
      <x:c r="AP421" s="32" t="n">
        <x:v>17.74</x:v>
      </x:c>
      <x:c r="AQ421" s="32" t="n">
        <x:v>1.18</x:v>
      </x:c>
      <x:c r="AR421" s="32" t="n">
        <x:v>0.836811</x:v>
      </x:c>
      <x:c r="AS421" t="str">
        <x:v>PASS</x:v>
      </x:c>
      <x:c r="AT421" t="str">
        <x:v>--cda-nc2-010</x:v>
      </x:c>
      <x:c r="AU421" t="str">
        <x:v>var(--cda-nc2-010)</x:v>
      </x:c>
      <x:c r="AV421" t="str">
        <x:v>Median RGB from official PDF swatch (screen reference only)</x:v>
      </x:c>
      <x:c r="AW421" t="str">
        <x:v>https://www.carandache.com/content_files/uploaded_doc/product/10603/Colour_Chart_NeocolorII_841.pdf</x:v>
      </x:c>
      <x:c r="AX421" t="n">
        <x:v>1</x:v>
      </x:c>
      <x:c r="AY421" t="str">
        <x:v>Official</x:v>
      </x:c>
      <x:c r="AZ421" t="str">
        <x:v>Official where available; curated Traditional Chinese/Japanese otherwise</x:v>
      </x:c>
      <x:c r="BA421" t="str">
        <x:v>Verified from official chart; digital HEX is approximate</x:v>
      </x:c>
      <x:c r="BB421" t="str">
        <x:v>Physical media appearance varies by paper, pressure, layering, water and scan/display profile.</x:v>
      </x:c>
    </x:row>
    <x:row r="422">
      <x:c r="A422" t="str">
        <x:f>G422&amp;"|"&amp;L422</x:f>
        <x:v>NC2|020</x:v>
      </x:c>
      <x:c r="B422" t="str">
        <x:v>bac01626-fb8f-502e-a834-22d44ef339cd</x:v>
      </x:c>
      <x:c r="C422" t="str">
        <x:v>CDA-NC2-020</x:v>
      </x:c>
      <x:c r="D422" t="str">
        <x:v>6505c891-c1b2-502b-bed0-6adb7d50721c</x:v>
      </x:c>
      <x:c r="E422" t="str">
        <x:v>CDA-CODE-020</x:v>
      </x:c>
      <x:c r="F422" t="str">
        <x:v>Caran d’Ache</x:v>
      </x:c>
      <x:c r="G422" t="str">
        <x:v>NC2</x:v>
      </x:c>
      <x:c r="H422" t="str">
        <x:v>NEOCOLOR II Aquarelle</x:v>
      </x:c>
      <x:c r="I422" t="str">
        <x:v>Water-soluble wax pastel</x:v>
      </x:c>
      <x:c r="J422" t="str">
        <x:v>Artist</x:v>
      </x:c>
      <x:c r="K422" s="30" t="n">
        <x:v>5</x:v>
      </x:c>
      <x:c r="L422" s="30" t="str">
        <x:v>020</x:v>
      </x:c>
      <x:c r="M422" t="str">
        <x:v>Golden yellow</x:v>
      </x:c>
      <x:c r="N422" t="str">
        <x:v>金黃色</x:v>
      </x:c>
      <x:c r="O422" t="str">
        <x:v>ゴールデンイエロー</x:v>
      </x:c>
      <x:c r="P422" t="str"/>
      <x:c r="Q422" t="str">
        <x:v>Jaune d’or</x:v>
      </x:c>
      <x:c r="R422" t="str">
        <x:v>Goldgelb</x:v>
      </x:c>
      <x:c r="S422" t="str">
        <x:v>Giallo oro</x:v>
      </x:c>
      <x:c r="T422" t="str">
        <x:v>Amarillo oro</x:v>
      </x:c>
      <x:c r="U422" t="str"/>
      <x:c r="V422" t="str"/>
      <x:c r="W422" t="str"/>
      <x:c r="X422" t="n">
        <x:f>IF(W422="",0,LEN(W422)-LEN(SUBSTITUTE(W422,"/",""))+1)</x:f>
        <x:v>0</x:v>
      </x:c>
      <x:c r="Y422" t="str">
        <x:v>H</x:v>
      </x:c>
      <x:c r="Z422" s="32" t="n">
        <x:v>1.67</x:v>
      </x:c>
      <x:c r="AA422" s="32" t="n">
        <x:v>3</x:v>
      </x:c>
      <x:c r="AB422" s="32" t="str">
        <x:v>Blue Wool Scale / UV 150h</x:v>
      </x:c>
      <x:c r="AC422" t="str">
        <x:v>#FFEA49</x:v>
      </x:c>
      <x:c r="AD422" s="34" t="n">
        <x:v>255</x:v>
      </x:c>
      <x:c r="AE422" s="34" t="n">
        <x:v>234</x:v>
      </x:c>
      <x:c r="AF422" s="34" t="n">
        <x:v>73</x:v>
      </x:c>
      <x:c r="AG422" s="32" t="n">
        <x:v>53.08</x:v>
      </x:c>
      <x:c r="AH422" s="32" t="n">
        <x:v>100</x:v>
      </x:c>
      <x:c r="AI422" s="32" t="n">
        <x:v>64.31</x:v>
      </x:c>
      <x:c r="AJ422" s="32" t="n">
        <x:v>91.95</x:v>
      </x:c>
      <x:c r="AK422" s="32" t="n">
        <x:v>-9.78</x:v>
      </x:c>
      <x:c r="AL422" s="32" t="n">
        <x:v>76.21</x:v>
      </x:c>
      <x:c r="AM422" s="32" t="str">
        <x:v>#000000</x:v>
      </x:c>
      <x:c r="AN422" s="32" t="str">
        <x:v>Black</x:v>
      </x:c>
      <x:c r="AO422" s="32" t="n">
        <x:v>17.12</x:v>
      </x:c>
      <x:c r="AP422" s="32" t="n">
        <x:v>17.12</x:v>
      </x:c>
      <x:c r="AQ422" s="32" t="n">
        <x:v>1.23</x:v>
      </x:c>
      <x:c r="AR422" s="32" t="n">
        <x:v>0.805867</x:v>
      </x:c>
      <x:c r="AS422" t="str">
        <x:v>PASS</x:v>
      </x:c>
      <x:c r="AT422" t="str">
        <x:v>--cda-nc2-020</x:v>
      </x:c>
      <x:c r="AU422" t="str">
        <x:v>var(--cda-nc2-020)</x:v>
      </x:c>
      <x:c r="AV422" t="str">
        <x:v>Median RGB from official PDF swatch (screen reference only)</x:v>
      </x:c>
      <x:c r="AW422" t="str">
        <x:v>https://www.carandache.com/content_files/uploaded_doc/product/10603/Colour_Chart_NeocolorII_841.pdf</x:v>
      </x:c>
      <x:c r="AX422" t="n">
        <x:v>1</x:v>
      </x:c>
      <x:c r="AY422" t="str">
        <x:v>Official</x:v>
      </x:c>
      <x:c r="AZ422" t="str">
        <x:v>Official where available; curated Traditional Chinese/Japanese otherwise</x:v>
      </x:c>
      <x:c r="BA422" t="str">
        <x:v>Verified from official chart; digital HEX is approximate</x:v>
      </x:c>
      <x:c r="BB422" t="str">
        <x:v>Physical media appearance varies by paper, pressure, layering, water and scan/display profile.</x:v>
      </x:c>
    </x:row>
    <x:row r="423">
      <x:c r="A423" t="str">
        <x:f>G423&amp;"|"&amp;L423</x:f>
        <x:v>NC2|030</x:v>
      </x:c>
      <x:c r="B423" t="str">
        <x:v>f1de7b6b-ffca-5a8d-8477-4377a051166d</x:v>
      </x:c>
      <x:c r="C423" t="str">
        <x:v>CDA-NC2-030</x:v>
      </x:c>
      <x:c r="D423" t="str">
        <x:v>ebda54ca-102e-54e3-a9ae-065baab1ac50</x:v>
      </x:c>
      <x:c r="E423" t="str">
        <x:v>CDA-CODE-030</x:v>
      </x:c>
      <x:c r="F423" t="str">
        <x:v>Caran d’Ache</x:v>
      </x:c>
      <x:c r="G423" t="str">
        <x:v>NC2</x:v>
      </x:c>
      <x:c r="H423" t="str">
        <x:v>NEOCOLOR II Aquarelle</x:v>
      </x:c>
      <x:c r="I423" t="str">
        <x:v>Water-soluble wax pastel</x:v>
      </x:c>
      <x:c r="J423" t="str">
        <x:v>Artist</x:v>
      </x:c>
      <x:c r="K423" s="30" t="n">
        <x:v>6</x:v>
      </x:c>
      <x:c r="L423" s="30" t="str">
        <x:v>030</x:v>
      </x:c>
      <x:c r="M423" t="str">
        <x:v>Orange</x:v>
      </x:c>
      <x:c r="N423" t="str">
        <x:v>橙色</x:v>
      </x:c>
      <x:c r="O423" t="str">
        <x:v>オレンジ</x:v>
      </x:c>
      <x:c r="P423" t="str"/>
      <x:c r="Q423" t="str">
        <x:v>Orange</x:v>
      </x:c>
      <x:c r="R423" t="str">
        <x:v>Orange</x:v>
      </x:c>
      <x:c r="S423" t="str">
        <x:v>Arancio</x:v>
      </x:c>
      <x:c r="T423" t="str">
        <x:v>Naranja</x:v>
      </x:c>
      <x:c r="U423" t="str"/>
      <x:c r="V423" t="str"/>
      <x:c r="W423" t="str"/>
      <x:c r="X423" t="n">
        <x:f>IF(W423="",0,LEN(W423)-LEN(SUBSTITUTE(W423,"/",""))+1)</x:f>
        <x:v>0</x:v>
      </x:c>
      <x:c r="Y423" t="str">
        <x:v>H</x:v>
      </x:c>
      <x:c r="Z423" s="32" t="n">
        <x:v>1.67</x:v>
      </x:c>
      <x:c r="AA423" s="32" t="n">
        <x:v>3</x:v>
      </x:c>
      <x:c r="AB423" s="32" t="str">
        <x:v>Blue Wool Scale / UV 150h</x:v>
      </x:c>
      <x:c r="AC423" t="str">
        <x:v>#FFE757</x:v>
      </x:c>
      <x:c r="AD423" s="34" t="n">
        <x:v>255</x:v>
      </x:c>
      <x:c r="AE423" s="34" t="n">
        <x:v>231</x:v>
      </x:c>
      <x:c r="AF423" s="34" t="n">
        <x:v>87</x:v>
      </x:c>
      <x:c r="AG423" s="32" t="n">
        <x:v>51.43</x:v>
      </x:c>
      <x:c r="AH423" s="32" t="n">
        <x:v>100</x:v>
      </x:c>
      <x:c r="AI423" s="32" t="n">
        <x:v>67.06</x:v>
      </x:c>
      <x:c r="AJ423" s="32" t="n">
        <x:v>91.28</x:v>
      </x:c>
      <x:c r="AK423" s="32" t="n">
        <x:v>-7.6</x:v>
      </x:c>
      <x:c r="AL423" s="32" t="n">
        <x:v>70.31</x:v>
      </x:c>
      <x:c r="AM423" s="32" t="str">
        <x:v>#000000</x:v>
      </x:c>
      <x:c r="AN423" s="32" t="str">
        <x:v>Black</x:v>
      </x:c>
      <x:c r="AO423" s="32" t="n">
        <x:v>16.82</x:v>
      </x:c>
      <x:c r="AP423" s="32" t="n">
        <x:v>16.82</x:v>
      </x:c>
      <x:c r="AQ423" s="32" t="n">
        <x:v>1.25</x:v>
      </x:c>
      <x:c r="AR423" s="32" t="n">
        <x:v>0.790999</x:v>
      </x:c>
      <x:c r="AS423" t="str">
        <x:v>PASS</x:v>
      </x:c>
      <x:c r="AT423" t="str">
        <x:v>--cda-nc2-030</x:v>
      </x:c>
      <x:c r="AU423" t="str">
        <x:v>var(--cda-nc2-030)</x:v>
      </x:c>
      <x:c r="AV423" t="str">
        <x:v>Median RGB from official PDF swatch (screen reference only)</x:v>
      </x:c>
      <x:c r="AW423" t="str">
        <x:v>https://www.carandache.com/content_files/uploaded_doc/product/10603/Colour_Chart_NeocolorII_841.pdf</x:v>
      </x:c>
      <x:c r="AX423" t="n">
        <x:v>1</x:v>
      </x:c>
      <x:c r="AY423" t="str">
        <x:v>Official</x:v>
      </x:c>
      <x:c r="AZ423" t="str">
        <x:v>Official where available; curated Traditional Chinese/Japanese otherwise</x:v>
      </x:c>
      <x:c r="BA423" t="str">
        <x:v>Verified from official chart; digital HEX is approximate</x:v>
      </x:c>
      <x:c r="BB423" t="str">
        <x:v>Physical media appearance varies by paper, pressure, layering, water and scan/display profile.</x:v>
      </x:c>
    </x:row>
    <x:row r="424">
      <x:c r="A424" t="str">
        <x:f>G424&amp;"|"&amp;L424</x:f>
        <x:v>NC2|300</x:v>
      </x:c>
      <x:c r="B424" t="str">
        <x:v>ceddade0-6579-5b6b-9b43-82c5a28d8608</x:v>
      </x:c>
      <x:c r="C424" t="str">
        <x:v>CDA-NC2-300</x:v>
      </x:c>
      <x:c r="D424" t="str">
        <x:v>a0ce686f-7535-53f8-b53e-5ecadedba3d5</x:v>
      </x:c>
      <x:c r="E424" t="str">
        <x:v>CDA-CODE-300</x:v>
      </x:c>
      <x:c r="F424" t="str">
        <x:v>Caran d’Ache</x:v>
      </x:c>
      <x:c r="G424" t="str">
        <x:v>NC2</x:v>
      </x:c>
      <x:c r="H424" t="str">
        <x:v>NEOCOLOR II Aquarelle</x:v>
      </x:c>
      <x:c r="I424" t="str">
        <x:v>Water-soluble wax pastel</x:v>
      </x:c>
      <x:c r="J424" t="str">
        <x:v>Artist</x:v>
      </x:c>
      <x:c r="K424" s="30" t="n">
        <x:v>7</x:v>
      </x:c>
      <x:c r="L424" s="30" t="str">
        <x:v>300</x:v>
      </x:c>
      <x:c r="M424" t="str">
        <x:v>Fast orange</x:v>
      </x:c>
      <x:c r="N424" t="str">
        <x:v>耐久橙</x:v>
      </x:c>
      <x:c r="O424" t="str">
        <x:v>ファストオレンジ</x:v>
      </x:c>
      <x:c r="P424" t="str"/>
      <x:c r="Q424" t="str">
        <x:v>Orange solide</x:v>
      </x:c>
      <x:c r="R424" t="str">
        <x:v>Echtorange</x:v>
      </x:c>
      <x:c r="S424" t="str">
        <x:v>Arancio permanente</x:v>
      </x:c>
      <x:c r="T424" t="str">
        <x:v>Naranja sólido</x:v>
      </x:c>
      <x:c r="U424" t="str"/>
      <x:c r="V424" t="str"/>
      <x:c r="W424" t="str"/>
      <x:c r="X424" t="n">
        <x:f>IF(W424="",0,LEN(W424)-LEN(SUBSTITUTE(W424,"/",""))+1)</x:f>
        <x:v>0</x:v>
      </x:c>
      <x:c r="Y424" t="str">
        <x:v>H</x:v>
      </x:c>
      <x:c r="Z424" s="32" t="n">
        <x:v>1.67</x:v>
      </x:c>
      <x:c r="AA424" s="32" t="n">
        <x:v>3</x:v>
      </x:c>
      <x:c r="AB424" s="32" t="str">
        <x:v>Blue Wool Scale / UV 150h</x:v>
      </x:c>
      <x:c r="AC424" t="str">
        <x:v>#FCC647</x:v>
      </x:c>
      <x:c r="AD424" s="34" t="n">
        <x:v>252</x:v>
      </x:c>
      <x:c r="AE424" s="34" t="n">
        <x:v>198</x:v>
      </x:c>
      <x:c r="AF424" s="34" t="n">
        <x:v>71</x:v>
      </x:c>
      <x:c r="AG424" s="32" t="n">
        <x:v>42.1</x:v>
      </x:c>
      <x:c r="AH424" s="32" t="n">
        <x:v>96.79</x:v>
      </x:c>
      <x:c r="AI424" s="32" t="n">
        <x:v>63.33</x:v>
      </x:c>
      <x:c r="AJ424" s="32" t="n">
        <x:v>82.67</x:v>
      </x:c>
      <x:c r="AK424" s="32" t="n">
        <x:v>7.12</x:v>
      </x:c>
      <x:c r="AL424" s="32" t="n">
        <x:v>67.75</x:v>
      </x:c>
      <x:c r="AM424" s="32" t="str">
        <x:v>#000000</x:v>
      </x:c>
      <x:c r="AN424" s="32" t="str">
        <x:v>Black</x:v>
      </x:c>
      <x:c r="AO424" s="32" t="n">
        <x:v>13.31</x:v>
      </x:c>
      <x:c r="AP424" s="32" t="n">
        <x:v>13.31</x:v>
      </x:c>
      <x:c r="AQ424" s="32" t="n">
        <x:v>1.58</x:v>
      </x:c>
      <x:c r="AR424" s="32" t="n">
        <x:v>0.615385</x:v>
      </x:c>
      <x:c r="AS424" t="str">
        <x:v>PASS</x:v>
      </x:c>
      <x:c r="AT424" t="str">
        <x:v>--cda-nc2-300</x:v>
      </x:c>
      <x:c r="AU424" t="str">
        <x:v>var(--cda-nc2-300)</x:v>
      </x:c>
      <x:c r="AV424" t="str">
        <x:v>Median RGB from official PDF swatch (screen reference only)</x:v>
      </x:c>
      <x:c r="AW424" t="str">
        <x:v>https://www.carandache.com/content_files/uploaded_doc/product/10603/Colour_Chart_NeocolorII_841.pdf</x:v>
      </x:c>
      <x:c r="AX424" t="n">
        <x:v>1</x:v>
      </x:c>
      <x:c r="AY424" t="str">
        <x:v>Official</x:v>
      </x:c>
      <x:c r="AZ424" t="str">
        <x:v>Official where available; curated Traditional Chinese/Japanese otherwise</x:v>
      </x:c>
      <x:c r="BA424" t="str">
        <x:v>Verified from official chart; digital HEX is approximate</x:v>
      </x:c>
      <x:c r="BB424" t="str">
        <x:v>Physical media appearance varies by paper, pressure, layering, water and scan/display profile.</x:v>
      </x:c>
    </x:row>
    <x:row r="425">
      <x:c r="A425" t="str">
        <x:f>G425&amp;"|"&amp;L425</x:f>
        <x:v>NC2|050</x:v>
      </x:c>
      <x:c r="B425" t="str">
        <x:v>79ddb905-8038-53d3-a8f3-058b2adb9603</x:v>
      </x:c>
      <x:c r="C425" t="str">
        <x:v>CDA-NC2-050</x:v>
      </x:c>
      <x:c r="D425" t="str">
        <x:v>b1fdf016-f65e-52a7-837f-bacfacf86acf</x:v>
      </x:c>
      <x:c r="E425" t="str">
        <x:v>CDA-CODE-050</x:v>
      </x:c>
      <x:c r="F425" t="str">
        <x:v>Caran d’Ache</x:v>
      </x:c>
      <x:c r="G425" t="str">
        <x:v>NC2</x:v>
      </x:c>
      <x:c r="H425" t="str">
        <x:v>NEOCOLOR II Aquarelle</x:v>
      </x:c>
      <x:c r="I425" t="str">
        <x:v>Water-soluble wax pastel</x:v>
      </x:c>
      <x:c r="J425" t="str">
        <x:v>Artist</x:v>
      </x:c>
      <x:c r="K425" s="30" t="n">
        <x:v>8</x:v>
      </x:c>
      <x:c r="L425" s="30" t="str">
        <x:v>050</x:v>
      </x:c>
      <x:c r="M425" t="str">
        <x:v>Flame red</x:v>
      </x:c>
      <x:c r="N425" t="str">
        <x:v>火焰紅</x:v>
      </x:c>
      <x:c r="O425" t="str">
        <x:v>フレームレッド</x:v>
      </x:c>
      <x:c r="P425" t="str"/>
      <x:c r="Q425" t="str">
        <x:v>Rouge orangé</x:v>
      </x:c>
      <x:c r="R425" t="str">
        <x:v>Rotorange</x:v>
      </x:c>
      <x:c r="S425" t="str">
        <x:v>Rosso arancio</x:v>
      </x:c>
      <x:c r="T425" t="str">
        <x:v>Rojo anaranjado</x:v>
      </x:c>
      <x:c r="U425" t="str"/>
      <x:c r="V425" t="str"/>
      <x:c r="W425" t="str"/>
      <x:c r="X425" t="n">
        <x:f>IF(W425="",0,LEN(W425)-LEN(SUBSTITUTE(W425,"/",""))+1)</x:f>
        <x:v>0</x:v>
      </x:c>
      <x:c r="Y425" t="str">
        <x:v>H</x:v>
      </x:c>
      <x:c r="Z425" s="32" t="n">
        <x:v>1.67</x:v>
      </x:c>
      <x:c r="AA425" s="32" t="n">
        <x:v>3</x:v>
      </x:c>
      <x:c r="AB425" s="32" t="str">
        <x:v>Blue Wool Scale / UV 150h</x:v>
      </x:c>
      <x:c r="AC425" t="str">
        <x:v>#FBC97D</x:v>
      </x:c>
      <x:c r="AD425" s="34" t="n">
        <x:v>251</x:v>
      </x:c>
      <x:c r="AE425" s="34" t="n">
        <x:v>201</x:v>
      </x:c>
      <x:c r="AF425" s="34" t="n">
        <x:v>125</x:v>
      </x:c>
      <x:c r="AG425" s="32" t="n">
        <x:v>36.19</x:v>
      </x:c>
      <x:c r="AH425" s="32" t="n">
        <x:v>94.03</x:v>
      </x:c>
      <x:c r="AI425" s="32" t="n">
        <x:v>73.73</x:v>
      </x:c>
      <x:c r="AJ425" s="32" t="n">
        <x:v>83.84</x:v>
      </x:c>
      <x:c r="AK425" s="32" t="n">
        <x:v>8.74</x:v>
      </x:c>
      <x:c r="AL425" s="32" t="n">
        <x:v>44.49</x:v>
      </x:c>
      <x:c r="AM425" s="32" t="str">
        <x:v>#000000</x:v>
      </x:c>
      <x:c r="AN425" s="32" t="str">
        <x:v>Black</x:v>
      </x:c>
      <x:c r="AO425" s="32" t="n">
        <x:v>13.75</x:v>
      </x:c>
      <x:c r="AP425" s="32" t="n">
        <x:v>13.75</x:v>
      </x:c>
      <x:c r="AQ425" s="32" t="n">
        <x:v>1.53</x:v>
      </x:c>
      <x:c r="AR425" s="32" t="n">
        <x:v>0.637632</x:v>
      </x:c>
      <x:c r="AS425" t="str">
        <x:v>PASS</x:v>
      </x:c>
      <x:c r="AT425" t="str">
        <x:v>--cda-nc2-050</x:v>
      </x:c>
      <x:c r="AU425" t="str">
        <x:v>var(--cda-nc2-050)</x:v>
      </x:c>
      <x:c r="AV425" t="str">
        <x:v>Median RGB from official PDF swatch (screen reference only)</x:v>
      </x:c>
      <x:c r="AW425" t="str">
        <x:v>https://www.carandache.com/content_files/uploaded_doc/product/10603/Colour_Chart_NeocolorII_841.pdf</x:v>
      </x:c>
      <x:c r="AX425" t="n">
        <x:v>1</x:v>
      </x:c>
      <x:c r="AY425" t="str">
        <x:v>Official</x:v>
      </x:c>
      <x:c r="AZ425" t="str">
        <x:v>Official where available; curated Traditional Chinese/Japanese otherwise</x:v>
      </x:c>
      <x:c r="BA425" t="str">
        <x:v>Verified from official chart; digital HEX is approximate</x:v>
      </x:c>
      <x:c r="BB425" t="str">
        <x:v>Physical media appearance varies by paper, pressure, layering, water and scan/display profile.</x:v>
      </x:c>
    </x:row>
    <x:row r="426">
      <x:c r="A426" t="str">
        <x:f>G426&amp;"|"&amp;L426</x:f>
        <x:v>NC2|060</x:v>
      </x:c>
      <x:c r="B426" t="str">
        <x:v>6fa4f9a8-c94c-5c9e-bce2-440a0fd6b772</x:v>
      </x:c>
      <x:c r="C426" t="str">
        <x:v>CDA-NC2-060</x:v>
      </x:c>
      <x:c r="D426" t="str">
        <x:v>332db2c4-d0e9-5445-b3ee-924c107cece4</x:v>
      </x:c>
      <x:c r="E426" t="str">
        <x:v>CDA-CODE-060</x:v>
      </x:c>
      <x:c r="F426" t="str">
        <x:v>Caran d’Ache</x:v>
      </x:c>
      <x:c r="G426" t="str">
        <x:v>NC2</x:v>
      </x:c>
      <x:c r="H426" t="str">
        <x:v>NEOCOLOR II Aquarelle</x:v>
      </x:c>
      <x:c r="I426" t="str">
        <x:v>Water-soluble wax pastel</x:v>
      </x:c>
      <x:c r="J426" t="str">
        <x:v>Artist</x:v>
      </x:c>
      <x:c r="K426" s="30" t="n">
        <x:v>9</x:v>
      </x:c>
      <x:c r="L426" s="30" t="str">
        <x:v>060</x:v>
      </x:c>
      <x:c r="M426" t="str">
        <x:v>Vermilion</x:v>
      </x:c>
      <x:c r="N426" t="str">
        <x:v>朱紅</x:v>
      </x:c>
      <x:c r="O426" t="str">
        <x:v>バーミリオン</x:v>
      </x:c>
      <x:c r="P426" t="str"/>
      <x:c r="Q426" t="str">
        <x:v>Vermillon</x:v>
      </x:c>
      <x:c r="R426" t="str">
        <x:v>Zinnoberrot</x:v>
      </x:c>
      <x:c r="S426" t="str">
        <x:v>Vermiglione</x:v>
      </x:c>
      <x:c r="T426" t="str">
        <x:v>Bermellón</x:v>
      </x:c>
      <x:c r="U426" t="str"/>
      <x:c r="V426" t="str"/>
      <x:c r="W426" t="str"/>
      <x:c r="X426" t="n">
        <x:f>IF(W426="",0,LEN(W426)-LEN(SUBSTITUTE(W426,"/",""))+1)</x:f>
        <x:v>0</x:v>
      </x:c>
      <x:c r="Y426" t="str">
        <x:v>H</x:v>
      </x:c>
      <x:c r="Z426" s="32" t="n">
        <x:v>1.67</x:v>
      </x:c>
      <x:c r="AA426" s="32" t="n">
        <x:v>3</x:v>
      </x:c>
      <x:c r="AB426" s="32" t="str">
        <x:v>Blue Wool Scale / UV 150h</x:v>
      </x:c>
      <x:c r="AC426" t="str">
        <x:v>#F9D0C4</x:v>
      </x:c>
      <x:c r="AD426" s="34" t="n">
        <x:v>249</x:v>
      </x:c>
      <x:c r="AE426" s="34" t="n">
        <x:v>208</x:v>
      </x:c>
      <x:c r="AF426" s="34" t="n">
        <x:v>196</x:v>
      </x:c>
      <x:c r="AG426" s="32" t="n">
        <x:v>13.58</x:v>
      </x:c>
      <x:c r="AH426" s="32" t="n">
        <x:v>81.54</x:v>
      </x:c>
      <x:c r="AI426" s="32" t="n">
        <x:v>87.25</x:v>
      </x:c>
      <x:c r="AJ426" s="32" t="n">
        <x:v>86.62</x:v>
      </x:c>
      <x:c r="AK426" s="32" t="n">
        <x:v>12.58</x:v>
      </x:c>
      <x:c r="AL426" s="32" t="n">
        <x:v>11.34</x:v>
      </x:c>
      <x:c r="AM426" s="32" t="str">
        <x:v>#000000</x:v>
      </x:c>
      <x:c r="AN426" s="32" t="str">
        <x:v>Black</x:v>
      </x:c>
      <x:c r="AO426" s="32" t="n">
        <x:v>14.85</x:v>
      </x:c>
      <x:c r="AP426" s="32" t="n">
        <x:v>14.85</x:v>
      </x:c>
      <x:c r="AQ426" s="32" t="n">
        <x:v>1.41</x:v>
      </x:c>
      <x:c r="AR426" s="32" t="n">
        <x:v>0.69237</x:v>
      </x:c>
      <x:c r="AS426" t="str">
        <x:v>PASS</x:v>
      </x:c>
      <x:c r="AT426" t="str">
        <x:v>--cda-nc2-060</x:v>
      </x:c>
      <x:c r="AU426" t="str">
        <x:v>var(--cda-nc2-060)</x:v>
      </x:c>
      <x:c r="AV426" t="str">
        <x:v>Median RGB from official PDF swatch (screen reference only)</x:v>
      </x:c>
      <x:c r="AW426" t="str">
        <x:v>https://www.carandache.com/content_files/uploaded_doc/product/10603/Colour_Chart_NeocolorII_841.pdf</x:v>
      </x:c>
      <x:c r="AX426" t="n">
        <x:v>1</x:v>
      </x:c>
      <x:c r="AY426" t="str">
        <x:v>Official</x:v>
      </x:c>
      <x:c r="AZ426" t="str">
        <x:v>Official where available; curated Traditional Chinese/Japanese otherwise</x:v>
      </x:c>
      <x:c r="BA426" t="str">
        <x:v>Verified from official chart; digital HEX is approximate</x:v>
      </x:c>
      <x:c r="BB426" t="str">
        <x:v>Physical media appearance varies by paper, pressure, layering, water and scan/display profile.</x:v>
      </x:c>
    </x:row>
    <x:row r="427">
      <x:c r="A427" t="str">
        <x:f>G427&amp;"|"&amp;L427</x:f>
        <x:v>NC2|560</x:v>
      </x:c>
      <x:c r="B427" t="str">
        <x:v>320922aa-f03f-5b94-ab24-e1b6dbeddbf7</x:v>
      </x:c>
      <x:c r="C427" t="str">
        <x:v>CDA-NC2-560</x:v>
      </x:c>
      <x:c r="D427" t="str">
        <x:v>078c0ed9-39a1-5954-addf-1a9c9f9d078e</x:v>
      </x:c>
      <x:c r="E427" t="str">
        <x:v>CDA-CODE-560</x:v>
      </x:c>
      <x:c r="F427" t="str">
        <x:v>Caran d’Ache</x:v>
      </x:c>
      <x:c r="G427" t="str">
        <x:v>NC2</x:v>
      </x:c>
      <x:c r="H427" t="str">
        <x:v>NEOCOLOR II Aquarelle</x:v>
      </x:c>
      <x:c r="I427" t="str">
        <x:v>Water-soluble wax pastel</x:v>
      </x:c>
      <x:c r="J427" t="str">
        <x:v>Artist</x:v>
      </x:c>
      <x:c r="K427" s="30" t="n">
        <x:v>10</x:v>
      </x:c>
      <x:c r="L427" s="30" t="str">
        <x:v>560</x:v>
      </x:c>
      <x:c r="M427" t="str">
        <x:v>Light cadmium red</x:v>
      </x:c>
      <x:c r="N427" t="str">
        <x:v>淺鎘紅</x:v>
      </x:c>
      <x:c r="O427" t="str">
        <x:v>ライトカドミウムレッド</x:v>
      </x:c>
      <x:c r="P427" t="str"/>
      <x:c r="Q427" t="str">
        <x:v>Rouge de cadmium clair</x:v>
      </x:c>
      <x:c r="R427" t="str">
        <x:v>Hellkadmiumrot</x:v>
      </x:c>
      <x:c r="S427" t="str">
        <x:v>Rossso cadmio chiaro</x:v>
      </x:c>
      <x:c r="T427" t="str">
        <x:v>Rojo cadmio claro</x:v>
      </x:c>
      <x:c r="U427" t="str"/>
      <x:c r="V427" t="str"/>
      <x:c r="W427" t="str"/>
      <x:c r="X427" t="n">
        <x:f>IF(W427="",0,LEN(W427)-LEN(SUBSTITUTE(W427,"/",""))+1)</x:f>
        <x:v>0</x:v>
      </x:c>
      <x:c r="Y427" t="str">
        <x:v>H</x:v>
      </x:c>
      <x:c r="Z427" s="32" t="n">
        <x:v>1.67</x:v>
      </x:c>
      <x:c r="AA427" s="32" t="n">
        <x:v>3</x:v>
      </x:c>
      <x:c r="AB427" s="32" t="str">
        <x:v>Blue Wool Scale / UV 150h</x:v>
      </x:c>
      <x:c r="AC427" t="str">
        <x:v>#FCE2DE</x:v>
      </x:c>
      <x:c r="AD427" s="34" t="n">
        <x:v>252</x:v>
      </x:c>
      <x:c r="AE427" s="34" t="n">
        <x:v>226</x:v>
      </x:c>
      <x:c r="AF427" s="34" t="n">
        <x:v>222</x:v>
      </x:c>
      <x:c r="AG427" s="32" t="n">
        <x:v>8</x:v>
      </x:c>
      <x:c r="AH427" s="32" t="n">
        <x:v>83.33</x:v>
      </x:c>
      <x:c r="AI427" s="32" t="n">
        <x:v>92.94</x:v>
      </x:c>
      <x:c r="AJ427" s="32" t="n">
        <x:v>91.85</x:v>
      </x:c>
      <x:c r="AK427" s="32" t="n">
        <x:v>8.25</x:v>
      </x:c>
      <x:c r="AL427" s="32" t="n">
        <x:v>5.2</x:v>
      </x:c>
      <x:c r="AM427" s="32" t="str">
        <x:v>#000000</x:v>
      </x:c>
      <x:c r="AN427" s="32" t="str">
        <x:v>Black</x:v>
      </x:c>
      <x:c r="AO427" s="32" t="n">
        <x:v>17.07</x:v>
      </x:c>
      <x:c r="AP427" s="32" t="n">
        <x:v>17.07</x:v>
      </x:c>
      <x:c r="AQ427" s="32" t="n">
        <x:v>1.23</x:v>
      </x:c>
      <x:c r="AR427" s="32" t="n">
        <x:v>0.803621</x:v>
      </x:c>
      <x:c r="AS427" t="str">
        <x:v>PASS</x:v>
      </x:c>
      <x:c r="AT427" t="str">
        <x:v>--cda-nc2-560</x:v>
      </x:c>
      <x:c r="AU427" t="str">
        <x:v>var(--cda-nc2-560)</x:v>
      </x:c>
      <x:c r="AV427" t="str">
        <x:v>Median RGB from official PDF swatch (screen reference only)</x:v>
      </x:c>
      <x:c r="AW427" t="str">
        <x:v>https://www.carandache.com/content_files/uploaded_doc/product/10603/Colour_Chart_NeocolorII_841.pdf</x:v>
      </x:c>
      <x:c r="AX427" t="n">
        <x:v>1</x:v>
      </x:c>
      <x:c r="AY427" t="str">
        <x:v>Official</x:v>
      </x:c>
      <x:c r="AZ427" t="str">
        <x:v>Official where available; curated Traditional Chinese/Japanese otherwise</x:v>
      </x:c>
      <x:c r="BA427" t="str">
        <x:v>Verified from official chart; digital HEX is approximate</x:v>
      </x:c>
      <x:c r="BB427" t="str">
        <x:v>Physical media appearance varies by paper, pressure, layering, water and scan/display profile.</x:v>
      </x:c>
    </x:row>
    <x:row r="428">
      <x:c r="A428" t="str">
        <x:f>G428&amp;"|"&amp;L428</x:f>
        <x:v>NC2|070</x:v>
      </x:c>
      <x:c r="B428" t="str">
        <x:v>c6fb289c-d4f3-54a6-90cc-19fada989335</x:v>
      </x:c>
      <x:c r="C428" t="str">
        <x:v>CDA-NC2-070</x:v>
      </x:c>
      <x:c r="D428" t="str">
        <x:v>2dcedd03-0d82-5dc4-a34e-7ed1c317e71e</x:v>
      </x:c>
      <x:c r="E428" t="str">
        <x:v>CDA-CODE-070</x:v>
      </x:c>
      <x:c r="F428" t="str">
        <x:v>Caran d’Ache</x:v>
      </x:c>
      <x:c r="G428" t="str">
        <x:v>NC2</x:v>
      </x:c>
      <x:c r="H428" t="str">
        <x:v>NEOCOLOR II Aquarelle</x:v>
      </x:c>
      <x:c r="I428" t="str">
        <x:v>Water-soluble wax pastel</x:v>
      </x:c>
      <x:c r="J428" t="str">
        <x:v>Artist</x:v>
      </x:c>
      <x:c r="K428" s="30" t="n">
        <x:v>11</x:v>
      </x:c>
      <x:c r="L428" s="30" t="str">
        <x:v>070</x:v>
      </x:c>
      <x:c r="M428" t="str">
        <x:v>Scarlet</x:v>
      </x:c>
      <x:c r="N428" t="str">
        <x:v>猩紅</x:v>
      </x:c>
      <x:c r="O428" t="str">
        <x:v>スカーレット</x:v>
      </x:c>
      <x:c r="P428" t="str"/>
      <x:c r="Q428" t="str">
        <x:v>Ecarlate</x:v>
      </x:c>
      <x:c r="R428" t="str">
        <x:v>Scharlachrot</x:v>
      </x:c>
      <x:c r="S428" t="str">
        <x:v>Scarlatto</x:v>
      </x:c>
      <x:c r="T428" t="str">
        <x:v>Escarlata</x:v>
      </x:c>
      <x:c r="U428" t="str"/>
      <x:c r="V428" t="str"/>
      <x:c r="W428" t="str"/>
      <x:c r="X428" t="n">
        <x:f>IF(W428="",0,LEN(W428)-LEN(SUBSTITUTE(W428,"/",""))+1)</x:f>
        <x:v>0</x:v>
      </x:c>
      <x:c r="Y428" t="str">
        <x:v>H</x:v>
      </x:c>
      <x:c r="Z428" s="32" t="n">
        <x:v>1.67</x:v>
      </x:c>
      <x:c r="AA428" s="32" t="n">
        <x:v>3</x:v>
      </x:c>
      <x:c r="AB428" s="32" t="str">
        <x:v>Blue Wool Scale / UV 150h</x:v>
      </x:c>
      <x:c r="AC428" t="str">
        <x:v>#F8C6C6</x:v>
      </x:c>
      <x:c r="AD428" s="34" t="n">
        <x:v>248</x:v>
      </x:c>
      <x:c r="AE428" s="34" t="n">
        <x:v>198</x:v>
      </x:c>
      <x:c r="AF428" s="34" t="n">
        <x:v>198</x:v>
      </x:c>
      <x:c r="AG428" s="32" t="n">
        <x:v>0</x:v>
      </x:c>
      <x:c r="AH428" s="32" t="n">
        <x:v>78.13</x:v>
      </x:c>
      <x:c r="AI428" s="32" t="n">
        <x:v>87.45</x:v>
      </x:c>
      <x:c r="AJ428" s="32" t="n">
        <x:v>84.19</x:v>
      </x:c>
      <x:c r="AK428" s="32" t="n">
        <x:v>17.75</x:v>
      </x:c>
      <x:c r="AL428" s="32" t="n">
        <x:v>6.78</x:v>
      </x:c>
      <x:c r="AM428" s="32" t="str">
        <x:v>#000000</x:v>
      </x:c>
      <x:c r="AN428" s="32" t="str">
        <x:v>Black</x:v>
      </x:c>
      <x:c r="AO428" s="32" t="n">
        <x:v>13.88</x:v>
      </x:c>
      <x:c r="AP428" s="32" t="n">
        <x:v>13.88</x:v>
      </x:c>
      <x:c r="AQ428" s="32" t="n">
        <x:v>1.51</x:v>
      </x:c>
      <x:c r="AR428" s="32" t="n">
        <x:v>0.644218</x:v>
      </x:c>
      <x:c r="AS428" t="str">
        <x:v>PASS</x:v>
      </x:c>
      <x:c r="AT428" t="str">
        <x:v>--cda-nc2-070</x:v>
      </x:c>
      <x:c r="AU428" t="str">
        <x:v>var(--cda-nc2-070)</x:v>
      </x:c>
      <x:c r="AV428" t="str">
        <x:v>Median RGB from official PDF swatch (screen reference only)</x:v>
      </x:c>
      <x:c r="AW428" t="str">
        <x:v>https://www.carandache.com/content_files/uploaded_doc/product/10603/Colour_Chart_NeocolorII_841.pdf</x:v>
      </x:c>
      <x:c r="AX428" t="n">
        <x:v>1</x:v>
      </x:c>
      <x:c r="AY428" t="str">
        <x:v>Official</x:v>
      </x:c>
      <x:c r="AZ428" t="str">
        <x:v>Official where available; curated Traditional Chinese/Japanese otherwise</x:v>
      </x:c>
      <x:c r="BA428" t="str">
        <x:v>Verified from official chart; digital HEX is approximate</x:v>
      </x:c>
      <x:c r="BB428" t="str">
        <x:v>Physical media appearance varies by paper, pressure, layering, water and scan/display profile.</x:v>
      </x:c>
    </x:row>
    <x:row r="429">
      <x:c r="A429" t="str">
        <x:f>G429&amp;"|"&amp;L429</x:f>
        <x:v>NC2|280</x:v>
      </x:c>
      <x:c r="B429" t="str">
        <x:v>d8ab45c2-35b9-53cf-a5f4-4ec6bbe7c51e</x:v>
      </x:c>
      <x:c r="C429" t="str">
        <x:v>CDA-NC2-280</x:v>
      </x:c>
      <x:c r="D429" t="str">
        <x:v>6822217d-d89f-53cd-a6b0-807aa44726ba</x:v>
      </x:c>
      <x:c r="E429" t="str">
        <x:v>CDA-CODE-280</x:v>
      </x:c>
      <x:c r="F429" t="str">
        <x:v>Caran d’Ache</x:v>
      </x:c>
      <x:c r="G429" t="str">
        <x:v>NC2</x:v>
      </x:c>
      <x:c r="H429" t="str">
        <x:v>NEOCOLOR II Aquarelle</x:v>
      </x:c>
      <x:c r="I429" t="str">
        <x:v>Water-soluble wax pastel</x:v>
      </x:c>
      <x:c r="J429" t="str">
        <x:v>Artist</x:v>
      </x:c>
      <x:c r="K429" s="30" t="n">
        <x:v>12</x:v>
      </x:c>
      <x:c r="L429" s="30" t="str">
        <x:v>280</x:v>
      </x:c>
      <x:c r="M429" t="str">
        <x:v>Ruby red</x:v>
      </x:c>
      <x:c r="N429" t="str">
        <x:v>紅寶石紅</x:v>
      </x:c>
      <x:c r="O429" t="str">
        <x:v>ルビーレッド</x:v>
      </x:c>
      <x:c r="P429" t="str"/>
      <x:c r="Q429" t="str">
        <x:v>Rouge rubis</x:v>
      </x:c>
      <x:c r="R429" t="str">
        <x:v>Rubinrot</x:v>
      </x:c>
      <x:c r="S429" t="str">
        <x:v>Rosso rubino</x:v>
      </x:c>
      <x:c r="T429" t="str">
        <x:v>Rojo rubí</x:v>
      </x:c>
      <x:c r="U429" t="str"/>
      <x:c r="V429" t="str"/>
      <x:c r="W429" t="str"/>
      <x:c r="X429" t="n">
        <x:f>IF(W429="",0,LEN(W429)-LEN(SUBSTITUTE(W429,"/",""))+1)</x:f>
        <x:v>0</x:v>
      </x:c>
      <x:c r="Y429" t="str">
        <x:v>H</x:v>
      </x:c>
      <x:c r="Z429" s="32" t="n">
        <x:v>1.67</x:v>
      </x:c>
      <x:c r="AA429" s="32" t="n">
        <x:v>3</x:v>
      </x:c>
      <x:c r="AB429" s="32" t="str">
        <x:v>Blue Wool Scale / UV 150h</x:v>
      </x:c>
      <x:c r="AC429" t="str">
        <x:v>#F2A4AA</x:v>
      </x:c>
      <x:c r="AD429" s="34" t="n">
        <x:v>242</x:v>
      </x:c>
      <x:c r="AE429" s="34" t="n">
        <x:v>164</x:v>
      </x:c>
      <x:c r="AF429" s="34" t="n">
        <x:v>170</x:v>
      </x:c>
      <x:c r="AG429" s="32" t="n">
        <x:v>355.38</x:v>
      </x:c>
      <x:c r="AH429" s="32" t="n">
        <x:v>75</x:v>
      </x:c>
      <x:c r="AI429" s="32" t="n">
        <x:v>79.61</x:v>
      </x:c>
      <x:c r="AJ429" s="32" t="n">
        <x:v>75.04</x:v>
      </x:c>
      <x:c r="AK429" s="32" t="n">
        <x:v>29.63</x:v>
      </x:c>
      <x:c r="AL429" s="32" t="n">
        <x:v>8.71</x:v>
      </x:c>
      <x:c r="AM429" s="32" t="str">
        <x:v>#000000</x:v>
      </x:c>
      <x:c r="AN429" s="32" t="str">
        <x:v>Black</x:v>
      </x:c>
      <x:c r="AO429" s="32" t="n">
        <x:v>10.67</x:v>
      </x:c>
      <x:c r="AP429" s="32" t="n">
        <x:v>10.67</x:v>
      </x:c>
      <x:c r="AQ429" s="32" t="n">
        <x:v>1.97</x:v>
      </x:c>
      <x:c r="AR429" s="32" t="n">
        <x:v>0.483304</x:v>
      </x:c>
      <x:c r="AS429" t="str">
        <x:v>PASS</x:v>
      </x:c>
      <x:c r="AT429" t="str">
        <x:v>--cda-nc2-280</x:v>
      </x:c>
      <x:c r="AU429" t="str">
        <x:v>var(--cda-nc2-280)</x:v>
      </x:c>
      <x:c r="AV429" t="str">
        <x:v>Median RGB from official PDF swatch (screen reference only)</x:v>
      </x:c>
      <x:c r="AW429" t="str">
        <x:v>https://www.carandache.com/content_files/uploaded_doc/product/10603/Colour_Chart_NeocolorII_841.pdf</x:v>
      </x:c>
      <x:c r="AX429" t="n">
        <x:v>1</x:v>
      </x:c>
      <x:c r="AY429" t="str">
        <x:v>Official</x:v>
      </x:c>
      <x:c r="AZ429" t="str">
        <x:v>Official where available; curated Traditional Chinese/Japanese otherwise</x:v>
      </x:c>
      <x:c r="BA429" t="str">
        <x:v>Verified from official chart; digital HEX is approximate</x:v>
      </x:c>
      <x:c r="BB429" t="str">
        <x:v>Physical media appearance varies by paper, pressure, layering, water and scan/display profile.</x:v>
      </x:c>
    </x:row>
    <x:row r="430">
      <x:c r="A430" t="str">
        <x:f>G430&amp;"|"&amp;L430</x:f>
        <x:v>NC2|080</x:v>
      </x:c>
      <x:c r="B430" t="str">
        <x:v>d02ff030-e511-54de-8993-6bc4ac1ad625</x:v>
      </x:c>
      <x:c r="C430" t="str">
        <x:v>CDA-NC2-080</x:v>
      </x:c>
      <x:c r="D430" t="str">
        <x:v>8fc33401-4732-5074-a23a-104fe5efd12f</x:v>
      </x:c>
      <x:c r="E430" t="str">
        <x:v>CDA-CODE-080</x:v>
      </x:c>
      <x:c r="F430" t="str">
        <x:v>Caran d’Ache</x:v>
      </x:c>
      <x:c r="G430" t="str">
        <x:v>NC2</x:v>
      </x:c>
      <x:c r="H430" t="str">
        <x:v>NEOCOLOR II Aquarelle</x:v>
      </x:c>
      <x:c r="I430" t="str">
        <x:v>Water-soluble wax pastel</x:v>
      </x:c>
      <x:c r="J430" t="str">
        <x:v>Artist</x:v>
      </x:c>
      <x:c r="K430" s="30" t="n">
        <x:v>13</x:v>
      </x:c>
      <x:c r="L430" s="30" t="str">
        <x:v>080</x:v>
      </x:c>
      <x:c r="M430" t="str">
        <x:v>Carmine Lake</x:v>
      </x:c>
      <x:c r="N430" t="str">
        <x:v>胭脂紅色淀</x:v>
      </x:c>
      <x:c r="O430" t="str">
        <x:v>カーマインレーキ</x:v>
      </x:c>
      <x:c r="P430" t="str"/>
      <x:c r="Q430" t="str">
        <x:v>Carmin</x:v>
      </x:c>
      <x:c r="R430" t="str">
        <x:v>Karmin</x:v>
      </x:c>
      <x:c r="S430" t="str">
        <x:v>Carminio</x:v>
      </x:c>
      <x:c r="T430" t="str">
        <x:v>Carmín</x:v>
      </x:c>
      <x:c r="U430" t="str"/>
      <x:c r="V430" t="str"/>
      <x:c r="W430" t="str"/>
      <x:c r="X430" t="n">
        <x:f>IF(W430="",0,LEN(W430)-LEN(SUBSTITUTE(W430,"/",""))+1)</x:f>
        <x:v>0</x:v>
      </x:c>
      <x:c r="Y430" t="str">
        <x:v>H</x:v>
      </x:c>
      <x:c r="Z430" s="32" t="n">
        <x:v>1.67</x:v>
      </x:c>
      <x:c r="AA430" s="32" t="n">
        <x:v>3</x:v>
      </x:c>
      <x:c r="AB430" s="32" t="str">
        <x:v>Blue Wool Scale / UV 150h</x:v>
      </x:c>
      <x:c r="AC430" t="str">
        <x:v>#F6C6D2</x:v>
      </x:c>
      <x:c r="AD430" s="34" t="n">
        <x:v>246</x:v>
      </x:c>
      <x:c r="AE430" s="34" t="n">
        <x:v>198</x:v>
      </x:c>
      <x:c r="AF430" s="34" t="n">
        <x:v>210</x:v>
      </x:c>
      <x:c r="AG430" s="32" t="n">
        <x:v>345</x:v>
      </x:c>
      <x:c r="AH430" s="32" t="n">
        <x:v>72.73</x:v>
      </x:c>
      <x:c r="AI430" s="32" t="n">
        <x:v>87.06</x:v>
      </x:c>
      <x:c r="AJ430" s="32" t="n">
        <x:v>84.3</x:v>
      </x:c>
      <x:c r="AK430" s="32" t="n">
        <x:v>18.86</x:v>
      </x:c>
      <x:c r="AL430" s="32" t="n">
        <x:v>0.51</x:v>
      </x:c>
      <x:c r="AM430" s="32" t="str">
        <x:v>#000000</x:v>
      </x:c>
      <x:c r="AN430" s="32" t="str">
        <x:v>Black</x:v>
      </x:c>
      <x:c r="AO430" s="32" t="n">
        <x:v>13.93</x:v>
      </x:c>
      <x:c r="AP430" s="32" t="n">
        <x:v>13.93</x:v>
      </x:c>
      <x:c r="AQ430" s="32" t="n">
        <x:v>1.51</x:v>
      </x:c>
      <x:c r="AR430" s="32" t="n">
        <x:v>0.646341</x:v>
      </x:c>
      <x:c r="AS430" t="str">
        <x:v>PASS</x:v>
      </x:c>
      <x:c r="AT430" t="str">
        <x:v>--cda-nc2-080</x:v>
      </x:c>
      <x:c r="AU430" t="str">
        <x:v>var(--cda-nc2-080)</x:v>
      </x:c>
      <x:c r="AV430" t="str">
        <x:v>Median RGB from official PDF swatch (screen reference only)</x:v>
      </x:c>
      <x:c r="AW430" t="str">
        <x:v>https://www.carandache.com/content_files/uploaded_doc/product/10603/Colour_Chart_NeocolorII_841.pdf</x:v>
      </x:c>
      <x:c r="AX430" t="n">
        <x:v>1</x:v>
      </x:c>
      <x:c r="AY430" t="str">
        <x:v>Official</x:v>
      </x:c>
      <x:c r="AZ430" t="str">
        <x:v>Official where available; curated Traditional Chinese/Japanese otherwise</x:v>
      </x:c>
      <x:c r="BA430" t="str">
        <x:v>Verified from official chart; digital HEX is approximate</x:v>
      </x:c>
      <x:c r="BB430" t="str">
        <x:v>Physical media appearance varies by paper, pressure, layering, water and scan/display profile.</x:v>
      </x:c>
    </x:row>
    <x:row r="431">
      <x:c r="A431" t="str">
        <x:f>G431&amp;"|"&amp;L431</x:f>
        <x:v>NC2|589</x:v>
      </x:c>
      <x:c r="B431" t="str">
        <x:v>499e4a0c-98fa-5205-a059-b12f85c59bb1</x:v>
      </x:c>
      <x:c r="C431" t="str">
        <x:v>CDA-NC2-589</x:v>
      </x:c>
      <x:c r="D431" t="str">
        <x:v>1c995da1-1f47-5d3b-a7bd-3dab168c278f</x:v>
      </x:c>
      <x:c r="E431" t="str">
        <x:v>CDA-CODE-589</x:v>
      </x:c>
      <x:c r="F431" t="str">
        <x:v>Caran d’Ache</x:v>
      </x:c>
      <x:c r="G431" t="str">
        <x:v>NC2</x:v>
      </x:c>
      <x:c r="H431" t="str">
        <x:v>NEOCOLOR II Aquarelle</x:v>
      </x:c>
      <x:c r="I431" t="str">
        <x:v>Water-soluble wax pastel</x:v>
      </x:c>
      <x:c r="J431" t="str">
        <x:v>Artist</x:v>
      </x:c>
      <x:c r="K431" s="30" t="n">
        <x:v>14</x:v>
      </x:c>
      <x:c r="L431" s="30" t="str">
        <x:v>589</x:v>
      </x:c>
      <x:c r="M431" t="str">
        <x:v>Crimson alizarin (hue)</x:v>
      </x:c>
      <x:c r="N431" t="str">
        <x:v>茜素深紅（色相）</x:v>
      </x:c>
      <x:c r="O431" t="str">
        <x:v>アリザリンクリムゾン（ヒュー）</x:v>
      </x:c>
      <x:c r="P431" t="str"/>
      <x:c r="Q431" t="str">
        <x:v>Alizarine cramoisie (imit.)</x:v>
      </x:c>
      <x:c r="R431" t="str">
        <x:v>Alizarin Karmesin (sub)</x:v>
      </x:c>
      <x:c r="S431" t="str">
        <x:v>Cremisi Alizarina</x:v>
      </x:c>
      <x:c r="T431" t="str">
        <x:v>Alizarin Crimson</x:v>
      </x:c>
      <x:c r="U431" t="str"/>
      <x:c r="V431" t="str"/>
      <x:c r="W431" t="str"/>
      <x:c r="X431" t="n">
        <x:f>IF(W431="",0,LEN(W431)-LEN(SUBSTITUTE(W431,"/",""))+1)</x:f>
        <x:v>0</x:v>
      </x:c>
      <x:c r="Y431" t="str">
        <x:v>H</x:v>
      </x:c>
      <x:c r="Z431" s="32" t="n">
        <x:v>1.67</x:v>
      </x:c>
      <x:c r="AA431" s="32" t="n">
        <x:v>3</x:v>
      </x:c>
      <x:c r="AB431" s="32" t="str">
        <x:v>Blue Wool Scale / UV 150h</x:v>
      </x:c>
      <x:c r="AC431" t="str">
        <x:v>#E9907F</x:v>
      </x:c>
      <x:c r="AD431" s="34" t="n">
        <x:v>233</x:v>
      </x:c>
      <x:c r="AE431" s="34" t="n">
        <x:v>144</x:v>
      </x:c>
      <x:c r="AF431" s="34" t="n">
        <x:v>127</x:v>
      </x:c>
      <x:c r="AG431" s="32" t="n">
        <x:v>9.62</x:v>
      </x:c>
      <x:c r="AH431" s="32" t="n">
        <x:v>70.67</x:v>
      </x:c>
      <x:c r="AI431" s="32" t="n">
        <x:v>70.59</x:v>
      </x:c>
      <x:c r="AJ431" s="32" t="n">
        <x:v>68.61</x:v>
      </x:c>
      <x:c r="AK431" s="32" t="n">
        <x:v>31.83</x:v>
      </x:c>
      <x:c r="AL431" s="32" t="n">
        <x:v>23.3</x:v>
      </x:c>
      <x:c r="AM431" s="32" t="str">
        <x:v>#000000</x:v>
      </x:c>
      <x:c r="AN431" s="32" t="str">
        <x:v>Black</x:v>
      </x:c>
      <x:c r="AO431" s="32" t="n">
        <x:v>8.76</x:v>
      </x:c>
      <x:c r="AP431" s="32" t="n">
        <x:v>8.76</x:v>
      </x:c>
      <x:c r="AQ431" s="32" t="n">
        <x:v>2.4</x:v>
      </x:c>
      <x:c r="AR431" s="32" t="n">
        <x:v>0.388025</x:v>
      </x:c>
      <x:c r="AS431" t="str">
        <x:v>PASS</x:v>
      </x:c>
      <x:c r="AT431" t="str">
        <x:v>--cda-nc2-589</x:v>
      </x:c>
      <x:c r="AU431" t="str">
        <x:v>var(--cda-nc2-589)</x:v>
      </x:c>
      <x:c r="AV431" t="str">
        <x:v>Median RGB from official PDF swatch (screen reference only)</x:v>
      </x:c>
      <x:c r="AW431" t="str">
        <x:v>https://www.carandache.com/content_files/uploaded_doc/product/10603/Colour_Chart_NeocolorII_841.pdf</x:v>
      </x:c>
      <x:c r="AX431" t="n">
        <x:v>1</x:v>
      </x:c>
      <x:c r="AY431" t="str">
        <x:v>Official</x:v>
      </x:c>
      <x:c r="AZ431" t="str">
        <x:v>Official where available; curated Traditional Chinese/Japanese otherwise</x:v>
      </x:c>
      <x:c r="BA431" t="str">
        <x:v>Verified from official chart; digital HEX is approximate</x:v>
      </x:c>
      <x:c r="BB431" t="str">
        <x:v>Physical media appearance varies by paper, pressure, layering, water and scan/display profile.</x:v>
      </x:c>
    </x:row>
    <x:row r="432">
      <x:c r="A432" t="str">
        <x:f>G432&amp;"|"&amp;L432</x:f>
        <x:v>NC2|069</x:v>
      </x:c>
      <x:c r="B432" t="str">
        <x:v>313984e0-ea7e-5282-aaa0-27db679e3c88</x:v>
      </x:c>
      <x:c r="C432" t="str">
        <x:v>CDA-NC2-069</x:v>
      </x:c>
      <x:c r="D432" t="str">
        <x:v>cc93e1eb-34d0-5610-9562-5e234935f63d</x:v>
      </x:c>
      <x:c r="E432" t="str">
        <x:v>CDA-CODE-069</x:v>
      </x:c>
      <x:c r="F432" t="str">
        <x:v>Caran d’Ache</x:v>
      </x:c>
      <x:c r="G432" t="str">
        <x:v>NC2</x:v>
      </x:c>
      <x:c r="H432" t="str">
        <x:v>NEOCOLOR II Aquarelle</x:v>
      </x:c>
      <x:c r="I432" t="str">
        <x:v>Water-soluble wax pastel</x:v>
      </x:c>
      <x:c r="J432" t="str">
        <x:v>Artist</x:v>
      </x:c>
      <x:c r="K432" s="30" t="n">
        <x:v>15</x:v>
      </x:c>
      <x:c r="L432" s="30" t="str">
        <x:v>069</x:v>
      </x:c>
      <x:c r="M432" t="str">
        <x:v>Burnt sienna</x:v>
      </x:c>
      <x:c r="N432" t="str">
        <x:v>熟赭紅</x:v>
      </x:c>
      <x:c r="O432" t="str">
        <x:v>バーントシェンナ</x:v>
      </x:c>
      <x:c r="P432" t="str"/>
      <x:c r="Q432" t="str">
        <x:v>Sienne brûlée</x:v>
      </x:c>
      <x:c r="R432" t="str">
        <x:v>Siena gebrannt</x:v>
      </x:c>
      <x:c r="S432" t="str">
        <x:v>Siena bruciata</x:v>
      </x:c>
      <x:c r="T432" t="str">
        <x:v>Siena quemada</x:v>
      </x:c>
      <x:c r="U432" t="str"/>
      <x:c r="V432" t="str"/>
      <x:c r="W432" t="str"/>
      <x:c r="X432" t="n">
        <x:f>IF(W432="",0,LEN(W432)-LEN(SUBSTITUTE(W432,"/",""))+1)</x:f>
        <x:v>0</x:v>
      </x:c>
      <x:c r="Y432" t="str">
        <x:v>H</x:v>
      </x:c>
      <x:c r="Z432" s="32" t="n">
        <x:v>1.67</x:v>
      </x:c>
      <x:c r="AA432" s="32" t="n">
        <x:v>3</x:v>
      </x:c>
      <x:c r="AB432" s="32" t="str">
        <x:v>Blue Wool Scale / UV 150h</x:v>
      </x:c>
      <x:c r="AC432" t="str">
        <x:v>#D28E7B</x:v>
      </x:c>
      <x:c r="AD432" s="34" t="n">
        <x:v>210</x:v>
      </x:c>
      <x:c r="AE432" s="34" t="n">
        <x:v>142</x:v>
      </x:c>
      <x:c r="AF432" s="34" t="n">
        <x:v>123</x:v>
      </x:c>
      <x:c r="AG432" s="32" t="n">
        <x:v>13.1</x:v>
      </x:c>
      <x:c r="AH432" s="32" t="n">
        <x:v>49.15</x:v>
      </x:c>
      <x:c r="AI432" s="32" t="n">
        <x:v>65.29</x:v>
      </x:c>
      <x:c r="AJ432" s="32" t="n">
        <x:v>65.34</x:v>
      </x:c>
      <x:c r="AK432" s="32" t="n">
        <x:v>23.54</x:v>
      </x:c>
      <x:c r="AL432" s="32" t="n">
        <x:v>20.63</x:v>
      </x:c>
      <x:c r="AM432" s="32" t="str">
        <x:v>#000000</x:v>
      </x:c>
      <x:c r="AN432" s="32" t="str">
        <x:v>Black</x:v>
      </x:c>
      <x:c r="AO432" s="32" t="n">
        <x:v>7.9</x:v>
      </x:c>
      <x:c r="AP432" s="32" t="n">
        <x:v>7.9</x:v>
      </x:c>
      <x:c r="AQ432" s="32" t="n">
        <x:v>2.66</x:v>
      </x:c>
      <x:c r="AR432" s="32" t="n">
        <x:v>0.344777</x:v>
      </x:c>
      <x:c r="AS432" t="str">
        <x:v>PASS</x:v>
      </x:c>
      <x:c r="AT432" t="str">
        <x:v>--cda-nc2-069</x:v>
      </x:c>
      <x:c r="AU432" t="str">
        <x:v>var(--cda-nc2-069)</x:v>
      </x:c>
      <x:c r="AV432" t="str">
        <x:v>Median RGB from official PDF swatch (screen reference only)</x:v>
      </x:c>
      <x:c r="AW432" t="str">
        <x:v>https://www.carandache.com/content_files/uploaded_doc/product/10603/Colour_Chart_NeocolorII_841.pdf</x:v>
      </x:c>
      <x:c r="AX432" t="n">
        <x:v>1</x:v>
      </x:c>
      <x:c r="AY432" t="str">
        <x:v>Official</x:v>
      </x:c>
      <x:c r="AZ432" t="str">
        <x:v>Official where available; curated Traditional Chinese/Japanese otherwise</x:v>
      </x:c>
      <x:c r="BA432" t="str">
        <x:v>Verified from official chart; digital HEX is approximate</x:v>
      </x:c>
      <x:c r="BB432" t="str">
        <x:v>Physical media appearance varies by paper, pressure, layering, water and scan/display profile.</x:v>
      </x:c>
    </x:row>
    <x:row r="433">
      <x:c r="A433" t="str">
        <x:f>G433&amp;"|"&amp;L433</x:f>
        <x:v>NC2|063</x:v>
      </x:c>
      <x:c r="B433" t="str">
        <x:v>e28da54f-6900-5107-b896-6094e8307770</x:v>
      </x:c>
      <x:c r="C433" t="str">
        <x:v>CDA-NC2-063</x:v>
      </x:c>
      <x:c r="D433" t="str">
        <x:v>b4ecc4a2-7b75-5baf-8139-3a399957d6ec</x:v>
      </x:c>
      <x:c r="E433" t="str">
        <x:v>CDA-CODE-063</x:v>
      </x:c>
      <x:c r="F433" t="str">
        <x:v>Caran d’Ache</x:v>
      </x:c>
      <x:c r="G433" t="str">
        <x:v>NC2</x:v>
      </x:c>
      <x:c r="H433" t="str">
        <x:v>NEOCOLOR II Aquarelle</x:v>
      </x:c>
      <x:c r="I433" t="str">
        <x:v>Water-soluble wax pastel</x:v>
      </x:c>
      <x:c r="J433" t="str">
        <x:v>Artist</x:v>
      </x:c>
      <x:c r="K433" s="30" t="n">
        <x:v>16</x:v>
      </x:c>
      <x:c r="L433" s="30" t="str">
        <x:v>063</x:v>
      </x:c>
      <x:c r="M433" t="str">
        <x:v>English red</x:v>
      </x:c>
      <x:c r="N433" t="str">
        <x:v>英國紅</x:v>
      </x:c>
      <x:c r="O433" t="str">
        <x:v>イングリッシュレッド</x:v>
      </x:c>
      <x:c r="P433" t="str"/>
      <x:c r="Q433" t="str">
        <x:v>Rouge anglais</x:v>
      </x:c>
      <x:c r="R433" t="str">
        <x:v>Englischrot</x:v>
      </x:c>
      <x:c r="S433" t="str">
        <x:v>Rosso inglese</x:v>
      </x:c>
      <x:c r="T433" t="str">
        <x:v>Rojo inglés</x:v>
      </x:c>
      <x:c r="U433" t="str"/>
      <x:c r="V433" t="str"/>
      <x:c r="W433" t="str"/>
      <x:c r="X433" t="n">
        <x:f>IF(W433="",0,LEN(W433)-LEN(SUBSTITUTE(W433,"/",""))+1)</x:f>
        <x:v>0</x:v>
      </x:c>
      <x:c r="Y433" t="str">
        <x:v>H</x:v>
      </x:c>
      <x:c r="Z433" s="32" t="n">
        <x:v>1.67</x:v>
      </x:c>
      <x:c r="AA433" s="32" t="n">
        <x:v>3</x:v>
      </x:c>
      <x:c r="AB433" s="32" t="str">
        <x:v>Blue Wool Scale / UV 150h</x:v>
      </x:c>
      <x:c r="AC433" t="str">
        <x:v>#E68764</x:v>
      </x:c>
      <x:c r="AD433" s="34" t="n">
        <x:v>230</x:v>
      </x:c>
      <x:c r="AE433" s="34" t="n">
        <x:v>135</x:v>
      </x:c>
      <x:c r="AF433" s="34" t="n">
        <x:v>100</x:v>
      </x:c>
      <x:c r="AG433" s="32" t="n">
        <x:v>16.15</x:v>
      </x:c>
      <x:c r="AH433" s="32" t="n">
        <x:v>72.22</x:v>
      </x:c>
      <x:c r="AI433" s="32" t="n">
        <x:v>64.71</x:v>
      </x:c>
      <x:c r="AJ433" s="32" t="n">
        <x:v>65.81</x:v>
      </x:c>
      <x:c r="AK433" s="32" t="n">
        <x:v>33</x:v>
      </x:c>
      <x:c r="AL433" s="32" t="n">
        <x:v>34.36</x:v>
      </x:c>
      <x:c r="AM433" s="32" t="str">
        <x:v>#000000</x:v>
      </x:c>
      <x:c r="AN433" s="32" t="str">
        <x:v>Black</x:v>
      </x:c>
      <x:c r="AO433" s="32" t="n">
        <x:v>8.01</x:v>
      </x:c>
      <x:c r="AP433" s="32" t="n">
        <x:v>8.01</x:v>
      </x:c>
      <x:c r="AQ433" s="32" t="n">
        <x:v>2.62</x:v>
      </x:c>
      <x:c r="AR433" s="32" t="n">
        <x:v>0.35071</x:v>
      </x:c>
      <x:c r="AS433" t="str">
        <x:v>PASS</x:v>
      </x:c>
      <x:c r="AT433" t="str">
        <x:v>--cda-nc2-063</x:v>
      </x:c>
      <x:c r="AU433" t="str">
        <x:v>var(--cda-nc2-063)</x:v>
      </x:c>
      <x:c r="AV433" t="str">
        <x:v>Median RGB from official PDF swatch (screen reference only)</x:v>
      </x:c>
      <x:c r="AW433" t="str">
        <x:v>https://www.carandache.com/content_files/uploaded_doc/product/10603/Colour_Chart_NeocolorII_841.pdf</x:v>
      </x:c>
      <x:c r="AX433" t="n">
        <x:v>1</x:v>
      </x:c>
      <x:c r="AY433" t="str">
        <x:v>Official</x:v>
      </x:c>
      <x:c r="AZ433" t="str">
        <x:v>Official where available; curated Traditional Chinese/Japanese otherwise</x:v>
      </x:c>
      <x:c r="BA433" t="str">
        <x:v>Verified from official chart; digital HEX is approximate</x:v>
      </x:c>
      <x:c r="BB433" t="str">
        <x:v>Physical media appearance varies by paper, pressure, layering, water and scan/display profile.</x:v>
      </x:c>
    </x:row>
    <x:row r="434">
      <x:c r="A434" t="str">
        <x:f>G434&amp;"|"&amp;L434</x:f>
        <x:v>NC2|052</x:v>
      </x:c>
      <x:c r="B434" t="str">
        <x:v>cc9e764f-1ad9-5332-aa08-fa26f6e3b522</x:v>
      </x:c>
      <x:c r="C434" t="str">
        <x:v>CDA-NC2-052</x:v>
      </x:c>
      <x:c r="D434" t="str">
        <x:v>c578249b-2849-5910-b333-baf5c652e1b3</x:v>
      </x:c>
      <x:c r="E434" t="str">
        <x:v>CDA-CODE-052</x:v>
      </x:c>
      <x:c r="F434" t="str">
        <x:v>Caran d’Ache</x:v>
      </x:c>
      <x:c r="G434" t="str">
        <x:v>NC2</x:v>
      </x:c>
      <x:c r="H434" t="str">
        <x:v>NEOCOLOR II Aquarelle</x:v>
      </x:c>
      <x:c r="I434" t="str">
        <x:v>Water-soluble wax pastel</x:v>
      </x:c>
      <x:c r="J434" t="str">
        <x:v>Artist</x:v>
      </x:c>
      <x:c r="K434" s="30" t="n">
        <x:v>17</x:v>
      </x:c>
      <x:c r="L434" s="30" t="str">
        <x:v>052</x:v>
      </x:c>
      <x:c r="M434" t="str">
        <x:v>Saffron</x:v>
      </x:c>
      <x:c r="N434" t="str">
        <x:v>藏紅花黃</x:v>
      </x:c>
      <x:c r="O434" t="str">
        <x:v>サフラン</x:v>
      </x:c>
      <x:c r="P434" t="str"/>
      <x:c r="Q434" t="str">
        <x:v>Safran</x:v>
      </x:c>
      <x:c r="R434" t="str">
        <x:v>Safran</x:v>
      </x:c>
      <x:c r="S434" t="str">
        <x:v>Zafferano</x:v>
      </x:c>
      <x:c r="T434" t="str">
        <x:v>Azafrán</x:v>
      </x:c>
      <x:c r="U434" t="str"/>
      <x:c r="V434" t="str"/>
      <x:c r="W434" t="str"/>
      <x:c r="X434" t="n">
        <x:f>IF(W434="",0,LEN(W434)-LEN(SUBSTITUTE(W434,"/",""))+1)</x:f>
        <x:v>0</x:v>
      </x:c>
      <x:c r="Y434" t="str">
        <x:v>H</x:v>
      </x:c>
      <x:c r="Z434" s="32" t="n">
        <x:v>1.67</x:v>
      </x:c>
      <x:c r="AA434" s="32" t="n">
        <x:v>3</x:v>
      </x:c>
      <x:c r="AB434" s="32" t="str">
        <x:v>Blue Wool Scale / UV 150h</x:v>
      </x:c>
      <x:c r="AC434" t="str">
        <x:v>#F29C54</x:v>
      </x:c>
      <x:c r="AD434" s="34" t="n">
        <x:v>242</x:v>
      </x:c>
      <x:c r="AE434" s="34" t="n">
        <x:v>156</x:v>
      </x:c>
      <x:c r="AF434" s="34" t="n">
        <x:v>84</x:v>
      </x:c>
      <x:c r="AG434" s="32" t="n">
        <x:v>27.34</x:v>
      </x:c>
      <x:c r="AH434" s="32" t="n">
        <x:v>85.87</x:v>
      </x:c>
      <x:c r="AI434" s="32" t="n">
        <x:v>63.92</x:v>
      </x:c>
      <x:c r="AJ434" s="32" t="n">
        <x:v>71.76</x:v>
      </x:c>
      <x:c r="AK434" s="32" t="n">
        <x:v>25.66</x:v>
      </x:c>
      <x:c r="AL434" s="32" t="n">
        <x:v>50.11</x:v>
      </x:c>
      <x:c r="AM434" s="32" t="str">
        <x:v>#000000</x:v>
      </x:c>
      <x:c r="AN434" s="32" t="str">
        <x:v>Black</x:v>
      </x:c>
      <x:c r="AO434" s="32" t="n">
        <x:v>9.66</x:v>
      </x:c>
      <x:c r="AP434" s="32" t="n">
        <x:v>9.66</x:v>
      </x:c>
      <x:c r="AQ434" s="32" t="n">
        <x:v>2.17</x:v>
      </x:c>
      <x:c r="AR434" s="32" t="n">
        <x:v>0.432943</x:v>
      </x:c>
      <x:c r="AS434" t="str">
        <x:v>PASS</x:v>
      </x:c>
      <x:c r="AT434" t="str">
        <x:v>--cda-nc2-052</x:v>
      </x:c>
      <x:c r="AU434" t="str">
        <x:v>var(--cda-nc2-052)</x:v>
      </x:c>
      <x:c r="AV434" t="str">
        <x:v>Median RGB from official PDF swatch (screen reference only)</x:v>
      </x:c>
      <x:c r="AW434" t="str">
        <x:v>https://www.carandache.com/content_files/uploaded_doc/product/10603/Colour_Chart_NeocolorII_841.pdf</x:v>
      </x:c>
      <x:c r="AX434" t="n">
        <x:v>1</x:v>
      </x:c>
      <x:c r="AY434" t="str">
        <x:v>Official</x:v>
      </x:c>
      <x:c r="AZ434" t="str">
        <x:v>Official where available; curated Traditional Chinese/Japanese otherwise</x:v>
      </x:c>
      <x:c r="BA434" t="str">
        <x:v>Verified from official chart; digital HEX is approximate</x:v>
      </x:c>
      <x:c r="BB434" t="str">
        <x:v>Physical media appearance varies by paper, pressure, layering, water and scan/display profile.</x:v>
      </x:c>
    </x:row>
    <x:row r="435">
      <x:c r="A435" t="str">
        <x:f>G435&amp;"|"&amp;L435</x:f>
        <x:v>NC2|065</x:v>
      </x:c>
      <x:c r="B435" t="str">
        <x:v>b13d4989-d4bf-575c-b8cc-14cb889cbcc4</x:v>
      </x:c>
      <x:c r="C435" t="str">
        <x:v>CDA-NC2-065</x:v>
      </x:c>
      <x:c r="D435" t="str">
        <x:v>91a3d2cf-6d79-536f-9dd3-6acea80af176</x:v>
      </x:c>
      <x:c r="E435" t="str">
        <x:v>CDA-CODE-065</x:v>
      </x:c>
      <x:c r="F435" t="str">
        <x:v>Caran d’Ache</x:v>
      </x:c>
      <x:c r="G435" t="str">
        <x:v>NC2</x:v>
      </x:c>
      <x:c r="H435" t="str">
        <x:v>NEOCOLOR II Aquarelle</x:v>
      </x:c>
      <x:c r="I435" t="str">
        <x:v>Water-soluble wax pastel</x:v>
      </x:c>
      <x:c r="J435" t="str">
        <x:v>Artist</x:v>
      </x:c>
      <x:c r="K435" s="30" t="n">
        <x:v>18</x:v>
      </x:c>
      <x:c r="L435" s="30" t="str">
        <x:v>065</x:v>
      </x:c>
      <x:c r="M435" t="str">
        <x:v>Russet</x:v>
      </x:c>
      <x:c r="N435" t="str">
        <x:v>赤褐色</x:v>
      </x:c>
      <x:c r="O435" t="str">
        <x:v>ラセット</x:v>
      </x:c>
      <x:c r="P435" t="str"/>
      <x:c r="Q435" t="str">
        <x:v>Sanguine</x:v>
      </x:c>
      <x:c r="R435" t="str">
        <x:v>Rotbraun</x:v>
      </x:c>
      <x:c r="S435" t="str">
        <x:v>Sanguigna</x:v>
      </x:c>
      <x:c r="T435" t="str">
        <x:v>Sanguina</x:v>
      </x:c>
      <x:c r="U435" t="str"/>
      <x:c r="V435" t="str"/>
      <x:c r="W435" t="str"/>
      <x:c r="X435" t="n">
        <x:f>IF(W435="",0,LEN(W435)-LEN(SUBSTITUTE(W435,"/",""))+1)</x:f>
        <x:v>0</x:v>
      </x:c>
      <x:c r="Y435" t="str">
        <x:v>H</x:v>
      </x:c>
      <x:c r="Z435" s="32" t="n">
        <x:v>1.67</x:v>
      </x:c>
      <x:c r="AA435" s="32" t="n">
        <x:v>3</x:v>
      </x:c>
      <x:c r="AB435" s="32" t="str">
        <x:v>Blue Wool Scale / UV 150h</x:v>
      </x:c>
      <x:c r="AC435" t="str">
        <x:v>#E78C55</x:v>
      </x:c>
      <x:c r="AD435" s="34" t="n">
        <x:v>231</x:v>
      </x:c>
      <x:c r="AE435" s="34" t="n">
        <x:v>140</x:v>
      </x:c>
      <x:c r="AF435" s="34" t="n">
        <x:v>85</x:v>
      </x:c>
      <x:c r="AG435" s="32" t="n">
        <x:v>22.6</x:v>
      </x:c>
      <x:c r="AH435" s="32" t="n">
        <x:v>75.26</x:v>
      </x:c>
      <x:c r="AI435" s="32" t="n">
        <x:v>61.96</x:v>
      </x:c>
      <x:c r="AJ435" s="32" t="n">
        <x:v>66.83</x:v>
      </x:c>
      <x:c r="AK435" s="32" t="n">
        <x:v>29.7</x:v>
      </x:c>
      <x:c r="AL435" s="32" t="n">
        <x:v>43.56</x:v>
      </x:c>
      <x:c r="AM435" s="32" t="str">
        <x:v>#000000</x:v>
      </x:c>
      <x:c r="AN435" s="32" t="str">
        <x:v>Black</x:v>
      </x:c>
      <x:c r="AO435" s="32" t="n">
        <x:v>8.28</x:v>
      </x:c>
      <x:c r="AP435" s="32" t="n">
        <x:v>8.28</x:v>
      </x:c>
      <x:c r="AQ435" s="32" t="n">
        <x:v>2.54</x:v>
      </x:c>
      <x:c r="AR435" s="32" t="n">
        <x:v>0.36401</x:v>
      </x:c>
      <x:c r="AS435" t="str">
        <x:v>PASS</x:v>
      </x:c>
      <x:c r="AT435" t="str">
        <x:v>--cda-nc2-065</x:v>
      </x:c>
      <x:c r="AU435" t="str">
        <x:v>var(--cda-nc2-065)</x:v>
      </x:c>
      <x:c r="AV435" t="str">
        <x:v>Median RGB from official PDF swatch (screen reference only)</x:v>
      </x:c>
      <x:c r="AW435" t="str">
        <x:v>https://www.carandache.com/content_files/uploaded_doc/product/10603/Colour_Chart_NeocolorII_841.pdf</x:v>
      </x:c>
      <x:c r="AX435" t="n">
        <x:v>1</x:v>
      </x:c>
      <x:c r="AY435" t="str">
        <x:v>Official</x:v>
      </x:c>
      <x:c r="AZ435" t="str">
        <x:v>Official where available; curated Traditional Chinese/Japanese otherwise</x:v>
      </x:c>
      <x:c r="BA435" t="str">
        <x:v>Verified from official chart; digital HEX is approximate</x:v>
      </x:c>
      <x:c r="BB435" t="str">
        <x:v>Physical media appearance varies by paper, pressure, layering, water and scan/display profile.</x:v>
      </x:c>
    </x:row>
    <x:row r="436">
      <x:c r="A436" t="str">
        <x:f>G436&amp;"|"&amp;L436</x:f>
        <x:v>NC2|055</x:v>
      </x:c>
      <x:c r="B436" t="str">
        <x:v>c0c8f1a5-7090-5157-9857-1720add65b7e</x:v>
      </x:c>
      <x:c r="C436" t="str">
        <x:v>CDA-NC2-055</x:v>
      </x:c>
      <x:c r="D436" t="str">
        <x:v>658096e9-f9b4-5937-8e83-5eee039511f9</x:v>
      </x:c>
      <x:c r="E436" t="str">
        <x:v>CDA-CODE-055</x:v>
      </x:c>
      <x:c r="F436" t="str">
        <x:v>Caran d’Ache</x:v>
      </x:c>
      <x:c r="G436" t="str">
        <x:v>NC2</x:v>
      </x:c>
      <x:c r="H436" t="str">
        <x:v>NEOCOLOR II Aquarelle</x:v>
      </x:c>
      <x:c r="I436" t="str">
        <x:v>Water-soluble wax pastel</x:v>
      </x:c>
      <x:c r="J436" t="str">
        <x:v>Artist</x:v>
      </x:c>
      <x:c r="K436" s="30" t="n">
        <x:v>19</x:v>
      </x:c>
      <x:c r="L436" s="30" t="str">
        <x:v>055</x:v>
      </x:c>
      <x:c r="M436" t="str">
        <x:v>Cinnamon</x:v>
      </x:c>
      <x:c r="N436" t="str">
        <x:v>肉桂色</x:v>
      </x:c>
      <x:c r="O436" t="str">
        <x:v>シナモン</x:v>
      </x:c>
      <x:c r="P436" t="str"/>
      <x:c r="Q436" t="str">
        <x:v>Cannelle</x:v>
      </x:c>
      <x:c r="R436" t="str">
        <x:v>Zimtbraun</x:v>
      </x:c>
      <x:c r="S436" t="str">
        <x:v>Cannella</x:v>
      </x:c>
      <x:c r="T436" t="str">
        <x:v>Canela</x:v>
      </x:c>
      <x:c r="U436" t="str"/>
      <x:c r="V436" t="str"/>
      <x:c r="W436" t="str"/>
      <x:c r="X436" t="n">
        <x:f>IF(W436="",0,LEN(W436)-LEN(SUBSTITUTE(W436,"/",""))+1)</x:f>
        <x:v>0</x:v>
      </x:c>
      <x:c r="Y436" t="str">
        <x:v>H</x:v>
      </x:c>
      <x:c r="Z436" s="32" t="n">
        <x:v>1.67</x:v>
      </x:c>
      <x:c r="AA436" s="32" t="n">
        <x:v>3</x:v>
      </x:c>
      <x:c r="AB436" s="32" t="str">
        <x:v>Blue Wool Scale / UV 150h</x:v>
      </x:c>
      <x:c r="AC436" t="str">
        <x:v>#EFB184</x:v>
      </x:c>
      <x:c r="AD436" s="34" t="n">
        <x:v>239</x:v>
      </x:c>
      <x:c r="AE436" s="34" t="n">
        <x:v>177</x:v>
      </x:c>
      <x:c r="AF436" s="34" t="n">
        <x:v>132</x:v>
      </x:c>
      <x:c r="AG436" s="32" t="n">
        <x:v>25.23</x:v>
      </x:c>
      <x:c r="AH436" s="32" t="n">
        <x:v>76.98</x:v>
      </x:c>
      <x:c r="AI436" s="32" t="n">
        <x:v>72.75</x:v>
      </x:c>
      <x:c r="AJ436" s="32" t="n">
        <x:v>76.96</x:v>
      </x:c>
      <x:c r="AK436" s="32" t="n">
        <x:v>17.19</x:v>
      </x:c>
      <x:c r="AL436" s="32" t="n">
        <x:v>31.84</x:v>
      </x:c>
      <x:c r="AM436" s="32" t="str">
        <x:v>#000000</x:v>
      </x:c>
      <x:c r="AN436" s="32" t="str">
        <x:v>Black</x:v>
      </x:c>
      <x:c r="AO436" s="32" t="n">
        <x:v>11.29</x:v>
      </x:c>
      <x:c r="AP436" s="32" t="n">
        <x:v>11.29</x:v>
      </x:c>
      <x:c r="AQ436" s="32" t="n">
        <x:v>1.86</x:v>
      </x:c>
      <x:c r="AR436" s="32" t="n">
        <x:v>0.514609</x:v>
      </x:c>
      <x:c r="AS436" t="str">
        <x:v>PASS</x:v>
      </x:c>
      <x:c r="AT436" t="str">
        <x:v>--cda-nc2-055</x:v>
      </x:c>
      <x:c r="AU436" t="str">
        <x:v>var(--cda-nc2-055)</x:v>
      </x:c>
      <x:c r="AV436" t="str">
        <x:v>Median RGB from official PDF swatch (screen reference only)</x:v>
      </x:c>
      <x:c r="AW436" t="str">
        <x:v>https://www.carandache.com/content_files/uploaded_doc/product/10603/Colour_Chart_NeocolorII_841.pdf</x:v>
      </x:c>
      <x:c r="AX436" t="n">
        <x:v>1</x:v>
      </x:c>
      <x:c r="AY436" t="str">
        <x:v>Official</x:v>
      </x:c>
      <x:c r="AZ436" t="str">
        <x:v>Official where available; curated Traditional Chinese/Japanese otherwise</x:v>
      </x:c>
      <x:c r="BA436" t="str">
        <x:v>Verified from official chart; digital HEX is approximate</x:v>
      </x:c>
      <x:c r="BB436" t="str">
        <x:v>Physical media appearance varies by paper, pressure, layering, water and scan/display profile.</x:v>
      </x:c>
    </x:row>
    <x:row r="437">
      <x:c r="A437" t="str">
        <x:f>G437&amp;"|"&amp;L437</x:f>
        <x:v>NC2|036</x:v>
      </x:c>
      <x:c r="B437" t="str">
        <x:v>21c5b89f-ed8c-5a69-8f36-e108a76c60b6</x:v>
      </x:c>
      <x:c r="C437" t="str">
        <x:v>CDA-NC2-036</x:v>
      </x:c>
      <x:c r="D437" t="str">
        <x:v>0f5afcdf-d0ec-594e-9317-d048151338ad</x:v>
      </x:c>
      <x:c r="E437" t="str">
        <x:v>CDA-CODE-036</x:v>
      </x:c>
      <x:c r="F437" t="str">
        <x:v>Caran d’Ache</x:v>
      </x:c>
      <x:c r="G437" t="str">
        <x:v>NC2</x:v>
      </x:c>
      <x:c r="H437" t="str">
        <x:v>NEOCOLOR II Aquarelle</x:v>
      </x:c>
      <x:c r="I437" t="str">
        <x:v>Water-soluble wax pastel</x:v>
      </x:c>
      <x:c r="J437" t="str">
        <x:v>Artist</x:v>
      </x:c>
      <x:c r="K437" s="30" t="n">
        <x:v>20</x:v>
      </x:c>
      <x:c r="L437" s="30" t="str">
        <x:v>036</x:v>
      </x:c>
      <x:c r="M437" t="str">
        <x:v>Raw sienna</x:v>
      </x:c>
      <x:c r="N437" t="str">
        <x:v>生赭色</x:v>
      </x:c>
      <x:c r="O437" t="str">
        <x:v>ローシェンナ</x:v>
      </x:c>
      <x:c r="P437" t="str"/>
      <x:c r="Q437" t="str">
        <x:v>Sienne naturelle</x:v>
      </x:c>
      <x:c r="R437" t="str">
        <x:v>Siena natur</x:v>
      </x:c>
      <x:c r="S437" t="str">
        <x:v>Terra di Siena naturale</x:v>
      </x:c>
      <x:c r="T437" t="str">
        <x:v>Siena natural</x:v>
      </x:c>
      <x:c r="U437" t="str"/>
      <x:c r="V437" t="str"/>
      <x:c r="W437" t="str"/>
      <x:c r="X437" t="n">
        <x:f>IF(W437="",0,LEN(W437)-LEN(SUBSTITUTE(W437,"/",""))+1)</x:f>
        <x:v>0</x:v>
      </x:c>
      <x:c r="Y437" t="str">
        <x:v>H</x:v>
      </x:c>
      <x:c r="Z437" s="32" t="n">
        <x:v>1.67</x:v>
      </x:c>
      <x:c r="AA437" s="32" t="n">
        <x:v>3</x:v>
      </x:c>
      <x:c r="AB437" s="32" t="str">
        <x:v>Blue Wool Scale / UV 150h</x:v>
      </x:c>
      <x:c r="AC437" t="str">
        <x:v>#F7CD96</x:v>
      </x:c>
      <x:c r="AD437" s="34" t="n">
        <x:v>247</x:v>
      </x:c>
      <x:c r="AE437" s="34" t="n">
        <x:v>205</x:v>
      </x:c>
      <x:c r="AF437" s="34" t="n">
        <x:v>150</x:v>
      </x:c>
      <x:c r="AG437" s="32" t="n">
        <x:v>34.02</x:v>
      </x:c>
      <x:c r="AH437" s="32" t="n">
        <x:v>85.84</x:v>
      </x:c>
      <x:c r="AI437" s="32" t="n">
        <x:v>77.84</x:v>
      </x:c>
      <x:c r="AJ437" s="32" t="n">
        <x:v>84.81</x:v>
      </x:c>
      <x:c r="AK437" s="32" t="n">
        <x:v>7.54</x:v>
      </x:c>
      <x:c r="AL437" s="32" t="n">
        <x:v>32.93</x:v>
      </x:c>
      <x:c r="AM437" s="32" t="str">
        <x:v>#000000</x:v>
      </x:c>
      <x:c r="AN437" s="32" t="str">
        <x:v>Black</x:v>
      </x:c>
      <x:c r="AO437" s="32" t="n">
        <x:v>14.13</x:v>
      </x:c>
      <x:c r="AP437" s="32" t="n">
        <x:v>14.13</x:v>
      </x:c>
      <x:c r="AQ437" s="32" t="n">
        <x:v>1.49</x:v>
      </x:c>
      <x:c r="AR437" s="32" t="n">
        <x:v>0.656388</x:v>
      </x:c>
      <x:c r="AS437" t="str">
        <x:v>PASS</x:v>
      </x:c>
      <x:c r="AT437" t="str">
        <x:v>--cda-nc2-036</x:v>
      </x:c>
      <x:c r="AU437" t="str">
        <x:v>var(--cda-nc2-036)</x:v>
      </x:c>
      <x:c r="AV437" t="str">
        <x:v>Median RGB from official PDF swatch (screen reference only)</x:v>
      </x:c>
      <x:c r="AW437" t="str">
        <x:v>https://www.carandache.com/content_files/uploaded_doc/product/10603/Colour_Chart_NeocolorII_841.pdf</x:v>
      </x:c>
      <x:c r="AX437" t="n">
        <x:v>1</x:v>
      </x:c>
      <x:c r="AY437" t="str">
        <x:v>Official</x:v>
      </x:c>
      <x:c r="AZ437" t="str">
        <x:v>Official where available; curated Traditional Chinese/Japanese otherwise</x:v>
      </x:c>
      <x:c r="BA437" t="str">
        <x:v>Verified from official chart; digital HEX is approximate</x:v>
      </x:c>
      <x:c r="BB437" t="str">
        <x:v>Physical media appearance varies by paper, pressure, layering, water and scan/display profile.</x:v>
      </x:c>
    </x:row>
    <x:row r="438">
      <x:c r="A438" t="str">
        <x:f>G438&amp;"|"&amp;L438</x:f>
        <x:v>NC2|033</x:v>
      </x:c>
      <x:c r="B438" t="str">
        <x:v>26ea1105-6211-558f-a12d-0763b6cc0158</x:v>
      </x:c>
      <x:c r="C438" t="str">
        <x:v>CDA-NC2-033</x:v>
      </x:c>
      <x:c r="D438" t="str">
        <x:v>167a875a-a8c7-5497-a065-fd7076f6139c</x:v>
      </x:c>
      <x:c r="E438" t="str">
        <x:v>CDA-CODE-033</x:v>
      </x:c>
      <x:c r="F438" t="str">
        <x:v>Caran d’Ache</x:v>
      </x:c>
      <x:c r="G438" t="str">
        <x:v>NC2</x:v>
      </x:c>
      <x:c r="H438" t="str">
        <x:v>NEOCOLOR II Aquarelle</x:v>
      </x:c>
      <x:c r="I438" t="str">
        <x:v>Water-soluble wax pastel</x:v>
      </x:c>
      <x:c r="J438" t="str">
        <x:v>Artist</x:v>
      </x:c>
      <x:c r="K438" s="30" t="n">
        <x:v>21</x:v>
      </x:c>
      <x:c r="L438" s="30" t="str">
        <x:v>033</x:v>
      </x:c>
      <x:c r="M438" t="str">
        <x:v>Golden ochre</x:v>
      </x:c>
      <x:c r="N438" t="str">
        <x:v>金赭色</x:v>
      </x:c>
      <x:c r="O438" t="str">
        <x:v>ゴールデンオーカー</x:v>
      </x:c>
      <x:c r="P438" t="str"/>
      <x:c r="Q438" t="str">
        <x:v>Ocre d’or</x:v>
      </x:c>
      <x:c r="R438" t="str">
        <x:v>Goldocker</x:v>
      </x:c>
      <x:c r="S438" t="str">
        <x:v>Ocra d’oro</x:v>
      </x:c>
      <x:c r="T438" t="str">
        <x:v>Ocre oro</x:v>
      </x:c>
      <x:c r="U438" t="str"/>
      <x:c r="V438" t="str"/>
      <x:c r="W438" t="str"/>
      <x:c r="X438" t="n">
        <x:f>IF(W438="",0,LEN(W438)-LEN(SUBSTITUTE(W438,"/",""))+1)</x:f>
        <x:v>0</x:v>
      </x:c>
      <x:c r="Y438" t="str">
        <x:v>H</x:v>
      </x:c>
      <x:c r="Z438" s="32" t="n">
        <x:v>1.67</x:v>
      </x:c>
      <x:c r="AA438" s="32" t="n">
        <x:v>3</x:v>
      </x:c>
      <x:c r="AB438" s="32" t="str">
        <x:v>Blue Wool Scale / UV 150h</x:v>
      </x:c>
      <x:c r="AC438" t="str">
        <x:v>#FCCE75</x:v>
      </x:c>
      <x:c r="AD438" s="34" t="n">
        <x:v>252</x:v>
      </x:c>
      <x:c r="AE438" s="34" t="n">
        <x:v>206</x:v>
      </x:c>
      <x:c r="AF438" s="34" t="n">
        <x:v>117</x:v>
      </x:c>
      <x:c r="AG438" s="32" t="n">
        <x:v>39.56</x:v>
      </x:c>
      <x:c r="AH438" s="32" t="n">
        <x:v>95.74</x:v>
      </x:c>
      <x:c r="AI438" s="32" t="n">
        <x:v>72.35</x:v>
      </x:c>
      <x:c r="AJ438" s="32" t="n">
        <x:v>85.06</x:v>
      </x:c>
      <x:c r="AK438" s="32" t="n">
        <x:v>5.88</x:v>
      </x:c>
      <x:c r="AL438" s="32" t="n">
        <x:v>49.93</x:v>
      </x:c>
      <x:c r="AM438" s="32" t="str">
        <x:v>#000000</x:v>
      </x:c>
      <x:c r="AN438" s="32" t="str">
        <x:v>Black</x:v>
      </x:c>
      <x:c r="AO438" s="32" t="n">
        <x:v>14.22</x:v>
      </x:c>
      <x:c r="AP438" s="32" t="n">
        <x:v>14.22</x:v>
      </x:c>
      <x:c r="AQ438" s="32" t="n">
        <x:v>1.48</x:v>
      </x:c>
      <x:c r="AR438" s="32" t="n">
        <x:v>0.661224</x:v>
      </x:c>
      <x:c r="AS438" t="str">
        <x:v>PASS</x:v>
      </x:c>
      <x:c r="AT438" t="str">
        <x:v>--cda-nc2-033</x:v>
      </x:c>
      <x:c r="AU438" t="str">
        <x:v>var(--cda-nc2-033)</x:v>
      </x:c>
      <x:c r="AV438" t="str">
        <x:v>Median RGB from official PDF swatch (screen reference only)</x:v>
      </x:c>
      <x:c r="AW438" t="str">
        <x:v>https://www.carandache.com/content_files/uploaded_doc/product/10603/Colour_Chart_NeocolorII_841.pdf</x:v>
      </x:c>
      <x:c r="AX438" t="n">
        <x:v>1</x:v>
      </x:c>
      <x:c r="AY438" t="str">
        <x:v>Official</x:v>
      </x:c>
      <x:c r="AZ438" t="str">
        <x:v>Official where available; curated Traditional Chinese/Japanese otherwise</x:v>
      </x:c>
      <x:c r="BA438" t="str">
        <x:v>Verified from official chart; digital HEX is approximate</x:v>
      </x:c>
      <x:c r="BB438" t="str">
        <x:v>Physical media appearance varies by paper, pressure, layering, water and scan/display profile.</x:v>
      </x:c>
    </x:row>
    <x:row r="439">
      <x:c r="A439" t="str">
        <x:f>G439&amp;"|"&amp;L439</x:f>
        <x:v>NC2|035</x:v>
      </x:c>
      <x:c r="B439" t="str">
        <x:v>79f36105-1b8e-54d3-9a2d-adf045177f70</x:v>
      </x:c>
      <x:c r="C439" t="str">
        <x:v>CDA-NC2-035</x:v>
      </x:c>
      <x:c r="D439" t="str">
        <x:v>e6cc537a-bb6e-50c6-99e9-ab46db58910a</x:v>
      </x:c>
      <x:c r="E439" t="str">
        <x:v>CDA-CODE-035</x:v>
      </x:c>
      <x:c r="F439" t="str">
        <x:v>Caran d’Ache</x:v>
      </x:c>
      <x:c r="G439" t="str">
        <x:v>NC2</x:v>
      </x:c>
      <x:c r="H439" t="str">
        <x:v>NEOCOLOR II Aquarelle</x:v>
      </x:c>
      <x:c r="I439" t="str">
        <x:v>Water-soluble wax pastel</x:v>
      </x:c>
      <x:c r="J439" t="str">
        <x:v>Artist</x:v>
      </x:c>
      <x:c r="K439" s="30" t="n">
        <x:v>22</x:v>
      </x:c>
      <x:c r="L439" s="30" t="str">
        <x:v>035</x:v>
      </x:c>
      <x:c r="M439" t="str">
        <x:v>Ochre</x:v>
      </x:c>
      <x:c r="N439" t="str">
        <x:v>赭色</x:v>
      </x:c>
      <x:c r="O439" t="str">
        <x:v>オーカー</x:v>
      </x:c>
      <x:c r="P439" t="str"/>
      <x:c r="Q439" t="str">
        <x:v>Ocre</x:v>
      </x:c>
      <x:c r="R439" t="str">
        <x:v>Ocker</x:v>
      </x:c>
      <x:c r="S439" t="str">
        <x:v>Ocra</x:v>
      </x:c>
      <x:c r="T439" t="str">
        <x:v>Ocre</x:v>
      </x:c>
      <x:c r="U439" t="str"/>
      <x:c r="V439" t="str"/>
      <x:c r="W439" t="str"/>
      <x:c r="X439" t="n">
        <x:f>IF(W439="",0,LEN(W439)-LEN(SUBSTITUTE(W439,"/",""))+1)</x:f>
        <x:v>0</x:v>
      </x:c>
      <x:c r="Y439" t="str">
        <x:v>H</x:v>
      </x:c>
      <x:c r="Z439" s="32" t="n">
        <x:v>1.67</x:v>
      </x:c>
      <x:c r="AA439" s="32" t="n">
        <x:v>3</x:v>
      </x:c>
      <x:c r="AB439" s="32" t="str">
        <x:v>Blue Wool Scale / UV 150h</x:v>
      </x:c>
      <x:c r="AC439" t="str">
        <x:v>#F8BC65</x:v>
      </x:c>
      <x:c r="AD439" s="34" t="n">
        <x:v>248</x:v>
      </x:c>
      <x:c r="AE439" s="34" t="n">
        <x:v>188</x:v>
      </x:c>
      <x:c r="AF439" s="34" t="n">
        <x:v>101</x:v>
      </x:c>
      <x:c r="AG439" s="32" t="n">
        <x:v>35.51</x:v>
      </x:c>
      <x:c r="AH439" s="32" t="n">
        <x:v>91.3</x:v>
      </x:c>
      <x:c r="AI439" s="32" t="n">
        <x:v>68.43</x:v>
      </x:c>
      <x:c r="AJ439" s="32" t="n">
        <x:v>80.1</x:v>
      </x:c>
      <x:c r="AK439" s="32" t="n">
        <x:v>12.39</x:v>
      </x:c>
      <x:c r="AL439" s="32" t="n">
        <x:v>51.68</x:v>
      </x:c>
      <x:c r="AM439" s="32" t="str">
        <x:v>#000000</x:v>
      </x:c>
      <x:c r="AN439" s="32" t="str">
        <x:v>Black</x:v>
      </x:c>
      <x:c r="AO439" s="32" t="n">
        <x:v>12.37</x:v>
      </x:c>
      <x:c r="AP439" s="32" t="n">
        <x:v>12.37</x:v>
      </x:c>
      <x:c r="AQ439" s="32" t="n">
        <x:v>1.7</x:v>
      </x:c>
      <x:c r="AR439" s="32" t="n">
        <x:v>0.568625</x:v>
      </x:c>
      <x:c r="AS439" t="str">
        <x:v>PASS</x:v>
      </x:c>
      <x:c r="AT439" t="str">
        <x:v>--cda-nc2-035</x:v>
      </x:c>
      <x:c r="AU439" t="str">
        <x:v>var(--cda-nc2-035)</x:v>
      </x:c>
      <x:c r="AV439" t="str">
        <x:v>Median RGB from official PDF swatch (screen reference only)</x:v>
      </x:c>
      <x:c r="AW439" t="str">
        <x:v>https://www.carandache.com/content_files/uploaded_doc/product/10603/Colour_Chart_NeocolorII_841.pdf</x:v>
      </x:c>
      <x:c r="AX439" t="n">
        <x:v>1</x:v>
      </x:c>
      <x:c r="AY439" t="str">
        <x:v>Official</x:v>
      </x:c>
      <x:c r="AZ439" t="str">
        <x:v>Official where available; curated Traditional Chinese/Japanese otherwise</x:v>
      </x:c>
      <x:c r="BA439" t="str">
        <x:v>Verified from official chart; digital HEX is approximate</x:v>
      </x:c>
      <x:c r="BB439" t="str">
        <x:v>Physical media appearance varies by paper, pressure, layering, water and scan/display profile.</x:v>
      </x:c>
    </x:row>
    <x:row r="440">
      <x:c r="A440" t="str">
        <x:f>G440&amp;"|"&amp;L440</x:f>
        <x:v>NC2|039</x:v>
      </x:c>
      <x:c r="B440" t="str">
        <x:v>ff3210aa-415a-5289-ad43-dc3d70790cf6</x:v>
      </x:c>
      <x:c r="C440" t="str">
        <x:v>CDA-NC2-039</x:v>
      </x:c>
      <x:c r="D440" t="str">
        <x:v>f03df3aa-e67d-56c5-88be-9f28d0654f47</x:v>
      </x:c>
      <x:c r="E440" t="str">
        <x:v>CDA-CODE-039</x:v>
      </x:c>
      <x:c r="F440" t="str">
        <x:v>Caran d’Ache</x:v>
      </x:c>
      <x:c r="G440" t="str">
        <x:v>NC2</x:v>
      </x:c>
      <x:c r="H440" t="str">
        <x:v>NEOCOLOR II Aquarelle</x:v>
      </x:c>
      <x:c r="I440" t="str">
        <x:v>Water-soluble wax pastel</x:v>
      </x:c>
      <x:c r="J440" t="str">
        <x:v>Artist</x:v>
      </x:c>
      <x:c r="K440" s="30" t="n">
        <x:v>23</x:v>
      </x:c>
      <x:c r="L440" s="30" t="str">
        <x:v>039</x:v>
      </x:c>
      <x:c r="M440" t="str">
        <x:v>Olive brown</x:v>
      </x:c>
      <x:c r="N440" t="str">
        <x:v>橄欖棕</x:v>
      </x:c>
      <x:c r="O440" t="str">
        <x:v>オリーブブラウン</x:v>
      </x:c>
      <x:c r="P440" t="str"/>
      <x:c r="Q440" t="str">
        <x:v>Olive brunâtre</x:v>
      </x:c>
      <x:c r="R440" t="str">
        <x:v>Olivbraun</x:v>
      </x:c>
      <x:c r="S440" t="str">
        <x:v>Oliva bruna</x:v>
      </x:c>
      <x:c r="T440" t="str">
        <x:v>Pardo oliva</x:v>
      </x:c>
      <x:c r="U440" t="str"/>
      <x:c r="V440" t="str"/>
      <x:c r="W440" t="str"/>
      <x:c r="X440" t="n">
        <x:f>IF(W440="",0,LEN(W440)-LEN(SUBSTITUTE(W440,"/",""))+1)</x:f>
        <x:v>0</x:v>
      </x:c>
      <x:c r="Y440" t="str">
        <x:v>H</x:v>
      </x:c>
      <x:c r="Z440" s="32" t="n">
        <x:v>1.67</x:v>
      </x:c>
      <x:c r="AA440" s="32" t="n">
        <x:v>3</x:v>
      </x:c>
      <x:c r="AB440" s="32" t="str">
        <x:v>Blue Wool Scale / UV 150h</x:v>
      </x:c>
      <x:c r="AC440" t="str">
        <x:v>#D3A95A</x:v>
      </x:c>
      <x:c r="AD440" s="34" t="n">
        <x:v>211</x:v>
      </x:c>
      <x:c r="AE440" s="34" t="n">
        <x:v>169</x:v>
      </x:c>
      <x:c r="AF440" s="34" t="n">
        <x:v>90</x:v>
      </x:c>
      <x:c r="AG440" s="32" t="n">
        <x:v>39.17</x:v>
      </x:c>
      <x:c r="AH440" s="32" t="n">
        <x:v>57.89</x:v>
      </x:c>
      <x:c r="AI440" s="32" t="n">
        <x:v>59.02</x:v>
      </x:c>
      <x:c r="AJ440" s="32" t="n">
        <x:v>71.53</x:v>
      </x:c>
      <x:c r="AK440" s="32" t="n">
        <x:v>6.25</x:v>
      </x:c>
      <x:c r="AL440" s="32" t="n">
        <x:v>46.03</x:v>
      </x:c>
      <x:c r="AM440" s="32" t="str">
        <x:v>#000000</x:v>
      </x:c>
      <x:c r="AN440" s="32" t="str">
        <x:v>Black</x:v>
      </x:c>
      <x:c r="AO440" s="32" t="n">
        <x:v>9.59</x:v>
      </x:c>
      <x:c r="AP440" s="32" t="n">
        <x:v>9.59</x:v>
      </x:c>
      <x:c r="AQ440" s="32" t="n">
        <x:v>2.19</x:v>
      </x:c>
      <x:c r="AR440" s="32" t="n">
        <x:v>0.42963</x:v>
      </x:c>
      <x:c r="AS440" t="str">
        <x:v>PASS</x:v>
      </x:c>
      <x:c r="AT440" t="str">
        <x:v>--cda-nc2-039</x:v>
      </x:c>
      <x:c r="AU440" t="str">
        <x:v>var(--cda-nc2-039)</x:v>
      </x:c>
      <x:c r="AV440" t="str">
        <x:v>Median RGB from official PDF swatch (screen reference only)</x:v>
      </x:c>
      <x:c r="AW440" t="str">
        <x:v>https://www.carandache.com/content_files/uploaded_doc/product/10603/Colour_Chart_NeocolorII_841.pdf</x:v>
      </x:c>
      <x:c r="AX440" t="n">
        <x:v>1</x:v>
      </x:c>
      <x:c r="AY440" t="str">
        <x:v>Official</x:v>
      </x:c>
      <x:c r="AZ440" t="str">
        <x:v>Official where available; curated Traditional Chinese/Japanese otherwise</x:v>
      </x:c>
      <x:c r="BA440" t="str">
        <x:v>Verified from official chart; digital HEX is approximate</x:v>
      </x:c>
      <x:c r="BB440" t="str">
        <x:v>Physical media appearance varies by paper, pressure, layering, water and scan/display profile.</x:v>
      </x:c>
    </x:row>
    <x:row r="441">
      <x:c r="A441" t="str">
        <x:f>G441&amp;"|"&amp;L441</x:f>
        <x:v>NC2|249</x:v>
      </x:c>
      <x:c r="B441" t="str">
        <x:v>9f27e99f-c201-5afb-b90e-706d00b62fec</x:v>
      </x:c>
      <x:c r="C441" t="str">
        <x:v>CDA-NC2-249</x:v>
      </x:c>
      <x:c r="D441" t="str">
        <x:v>e6c72f87-8dc4-5cb7-90a2-d6b44c12faf7</x:v>
      </x:c>
      <x:c r="E441" t="str">
        <x:v>CDA-CODE-249</x:v>
      </x:c>
      <x:c r="F441" t="str">
        <x:v>Caran d’Ache</x:v>
      </x:c>
      <x:c r="G441" t="str">
        <x:v>NC2</x:v>
      </x:c>
      <x:c r="H441" t="str">
        <x:v>NEOCOLOR II Aquarelle</x:v>
      </x:c>
      <x:c r="I441" t="str">
        <x:v>Water-soluble wax pastel</x:v>
      </x:c>
      <x:c r="J441" t="str">
        <x:v>Artist</x:v>
      </x:c>
      <x:c r="K441" s="30" t="n">
        <x:v>24</x:v>
      </x:c>
      <x:c r="L441" s="30" t="str">
        <x:v>249</x:v>
      </x:c>
      <x:c r="M441" t="str">
        <x:v>Olive</x:v>
      </x:c>
      <x:c r="N441" t="str">
        <x:v>深橄欖色</x:v>
      </x:c>
      <x:c r="O441" t="str">
        <x:v>ダークオリーブ</x:v>
      </x:c>
      <x:c r="P441" t="str"/>
      <x:c r="Q441" t="str">
        <x:v>Olive foncé</x:v>
      </x:c>
      <x:c r="R441" t="str">
        <x:v>Dunkeloliv</x:v>
      </x:c>
      <x:c r="S441" t="str">
        <x:v>Oliva scuro</x:v>
      </x:c>
      <x:c r="T441" t="str">
        <x:v>Oliva oscuro</x:v>
      </x:c>
      <x:c r="U441" t="str"/>
      <x:c r="V441" t="str"/>
      <x:c r="W441" t="str"/>
      <x:c r="X441" t="n">
        <x:f>IF(W441="",0,LEN(W441)-LEN(SUBSTITUTE(W441,"/",""))+1)</x:f>
        <x:v>0</x:v>
      </x:c>
      <x:c r="Y441" t="str">
        <x:v>H</x:v>
      </x:c>
      <x:c r="Z441" s="32" t="n">
        <x:v>1.67</x:v>
      </x:c>
      <x:c r="AA441" s="32" t="n">
        <x:v>3</x:v>
      </x:c>
      <x:c r="AB441" s="32" t="str">
        <x:v>Blue Wool Scale / UV 150h</x:v>
      </x:c>
      <x:c r="AC441" t="str">
        <x:v>#C1AE5C</x:v>
      </x:c>
      <x:c r="AD441" s="34" t="n">
        <x:v>193</x:v>
      </x:c>
      <x:c r="AE441" s="34" t="n">
        <x:v>174</x:v>
      </x:c>
      <x:c r="AF441" s="34" t="n">
        <x:v>92</x:v>
      </x:c>
      <x:c r="AG441" s="32" t="n">
        <x:v>48.71</x:v>
      </x:c>
      <x:c r="AH441" s="32" t="n">
        <x:v>44.89</x:v>
      </x:c>
      <x:c r="AI441" s="32" t="n">
        <x:v>55.88</x:v>
      </x:c>
      <x:c r="AJ441" s="32" t="n">
        <x:v>71.13</x:v>
      </x:c>
      <x:c r="AK441" s="32" t="n">
        <x:v>-3.84</x:v>
      </x:c>
      <x:c r="AL441" s="32" t="n">
        <x:v>44.15</x:v>
      </x:c>
      <x:c r="AM441" s="32" t="str">
        <x:v>#000000</x:v>
      </x:c>
      <x:c r="AN441" s="32" t="str">
        <x:v>Black</x:v>
      </x:c>
      <x:c r="AO441" s="32" t="n">
        <x:v>9.48</x:v>
      </x:c>
      <x:c r="AP441" s="32" t="n">
        <x:v>9.48</x:v>
      </x:c>
      <x:c r="AQ441" s="32" t="n">
        <x:v>2.22</x:v>
      </x:c>
      <x:c r="AR441" s="32" t="n">
        <x:v>0.423823</x:v>
      </x:c>
      <x:c r="AS441" t="str">
        <x:v>PASS</x:v>
      </x:c>
      <x:c r="AT441" t="str">
        <x:v>--cda-nc2-249</x:v>
      </x:c>
      <x:c r="AU441" t="str">
        <x:v>var(--cda-nc2-249)</x:v>
      </x:c>
      <x:c r="AV441" t="str">
        <x:v>Median RGB from official PDF swatch (screen reference only)</x:v>
      </x:c>
      <x:c r="AW441" t="str">
        <x:v>https://www.carandache.com/content_files/uploaded_doc/product/10603/Colour_Chart_NeocolorII_841.pdf</x:v>
      </x:c>
      <x:c r="AX441" t="n">
        <x:v>1</x:v>
      </x:c>
      <x:c r="AY441" t="str">
        <x:v>Official</x:v>
      </x:c>
      <x:c r="AZ441" t="str">
        <x:v>Official where available; curated Traditional Chinese/Japanese otherwise</x:v>
      </x:c>
      <x:c r="BA441" t="str">
        <x:v>Verified from official chart; digital HEX is approximate</x:v>
      </x:c>
      <x:c r="BB441" t="str">
        <x:v>Physical media appearance varies by paper, pressure, layering, water and scan/display profile.</x:v>
      </x:c>
    </x:row>
    <x:row r="442">
      <x:c r="A442" t="str">
        <x:f>G442&amp;"|"&amp;L442</x:f>
        <x:v>NC2|049</x:v>
      </x:c>
      <x:c r="B442" t="str">
        <x:v>3e89d956-93f0-50c7-90e6-be0a6a875ada</x:v>
      </x:c>
      <x:c r="C442" t="str">
        <x:v>CDA-NC2-049</x:v>
      </x:c>
      <x:c r="D442" t="str">
        <x:v>66f5918f-2d51-598e-b3d7-bb4f1b3fc4b4</x:v>
      </x:c>
      <x:c r="E442" t="str">
        <x:v>CDA-CODE-049</x:v>
      </x:c>
      <x:c r="F442" t="str">
        <x:v>Caran d’Ache</x:v>
      </x:c>
      <x:c r="G442" t="str">
        <x:v>NC2</x:v>
      </x:c>
      <x:c r="H442" t="str">
        <x:v>NEOCOLOR II Aquarelle</x:v>
      </x:c>
      <x:c r="I442" t="str">
        <x:v>Water-soluble wax pastel</x:v>
      </x:c>
      <x:c r="J442" t="str">
        <x:v>Artist</x:v>
      </x:c>
      <x:c r="K442" s="30" t="n">
        <x:v>25</x:v>
      </x:c>
      <x:c r="L442" s="30" t="str">
        <x:v>049</x:v>
      </x:c>
      <x:c r="M442" t="str">
        <x:v>Umber</x:v>
      </x:c>
      <x:c r="N442" t="str">
        <x:v>褐土色</x:v>
      </x:c>
      <x:c r="O442" t="str">
        <x:v>アンバー</x:v>
      </x:c>
      <x:c r="P442" t="str"/>
      <x:c r="Q442" t="str">
        <x:v>Terre d’ombre</x:v>
      </x:c>
      <x:c r="R442" t="str">
        <x:v>Umbra Natur</x:v>
      </x:c>
      <x:c r="S442" t="str">
        <x:v>Ombra</x:v>
      </x:c>
      <x:c r="T442" t="str">
        <x:v>Tierra de Sombra</x:v>
      </x:c>
      <x:c r="U442" t="str"/>
      <x:c r="V442" t="str"/>
      <x:c r="W442" t="str"/>
      <x:c r="X442" t="n">
        <x:f>IF(W442="",0,LEN(W442)-LEN(SUBSTITUTE(W442,"/",""))+1)</x:f>
        <x:v>0</x:v>
      </x:c>
      <x:c r="Y442" t="str">
        <x:v>H</x:v>
      </x:c>
      <x:c r="Z442" s="32" t="n">
        <x:v>1.67</x:v>
      </x:c>
      <x:c r="AA442" s="32" t="n">
        <x:v>3</x:v>
      </x:c>
      <x:c r="AB442" s="32" t="str">
        <x:v>Blue Wool Scale / UV 150h</x:v>
      </x:c>
      <x:c r="AC442" t="str">
        <x:v>#BCA581</x:v>
      </x:c>
      <x:c r="AD442" s="34" t="n">
        <x:v>188</x:v>
      </x:c>
      <x:c r="AE442" s="34" t="n">
        <x:v>165</x:v>
      </x:c>
      <x:c r="AF442" s="34" t="n">
        <x:v>129</x:v>
      </x:c>
      <x:c r="AG442" s="32" t="n">
        <x:v>36.61</x:v>
      </x:c>
      <x:c r="AH442" s="32" t="n">
        <x:v>30.57</x:v>
      </x:c>
      <x:c r="AI442" s="32" t="n">
        <x:v>62.16</x:v>
      </x:c>
      <x:c r="AJ442" s="32" t="n">
        <x:v>68.89</x:v>
      </x:c>
      <x:c r="AK442" s="32" t="n">
        <x:v>2.96</x:v>
      </x:c>
      <x:c r="AL442" s="32" t="n">
        <x:v>21.77</x:v>
      </x:c>
      <x:c r="AM442" s="32" t="str">
        <x:v>#000000</x:v>
      </x:c>
      <x:c r="AN442" s="32" t="str">
        <x:v>Black</x:v>
      </x:c>
      <x:c r="AO442" s="32" t="n">
        <x:v>8.84</x:v>
      </x:c>
      <x:c r="AP442" s="32" t="n">
        <x:v>8.84</x:v>
      </x:c>
      <x:c r="AQ442" s="32" t="n">
        <x:v>2.38</x:v>
      </x:c>
      <x:c r="AR442" s="32" t="n">
        <x:v>0.391866</x:v>
      </x:c>
      <x:c r="AS442" t="str">
        <x:v>PASS</x:v>
      </x:c>
      <x:c r="AT442" t="str">
        <x:v>--cda-nc2-049</x:v>
      </x:c>
      <x:c r="AU442" t="str">
        <x:v>var(--cda-nc2-049)</x:v>
      </x:c>
      <x:c r="AV442" t="str">
        <x:v>Median RGB from official PDF swatch (screen reference only)</x:v>
      </x:c>
      <x:c r="AW442" t="str">
        <x:v>https://www.carandache.com/content_files/uploaded_doc/product/10603/Colour_Chart_NeocolorII_841.pdf</x:v>
      </x:c>
      <x:c r="AX442" t="n">
        <x:v>1</x:v>
      </x:c>
      <x:c r="AY442" t="str">
        <x:v>Official</x:v>
      </x:c>
      <x:c r="AZ442" t="str">
        <x:v>Official where available; curated Traditional Chinese/Japanese otherwise</x:v>
      </x:c>
      <x:c r="BA442" t="str">
        <x:v>Verified from official chart; digital HEX is approximate</x:v>
      </x:c>
      <x:c r="BB442" t="str">
        <x:v>Physical media appearance varies by paper, pressure, layering, water and scan/display profile.</x:v>
      </x:c>
    </x:row>
    <x:row r="443">
      <x:c r="A443" t="str">
        <x:f>G443&amp;"|"&amp;L443</x:f>
        <x:v>NC2|045</x:v>
      </x:c>
      <x:c r="B443" t="str">
        <x:v>f77f6cd2-214e-502d-ad7a-8ce74e9aea03</x:v>
      </x:c>
      <x:c r="C443" t="str">
        <x:v>CDA-NC2-045</x:v>
      </x:c>
      <x:c r="D443" t="str">
        <x:v>4fb0e78b-85fd-5dee-bae2-c1796e299660</x:v>
      </x:c>
      <x:c r="E443" t="str">
        <x:v>CDA-CODE-045</x:v>
      </x:c>
      <x:c r="F443" t="str">
        <x:v>Caran d’Ache</x:v>
      </x:c>
      <x:c r="G443" t="str">
        <x:v>NC2</x:v>
      </x:c>
      <x:c r="H443" t="str">
        <x:v>NEOCOLOR II Aquarelle</x:v>
      </x:c>
      <x:c r="I443" t="str">
        <x:v>Water-soluble wax pastel</x:v>
      </x:c>
      <x:c r="J443" t="str">
        <x:v>Artist</x:v>
      </x:c>
      <x:c r="K443" s="30" t="n">
        <x:v>26</x:v>
      </x:c>
      <x:c r="L443" s="30" t="str">
        <x:v>045</x:v>
      </x:c>
      <x:c r="M443" t="str">
        <x:v>Vandycke brown</x:v>
      </x:c>
      <x:c r="N443" t="str">
        <x:v>凡戴克棕</x:v>
      </x:c>
      <x:c r="O443" t="str">
        <x:v>ヴァンダイクブラウン</x:v>
      </x:c>
      <x:c r="P443" t="str"/>
      <x:c r="Q443" t="str">
        <x:v>Brun Vandyck</x:v>
      </x:c>
      <x:c r="R443" t="str">
        <x:v>Vandyckbraun</x:v>
      </x:c>
      <x:c r="S443" t="str">
        <x:v>Bruno Vandyck</x:v>
      </x:c>
      <x:c r="T443" t="str">
        <x:v>Marrón Vandyck</x:v>
      </x:c>
      <x:c r="U443" t="str"/>
      <x:c r="V443" t="str"/>
      <x:c r="W443" t="str"/>
      <x:c r="X443" t="n">
        <x:f>IF(W443="",0,LEN(W443)-LEN(SUBSTITUTE(W443,"/",""))+1)</x:f>
        <x:v>0</x:v>
      </x:c>
      <x:c r="Y443" t="str">
        <x:v>H</x:v>
      </x:c>
      <x:c r="Z443" s="32" t="n">
        <x:v>1.67</x:v>
      </x:c>
      <x:c r="AA443" s="32" t="n">
        <x:v>3</x:v>
      </x:c>
      <x:c r="AB443" s="32" t="str">
        <x:v>Blue Wool Scale / UV 150h</x:v>
      </x:c>
      <x:c r="AC443" t="str">
        <x:v>#CCA789</x:v>
      </x:c>
      <x:c r="AD443" s="34" t="n">
        <x:v>204</x:v>
      </x:c>
      <x:c r="AE443" s="34" t="n">
        <x:v>167</x:v>
      </x:c>
      <x:c r="AF443" s="34" t="n">
        <x:v>137</x:v>
      </x:c>
      <x:c r="AG443" s="32" t="n">
        <x:v>26.87</x:v>
      </x:c>
      <x:c r="AH443" s="32" t="n">
        <x:v>39.64</x:v>
      </x:c>
      <x:c r="AI443" s="32" t="n">
        <x:v>66.86</x:v>
      </x:c>
      <x:c r="AJ443" s="32" t="n">
        <x:v>71.07</x:v>
      </x:c>
      <x:c r="AK443" s="32" t="n">
        <x:v>9.26</x:v>
      </x:c>
      <x:c r="AL443" s="32" t="n">
        <x:v>20.63</x:v>
      </x:c>
      <x:c r="AM443" s="32" t="str">
        <x:v>#000000</x:v>
      </x:c>
      <x:c r="AN443" s="32" t="str">
        <x:v>Black</x:v>
      </x:c>
      <x:c r="AO443" s="32" t="n">
        <x:v>9.46</x:v>
      </x:c>
      <x:c r="AP443" s="32" t="n">
        <x:v>9.46</x:v>
      </x:c>
      <x:c r="AQ443" s="32" t="n">
        <x:v>2.22</x:v>
      </x:c>
      <x:c r="AR443" s="32" t="n">
        <x:v>0.422809</x:v>
      </x:c>
      <x:c r="AS443" t="str">
        <x:v>PASS</x:v>
      </x:c>
      <x:c r="AT443" t="str">
        <x:v>--cda-nc2-045</x:v>
      </x:c>
      <x:c r="AU443" t="str">
        <x:v>var(--cda-nc2-045)</x:v>
      </x:c>
      <x:c r="AV443" t="str">
        <x:v>Median RGB from official PDF swatch (screen reference only)</x:v>
      </x:c>
      <x:c r="AW443" t="str">
        <x:v>https://www.carandache.com/content_files/uploaded_doc/product/10603/Colour_Chart_NeocolorII_841.pdf</x:v>
      </x:c>
      <x:c r="AX443" t="n">
        <x:v>1</x:v>
      </x:c>
      <x:c r="AY443" t="str">
        <x:v>Official</x:v>
      </x:c>
      <x:c r="AZ443" t="str">
        <x:v>Official where available; curated Traditional Chinese/Japanese otherwise</x:v>
      </x:c>
      <x:c r="BA443" t="str">
        <x:v>Verified from official chart; digital HEX is approximate</x:v>
      </x:c>
      <x:c r="BB443" t="str">
        <x:v>Physical media appearance varies by paper, pressure, layering, water and scan/display profile.</x:v>
      </x:c>
    </x:row>
    <x:row r="444">
      <x:c r="A444" t="str">
        <x:f>G444&amp;"|"&amp;L444</x:f>
        <x:v>NC2|059</x:v>
      </x:c>
      <x:c r="B444" t="str">
        <x:v>4a452a02-70e9-5245-ac86-65d0816764be</x:v>
      </x:c>
      <x:c r="C444" t="str">
        <x:v>CDA-NC2-059</x:v>
      </x:c>
      <x:c r="D444" t="str">
        <x:v>82af754c-0796-57d3-b910-c32329865240</x:v>
      </x:c>
      <x:c r="E444" t="str">
        <x:v>CDA-CODE-059</x:v>
      </x:c>
      <x:c r="F444" t="str">
        <x:v>Caran d’Ache</x:v>
      </x:c>
      <x:c r="G444" t="str">
        <x:v>NC2</x:v>
      </x:c>
      <x:c r="H444" t="str">
        <x:v>NEOCOLOR II Aquarelle</x:v>
      </x:c>
      <x:c r="I444" t="str">
        <x:v>Water-soluble wax pastel</x:v>
      </x:c>
      <x:c r="J444" t="str">
        <x:v>Artist</x:v>
      </x:c>
      <x:c r="K444" s="30" t="n">
        <x:v>27</x:v>
      </x:c>
      <x:c r="L444" s="30" t="str">
        <x:v>059</x:v>
      </x:c>
      <x:c r="M444" t="str">
        <x:v>Brown</x:v>
      </x:c>
      <x:c r="N444" t="str">
        <x:v>棕色</x:v>
      </x:c>
      <x:c r="O444" t="str">
        <x:v>ブラウン</x:v>
      </x:c>
      <x:c r="P444" t="str"/>
      <x:c r="Q444" t="str">
        <x:v>Brun</x:v>
      </x:c>
      <x:c r="R444" t="str">
        <x:v>Braun</x:v>
      </x:c>
      <x:c r="S444" t="str">
        <x:v>Marrone</x:v>
      </x:c>
      <x:c r="T444" t="str">
        <x:v>Marrón</x:v>
      </x:c>
      <x:c r="U444" t="str"/>
      <x:c r="V444" t="str"/>
      <x:c r="W444" t="str"/>
      <x:c r="X444" t="n">
        <x:f>IF(W444="",0,LEN(W444)-LEN(SUBSTITUTE(W444,"/",""))+1)</x:f>
        <x:v>0</x:v>
      </x:c>
      <x:c r="Y444" t="str">
        <x:v>H</x:v>
      </x:c>
      <x:c r="Z444" s="32" t="n">
        <x:v>1.67</x:v>
      </x:c>
      <x:c r="AA444" s="32" t="n">
        <x:v>3</x:v>
      </x:c>
      <x:c r="AB444" s="32" t="str">
        <x:v>Blue Wool Scale / UV 150h</x:v>
      </x:c>
      <x:c r="AC444" t="str">
        <x:v>#DB9366</x:v>
      </x:c>
      <x:c r="AD444" s="34" t="n">
        <x:v>219</x:v>
      </x:c>
      <x:c r="AE444" s="34" t="n">
        <x:v>147</x:v>
      </x:c>
      <x:c r="AF444" s="34" t="n">
        <x:v>102</x:v>
      </x:c>
      <x:c r="AG444" s="32" t="n">
        <x:v>23.08</x:v>
      </x:c>
      <x:c r="AH444" s="32" t="n">
        <x:v>61.9</x:v>
      </x:c>
      <x:c r="AI444" s="32" t="n">
        <x:v>62.94</x:v>
      </x:c>
      <x:c r="AJ444" s="32" t="n">
        <x:v>67.19</x:v>
      </x:c>
      <x:c r="AK444" s="32" t="n">
        <x:v>22.39</x:v>
      </x:c>
      <x:c r="AL444" s="32" t="n">
        <x:v>34.75</x:v>
      </x:c>
      <x:c r="AM444" s="32" t="str">
        <x:v>#000000</x:v>
      </x:c>
      <x:c r="AN444" s="32" t="str">
        <x:v>Black</x:v>
      </x:c>
      <x:c r="AO444" s="32" t="n">
        <x:v>8.38</x:v>
      </x:c>
      <x:c r="AP444" s="32" t="n">
        <x:v>8.38</x:v>
      </x:c>
      <x:c r="AQ444" s="32" t="n">
        <x:v>2.51</x:v>
      </x:c>
      <x:c r="AR444" s="32" t="n">
        <x:v>0.368868</x:v>
      </x:c>
      <x:c r="AS444" t="str">
        <x:v>PASS</x:v>
      </x:c>
      <x:c r="AT444" t="str">
        <x:v>--cda-nc2-059</x:v>
      </x:c>
      <x:c r="AU444" t="str">
        <x:v>var(--cda-nc2-059)</x:v>
      </x:c>
      <x:c r="AV444" t="str">
        <x:v>Median RGB from official PDF swatch (screen reference only)</x:v>
      </x:c>
      <x:c r="AW444" t="str">
        <x:v>https://www.carandache.com/content_files/uploaded_doc/product/10603/Colour_Chart_NeocolorII_841.pdf</x:v>
      </x:c>
      <x:c r="AX444" t="n">
        <x:v>1</x:v>
      </x:c>
      <x:c r="AY444" t="str">
        <x:v>Official</x:v>
      </x:c>
      <x:c r="AZ444" t="str">
        <x:v>Official where available; curated Traditional Chinese/Japanese otherwise</x:v>
      </x:c>
      <x:c r="BA444" t="str">
        <x:v>Verified from official chart; digital HEX is approximate</x:v>
      </x:c>
      <x:c r="BB444" t="str">
        <x:v>Physical media appearance varies by paper, pressure, layering, water and scan/display profile.</x:v>
      </x:c>
    </x:row>
    <x:row r="445">
      <x:c r="A445" t="str">
        <x:f>G445&amp;"|"&amp;L445</x:f>
        <x:v>NC2|028</x:v>
      </x:c>
      <x:c r="B445" t="str">
        <x:v>a7aba56c-a044-562c-bb0c-5305eb8847a9</x:v>
      </x:c>
      <x:c r="C445" t="str">
        <x:v>CDA-NC2-028</x:v>
      </x:c>
      <x:c r="D445" t="str">
        <x:v>830d41c1-6482-5e61-9ede-bb092ae048de</x:v>
      </x:c>
      <x:c r="E445" t="str">
        <x:v>CDA-CODE-028</x:v>
      </x:c>
      <x:c r="F445" t="str">
        <x:v>Caran d’Ache</x:v>
      </x:c>
      <x:c r="G445" t="str">
        <x:v>NC2</x:v>
      </x:c>
      <x:c r="H445" t="str">
        <x:v>NEOCOLOR II Aquarelle</x:v>
      </x:c>
      <x:c r="I445" t="str">
        <x:v>Water-soluble wax pastel</x:v>
      </x:c>
      <x:c r="J445" t="str">
        <x:v>Artist</x:v>
      </x:c>
      <x:c r="K445" s="30" t="n">
        <x:v>28</x:v>
      </x:c>
      <x:c r="L445" s="30" t="str">
        <x:v>028</x:v>
      </x:c>
      <x:c r="M445" t="str">
        <x:v>Toledo brown</x:v>
      </x:c>
      <x:c r="N445" t="str">
        <x:v>托雷多棕</x:v>
      </x:c>
      <x:c r="O445" t="str">
        <x:v>トレドブラウン</x:v>
      </x:c>
      <x:c r="P445" t="str"/>
      <x:c r="Q445" t="str">
        <x:v>Terre de Tolède</x:v>
      </x:c>
      <x:c r="R445" t="str">
        <x:v>Toledobraun</x:v>
      </x:c>
      <x:c r="S445" t="str">
        <x:v>Terra di Toledo</x:v>
      </x:c>
      <x:c r="T445" t="str">
        <x:v>Tierra de Toledo</x:v>
      </x:c>
      <x:c r="U445" t="str"/>
      <x:c r="V445" t="str"/>
      <x:c r="W445" t="str"/>
      <x:c r="X445" t="n">
        <x:f>IF(W445="",0,LEN(W445)-LEN(SUBSTITUTE(W445,"/",""))+1)</x:f>
        <x:v>0</x:v>
      </x:c>
      <x:c r="Y445" t="str">
        <x:v>H</x:v>
      </x:c>
      <x:c r="Z445" s="32" t="n">
        <x:v>1.67</x:v>
      </x:c>
      <x:c r="AA445" s="32" t="n">
        <x:v>3</x:v>
      </x:c>
      <x:c r="AB445" s="32" t="str">
        <x:v>Blue Wool Scale / UV 150h</x:v>
      </x:c>
      <x:c r="AC445" t="str">
        <x:v>#E9B596</x:v>
      </x:c>
      <x:c r="AD445" s="34" t="n">
        <x:v>233</x:v>
      </x:c>
      <x:c r="AE445" s="34" t="n">
        <x:v>181</x:v>
      </x:c>
      <x:c r="AF445" s="34" t="n">
        <x:v>150</x:v>
      </x:c>
      <x:c r="AG445" s="32" t="n">
        <x:v>22.41</x:v>
      </x:c>
      <x:c r="AH445" s="32" t="n">
        <x:v>65.35</x:v>
      </x:c>
      <x:c r="AI445" s="32" t="n">
        <x:v>75.1</x:v>
      </x:c>
      <x:c r="AJ445" s="32" t="n">
        <x:v>77.62</x:v>
      </x:c>
      <x:c r="AK445" s="32" t="n">
        <x:v>14.7</x:v>
      </x:c>
      <x:c r="AL445" s="32" t="n">
        <x:v>23.04</x:v>
      </x:c>
      <x:c r="AM445" s="32" t="str">
        <x:v>#000000</x:v>
      </x:c>
      <x:c r="AN445" s="32" t="str">
        <x:v>Black</x:v>
      </x:c>
      <x:c r="AO445" s="32" t="n">
        <x:v>11.51</x:v>
      </x:c>
      <x:c r="AP445" s="32" t="n">
        <x:v>11.51</x:v>
      </x:c>
      <x:c r="AQ445" s="32" t="n">
        <x:v>1.82</x:v>
      </x:c>
      <x:c r="AR445" s="32" t="n">
        <x:v>0.525734</x:v>
      </x:c>
      <x:c r="AS445" t="str">
        <x:v>PASS</x:v>
      </x:c>
      <x:c r="AT445" t="str">
        <x:v>--cda-nc2-028</x:v>
      </x:c>
      <x:c r="AU445" t="str">
        <x:v>var(--cda-nc2-028)</x:v>
      </x:c>
      <x:c r="AV445" t="str">
        <x:v>Median RGB from official PDF swatch (screen reference only)</x:v>
      </x:c>
      <x:c r="AW445" t="str">
        <x:v>https://www.carandache.com/content_files/uploaded_doc/product/10603/Colour_Chart_NeocolorII_841.pdf</x:v>
      </x:c>
      <x:c r="AX445" t="n">
        <x:v>1</x:v>
      </x:c>
      <x:c r="AY445" t="str">
        <x:v>Official</x:v>
      </x:c>
      <x:c r="AZ445" t="str">
        <x:v>Official where available; curated Traditional Chinese/Japanese otherwise</x:v>
      </x:c>
      <x:c r="BA445" t="str">
        <x:v>Verified from official chart; digital HEX is approximate</x:v>
      </x:c>
      <x:c r="BB445" t="str">
        <x:v>Physical media appearance varies by paper, pressure, layering, water and scan/display profile.</x:v>
      </x:c>
    </x:row>
    <x:row r="446">
      <x:c r="A446" t="str">
        <x:f>G446&amp;"|"&amp;L446</x:f>
        <x:v>NC2|009</x:v>
      </x:c>
      <x:c r="B446" t="str">
        <x:v>e17ddb3b-f7a7-5f70-9638-aa23aec56afc</x:v>
      </x:c>
      <x:c r="C446" t="str">
        <x:v>CDA-NC2-009</x:v>
      </x:c>
      <x:c r="D446" t="str">
        <x:v>2d957d29-ed22-5cec-97bd-83295e45a493</x:v>
      </x:c>
      <x:c r="E446" t="str">
        <x:v>CDA-CODE-009</x:v>
      </x:c>
      <x:c r="F446" t="str">
        <x:v>Caran d’Ache</x:v>
      </x:c>
      <x:c r="G446" t="str">
        <x:v>NC2</x:v>
      </x:c>
      <x:c r="H446" t="str">
        <x:v>NEOCOLOR II Aquarelle</x:v>
      </x:c>
      <x:c r="I446" t="str">
        <x:v>Water-soluble wax pastel</x:v>
      </x:c>
      <x:c r="J446" t="str">
        <x:v>Artist</x:v>
      </x:c>
      <x:c r="K446" s="30" t="n">
        <x:v>29</x:v>
      </x:c>
      <x:c r="L446" s="30" t="str">
        <x:v>009</x:v>
      </x:c>
      <x:c r="M446" t="str">
        <x:v>Black</x:v>
      </x:c>
      <x:c r="N446" t="str">
        <x:v>黑色</x:v>
      </x:c>
      <x:c r="O446" t="str">
        <x:v>ブラック</x:v>
      </x:c>
      <x:c r="P446" t="str"/>
      <x:c r="Q446" t="str">
        <x:v>Noir</x:v>
      </x:c>
      <x:c r="R446" t="str">
        <x:v>Schwarz</x:v>
      </x:c>
      <x:c r="S446" t="str">
        <x:v>Nero</x:v>
      </x:c>
      <x:c r="T446" t="str">
        <x:v>Negro</x:v>
      </x:c>
      <x:c r="U446" t="str"/>
      <x:c r="V446" t="str"/>
      <x:c r="W446" t="str"/>
      <x:c r="X446" t="n">
        <x:f>IF(W446="",0,LEN(W446)-LEN(SUBSTITUTE(W446,"/",""))+1)</x:f>
        <x:v>0</x:v>
      </x:c>
      <x:c r="Y446" t="str">
        <x:v>H</x:v>
      </x:c>
      <x:c r="Z446" s="32" t="n">
        <x:v>1.67</x:v>
      </x:c>
      <x:c r="AA446" s="32" t="n">
        <x:v>3</x:v>
      </x:c>
      <x:c r="AB446" s="32" t="str">
        <x:v>Blue Wool Scale / UV 150h</x:v>
      </x:c>
      <x:c r="AC446" s="57" t="str">
        <x:v>#393937</x:v>
      </x:c>
      <x:c r="AD446" s="34" t="n">
        <x:v>57</x:v>
      </x:c>
      <x:c r="AE446" s="34" t="n">
        <x:v>57</x:v>
      </x:c>
      <x:c r="AF446" s="34" t="n">
        <x:v>55</x:v>
      </x:c>
      <x:c r="AG446" s="32" t="n">
        <x:v>60</x:v>
      </x:c>
      <x:c r="AH446" s="32" t="n">
        <x:v>1.79</x:v>
      </x:c>
      <x:c r="AI446" s="32" t="n">
        <x:v>21.96</x:v>
      </x:c>
      <x:c r="AJ446" s="32" t="n">
        <x:v>23.91</x:v>
      </x:c>
      <x:c r="AK446" s="32" t="n">
        <x:v>-0.45</x:v>
      </x:c>
      <x:c r="AL446" s="32" t="n">
        <x:v>1.24</x:v>
      </x:c>
      <x:c r="AM446" s="32" t="str">
        <x:v>#FFFFFF</x:v>
      </x:c>
      <x:c r="AN446" s="32" t="str">
        <x:v>White</x:v>
      </x:c>
      <x:c r="AO446" s="32" t="n">
        <x:v>11.57</x:v>
      </x:c>
      <x:c r="AP446" s="32" t="n">
        <x:v>1.81</x:v>
      </x:c>
      <x:c r="AQ446" s="32" t="n">
        <x:v>11.57</x:v>
      </x:c>
      <x:c r="AR446" s="32" t="n">
        <x:v>0.040719</x:v>
      </x:c>
      <x:c r="AS446" t="str">
        <x:v>PASS</x:v>
      </x:c>
      <x:c r="AT446" t="str">
        <x:v>--cda-nc2-009</x:v>
      </x:c>
      <x:c r="AU446" t="str">
        <x:v>var(--cda-nc2-009)</x:v>
      </x:c>
      <x:c r="AV446" t="str">
        <x:v>Representative RGB from the official embedded PDF swatch; coloured stroke only, blank paper and labels excluded; dense left-side pigment plateau used for dark colours.</x:v>
      </x:c>
      <x:c r="AW446" t="str">
        <x:v>https://www.carandache.com/content_files/uploaded_doc/product/10603/Colour_Chart_NeocolorII_841.pdf</x:v>
      </x:c>
      <x:c r="AX446" t="n">
        <x:v>1</x:v>
      </x:c>
      <x:c r="AY446" t="str">
        <x:v>Official</x:v>
      </x:c>
      <x:c r="AZ446" t="str">
        <x:v>Official where available; curated Traditional Chinese/Japanese otherwise</x:v>
      </x:c>
      <x:c r="BA446" t="str">
        <x:v>Verified from official chart; swatch crop corrected in v1.0.2; digital HEX is approximate</x:v>
      </x:c>
      <x:c r="BB446" t="str">
        <x:v>v1.0.1 included blank paper and/or the pale fade-out tail of the swatch. Corrected in v1.0.2; physical appearance still varies by paper, pressure, layering, water and display profile.</x:v>
      </x:c>
    </x:row>
    <x:row r="447">
      <x:c r="A447" t="str">
        <x:f>G447&amp;"|"&amp;L447</x:f>
        <x:v>NC2|409</x:v>
      </x:c>
      <x:c r="B447" t="str">
        <x:v>60b2fb86-8e83-5467-be82-a273f7385d05</x:v>
      </x:c>
      <x:c r="C447" t="str">
        <x:v>CDA-NC2-409</x:v>
      </x:c>
      <x:c r="D447" t="str">
        <x:v>41364623-e3c2-523d-9478-e65b4eedf55e</x:v>
      </x:c>
      <x:c r="E447" t="str">
        <x:v>CDA-CODE-409</x:v>
      </x:c>
      <x:c r="F447" t="str">
        <x:v>Caran d’Ache</x:v>
      </x:c>
      <x:c r="G447" t="str">
        <x:v>NC2</x:v>
      </x:c>
      <x:c r="H447" t="str">
        <x:v>NEOCOLOR II Aquarelle</x:v>
      </x:c>
      <x:c r="I447" t="str">
        <x:v>Water-soluble wax pastel</x:v>
      </x:c>
      <x:c r="J447" t="str">
        <x:v>Artist</x:v>
      </x:c>
      <x:c r="K447" s="30" t="n">
        <x:v>30</x:v>
      </x:c>
      <x:c r="L447" s="30" t="str">
        <x:v>409</x:v>
      </x:c>
      <x:c r="M447" t="str">
        <x:v>Charcoal grey</x:v>
      </x:c>
      <x:c r="N447" t="str">
        <x:v>炭灰色</x:v>
      </x:c>
      <x:c r="O447" t="str">
        <x:v>チャコールグレー</x:v>
      </x:c>
      <x:c r="P447" t="str"/>
      <x:c r="Q447" t="str">
        <x:v>Anthracite</x:v>
      </x:c>
      <x:c r="R447" t="str">
        <x:v>Anthrazit</x:v>
      </x:c>
      <x:c r="S447" t="str">
        <x:v>Antracite</x:v>
      </x:c>
      <x:c r="T447" t="str">
        <x:v>Antracita</x:v>
      </x:c>
      <x:c r="U447" t="str"/>
      <x:c r="V447" t="str"/>
      <x:c r="W447" t="str"/>
      <x:c r="X447" t="n">
        <x:f>IF(W447="",0,LEN(W447)-LEN(SUBSTITUTE(W447,"/",""))+1)</x:f>
        <x:v>0</x:v>
      </x:c>
      <x:c r="Y447" t="str">
        <x:v>H</x:v>
      </x:c>
      <x:c r="Z447" s="32" t="n">
        <x:v>1.67</x:v>
      </x:c>
      <x:c r="AA447" s="32" t="n">
        <x:v>3</x:v>
      </x:c>
      <x:c r="AB447" s="32" t="str">
        <x:v>Blue Wool Scale / UV 150h</x:v>
      </x:c>
      <x:c r="AC447" t="str">
        <x:v>#A19588</x:v>
      </x:c>
      <x:c r="AD447" s="34" t="n">
        <x:v>161</x:v>
      </x:c>
      <x:c r="AE447" s="34" t="n">
        <x:v>149</x:v>
      </x:c>
      <x:c r="AF447" s="34" t="n">
        <x:v>136</x:v>
      </x:c>
      <x:c r="AG447" s="32" t="n">
        <x:v>31.2</x:v>
      </x:c>
      <x:c r="AH447" s="32" t="n">
        <x:v>11.74</x:v>
      </x:c>
      <x:c r="AI447" s="32" t="n">
        <x:v>58.24</x:v>
      </x:c>
      <x:c r="AJ447" s="32" t="n">
        <x:v>62.38</x:v>
      </x:c>
      <x:c r="AK447" s="32" t="n">
        <x:v>2.16</x:v>
      </x:c>
      <x:c r="AL447" s="32" t="n">
        <x:v>8.46</x:v>
      </x:c>
      <x:c r="AM447" s="32" t="str">
        <x:v>#000000</x:v>
      </x:c>
      <x:c r="AN447" s="32" t="str">
        <x:v>Black</x:v>
      </x:c>
      <x:c r="AO447" s="32" t="n">
        <x:v>7.17</x:v>
      </x:c>
      <x:c r="AP447" s="32" t="n">
        <x:v>7.17</x:v>
      </x:c>
      <x:c r="AQ447" s="32" t="n">
        <x:v>2.93</x:v>
      </x:c>
      <x:c r="AR447" s="32" t="n">
        <x:v>0.308495</x:v>
      </x:c>
      <x:c r="AS447" t="str">
        <x:v>PASS</x:v>
      </x:c>
      <x:c r="AT447" t="str">
        <x:v>--cda-nc2-409</x:v>
      </x:c>
      <x:c r="AU447" t="str">
        <x:v>var(--cda-nc2-409)</x:v>
      </x:c>
      <x:c r="AV447" t="str">
        <x:v>Median RGB from official PDF swatch (screen reference only)</x:v>
      </x:c>
      <x:c r="AW447" t="str">
        <x:v>https://www.carandache.com/content_files/uploaded_doc/product/10603/Colour_Chart_NeocolorII_841.pdf</x:v>
      </x:c>
      <x:c r="AX447" t="n">
        <x:v>1</x:v>
      </x:c>
      <x:c r="AY447" t="str">
        <x:v>Official</x:v>
      </x:c>
      <x:c r="AZ447" t="str">
        <x:v>Official where available; curated Traditional Chinese/Japanese otherwise</x:v>
      </x:c>
      <x:c r="BA447" t="str">
        <x:v>Verified from official chart; digital HEX is approximate</x:v>
      </x:c>
      <x:c r="BB447" t="str">
        <x:v>Physical media appearance varies by paper, pressure, layering, water and scan/display profile.</x:v>
      </x:c>
    </x:row>
    <x:row r="448">
      <x:c r="A448" t="str">
        <x:f>G448&amp;"|"&amp;L448</x:f>
        <x:v>NC2|407</x:v>
      </x:c>
      <x:c r="B448" t="str">
        <x:v>f7e9f05d-f927-513f-8a50-ce6348a14b71</x:v>
      </x:c>
      <x:c r="C448" t="str">
        <x:v>CDA-NC2-407</x:v>
      </x:c>
      <x:c r="D448" t="str">
        <x:v>031b6d1b-99f0-5097-97b4-5f2daeaf1a50</x:v>
      </x:c>
      <x:c r="E448" t="str">
        <x:v>CDA-CODE-407</x:v>
      </x:c>
      <x:c r="F448" t="str">
        <x:v>Caran d’Ache</x:v>
      </x:c>
      <x:c r="G448" t="str">
        <x:v>NC2</x:v>
      </x:c>
      <x:c r="H448" t="str">
        <x:v>NEOCOLOR II Aquarelle</x:v>
      </x:c>
      <x:c r="I448" t="str">
        <x:v>Water-soluble wax pastel</x:v>
      </x:c>
      <x:c r="J448" t="str">
        <x:v>Artist</x:v>
      </x:c>
      <x:c r="K448" s="30" t="n">
        <x:v>31</x:v>
      </x:c>
      <x:c r="L448" s="30" t="str">
        <x:v>407</x:v>
      </x:c>
      <x:c r="M448" t="str">
        <x:v>Sepia</x:v>
      </x:c>
      <x:c r="N448" t="str">
        <x:v>深褐色</x:v>
      </x:c>
      <x:c r="O448" t="str">
        <x:v>セピア</x:v>
      </x:c>
      <x:c r="P448" t="str"/>
      <x:c r="Q448" t="str">
        <x:v>Sépia</x:v>
      </x:c>
      <x:c r="R448" t="str">
        <x:v>Sepia</x:v>
      </x:c>
      <x:c r="S448" t="str">
        <x:v>Seppia</x:v>
      </x:c>
      <x:c r="T448" t="str">
        <x:v>Sepia</x:v>
      </x:c>
      <x:c r="U448" t="str"/>
      <x:c r="V448" t="str"/>
      <x:c r="W448" t="str"/>
      <x:c r="X448" t="n">
        <x:f>IF(W448="",0,LEN(W448)-LEN(SUBSTITUTE(W448,"/",""))+1)</x:f>
        <x:v>0</x:v>
      </x:c>
      <x:c r="Y448" t="str">
        <x:v>H</x:v>
      </x:c>
      <x:c r="Z448" s="32" t="n">
        <x:v>1.67</x:v>
      </x:c>
      <x:c r="AA448" s="32" t="n">
        <x:v>3</x:v>
      </x:c>
      <x:c r="AB448" s="32" t="str">
        <x:v>Blue Wool Scale / UV 150h</x:v>
      </x:c>
      <x:c r="AC448" t="str">
        <x:v>#B2A48B</x:v>
      </x:c>
      <x:c r="AD448" s="34" t="n">
        <x:v>178</x:v>
      </x:c>
      <x:c r="AE448" s="34" t="n">
        <x:v>164</x:v>
      </x:c>
      <x:c r="AF448" s="34" t="n">
        <x:v>139</x:v>
      </x:c>
      <x:c r="AG448" s="32" t="n">
        <x:v>38.46</x:v>
      </x:c>
      <x:c r="AH448" s="32" t="n">
        <x:v>20.21</x:v>
      </x:c>
      <x:c r="AI448" s="32" t="n">
        <x:v>62.16</x:v>
      </x:c>
      <x:c r="AJ448" s="32" t="n">
        <x:v>67.93</x:v>
      </x:c>
      <x:c r="AK448" s="32" t="n">
        <x:v>0.97</x:v>
      </x:c>
      <x:c r="AL448" s="32" t="n">
        <x:v>14.83</x:v>
      </x:c>
      <x:c r="AM448" s="32" t="str">
        <x:v>#000000</x:v>
      </x:c>
      <x:c r="AN448" s="32" t="str">
        <x:v>Black</x:v>
      </x:c>
      <x:c r="AO448" s="32" t="n">
        <x:v>8.58</x:v>
      </x:c>
      <x:c r="AP448" s="32" t="n">
        <x:v>8.58</x:v>
      </x:c>
      <x:c r="AQ448" s="32" t="n">
        <x:v>2.45</x:v>
      </x:c>
      <x:c r="AR448" s="32" t="n">
        <x:v>0.3788</x:v>
      </x:c>
      <x:c r="AS448" t="str">
        <x:v>PASS</x:v>
      </x:c>
      <x:c r="AT448" t="str">
        <x:v>--cda-nc2-407</x:v>
      </x:c>
      <x:c r="AU448" t="str">
        <x:v>var(--cda-nc2-407)</x:v>
      </x:c>
      <x:c r="AV448" t="str">
        <x:v>Median RGB from official PDF swatch (screen reference only)</x:v>
      </x:c>
      <x:c r="AW448" t="str">
        <x:v>https://www.carandache.com/content_files/uploaded_doc/product/10603/Colour_Chart_NeocolorII_841.pdf</x:v>
      </x:c>
      <x:c r="AX448" t="n">
        <x:v>1</x:v>
      </x:c>
      <x:c r="AY448" t="str">
        <x:v>Official</x:v>
      </x:c>
      <x:c r="AZ448" t="str">
        <x:v>Official where available; curated Traditional Chinese/Japanese otherwise</x:v>
      </x:c>
      <x:c r="BA448" t="str">
        <x:v>Verified from official chart; digital HEX is approximate</x:v>
      </x:c>
      <x:c r="BB448" t="str">
        <x:v>Physical media appearance varies by paper, pressure, layering, water and scan/display profile.</x:v>
      </x:c>
    </x:row>
    <x:row r="449">
      <x:c r="A449" t="str">
        <x:f>G449&amp;"|"&amp;L449</x:f>
        <x:v>NC2|508</x:v>
      </x:c>
      <x:c r="B449" t="str">
        <x:v>019ec8bf-998f-5f8b-bb61-d3772d61369a</x:v>
      </x:c>
      <x:c r="C449" t="str">
        <x:v>CDA-NC2-508</x:v>
      </x:c>
      <x:c r="D449" t="str">
        <x:v>ac1b5a77-594e-5945-b354-658024eb187d</x:v>
      </x:c>
      <x:c r="E449" t="str">
        <x:v>CDA-CODE-508</x:v>
      </x:c>
      <x:c r="F449" t="str">
        <x:v>Caran d’Ache</x:v>
      </x:c>
      <x:c r="G449" t="str">
        <x:v>NC2</x:v>
      </x:c>
      <x:c r="H449" t="str">
        <x:v>NEOCOLOR II Aquarelle</x:v>
      </x:c>
      <x:c r="I449" t="str">
        <x:v>Water-soluble wax pastel</x:v>
      </x:c>
      <x:c r="J449" t="str">
        <x:v>Artist</x:v>
      </x:c>
      <x:c r="K449" s="30" t="n">
        <x:v>32</x:v>
      </x:c>
      <x:c r="L449" s="30" t="str">
        <x:v>508</x:v>
      </x:c>
      <x:c r="M449" t="str">
        <x:v>Payne’s grey</x:v>
      </x:c>
      <x:c r="N449" t="str">
        <x:v>佩恩灰</x:v>
      </x:c>
      <x:c r="O449" t="str">
        <x:v>ペインズグレー</x:v>
      </x:c>
      <x:c r="P449" t="str"/>
      <x:c r="Q449" t="str">
        <x:v>Gris de Payne</x:v>
      </x:c>
      <x:c r="R449" t="str">
        <x:v>Paynesgrau</x:v>
      </x:c>
      <x:c r="S449" t="str">
        <x:v>Grigio di Payne</x:v>
      </x:c>
      <x:c r="T449" t="str">
        <x:v>Gris de Payne</x:v>
      </x:c>
      <x:c r="U449" t="str"/>
      <x:c r="V449" t="str"/>
      <x:c r="W449" t="str"/>
      <x:c r="X449" t="n">
        <x:f>IF(W449="",0,LEN(W449)-LEN(SUBSTITUTE(W449,"/",""))+1)</x:f>
        <x:v>0</x:v>
      </x:c>
      <x:c r="Y449" t="str">
        <x:v>H</x:v>
      </x:c>
      <x:c r="Z449" s="32" t="n">
        <x:v>1.67</x:v>
      </x:c>
      <x:c r="AA449" s="32" t="n">
        <x:v>3</x:v>
      </x:c>
      <x:c r="AB449" s="32" t="str">
        <x:v>Blue Wool Scale / UV 150h</x:v>
      </x:c>
      <x:c r="AC449" t="str">
        <x:v>#DCD8D2</x:v>
      </x:c>
      <x:c r="AD449" s="34" t="n">
        <x:v>220</x:v>
      </x:c>
      <x:c r="AE449" s="34" t="n">
        <x:v>216</x:v>
      </x:c>
      <x:c r="AF449" s="34" t="n">
        <x:v>210</x:v>
      </x:c>
      <x:c r="AG449" s="32" t="n">
        <x:v>36</x:v>
      </x:c>
      <x:c r="AH449" s="32" t="n">
        <x:v>12.5</x:v>
      </x:c>
      <x:c r="AI449" s="32" t="n">
        <x:v>84.31</x:v>
      </x:c>
      <x:c r="AJ449" s="32" t="n">
        <x:v>86.49</x:v>
      </x:c>
      <x:c r="AK449" s="32" t="n">
        <x:v>0.31</x:v>
      </x:c>
      <x:c r="AL449" s="32" t="n">
        <x:v>3.43</x:v>
      </x:c>
      <x:c r="AM449" s="32" t="str">
        <x:v>#000000</x:v>
      </x:c>
      <x:c r="AN449" s="32" t="str">
        <x:v>Black</x:v>
      </x:c>
      <x:c r="AO449" s="32" t="n">
        <x:v>14.8</x:v>
      </x:c>
      <x:c r="AP449" s="32" t="n">
        <x:v>14.8</x:v>
      </x:c>
      <x:c r="AQ449" s="32" t="n">
        <x:v>1.42</x:v>
      </x:c>
      <x:c r="AR449" s="32" t="n">
        <x:v>0.689805</x:v>
      </x:c>
      <x:c r="AS449" t="str">
        <x:v>PASS</x:v>
      </x:c>
      <x:c r="AT449" t="str">
        <x:v>--cda-nc2-508</x:v>
      </x:c>
      <x:c r="AU449" t="str">
        <x:v>var(--cda-nc2-508)</x:v>
      </x:c>
      <x:c r="AV449" t="str">
        <x:v>Median RGB from official PDF swatch (screen reference only)</x:v>
      </x:c>
      <x:c r="AW449" t="str">
        <x:v>https://www.carandache.com/content_files/uploaded_doc/product/10603/Colour_Chart_NeocolorII_841.pdf</x:v>
      </x:c>
      <x:c r="AX449" t="n">
        <x:v>1</x:v>
      </x:c>
      <x:c r="AY449" t="str">
        <x:v>Official</x:v>
      </x:c>
      <x:c r="AZ449" t="str">
        <x:v>Official where available; curated Traditional Chinese/Japanese otherwise</x:v>
      </x:c>
      <x:c r="BA449" t="str">
        <x:v>Verified from official chart; digital HEX is approximate</x:v>
      </x:c>
      <x:c r="BB449" t="str">
        <x:v>Physical media appearance varies by paper, pressure, layering, water and scan/display profile.</x:v>
      </x:c>
    </x:row>
    <x:row r="450">
      <x:c r="A450" t="str">
        <x:f>G450&amp;"|"&amp;L450</x:f>
        <x:v>NC2|008</x:v>
      </x:c>
      <x:c r="B450" t="str">
        <x:v>ca4b7ec2-b1d9-5f42-a7bf-d7dd4e146384</x:v>
      </x:c>
      <x:c r="C450" t="str">
        <x:v>CDA-NC2-008</x:v>
      </x:c>
      <x:c r="D450" t="str">
        <x:v>062a6ddd-d99c-52e4-9ee7-c99c9dc90fe3</x:v>
      </x:c>
      <x:c r="E450" t="str">
        <x:v>CDA-CODE-008</x:v>
      </x:c>
      <x:c r="F450" t="str">
        <x:v>Caran d’Ache</x:v>
      </x:c>
      <x:c r="G450" t="str">
        <x:v>NC2</x:v>
      </x:c>
      <x:c r="H450" t="str">
        <x:v>NEOCOLOR II Aquarelle</x:v>
      </x:c>
      <x:c r="I450" t="str">
        <x:v>Water-soluble wax pastel</x:v>
      </x:c>
      <x:c r="J450" t="str">
        <x:v>Artist</x:v>
      </x:c>
      <x:c r="K450" s="30" t="n">
        <x:v>33</x:v>
      </x:c>
      <x:c r="L450" s="30" t="str">
        <x:v>008</x:v>
      </x:c>
      <x:c r="M450" t="str">
        <x:v>Greyish black</x:v>
      </x:c>
      <x:c r="N450" t="str">
        <x:v>灰黑色</x:v>
      </x:c>
      <x:c r="O450" t="str">
        <x:v>グレイッシュブラック</x:v>
      </x:c>
      <x:c r="P450" t="str"/>
      <x:c r="Q450" t="str">
        <x:v>Gris noir</x:v>
      </x:c>
      <x:c r="R450" t="str">
        <x:v>Grauschwarz</x:v>
      </x:c>
      <x:c r="S450" t="str">
        <x:v>Grigio nero</x:v>
      </x:c>
      <x:c r="T450" t="str">
        <x:v>Gris negro</x:v>
      </x:c>
      <x:c r="U450" t="str"/>
      <x:c r="V450" t="str"/>
      <x:c r="W450" t="str"/>
      <x:c r="X450" t="n">
        <x:f>IF(W450="",0,LEN(W450)-LEN(SUBSTITUTE(W450,"/",""))+1)</x:f>
        <x:v>0</x:v>
      </x:c>
      <x:c r="Y450" t="str">
        <x:v>H</x:v>
      </x:c>
      <x:c r="Z450" s="32" t="n">
        <x:v>1.67</x:v>
      </x:c>
      <x:c r="AA450" s="32" t="n">
        <x:v>3</x:v>
      </x:c>
      <x:c r="AB450" s="32" t="str">
        <x:v>Blue Wool Scale / UV 150h</x:v>
      </x:c>
      <x:c r="AC450" s="59" t="str">
        <x:v>#474C51</x:v>
      </x:c>
      <x:c r="AD450" s="34" t="n">
        <x:v>71</x:v>
      </x:c>
      <x:c r="AE450" s="34" t="n">
        <x:v>76</x:v>
      </x:c>
      <x:c r="AF450" s="34" t="n">
        <x:v>81</x:v>
      </x:c>
      <x:c r="AG450" s="32" t="n">
        <x:v>210</x:v>
      </x:c>
      <x:c r="AH450" s="32" t="n">
        <x:v>6.58</x:v>
      </x:c>
      <x:c r="AI450" s="32" t="n">
        <x:v>29.8</x:v>
      </x:c>
      <x:c r="AJ450" s="32" t="n">
        <x:v>32.04</x:v>
      </x:c>
      <x:c r="AK450" s="32" t="n">
        <x:v>-0.85</x:v>
      </x:c>
      <x:c r="AL450" s="32" t="n">
        <x:v>-3.65</x:v>
      </x:c>
      <x:c r="AM450" s="32" t="str">
        <x:v>#FFFFFF</x:v>
      </x:c>
      <x:c r="AN450" s="32" t="str">
        <x:v>White</x:v>
      </x:c>
      <x:c r="AO450" s="32" t="n">
        <x:v>8.68</x:v>
      </x:c>
      <x:c r="AP450" s="32" t="n">
        <x:v>2.42</x:v>
      </x:c>
      <x:c r="AQ450" s="32" t="n">
        <x:v>8.68</x:v>
      </x:c>
      <x:c r="AR450" s="32" t="n">
        <x:v>0.071026</x:v>
      </x:c>
      <x:c r="AS450" t="str">
        <x:v>PASS</x:v>
      </x:c>
      <x:c r="AT450" t="str">
        <x:v>--cda-nc2-008</x:v>
      </x:c>
      <x:c r="AU450" t="str">
        <x:v>var(--cda-nc2-008)</x:v>
      </x:c>
      <x:c r="AV450" t="str">
        <x:v>Representative RGB from the official embedded PDF swatch; coloured stroke only, blank paper and labels excluded; dense left-side pigment plateau used for dark colours.</x:v>
      </x:c>
      <x:c r="AW450" t="str">
        <x:v>https://www.carandache.com/content_files/uploaded_doc/product/10603/Colour_Chart_NeocolorII_841.pdf</x:v>
      </x:c>
      <x:c r="AX450" t="n">
        <x:v>1</x:v>
      </x:c>
      <x:c r="AY450" t="str">
        <x:v>Official</x:v>
      </x:c>
      <x:c r="AZ450" t="str">
        <x:v>Official where available; curated Traditional Chinese/Japanese otherwise</x:v>
      </x:c>
      <x:c r="BA450" t="str">
        <x:v>Verified from official chart; swatch crop corrected in v1.0.2; digital HEX is approximate</x:v>
      </x:c>
      <x:c r="BB450" t="str">
        <x:v>v1.0.1 included blank paper and/or the pale fade-out tail of the swatch. Corrected in v1.0.2; physical appearance still varies by paper, pressure, layering, water and display profile.</x:v>
      </x:c>
    </x:row>
    <x:row r="451">
      <x:c r="A451" t="str">
        <x:f>G451&amp;"|"&amp;L451</x:f>
        <x:v>NC2|007</x:v>
      </x:c>
      <x:c r="B451" t="str">
        <x:v>5ba1eb8e-1930-5c76-803f-a7c0e4f06efe</x:v>
      </x:c>
      <x:c r="C451" t="str">
        <x:v>CDA-NC2-007</x:v>
      </x:c>
      <x:c r="D451" t="str">
        <x:v>1dcc31e4-efb4-58e7-87c9-bfd669318b14</x:v>
      </x:c>
      <x:c r="E451" t="str">
        <x:v>CDA-CODE-007</x:v>
      </x:c>
      <x:c r="F451" t="str">
        <x:v>Caran d’Ache</x:v>
      </x:c>
      <x:c r="G451" t="str">
        <x:v>NC2</x:v>
      </x:c>
      <x:c r="H451" t="str">
        <x:v>NEOCOLOR II Aquarelle</x:v>
      </x:c>
      <x:c r="I451" t="str">
        <x:v>Water-soluble wax pastel</x:v>
      </x:c>
      <x:c r="J451" t="str">
        <x:v>Artist</x:v>
      </x:c>
      <x:c r="K451" s="30" t="n">
        <x:v>34</x:v>
      </x:c>
      <x:c r="L451" s="30" t="str">
        <x:v>007</x:v>
      </x:c>
      <x:c r="M451" t="str">
        <x:v>Dark grey</x:v>
      </x:c>
      <x:c r="N451" t="str">
        <x:v>深灰色</x:v>
      </x:c>
      <x:c r="O451" t="str">
        <x:v>ダークグレー</x:v>
      </x:c>
      <x:c r="P451" t="str"/>
      <x:c r="Q451" t="str">
        <x:v>Gris foncé</x:v>
      </x:c>
      <x:c r="R451" t="str">
        <x:v>Dunkelgrau</x:v>
      </x:c>
      <x:c r="S451" t="str">
        <x:v>Grigio scuro</x:v>
      </x:c>
      <x:c r="T451" t="str">
        <x:v>Gris oscuro</x:v>
      </x:c>
      <x:c r="U451" t="str"/>
      <x:c r="V451" t="str"/>
      <x:c r="W451" t="str"/>
      <x:c r="X451" t="n">
        <x:f>IF(W451="",0,LEN(W451)-LEN(SUBSTITUTE(W451,"/",""))+1)</x:f>
        <x:v>0</x:v>
      </x:c>
      <x:c r="Y451" t="str">
        <x:v>H</x:v>
      </x:c>
      <x:c r="Z451" s="32" t="n">
        <x:v>1.67</x:v>
      </x:c>
      <x:c r="AA451" s="32" t="n">
        <x:v>3</x:v>
      </x:c>
      <x:c r="AB451" s="32" t="str">
        <x:v>Blue Wool Scale / UV 150h</x:v>
      </x:c>
      <x:c r="AC451" t="str">
        <x:v>#C4C1B7</x:v>
      </x:c>
      <x:c r="AD451" s="34" t="n">
        <x:v>196</x:v>
      </x:c>
      <x:c r="AE451" s="34" t="n">
        <x:v>193</x:v>
      </x:c>
      <x:c r="AF451" s="34" t="n">
        <x:v>183</x:v>
      </x:c>
      <x:c r="AG451" s="32" t="n">
        <x:v>46.15</x:v>
      </x:c>
      <x:c r="AH451" s="32" t="n">
        <x:v>9.92</x:v>
      </x:c>
      <x:c r="AI451" s="32" t="n">
        <x:v>74.31</x:v>
      </x:c>
      <x:c r="AJ451" s="32" t="n">
        <x:v>78.05</x:v>
      </x:c>
      <x:c r="AK451" s="32" t="n">
        <x:v>-0.73</x:v>
      </x:c>
      <x:c r="AL451" s="32" t="n">
        <x:v>5.4</x:v>
      </x:c>
      <x:c r="AM451" s="32" t="str">
        <x:v>#000000</x:v>
      </x:c>
      <x:c r="AN451" s="32" t="str">
        <x:v>Black</x:v>
      </x:c>
      <x:c r="AO451" s="32" t="n">
        <x:v>11.66</x:v>
      </x:c>
      <x:c r="AP451" s="32" t="n">
        <x:v>11.66</x:v>
      </x:c>
      <x:c r="AQ451" s="32" t="n">
        <x:v>1.8</x:v>
      </x:c>
      <x:c r="AR451" s="32" t="n">
        <x:v>0.532946</x:v>
      </x:c>
      <x:c r="AS451" t="str">
        <x:v>PASS</x:v>
      </x:c>
      <x:c r="AT451" t="str">
        <x:v>--cda-nc2-007</x:v>
      </x:c>
      <x:c r="AU451" t="str">
        <x:v>var(--cda-nc2-007)</x:v>
      </x:c>
      <x:c r="AV451" t="str">
        <x:v>Median RGB from official PDF swatch (screen reference only)</x:v>
      </x:c>
      <x:c r="AW451" t="str">
        <x:v>https://www.carandache.com/content_files/uploaded_doc/product/10603/Colour_Chart_NeocolorII_841.pdf</x:v>
      </x:c>
      <x:c r="AX451" t="n">
        <x:v>1</x:v>
      </x:c>
      <x:c r="AY451" t="str">
        <x:v>Official</x:v>
      </x:c>
      <x:c r="AZ451" t="str">
        <x:v>Official where available; curated Traditional Chinese/Japanese otherwise</x:v>
      </x:c>
      <x:c r="BA451" t="str">
        <x:v>Verified from official chart; digital HEX is approximate</x:v>
      </x:c>
      <x:c r="BB451" t="str">
        <x:v>Physical media appearance varies by paper, pressure, layering, water and scan/display profile.</x:v>
      </x:c>
    </x:row>
    <x:row r="452">
      <x:c r="A452" t="str">
        <x:f>G452&amp;"|"&amp;L452</x:f>
        <x:v>NC2|005</x:v>
      </x:c>
      <x:c r="B452" t="str">
        <x:v>579786f2-32b3-524c-b4c3-1c8e994434db</x:v>
      </x:c>
      <x:c r="C452" t="str">
        <x:v>CDA-NC2-005</x:v>
      </x:c>
      <x:c r="D452" t="str">
        <x:v>5e94186d-04b3-5522-b27d-8725960264c8</x:v>
      </x:c>
      <x:c r="E452" t="str">
        <x:v>CDA-CODE-005</x:v>
      </x:c>
      <x:c r="F452" t="str">
        <x:v>Caran d’Ache</x:v>
      </x:c>
      <x:c r="G452" t="str">
        <x:v>NC2</x:v>
      </x:c>
      <x:c r="H452" t="str">
        <x:v>NEOCOLOR II Aquarelle</x:v>
      </x:c>
      <x:c r="I452" t="str">
        <x:v>Water-soluble wax pastel</x:v>
      </x:c>
      <x:c r="J452" t="str">
        <x:v>Artist</x:v>
      </x:c>
      <x:c r="K452" s="30" t="n">
        <x:v>35</x:v>
      </x:c>
      <x:c r="L452" s="30" t="str">
        <x:v>005</x:v>
      </x:c>
      <x:c r="M452" t="str">
        <x:v>Grey</x:v>
      </x:c>
      <x:c r="N452" t="str">
        <x:v>灰色</x:v>
      </x:c>
      <x:c r="O452" t="str">
        <x:v>グレー</x:v>
      </x:c>
      <x:c r="P452" t="str"/>
      <x:c r="Q452" t="str">
        <x:v>Gris</x:v>
      </x:c>
      <x:c r="R452" t="str">
        <x:v>Grau</x:v>
      </x:c>
      <x:c r="S452" t="str">
        <x:v>Grigio</x:v>
      </x:c>
      <x:c r="T452" t="str">
        <x:v>Gris</x:v>
      </x:c>
      <x:c r="U452" t="str"/>
      <x:c r="V452" t="str"/>
      <x:c r="W452" t="str"/>
      <x:c r="X452" t="n">
        <x:f>IF(W452="",0,LEN(W452)-LEN(SUBSTITUTE(W452,"/",""))+1)</x:f>
        <x:v>0</x:v>
      </x:c>
      <x:c r="Y452" t="str">
        <x:v>H</x:v>
      </x:c>
      <x:c r="Z452" s="32" t="n">
        <x:v>1.67</x:v>
      </x:c>
      <x:c r="AA452" s="32" t="n">
        <x:v>3</x:v>
      </x:c>
      <x:c r="AB452" s="32" t="str">
        <x:v>Blue Wool Scale / UV 150h</x:v>
      </x:c>
      <x:c r="AC452" t="str">
        <x:v>#BEC5BD</x:v>
      </x:c>
      <x:c r="AD452" s="34" t="n">
        <x:v>190</x:v>
      </x:c>
      <x:c r="AE452" s="34" t="n">
        <x:v>197</x:v>
      </x:c>
      <x:c r="AF452" s="34" t="n">
        <x:v>189</x:v>
      </x:c>
      <x:c r="AG452" s="32" t="n">
        <x:v>112.5</x:v>
      </x:c>
      <x:c r="AH452" s="32" t="n">
        <x:v>6.45</x:v>
      </x:c>
      <x:c r="AI452" s="32" t="n">
        <x:v>75.69</x:v>
      </x:c>
      <x:c r="AJ452" s="32" t="n">
        <x:v>78.78</x:v>
      </x:c>
      <x:c r="AK452" s="32" t="n">
        <x:v>-3.89</x:v>
      </x:c>
      <x:c r="AL452" s="32" t="n">
        <x:v>3.17</x:v>
      </x:c>
      <x:c r="AM452" s="32" t="str">
        <x:v>#000000</x:v>
      </x:c>
      <x:c r="AN452" s="32" t="str">
        <x:v>Black</x:v>
      </x:c>
      <x:c r="AO452" s="32" t="n">
        <x:v>11.91</x:v>
      </x:c>
      <x:c r="AP452" s="32" t="n">
        <x:v>11.91</x:v>
      </x:c>
      <x:c r="AQ452" s="32" t="n">
        <x:v>1.76</x:v>
      </x:c>
      <x:c r="AR452" s="32" t="n">
        <x:v>0.545538</x:v>
      </x:c>
      <x:c r="AS452" t="str">
        <x:v>PASS</x:v>
      </x:c>
      <x:c r="AT452" t="str">
        <x:v>--cda-nc2-005</x:v>
      </x:c>
      <x:c r="AU452" t="str">
        <x:v>var(--cda-nc2-005)</x:v>
      </x:c>
      <x:c r="AV452" t="str">
        <x:v>Median RGB from official PDF swatch (screen reference only)</x:v>
      </x:c>
      <x:c r="AW452" t="str">
        <x:v>https://www.carandache.com/content_files/uploaded_doc/product/10603/Colour_Chart_NeocolorII_841.pdf</x:v>
      </x:c>
      <x:c r="AX452" t="n">
        <x:v>1</x:v>
      </x:c>
      <x:c r="AY452" t="str">
        <x:v>Official</x:v>
      </x:c>
      <x:c r="AZ452" t="str">
        <x:v>Official where available; curated Traditional Chinese/Japanese otherwise</x:v>
      </x:c>
      <x:c r="BA452" t="str">
        <x:v>Verified from official chart; digital HEX is approximate</x:v>
      </x:c>
      <x:c r="BB452" t="str">
        <x:v>Physical media appearance varies by paper, pressure, layering, water and scan/display profile.</x:v>
      </x:c>
    </x:row>
    <x:row r="453">
      <x:c r="A453" t="str">
        <x:f>G453&amp;"|"&amp;L453</x:f>
        <x:v>NC2|403</x:v>
      </x:c>
      <x:c r="B453" t="str">
        <x:v>d05d5a12-d6e0-55bf-a115-d51ad3a825f8</x:v>
      </x:c>
      <x:c r="C453" t="str">
        <x:v>CDA-NC2-403</x:v>
      </x:c>
      <x:c r="D453" t="str">
        <x:v>a0fc0aee-2321-5612-af14-a6e399efdb96</x:v>
      </x:c>
      <x:c r="E453" t="str">
        <x:v>CDA-CODE-403</x:v>
      </x:c>
      <x:c r="F453" t="str">
        <x:v>Caran d’Ache</x:v>
      </x:c>
      <x:c r="G453" t="str">
        <x:v>NC2</x:v>
      </x:c>
      <x:c r="H453" t="str">
        <x:v>NEOCOLOR II Aquarelle</x:v>
      </x:c>
      <x:c r="I453" t="str">
        <x:v>Water-soluble wax pastel</x:v>
      </x:c>
      <x:c r="J453" t="str">
        <x:v>Artist</x:v>
      </x:c>
      <x:c r="K453" s="30" t="n">
        <x:v>36</x:v>
      </x:c>
      <x:c r="L453" s="30" t="str">
        <x:v>403</x:v>
      </x:c>
      <x:c r="M453" t="str">
        <x:v>Beige</x:v>
      </x:c>
      <x:c r="N453" t="str">
        <x:v>米色</x:v>
      </x:c>
      <x:c r="O453" t="str">
        <x:v>ベージュ</x:v>
      </x:c>
      <x:c r="P453" t="str"/>
      <x:c r="Q453" t="str">
        <x:v>Beige</x:v>
      </x:c>
      <x:c r="R453" t="str">
        <x:v>Beige</x:v>
      </x:c>
      <x:c r="S453" t="str">
        <x:v>Beige</x:v>
      </x:c>
      <x:c r="T453" t="str">
        <x:v>Beige</x:v>
      </x:c>
      <x:c r="U453" t="str"/>
      <x:c r="V453" t="str"/>
      <x:c r="W453" t="str"/>
      <x:c r="X453" t="n">
        <x:f>IF(W453="",0,LEN(W453)-LEN(SUBSTITUTE(W453,"/",""))+1)</x:f>
        <x:v>0</x:v>
      </x:c>
      <x:c r="Y453" t="str">
        <x:v>H</x:v>
      </x:c>
      <x:c r="Z453" s="32" t="n">
        <x:v>1.67</x:v>
      </x:c>
      <x:c r="AA453" s="32" t="n">
        <x:v>3</x:v>
      </x:c>
      <x:c r="AB453" s="32" t="str">
        <x:v>Blue Wool Scale / UV 150h</x:v>
      </x:c>
      <x:c r="AC453" t="str">
        <x:v>#DFC6AA</x:v>
      </x:c>
      <x:c r="AD453" s="34" t="n">
        <x:v>223</x:v>
      </x:c>
      <x:c r="AE453" s="34" t="n">
        <x:v>198</x:v>
      </x:c>
      <x:c r="AF453" s="34" t="n">
        <x:v>170</x:v>
      </x:c>
      <x:c r="AG453" s="32" t="n">
        <x:v>31.7</x:v>
      </x:c>
      <x:c r="AH453" s="32" t="n">
        <x:v>45.3</x:v>
      </x:c>
      <x:c r="AI453" s="32" t="n">
        <x:v>77.06</x:v>
      </x:c>
      <x:c r="AJ453" s="32" t="n">
        <x:v>81.28</x:v>
      </x:c>
      <x:c r="AK453" s="32" t="n">
        <x:v>4.5</x:v>
      </x:c>
      <x:c r="AL453" s="32" t="n">
        <x:v>17.27</x:v>
      </x:c>
      <x:c r="AM453" s="32" t="str">
        <x:v>#000000</x:v>
      </x:c>
      <x:c r="AN453" s="32" t="str">
        <x:v>Black</x:v>
      </x:c>
      <x:c r="AO453" s="32" t="n">
        <x:v>12.8</x:v>
      </x:c>
      <x:c r="AP453" s="32" t="n">
        <x:v>12.8</x:v>
      </x:c>
      <x:c r="AQ453" s="32" t="n">
        <x:v>1.64</x:v>
      </x:c>
      <x:c r="AR453" s="32" t="n">
        <x:v>0.589784</x:v>
      </x:c>
      <x:c r="AS453" t="str">
        <x:v>PASS</x:v>
      </x:c>
      <x:c r="AT453" t="str">
        <x:v>--cda-nc2-403</x:v>
      </x:c>
      <x:c r="AU453" t="str">
        <x:v>var(--cda-nc2-403)</x:v>
      </x:c>
      <x:c r="AV453" t="str">
        <x:v>Median RGB from official PDF swatch (screen reference only)</x:v>
      </x:c>
      <x:c r="AW453" t="str">
        <x:v>https://www.carandache.com/content_files/uploaded_doc/product/10603/Colour_Chart_NeocolorII_841.pdf</x:v>
      </x:c>
      <x:c r="AX453" t="n">
        <x:v>1</x:v>
      </x:c>
      <x:c r="AY453" t="str">
        <x:v>Official</x:v>
      </x:c>
      <x:c r="AZ453" t="str">
        <x:v>Official where available; curated Traditional Chinese/Japanese otherwise</x:v>
      </x:c>
      <x:c r="BA453" t="str">
        <x:v>Verified from official chart; digital HEX is approximate</x:v>
      </x:c>
      <x:c r="BB453" t="str">
        <x:v>Physical media appearance varies by paper, pressure, layering, water and scan/display profile.</x:v>
      </x:c>
    </x:row>
    <x:row r="454">
      <x:c r="A454" t="str">
        <x:f>G454&amp;"|"&amp;L454</x:f>
        <x:v>NC2|003</x:v>
      </x:c>
      <x:c r="B454" t="str">
        <x:v>72baaf50-c634-5356-8619-e02ce6d10621</x:v>
      </x:c>
      <x:c r="C454" t="str">
        <x:v>CDA-NC2-003</x:v>
      </x:c>
      <x:c r="D454" t="str">
        <x:v>0babc0cb-de09-5293-abe4-84adda5ee171</x:v>
      </x:c>
      <x:c r="E454" t="str">
        <x:v>CDA-CODE-003</x:v>
      </x:c>
      <x:c r="F454" t="str">
        <x:v>Caran d’Ache</x:v>
      </x:c>
      <x:c r="G454" t="str">
        <x:v>NC2</x:v>
      </x:c>
      <x:c r="H454" t="str">
        <x:v>NEOCOLOR II Aquarelle</x:v>
      </x:c>
      <x:c r="I454" t="str">
        <x:v>Water-soluble wax pastel</x:v>
      </x:c>
      <x:c r="J454" t="str">
        <x:v>Artist</x:v>
      </x:c>
      <x:c r="K454" s="30" t="n">
        <x:v>37</x:v>
      </x:c>
      <x:c r="L454" s="30" t="str">
        <x:v>003</x:v>
      </x:c>
      <x:c r="M454" t="str">
        <x:v>Light grey</x:v>
      </x:c>
      <x:c r="N454" t="str">
        <x:v>淺灰色</x:v>
      </x:c>
      <x:c r="O454" t="str">
        <x:v>ライトグレー</x:v>
      </x:c>
      <x:c r="P454" t="str"/>
      <x:c r="Q454" t="str">
        <x:v>Gris clair</x:v>
      </x:c>
      <x:c r="R454" t="str">
        <x:v>Hellgrau</x:v>
      </x:c>
      <x:c r="S454" t="str">
        <x:v>Grigio chiaro</x:v>
      </x:c>
      <x:c r="T454" t="str">
        <x:v>Gris claro</x:v>
      </x:c>
      <x:c r="U454" t="str"/>
      <x:c r="V454" t="str"/>
      <x:c r="W454" t="str"/>
      <x:c r="X454" t="n">
        <x:f>IF(W454="",0,LEN(W454)-LEN(SUBSTITUTE(W454,"/",""))+1)</x:f>
        <x:v>0</x:v>
      </x:c>
      <x:c r="Y454" t="str">
        <x:v>H</x:v>
      </x:c>
      <x:c r="Z454" s="32" t="n">
        <x:v>1.67</x:v>
      </x:c>
      <x:c r="AA454" s="32" t="n">
        <x:v>3</x:v>
      </x:c>
      <x:c r="AB454" s="32" t="str">
        <x:v>Blue Wool Scale / UV 150h</x:v>
      </x:c>
      <x:c r="AC454" t="str">
        <x:v>#EFEAE2</x:v>
      </x:c>
      <x:c r="AD454" s="34" t="n">
        <x:v>239</x:v>
      </x:c>
      <x:c r="AE454" s="34" t="n">
        <x:v>234</x:v>
      </x:c>
      <x:c r="AF454" s="34" t="n">
        <x:v>226</x:v>
      </x:c>
      <x:c r="AG454" s="32" t="n">
        <x:v>36.92</x:v>
      </x:c>
      <x:c r="AH454" s="32" t="n">
        <x:v>28.89</x:v>
      </x:c>
      <x:c r="AI454" s="32" t="n">
        <x:v>91.18</x:v>
      </x:c>
      <x:c r="AJ454" s="32" t="n">
        <x:v>92.88</x:v>
      </x:c>
      <x:c r="AK454" s="32" t="n">
        <x:v>0.3</x:v>
      </x:c>
      <x:c r="AL454" s="32" t="n">
        <x:v>4.47</x:v>
      </x:c>
      <x:c r="AM454" s="32" t="str">
        <x:v>#000000</x:v>
      </x:c>
      <x:c r="AN454" s="32" t="str">
        <x:v>Black</x:v>
      </x:c>
      <x:c r="AO454" s="32" t="n">
        <x:v>17.54</x:v>
      </x:c>
      <x:c r="AP454" s="32" t="n">
        <x:v>17.54</x:v>
      </x:c>
      <x:c r="AQ454" s="32" t="n">
        <x:v>1.2</x:v>
      </x:c>
      <x:c r="AR454" s="32" t="n">
        <x:v>0.826873</x:v>
      </x:c>
      <x:c r="AS454" t="str">
        <x:v>PASS</x:v>
      </x:c>
      <x:c r="AT454" t="str">
        <x:v>--cda-nc2-003</x:v>
      </x:c>
      <x:c r="AU454" t="str">
        <x:v>var(--cda-nc2-003)</x:v>
      </x:c>
      <x:c r="AV454" t="str">
        <x:v>Median RGB from official PDF swatch (screen reference only)</x:v>
      </x:c>
      <x:c r="AW454" t="str">
        <x:v>https://www.carandache.com/content_files/uploaded_doc/product/10603/Colour_Chart_NeocolorII_841.pdf</x:v>
      </x:c>
      <x:c r="AX454" t="n">
        <x:v>1</x:v>
      </x:c>
      <x:c r="AY454" t="str">
        <x:v>Official</x:v>
      </x:c>
      <x:c r="AZ454" t="str">
        <x:v>Official where available; curated Traditional Chinese/Japanese otherwise</x:v>
      </x:c>
      <x:c r="BA454" t="str">
        <x:v>Verified from official chart; digital HEX is approximate</x:v>
      </x:c>
      <x:c r="BB454" t="str">
        <x:v>Physical media appearance varies by paper, pressure, layering, water and scan/display profile.</x:v>
      </x:c>
    </x:row>
    <x:row r="455">
      <x:c r="A455" t="str">
        <x:f>G455&amp;"|"&amp;L455</x:f>
        <x:v>NC2|002</x:v>
      </x:c>
      <x:c r="B455" t="str">
        <x:v>bbb188b4-47d1-5558-9e07-13bc8588998c</x:v>
      </x:c>
      <x:c r="C455" t="str">
        <x:v>CDA-NC2-002</x:v>
      </x:c>
      <x:c r="D455" t="str">
        <x:v>5bb6a1fa-d374-5bae-b129-520775dd165f</x:v>
      </x:c>
      <x:c r="E455" t="str">
        <x:v>CDA-CODE-002</x:v>
      </x:c>
      <x:c r="F455" t="str">
        <x:v>Caran d’Ache</x:v>
      </x:c>
      <x:c r="G455" t="str">
        <x:v>NC2</x:v>
      </x:c>
      <x:c r="H455" t="str">
        <x:v>NEOCOLOR II Aquarelle</x:v>
      </x:c>
      <x:c r="I455" t="str">
        <x:v>Water-soluble wax pastel</x:v>
      </x:c>
      <x:c r="J455" t="str">
        <x:v>Artist</x:v>
      </x:c>
      <x:c r="K455" s="30" t="n">
        <x:v>38</x:v>
      </x:c>
      <x:c r="L455" s="30" t="str">
        <x:v>002</x:v>
      </x:c>
      <x:c r="M455" t="str">
        <x:v>Silver grey</x:v>
      </x:c>
      <x:c r="N455" t="str">
        <x:v>銀灰色</x:v>
      </x:c>
      <x:c r="O455" t="str">
        <x:v>シルバーグレー</x:v>
      </x:c>
      <x:c r="P455" t="str"/>
      <x:c r="Q455" t="str">
        <x:v>Gris argenté</x:v>
      </x:c>
      <x:c r="R455" t="str">
        <x:v>Silbergrau</x:v>
      </x:c>
      <x:c r="S455" t="str">
        <x:v>Grigio argento</x:v>
      </x:c>
      <x:c r="T455" t="str">
        <x:v>Gris plateado</x:v>
      </x:c>
      <x:c r="U455" t="str"/>
      <x:c r="V455" t="str"/>
      <x:c r="W455" t="str"/>
      <x:c r="X455" t="n">
        <x:f>IF(W455="",0,LEN(W455)-LEN(SUBSTITUTE(W455,"/",""))+1)</x:f>
        <x:v>0</x:v>
      </x:c>
      <x:c r="Y455" t="str">
        <x:v>H</x:v>
      </x:c>
      <x:c r="Z455" s="32" t="n">
        <x:v>1.67</x:v>
      </x:c>
      <x:c r="AA455" s="32" t="n">
        <x:v>3</x:v>
      </x:c>
      <x:c r="AB455" s="32" t="str">
        <x:v>Blue Wool Scale / UV 150h</x:v>
      </x:c>
      <x:c r="AC455" t="str">
        <x:v>#F4ECE3</x:v>
      </x:c>
      <x:c r="AD455" s="34" t="n">
        <x:v>244</x:v>
      </x:c>
      <x:c r="AE455" s="34" t="n">
        <x:v>236</x:v>
      </x:c>
      <x:c r="AF455" s="34" t="n">
        <x:v>227</x:v>
      </x:c>
      <x:c r="AG455" s="32" t="n">
        <x:v>31.76</x:v>
      </x:c>
      <x:c r="AH455" s="32" t="n">
        <x:v>43.59</x:v>
      </x:c>
      <x:c r="AI455" s="32" t="n">
        <x:v>92.35</x:v>
      </x:c>
      <x:c r="AJ455" s="32" t="n">
        <x:v>93.78</x:v>
      </x:c>
      <x:c r="AK455" s="32" t="n">
        <x:v>1.16</x:v>
      </x:c>
      <x:c r="AL455" s="32" t="n">
        <x:v>5.31</x:v>
      </x:c>
      <x:c r="AM455" s="32" t="str">
        <x:v>#000000</x:v>
      </x:c>
      <x:c r="AN455" s="32" t="str">
        <x:v>Black</x:v>
      </x:c>
      <x:c r="AO455" s="32" t="n">
        <x:v>17.95</x:v>
      </x:c>
      <x:c r="AP455" s="32" t="n">
        <x:v>17.95</x:v>
      </x:c>
      <x:c r="AQ455" s="32" t="n">
        <x:v>1.17</x:v>
      </x:c>
      <x:c r="AR455" s="32" t="n">
        <x:v>0.847701</x:v>
      </x:c>
      <x:c r="AS455" t="str">
        <x:v>PASS</x:v>
      </x:c>
      <x:c r="AT455" t="str">
        <x:v>--cda-nc2-002</x:v>
      </x:c>
      <x:c r="AU455" t="str">
        <x:v>var(--cda-nc2-002)</x:v>
      </x:c>
      <x:c r="AV455" t="str">
        <x:v>Median RGB from official PDF swatch (screen reference only)</x:v>
      </x:c>
      <x:c r="AW455" t="str">
        <x:v>https://www.carandache.com/content_files/uploaded_doc/product/10603/Colour_Chart_NeocolorII_841.pdf</x:v>
      </x:c>
      <x:c r="AX455" t="n">
        <x:v>1</x:v>
      </x:c>
      <x:c r="AY455" t="str">
        <x:v>Official</x:v>
      </x:c>
      <x:c r="AZ455" t="str">
        <x:v>Official where available; curated Traditional Chinese/Japanese otherwise</x:v>
      </x:c>
      <x:c r="BA455" t="str">
        <x:v>Verified from official chart; digital HEX is approximate</x:v>
      </x:c>
      <x:c r="BB455" t="str">
        <x:v>Physical media appearance varies by paper, pressure, layering, water and scan/display profile.</x:v>
      </x:c>
    </x:row>
    <x:row r="456">
      <x:c r="A456" t="str">
        <x:f>G456&amp;"|"&amp;L456</x:f>
        <x:v>NC2|001</x:v>
      </x:c>
      <x:c r="B456" t="str">
        <x:v>f7af4201-3ed8-5716-ba90-a25ab3de4dfa</x:v>
      </x:c>
      <x:c r="C456" t="str">
        <x:v>CDA-NC2-001</x:v>
      </x:c>
      <x:c r="D456" t="str">
        <x:v>1fdf2a25-f600-5523-bc97-56cadaedc26c</x:v>
      </x:c>
      <x:c r="E456" t="str">
        <x:v>CDA-CODE-001</x:v>
      </x:c>
      <x:c r="F456" t="str">
        <x:v>Caran d’Ache</x:v>
      </x:c>
      <x:c r="G456" t="str">
        <x:v>NC2</x:v>
      </x:c>
      <x:c r="H456" t="str">
        <x:v>NEOCOLOR II Aquarelle</x:v>
      </x:c>
      <x:c r="I456" t="str">
        <x:v>Water-soluble wax pastel</x:v>
      </x:c>
      <x:c r="J456" t="str">
        <x:v>Artist</x:v>
      </x:c>
      <x:c r="K456" s="30" t="n">
        <x:v>39</x:v>
      </x:c>
      <x:c r="L456" s="30" t="str">
        <x:v>001</x:v>
      </x:c>
      <x:c r="M456" t="str">
        <x:v>White</x:v>
      </x:c>
      <x:c r="N456" t="str">
        <x:v>白色</x:v>
      </x:c>
      <x:c r="O456" t="str">
        <x:v>ホワイト</x:v>
      </x:c>
      <x:c r="P456" t="str"/>
      <x:c r="Q456" t="str">
        <x:v>Blanc</x:v>
      </x:c>
      <x:c r="R456" t="str">
        <x:v>Weiss</x:v>
      </x:c>
      <x:c r="S456" t="str">
        <x:v>Bianco</x:v>
      </x:c>
      <x:c r="T456" t="str">
        <x:v>Blanco</x:v>
      </x:c>
      <x:c r="U456" t="str"/>
      <x:c r="V456" t="str"/>
      <x:c r="W456" t="str"/>
      <x:c r="X456" t="n">
        <x:f>IF(W456="",0,LEN(W456)-LEN(SUBSTITUTE(W456,"/",""))+1)</x:f>
        <x:v>0</x:v>
      </x:c>
      <x:c r="Y456" t="str">
        <x:v>H</x:v>
      </x:c>
      <x:c r="Z456" s="32" t="n">
        <x:v>1.67</x:v>
      </x:c>
      <x:c r="AA456" s="32" t="n">
        <x:v>3</x:v>
      </x:c>
      <x:c r="AB456" s="32" t="str">
        <x:v>Blue Wool Scale / UV 150h</x:v>
      </x:c>
      <x:c r="AC456" t="str">
        <x:v>#FFF8EF</x:v>
      </x:c>
      <x:c r="AD456" s="34" t="n">
        <x:v>255</x:v>
      </x:c>
      <x:c r="AE456" s="34" t="n">
        <x:v>248</x:v>
      </x:c>
      <x:c r="AF456" s="34" t="n">
        <x:v>239</x:v>
      </x:c>
      <x:c r="AG456" s="32" t="n">
        <x:v>33.75</x:v>
      </x:c>
      <x:c r="AH456" s="32" t="n">
        <x:v>100</x:v>
      </x:c>
      <x:c r="AI456" s="32" t="n">
        <x:v>96.86</x:v>
      </x:c>
      <x:c r="AJ456" s="32" t="n">
        <x:v>97.88</x:v>
      </x:c>
      <x:c r="AK456" s="32" t="n">
        <x:v>0.81</x:v>
      </x:c>
      <x:c r="AL456" s="32" t="n">
        <x:v>5.14</x:v>
      </x:c>
      <x:c r="AM456" s="32" t="str">
        <x:v>#000000</x:v>
      </x:c>
      <x:c r="AN456" s="32" t="str">
        <x:v>Black</x:v>
      </x:c>
      <x:c r="AO456" s="32" t="n">
        <x:v>19.93</x:v>
      </x:c>
      <x:c r="AP456" s="32" t="n">
        <x:v>19.93</x:v>
      </x:c>
      <x:c r="AQ456" s="32" t="n">
        <x:v>1.05</x:v>
      </x:c>
      <x:c r="AR456" s="32" t="n">
        <x:v>0.946268</x:v>
      </x:c>
      <x:c r="AS456" t="str">
        <x:v>PASS</x:v>
      </x:c>
      <x:c r="AT456" t="str">
        <x:v>--cda-nc2-001</x:v>
      </x:c>
      <x:c r="AU456" t="str">
        <x:v>var(--cda-nc2-001)</x:v>
      </x:c>
      <x:c r="AV456" t="str">
        <x:v>Median RGB from official PDF swatch (screen reference only)</x:v>
      </x:c>
      <x:c r="AW456" t="str">
        <x:v>https://www.carandache.com/content_files/uploaded_doc/product/10603/Colour_Chart_NeocolorII_841.pdf</x:v>
      </x:c>
      <x:c r="AX456" t="n">
        <x:v>1</x:v>
      </x:c>
      <x:c r="AY456" t="str">
        <x:v>Official</x:v>
      </x:c>
      <x:c r="AZ456" t="str">
        <x:v>Official where available; curated Traditional Chinese/Japanese otherwise</x:v>
      </x:c>
      <x:c r="BA456" t="str">
        <x:v>Verified from official chart; digital HEX is approximate</x:v>
      </x:c>
      <x:c r="BB456" t="str">
        <x:v>Physical media appearance varies by paper, pressure, layering, water and scan/display profile.</x:v>
      </x:c>
    </x:row>
    <x:row r="457">
      <x:c r="A457" t="str">
        <x:f>G457&amp;"|"&amp;L457</x:f>
        <x:v>NC2|498</x:v>
      </x:c>
      <x:c r="B457" t="str">
        <x:v>d88be798-7908-5d05-873e-da5a515d0abf</x:v>
      </x:c>
      <x:c r="C457" t="str">
        <x:v>CDA-NC2-498</x:v>
      </x:c>
      <x:c r="D457" t="str">
        <x:v>03989b1a-4440-5f14-a358-38a260b8270e</x:v>
      </x:c>
      <x:c r="E457" t="str">
        <x:v>CDA-CODE-498</x:v>
      </x:c>
      <x:c r="F457" t="str">
        <x:v>Caran d’Ache</x:v>
      </x:c>
      <x:c r="G457" t="str">
        <x:v>NC2</x:v>
      </x:c>
      <x:c r="H457" t="str">
        <x:v>NEOCOLOR II Aquarelle</x:v>
      </x:c>
      <x:c r="I457" t="str">
        <x:v>Water-soluble wax pastel</x:v>
      </x:c>
      <x:c r="J457" t="str">
        <x:v>Artist</x:v>
      </x:c>
      <x:c r="K457" s="30" t="n">
        <x:v>40</x:v>
      </x:c>
      <x:c r="L457" s="30" t="str">
        <x:v>498</x:v>
      </x:c>
      <x:c r="M457" t="str">
        <x:v>Silver</x:v>
      </x:c>
      <x:c r="N457" t="str">
        <x:v>銀色</x:v>
      </x:c>
      <x:c r="O457" t="str">
        <x:v>シルバー</x:v>
      </x:c>
      <x:c r="P457" t="str"/>
      <x:c r="Q457" t="str">
        <x:v>Argent</x:v>
      </x:c>
      <x:c r="R457" t="str">
        <x:v>Silber</x:v>
      </x:c>
      <x:c r="S457" t="str">
        <x:v>Argento</x:v>
      </x:c>
      <x:c r="T457" t="str">
        <x:v>Plata</x:v>
      </x:c>
      <x:c r="U457" t="str"/>
      <x:c r="V457" t="str"/>
      <x:c r="W457" t="str"/>
      <x:c r="X457" t="n">
        <x:f>IF(W457="",0,LEN(W457)-LEN(SUBSTITUTE(W457,"/",""))+1)</x:f>
        <x:v>0</x:v>
      </x:c>
      <x:c r="Y457" t="str">
        <x:v>H</x:v>
      </x:c>
      <x:c r="Z457" s="32" t="n">
        <x:v>1.67</x:v>
      </x:c>
      <x:c r="AA457" s="32" t="n">
        <x:v>3</x:v>
      </x:c>
      <x:c r="AB457" s="32" t="str">
        <x:v>Blue Wool Scale / UV 150h</x:v>
      </x:c>
      <x:c r="AC457" t="str">
        <x:v>#DBD7CE</x:v>
      </x:c>
      <x:c r="AD457" s="34" t="n">
        <x:v>219</x:v>
      </x:c>
      <x:c r="AE457" s="34" t="n">
        <x:v>215</x:v>
      </x:c>
      <x:c r="AF457" s="34" t="n">
        <x:v>206</x:v>
      </x:c>
      <x:c r="AG457" s="32" t="n">
        <x:v>41.54</x:v>
      </x:c>
      <x:c r="AH457" s="32" t="n">
        <x:v>15.29</x:v>
      </x:c>
      <x:c r="AI457" s="32" t="n">
        <x:v>83.33</x:v>
      </x:c>
      <x:c r="AJ457" s="32" t="n">
        <x:v>86.07</x:v>
      </x:c>
      <x:c r="AK457" s="32" t="n">
        <x:v>-0.21</x:v>
      </x:c>
      <x:c r="AL457" s="32" t="n">
        <x:v>4.92</x:v>
      </x:c>
      <x:c r="AM457" s="32" t="str">
        <x:v>#000000</x:v>
      </x:c>
      <x:c r="AN457" s="32" t="str">
        <x:v>Black</x:v>
      </x:c>
      <x:c r="AO457" s="32" t="n">
        <x:v>14.62</x:v>
      </x:c>
      <x:c r="AP457" s="32" t="n">
        <x:v>14.62</x:v>
      </x:c>
      <x:c r="AQ457" s="32" t="n">
        <x:v>1.44</x:v>
      </x:c>
      <x:c r="AR457" s="32" t="n">
        <x:v>0.681172</x:v>
      </x:c>
      <x:c r="AS457" t="str">
        <x:v>PASS</x:v>
      </x:c>
      <x:c r="AT457" t="str">
        <x:v>--cda-nc2-498</x:v>
      </x:c>
      <x:c r="AU457" t="str">
        <x:v>var(--cda-nc2-498)</x:v>
      </x:c>
      <x:c r="AV457" t="str">
        <x:v>Median RGB from official PDF swatch (screen reference only)</x:v>
      </x:c>
      <x:c r="AW457" t="str">
        <x:v>https://www.carandache.com/content_files/uploaded_doc/product/10603/Colour_Chart_NeocolorII_841.pdf</x:v>
      </x:c>
      <x:c r="AX457" t="n">
        <x:v>1</x:v>
      </x:c>
      <x:c r="AY457" t="str">
        <x:v>Official</x:v>
      </x:c>
      <x:c r="AZ457" t="str">
        <x:v>Official where available; curated Traditional Chinese/Japanese otherwise</x:v>
      </x:c>
      <x:c r="BA457" t="str">
        <x:v>Verified from official chart; digital HEX is approximate</x:v>
      </x:c>
      <x:c r="BB457" t="str">
        <x:v>Physical media appearance varies by paper, pressure, layering, water and scan/display profile.</x:v>
      </x:c>
    </x:row>
    <x:row r="458">
      <x:c r="A458" t="str">
        <x:f>G458&amp;"|"&amp;L458</x:f>
        <x:v>NC2|499</x:v>
      </x:c>
      <x:c r="B458" t="str">
        <x:v>7982a7d0-dda8-5bb5-9094-a3223a14cf74</x:v>
      </x:c>
      <x:c r="C458" t="str">
        <x:v>CDA-NC2-499</x:v>
      </x:c>
      <x:c r="D458" t="str">
        <x:v>28c12bd9-5252-5aa7-b4d7-b871d20e5a42</x:v>
      </x:c>
      <x:c r="E458" t="str">
        <x:v>CDA-CODE-499</x:v>
      </x:c>
      <x:c r="F458" t="str">
        <x:v>Caran d’Ache</x:v>
      </x:c>
      <x:c r="G458" t="str">
        <x:v>NC2</x:v>
      </x:c>
      <x:c r="H458" t="str">
        <x:v>NEOCOLOR II Aquarelle</x:v>
      </x:c>
      <x:c r="I458" t="str">
        <x:v>Water-soluble wax pastel</x:v>
      </x:c>
      <x:c r="J458" t="str">
        <x:v>Artist</x:v>
      </x:c>
      <x:c r="K458" s="30" t="n">
        <x:v>41</x:v>
      </x:c>
      <x:c r="L458" s="30" t="str">
        <x:v>499</x:v>
      </x:c>
      <x:c r="M458" t="str">
        <x:v>Gold</x:v>
      </x:c>
      <x:c r="N458" t="str">
        <x:v>金色</x:v>
      </x:c>
      <x:c r="O458" t="str">
        <x:v>ゴールド</x:v>
      </x:c>
      <x:c r="P458" t="str"/>
      <x:c r="Q458" t="str">
        <x:v>Or</x:v>
      </x:c>
      <x:c r="R458" t="str">
        <x:v>Gold</x:v>
      </x:c>
      <x:c r="S458" t="str">
        <x:v>Oro</x:v>
      </x:c>
      <x:c r="T458" t="str">
        <x:v>Oro</x:v>
      </x:c>
      <x:c r="U458" t="str"/>
      <x:c r="V458" t="str"/>
      <x:c r="W458" t="str"/>
      <x:c r="X458" t="n">
        <x:f>IF(W458="",0,LEN(W458)-LEN(SUBSTITUTE(W458,"/",""))+1)</x:f>
        <x:v>0</x:v>
      </x:c>
      <x:c r="Y458" t="str">
        <x:v>H</x:v>
      </x:c>
      <x:c r="Z458" s="32" t="n">
        <x:v>1.67</x:v>
      </x:c>
      <x:c r="AA458" s="32" t="n">
        <x:v>3</x:v>
      </x:c>
      <x:c r="AB458" s="32" t="str">
        <x:v>Blue Wool Scale / UV 150h</x:v>
      </x:c>
      <x:c r="AC458" t="str">
        <x:v>#DFC668</x:v>
      </x:c>
      <x:c r="AD458" s="34" t="n">
        <x:v>223</x:v>
      </x:c>
      <x:c r="AE458" s="34" t="n">
        <x:v>198</x:v>
      </x:c>
      <x:c r="AF458" s="34" t="n">
        <x:v>104</x:v>
      </x:c>
      <x:c r="AG458" s="32" t="n">
        <x:v>47.39</x:v>
      </x:c>
      <x:c r="AH458" s="32" t="n">
        <x:v>65.03</x:v>
      </x:c>
      <x:c r="AI458" s="32" t="n">
        <x:v>64.12</x:v>
      </x:c>
      <x:c r="AJ458" s="32" t="n">
        <x:v>80.22</x:v>
      </x:c>
      <x:c r="AK458" s="32" t="n">
        <x:v>-2.89</x:v>
      </x:c>
      <x:c r="AL458" s="32" t="n">
        <x:v>49.78</x:v>
      </x:c>
      <x:c r="AM458" s="32" t="str">
        <x:v>#000000</x:v>
      </x:c>
      <x:c r="AN458" s="32" t="str">
        <x:v>Black</x:v>
      </x:c>
      <x:c r="AO458" s="32" t="n">
        <x:v>12.42</x:v>
      </x:c>
      <x:c r="AP458" s="32" t="n">
        <x:v>12.42</x:v>
      </x:c>
      <x:c r="AQ458" s="32" t="n">
        <x:v>1.69</x:v>
      </x:c>
      <x:c r="AR458" s="32" t="n">
        <x:v>0.570756</x:v>
      </x:c>
      <x:c r="AS458" t="str">
        <x:v>PASS</x:v>
      </x:c>
      <x:c r="AT458" t="str">
        <x:v>--cda-nc2-499</x:v>
      </x:c>
      <x:c r="AU458" t="str">
        <x:v>var(--cda-nc2-499)</x:v>
      </x:c>
      <x:c r="AV458" t="str">
        <x:v>Median RGB from official PDF swatch (screen reference only)</x:v>
      </x:c>
      <x:c r="AW458" t="str">
        <x:v>https://www.carandache.com/content_files/uploaded_doc/product/10603/Colour_Chart_NeocolorII_841.pdf</x:v>
      </x:c>
      <x:c r="AX458" t="n">
        <x:v>1</x:v>
      </x:c>
      <x:c r="AY458" t="str">
        <x:v>Official</x:v>
      </x:c>
      <x:c r="AZ458" t="str">
        <x:v>Official where available; curated Traditional Chinese/Japanese otherwise</x:v>
      </x:c>
      <x:c r="BA458" t="str">
        <x:v>Verified from official chart; digital HEX is approximate</x:v>
      </x:c>
      <x:c r="BB458" t="str">
        <x:v>Physical media appearance varies by paper, pressure, layering, water and scan/display profile.</x:v>
      </x:c>
    </x:row>
    <x:row r="459">
      <x:c r="A459" t="str">
        <x:f>G459&amp;"|"&amp;L459</x:f>
        <x:v>NC2|497</x:v>
      </x:c>
      <x:c r="B459" t="str">
        <x:v>2fa6da59-4960-5687-aaaf-02c4287c9f21</x:v>
      </x:c>
      <x:c r="C459" t="str">
        <x:v>CDA-NC2-497</x:v>
      </x:c>
      <x:c r="D459" t="str">
        <x:v>626a6f45-e626-566f-8eee-647ee5477aa2</x:v>
      </x:c>
      <x:c r="E459" t="str">
        <x:v>CDA-CODE-497</x:v>
      </x:c>
      <x:c r="F459" t="str">
        <x:v>Caran d’Ache</x:v>
      </x:c>
      <x:c r="G459" t="str">
        <x:v>NC2</x:v>
      </x:c>
      <x:c r="H459" t="str">
        <x:v>NEOCOLOR II Aquarelle</x:v>
      </x:c>
      <x:c r="I459" t="str">
        <x:v>Water-soluble wax pastel</x:v>
      </x:c>
      <x:c r="J459" t="str">
        <x:v>Artist</x:v>
      </x:c>
      <x:c r="K459" s="30" t="n">
        <x:v>42</x:v>
      </x:c>
      <x:c r="L459" s="30" t="str">
        <x:v>497</x:v>
      </x:c>
      <x:c r="M459" t="str">
        <x:v>Bronze</x:v>
      </x:c>
      <x:c r="N459" t="str">
        <x:v>青銅色</x:v>
      </x:c>
      <x:c r="O459" t="str">
        <x:v>ブロンズ</x:v>
      </x:c>
      <x:c r="P459" t="str"/>
      <x:c r="Q459" t="str">
        <x:v>Bronze</x:v>
      </x:c>
      <x:c r="R459" t="str">
        <x:v>Bronze</x:v>
      </x:c>
      <x:c r="S459" t="str">
        <x:v>Bronzo</x:v>
      </x:c>
      <x:c r="T459" t="str">
        <x:v>Bronce</x:v>
      </x:c>
      <x:c r="U459" t="str"/>
      <x:c r="V459" t="str"/>
      <x:c r="W459" t="str"/>
      <x:c r="X459" t="n">
        <x:f>IF(W459="",0,LEN(W459)-LEN(SUBSTITUTE(W459,"/",""))+1)</x:f>
        <x:v>0</x:v>
      </x:c>
      <x:c r="Y459" t="str">
        <x:v>H</x:v>
      </x:c>
      <x:c r="Z459" s="32" t="n">
        <x:v>1.67</x:v>
      </x:c>
      <x:c r="AA459" s="32" t="n">
        <x:v>3</x:v>
      </x:c>
      <x:c r="AB459" s="32" t="str">
        <x:v>Blue Wool Scale / UV 150h</x:v>
      </x:c>
      <x:c r="AC459" t="str">
        <x:v>#D97E51</x:v>
      </x:c>
      <x:c r="AD459" s="34" t="n">
        <x:v>217</x:v>
      </x:c>
      <x:c r="AE459" s="34" t="n">
        <x:v>126</x:v>
      </x:c>
      <x:c r="AF459" s="34" t="n">
        <x:v>81</x:v>
      </x:c>
      <x:c r="AG459" s="32" t="n">
        <x:v>19.85</x:v>
      </x:c>
      <x:c r="AH459" s="32" t="n">
        <x:v>64.15</x:v>
      </x:c>
      <x:c r="AI459" s="32" t="n">
        <x:v>58.43</x:v>
      </x:c>
      <x:c r="AJ459" s="32" t="n">
        <x:v>61.89</x:v>
      </x:c>
      <x:c r="AK459" s="32" t="n">
        <x:v>31.21</x:v>
      </x:c>
      <x:c r="AL459" s="32" t="n">
        <x:v>39.35</x:v>
      </x:c>
      <x:c r="AM459" s="32" t="str">
        <x:v>#000000</x:v>
      </x:c>
      <x:c r="AN459" s="32" t="str">
        <x:v>Black</x:v>
      </x:c>
      <x:c r="AO459" s="32" t="n">
        <x:v>7.05</x:v>
      </x:c>
      <x:c r="AP459" s="32" t="n">
        <x:v>7.05</x:v>
      </x:c>
      <x:c r="AQ459" s="32" t="n">
        <x:v>2.98</x:v>
      </x:c>
      <x:c r="AR459" s="32" t="n">
        <x:v>0.302675</x:v>
      </x:c>
      <x:c r="AS459" t="str">
        <x:v>PASS</x:v>
      </x:c>
      <x:c r="AT459" t="str">
        <x:v>--cda-nc2-497</x:v>
      </x:c>
      <x:c r="AU459" t="str">
        <x:v>var(--cda-nc2-497)</x:v>
      </x:c>
      <x:c r="AV459" t="str">
        <x:v>Median RGB from official PDF swatch (screen reference only)</x:v>
      </x:c>
      <x:c r="AW459" t="str">
        <x:v>https://www.carandache.com/content_files/uploaded_doc/product/10603/Colour_Chart_NeocolorII_841.pdf</x:v>
      </x:c>
      <x:c r="AX459" t="n">
        <x:v>1</x:v>
      </x:c>
      <x:c r="AY459" t="str">
        <x:v>Official</x:v>
      </x:c>
      <x:c r="AZ459" t="str">
        <x:v>Official where available; curated Traditional Chinese/Japanese otherwise</x:v>
      </x:c>
      <x:c r="BA459" t="str">
        <x:v>Verified from official chart; digital HEX is approximate</x:v>
      </x:c>
      <x:c r="BB459" t="str">
        <x:v>Physical media appearance varies by paper, pressure, layering, water and scan/display profile.</x:v>
      </x:c>
    </x:row>
    <x:row r="460">
      <x:c r="A460" t="str">
        <x:f>G460&amp;"|"&amp;L460</x:f>
        <x:v>NC2|521</x:v>
      </x:c>
      <x:c r="B460" t="str">
        <x:v>5649ed85-60ec-5f1a-bc70-948679af7d9f</x:v>
      </x:c>
      <x:c r="C460" t="str">
        <x:v>CDA-NC2-521</x:v>
      </x:c>
      <x:c r="D460" t="str">
        <x:v>1d40cde8-3df0-5175-aa68-3d928de841b5</x:v>
      </x:c>
      <x:c r="E460" t="str">
        <x:v>CDA-CODE-521</x:v>
      </x:c>
      <x:c r="F460" t="str">
        <x:v>Caran d’Ache</x:v>
      </x:c>
      <x:c r="G460" t="str">
        <x:v>NC2</x:v>
      </x:c>
      <x:c r="H460" t="str">
        <x:v>NEOCOLOR II Aquarelle</x:v>
      </x:c>
      <x:c r="I460" t="str">
        <x:v>Water-soluble wax pastel</x:v>
      </x:c>
      <x:c r="J460" t="str">
        <x:v>Artist</x:v>
      </x:c>
      <x:c r="K460" s="30" t="n">
        <x:v>43</x:v>
      </x:c>
      <x:c r="L460" s="30" t="str">
        <x:v>521</x:v>
      </x:c>
      <x:c r="M460" t="str">
        <x:v>Sahara yellow</x:v>
      </x:c>
      <x:c r="N460" t="str">
        <x:v>撒哈拉黃</x:v>
      </x:c>
      <x:c r="O460" t="str">
        <x:v>サハライエロー</x:v>
      </x:c>
      <x:c r="P460" t="str"/>
      <x:c r="Q460" t="str">
        <x:v>Jaune sahara</x:v>
      </x:c>
      <x:c r="R460" t="str">
        <x:v>Saharagelb</x:v>
      </x:c>
      <x:c r="S460" t="str">
        <x:v>Giallo Sahara</x:v>
      </x:c>
      <x:c r="T460" t="str">
        <x:v>Amarillo Sahara</x:v>
      </x:c>
      <x:c r="U460" t="str"/>
      <x:c r="V460" t="str"/>
      <x:c r="W460" t="str"/>
      <x:c r="X460" t="n">
        <x:f>IF(W460="",0,LEN(W460)-LEN(SUBSTITUTE(W460,"/",""))+1)</x:f>
        <x:v>0</x:v>
      </x:c>
      <x:c r="Y460" t="str">
        <x:v>H</x:v>
      </x:c>
      <x:c r="Z460" s="32" t="n">
        <x:v>1.67</x:v>
      </x:c>
      <x:c r="AA460" s="32" t="n">
        <x:v>3</x:v>
      </x:c>
      <x:c r="AB460" s="32" t="str">
        <x:v>Blue Wool Scale / UV 150h</x:v>
      </x:c>
      <x:c r="AC460" t="str">
        <x:v>#FFEF9C</x:v>
      </x:c>
      <x:c r="AD460" s="34" t="n">
        <x:v>255</x:v>
      </x:c>
      <x:c r="AE460" s="34" t="n">
        <x:v>239</x:v>
      </x:c>
      <x:c r="AF460" s="34" t="n">
        <x:v>156</x:v>
      </x:c>
      <x:c r="AG460" s="32" t="n">
        <x:v>50.3</x:v>
      </x:c>
      <x:c r="AH460" s="32" t="n">
        <x:v>100</x:v>
      </x:c>
      <x:c r="AI460" s="32" t="n">
        <x:v>80.59</x:v>
      </x:c>
      <x:c r="AJ460" s="32" t="n">
        <x:v>94.05</x:v>
      </x:c>
      <x:c r="AK460" s="32" t="n">
        <x:v>-6.03</x:v>
      </x:c>
      <x:c r="AL460" s="32" t="n">
        <x:v>42.09</x:v>
      </x:c>
      <x:c r="AM460" s="32" t="str">
        <x:v>#000000</x:v>
      </x:c>
      <x:c r="AN460" s="32" t="str">
        <x:v>Black</x:v>
      </x:c>
      <x:c r="AO460" s="32" t="n">
        <x:v>18.08</x:v>
      </x:c>
      <x:c r="AP460" s="32" t="n">
        <x:v>18.08</x:v>
      </x:c>
      <x:c r="AQ460" s="32" t="n">
        <x:v>1.16</x:v>
      </x:c>
      <x:c r="AR460" s="32" t="n">
        <x:v>0.853933</x:v>
      </x:c>
      <x:c r="AS460" t="str">
        <x:v>PASS</x:v>
      </x:c>
      <x:c r="AT460" t="str">
        <x:v>--cda-nc2-521</x:v>
      </x:c>
      <x:c r="AU460" t="str">
        <x:v>var(--cda-nc2-521)</x:v>
      </x:c>
      <x:c r="AV460" t="str">
        <x:v>Median RGB from official PDF swatch (screen reference only)</x:v>
      </x:c>
      <x:c r="AW460" t="str">
        <x:v>https://www.carandache.com/content_files/uploaded_doc/product/10603/Colour_Chart_NeocolorII_841.pdf</x:v>
      </x:c>
      <x:c r="AX460" t="n">
        <x:v>1</x:v>
      </x:c>
      <x:c r="AY460" t="str">
        <x:v>Official</x:v>
      </x:c>
      <x:c r="AZ460" t="str">
        <x:v>Official where available; curated Traditional Chinese/Japanese otherwise</x:v>
      </x:c>
      <x:c r="BA460" t="str">
        <x:v>Verified from official chart; digital HEX is approximate</x:v>
      </x:c>
      <x:c r="BB460" t="str">
        <x:v>Physical media appearance varies by paper, pressure, layering, water and scan/display profile.</x:v>
      </x:c>
    </x:row>
    <x:row r="461">
      <x:c r="A461" t="str">
        <x:f>G461&amp;"|"&amp;L461</x:f>
        <x:v>NC2|031</x:v>
      </x:c>
      <x:c r="B461" t="str">
        <x:v>70426bd5-2899-563a-a969-76e9069b2319</x:v>
      </x:c>
      <x:c r="C461" t="str">
        <x:v>CDA-NC2-031</x:v>
      </x:c>
      <x:c r="D461" t="str">
        <x:v>f7a139ed-9b9b-504e-8c44-0aed7906baf0</x:v>
      </x:c>
      <x:c r="E461" t="str">
        <x:v>CDA-CODE-031</x:v>
      </x:c>
      <x:c r="F461" t="str">
        <x:v>Caran d’Ache</x:v>
      </x:c>
      <x:c r="G461" t="str">
        <x:v>NC2</x:v>
      </x:c>
      <x:c r="H461" t="str">
        <x:v>NEOCOLOR II Aquarelle</x:v>
      </x:c>
      <x:c r="I461" t="str">
        <x:v>Water-soluble wax pastel</x:v>
      </x:c>
      <x:c r="J461" t="str">
        <x:v>Artist</x:v>
      </x:c>
      <x:c r="K461" s="30" t="n">
        <x:v>44</x:v>
      </x:c>
      <x:c r="L461" s="30" t="str">
        <x:v>031</x:v>
      </x:c>
      <x:c r="M461" t="str">
        <x:v>Orangish yellow</x:v>
      </x:c>
      <x:c r="N461" t="str">
        <x:v>橙黃色</x:v>
      </x:c>
      <x:c r="O461" t="str">
        <x:v>オレンジイエロー</x:v>
      </x:c>
      <x:c r="P461" t="str"/>
      <x:c r="Q461" t="str">
        <x:v>Jaune paille</x:v>
      </x:c>
      <x:c r="R461" t="str">
        <x:v>Hellorange</x:v>
      </x:c>
      <x:c r="S461" t="str">
        <x:v>Giallo paglia</x:v>
      </x:c>
      <x:c r="T461" t="str">
        <x:v>Amarillo paja</x:v>
      </x:c>
      <x:c r="U461" t="str"/>
      <x:c r="V461" t="str"/>
      <x:c r="W461" t="str"/>
      <x:c r="X461" t="n">
        <x:f>IF(W461="",0,LEN(W461)-LEN(SUBSTITUTE(W461,"/",""))+1)</x:f>
        <x:v>0</x:v>
      </x:c>
      <x:c r="Y461" t="str">
        <x:v>H</x:v>
      </x:c>
      <x:c r="Z461" s="32" t="n">
        <x:v>1.67</x:v>
      </x:c>
      <x:c r="AA461" s="32" t="n">
        <x:v>3</x:v>
      </x:c>
      <x:c r="AB461" s="32" t="str">
        <x:v>Blue Wool Scale / UV 150h</x:v>
      </x:c>
      <x:c r="AC461" t="str">
        <x:v>#FFE791</x:v>
      </x:c>
      <x:c r="AD461" s="34" t="n">
        <x:v>255</x:v>
      </x:c>
      <x:c r="AE461" s="34" t="n">
        <x:v>231</x:v>
      </x:c>
      <x:c r="AF461" s="34" t="n">
        <x:v>145</x:v>
      </x:c>
      <x:c r="AG461" s="32" t="n">
        <x:v>46.91</x:v>
      </x:c>
      <x:c r="AH461" s="32" t="n">
        <x:v>100</x:v>
      </x:c>
      <x:c r="AI461" s="32" t="n">
        <x:v>78.43</x:v>
      </x:c>
      <x:c r="AJ461" s="32" t="n">
        <x:v>91.89</x:v>
      </x:c>
      <x:c r="AK461" s="32" t="n">
        <x:v>-3.15</x:v>
      </x:c>
      <x:c r="AL461" s="32" t="n">
        <x:v>44.76</x:v>
      </x:c>
      <x:c r="AM461" s="32" t="str">
        <x:v>#000000</x:v>
      </x:c>
      <x:c r="AN461" s="32" t="str">
        <x:v>Black</x:v>
      </x:c>
      <x:c r="AO461" s="32" t="n">
        <x:v>17.09</x:v>
      </x:c>
      <x:c r="AP461" s="32" t="n">
        <x:v>17.09</x:v>
      </x:c>
      <x:c r="AQ461" s="32" t="n">
        <x:v>1.23</x:v>
      </x:c>
      <x:c r="AR461" s="32" t="n">
        <x:v>0.804562</x:v>
      </x:c>
      <x:c r="AS461" t="str">
        <x:v>PASS</x:v>
      </x:c>
      <x:c r="AT461" t="str">
        <x:v>--cda-nc2-031</x:v>
      </x:c>
      <x:c r="AU461" t="str">
        <x:v>var(--cda-nc2-031)</x:v>
      </x:c>
      <x:c r="AV461" t="str">
        <x:v>Median RGB from official PDF swatch (screen reference only)</x:v>
      </x:c>
      <x:c r="AW461" t="str">
        <x:v>https://www.carandache.com/content_files/uploaded_doc/product/10603/Colour_Chart_NeocolorII_841.pdf</x:v>
      </x:c>
      <x:c r="AX461" t="n">
        <x:v>1</x:v>
      </x:c>
      <x:c r="AY461" t="str">
        <x:v>Official</x:v>
      </x:c>
      <x:c r="AZ461" t="str">
        <x:v>Official where available; curated Traditional Chinese/Japanese otherwise</x:v>
      </x:c>
      <x:c r="BA461" t="str">
        <x:v>Verified from official chart; digital HEX is approximate</x:v>
      </x:c>
      <x:c r="BB461" t="str">
        <x:v>Physical media appearance varies by paper, pressure, layering, water and scan/display profile.</x:v>
      </x:c>
    </x:row>
    <x:row r="462">
      <x:c r="A462" t="str">
        <x:f>G462&amp;"|"&amp;L462</x:f>
        <x:v>NC2|041</x:v>
      </x:c>
      <x:c r="B462" t="str">
        <x:v>02c0607b-3ae1-5dc3-8f1f-278dc1e533b1</x:v>
      </x:c>
      <x:c r="C462" t="str">
        <x:v>CDA-NC2-041</x:v>
      </x:c>
      <x:c r="D462" t="str">
        <x:v>ceca6685-d7aa-5cc6-ae9f-101c1861f467</x:v>
      </x:c>
      <x:c r="E462" t="str">
        <x:v>CDA-CODE-041</x:v>
      </x:c>
      <x:c r="F462" t="str">
        <x:v>Caran d’Ache</x:v>
      </x:c>
      <x:c r="G462" t="str">
        <x:v>NC2</x:v>
      </x:c>
      <x:c r="H462" t="str">
        <x:v>NEOCOLOR II Aquarelle</x:v>
      </x:c>
      <x:c r="I462" t="str">
        <x:v>Water-soluble wax pastel</x:v>
      </x:c>
      <x:c r="J462" t="str">
        <x:v>Artist</x:v>
      </x:c>
      <x:c r="K462" s="30" t="n">
        <x:v>45</x:v>
      </x:c>
      <x:c r="L462" s="30" t="str">
        <x:v>041</x:v>
      </x:c>
      <x:c r="M462" t="str">
        <x:v>Apricot</x:v>
      </x:c>
      <x:c r="N462" t="str">
        <x:v>杏色</x:v>
      </x:c>
      <x:c r="O462" t="str">
        <x:v>アプリコット</x:v>
      </x:c>
      <x:c r="P462" t="str"/>
      <x:c r="Q462" t="str">
        <x:v>Abricot</x:v>
      </x:c>
      <x:c r="R462" t="str">
        <x:v>Aprikose</x:v>
      </x:c>
      <x:c r="S462" t="str">
        <x:v>Albicocca</x:v>
      </x:c>
      <x:c r="T462" t="str">
        <x:v>Albaricoque</x:v>
      </x:c>
      <x:c r="U462" t="str"/>
      <x:c r="V462" t="str"/>
      <x:c r="W462" t="str"/>
      <x:c r="X462" t="n">
        <x:f>IF(W462="",0,LEN(W462)-LEN(SUBSTITUTE(W462,"/",""))+1)</x:f>
        <x:v>0</x:v>
      </x:c>
      <x:c r="Y462" t="str">
        <x:v>H</x:v>
      </x:c>
      <x:c r="Z462" s="32" t="n">
        <x:v>1.67</x:v>
      </x:c>
      <x:c r="AA462" s="32" t="n">
        <x:v>3</x:v>
      </x:c>
      <x:c r="AB462" s="32" t="str">
        <x:v>Blue Wool Scale / UV 150h</x:v>
      </x:c>
      <x:c r="AC462" t="str">
        <x:v>#FCC67B</x:v>
      </x:c>
      <x:c r="AD462" s="34" t="n">
        <x:v>252</x:v>
      </x:c>
      <x:c r="AE462" s="34" t="n">
        <x:v>198</x:v>
      </x:c>
      <x:c r="AF462" s="34" t="n">
        <x:v>123</x:v>
      </x:c>
      <x:c r="AG462" s="32" t="n">
        <x:v>34.88</x:v>
      </x:c>
      <x:c r="AH462" s="32" t="n">
        <x:v>95.56</x:v>
      </x:c>
      <x:c r="AI462" s="32" t="n">
        <x:v>73.53</x:v>
      </x:c>
      <x:c r="AJ462" s="32" t="n">
        <x:v>83.19</x:v>
      </x:c>
      <x:c r="AK462" s="32" t="n">
        <x:v>10.52</x:v>
      </x:c>
      <x:c r="AL462" s="32" t="n">
        <x:v>44.69</x:v>
      </x:c>
      <x:c r="AM462" s="32" t="str">
        <x:v>#000000</x:v>
      </x:c>
      <x:c r="AN462" s="32" t="str">
        <x:v>Black</x:v>
      </x:c>
      <x:c r="AO462" s="32" t="n">
        <x:v>13.5</x:v>
      </x:c>
      <x:c r="AP462" s="32" t="n">
        <x:v>13.5</x:v>
      </x:c>
      <x:c r="AQ462" s="32" t="n">
        <x:v>1.56</x:v>
      </x:c>
      <x:c r="AR462" s="32" t="n">
        <x:v>0.625137</x:v>
      </x:c>
      <x:c r="AS462" t="str">
        <x:v>PASS</x:v>
      </x:c>
      <x:c r="AT462" t="str">
        <x:v>--cda-nc2-041</x:v>
      </x:c>
      <x:c r="AU462" t="str">
        <x:v>var(--cda-nc2-041)</x:v>
      </x:c>
      <x:c r="AV462" t="str">
        <x:v>Median RGB from official PDF swatch (screen reference only)</x:v>
      </x:c>
      <x:c r="AW462" t="str">
        <x:v>https://www.carandache.com/content_files/uploaded_doc/product/10603/Colour_Chart_NeocolorII_841.pdf</x:v>
      </x:c>
      <x:c r="AX462" t="n">
        <x:v>1</x:v>
      </x:c>
      <x:c r="AY462" t="str">
        <x:v>Official</x:v>
      </x:c>
      <x:c r="AZ462" t="str">
        <x:v>Official where available; curated Traditional Chinese/Japanese otherwise</x:v>
      </x:c>
      <x:c r="BA462" t="str">
        <x:v>Verified from official chart; digital HEX is approximate</x:v>
      </x:c>
      <x:c r="BB462" t="str">
        <x:v>Physical media appearance varies by paper, pressure, layering, water and scan/display profile.</x:v>
      </x:c>
    </x:row>
    <x:row r="463">
      <x:c r="A463" t="str">
        <x:f>G463&amp;"|"&amp;L463</x:f>
        <x:v>NC2|042</x:v>
      </x:c>
      <x:c r="B463" t="str">
        <x:v>db6bf5de-fb60-5a63-9fe7-accf5a9b1855</x:v>
      </x:c>
      <x:c r="C463" t="str">
        <x:v>CDA-NC2-042</x:v>
      </x:c>
      <x:c r="D463" t="str">
        <x:v>0f40623c-865b-5ad0-8bcf-8dc04765b592</x:v>
      </x:c>
      <x:c r="E463" t="str">
        <x:v>CDA-CODE-042</x:v>
      </x:c>
      <x:c r="F463" t="str">
        <x:v>Caran d’Ache</x:v>
      </x:c>
      <x:c r="G463" t="str">
        <x:v>NC2</x:v>
      </x:c>
      <x:c r="H463" t="str">
        <x:v>NEOCOLOR II Aquarelle</x:v>
      </x:c>
      <x:c r="I463" t="str">
        <x:v>Water-soluble wax pastel</x:v>
      </x:c>
      <x:c r="J463" t="str">
        <x:v>Artist</x:v>
      </x:c>
      <x:c r="K463" s="30" t="n">
        <x:v>46</x:v>
      </x:c>
      <x:c r="L463" s="30" t="str">
        <x:v>042</x:v>
      </x:c>
      <x:c r="M463" t="str">
        <x:v>Desert rose</x:v>
      </x:c>
      <x:c r="N463" t="str">
        <x:v>沙漠玫瑰色</x:v>
      </x:c>
      <x:c r="O463" t="str">
        <x:v>デザートローズ</x:v>
      </x:c>
      <x:c r="P463" t="str"/>
      <x:c r="Q463" t="str">
        <x:v>Rose des sables</x:v>
      </x:c>
      <x:c r="R463" t="str">
        <x:v>Wüstenrose</x:v>
      </x:c>
      <x:c r="S463" t="str">
        <x:v>Rosa del deserto</x:v>
      </x:c>
      <x:c r="T463" t="str">
        <x:v>Rosa del desierto</x:v>
      </x:c>
      <x:c r="U463" t="str"/>
      <x:c r="V463" t="str"/>
      <x:c r="W463" t="str"/>
      <x:c r="X463" t="n">
        <x:f>IF(W463="",0,LEN(W463)-LEN(SUBSTITUTE(W463,"/",""))+1)</x:f>
        <x:v>0</x:v>
      </x:c>
      <x:c r="Y463" t="str">
        <x:v>H</x:v>
      </x:c>
      <x:c r="Z463" s="32" t="n">
        <x:v>1.67</x:v>
      </x:c>
      <x:c r="AA463" s="32" t="n">
        <x:v>3</x:v>
      </x:c>
      <x:c r="AB463" s="32" t="str">
        <x:v>Blue Wool Scale / UV 150h</x:v>
      </x:c>
      <x:c r="AC463" t="str">
        <x:v>#FEE5B9</x:v>
      </x:c>
      <x:c r="AD463" s="34" t="n">
        <x:v>254</x:v>
      </x:c>
      <x:c r="AE463" s="34" t="n">
        <x:v>229</x:v>
      </x:c>
      <x:c r="AF463" s="34" t="n">
        <x:v>185</x:v>
      </x:c>
      <x:c r="AG463" s="32" t="n">
        <x:v>38.26</x:v>
      </x:c>
      <x:c r="AH463" s="32" t="n">
        <x:v>97.18</x:v>
      </x:c>
      <x:c r="AI463" s="32" t="n">
        <x:v>86.08</x:v>
      </x:c>
      <x:c r="AJ463" s="32" t="n">
        <x:v>91.96</x:v>
      </x:c>
      <x:c r="AK463" s="32" t="n">
        <x:v>2.07</x:v>
      </x:c>
      <x:c r="AL463" s="32" t="n">
        <x:v>24.61</x:v>
      </x:c>
      <x:c r="AM463" s="32" t="str">
        <x:v>#000000</x:v>
      </x:c>
      <x:c r="AN463" s="32" t="str">
        <x:v>Black</x:v>
      </x:c>
      <x:c r="AO463" s="32" t="n">
        <x:v>17.12</x:v>
      </x:c>
      <x:c r="AP463" s="32" t="n">
        <x:v>17.12</x:v>
      </x:c>
      <x:c r="AQ463" s="32" t="n">
        <x:v>1.23</x:v>
      </x:c>
      <x:c r="AR463" s="32" t="n">
        <x:v>0.806122</x:v>
      </x:c>
      <x:c r="AS463" t="str">
        <x:v>PASS</x:v>
      </x:c>
      <x:c r="AT463" t="str">
        <x:v>--cda-nc2-042</x:v>
      </x:c>
      <x:c r="AU463" t="str">
        <x:v>var(--cda-nc2-042)</x:v>
      </x:c>
      <x:c r="AV463" t="str">
        <x:v>Median RGB from official PDF swatch (screen reference only)</x:v>
      </x:c>
      <x:c r="AW463" t="str">
        <x:v>https://www.carandache.com/content_files/uploaded_doc/product/10603/Colour_Chart_NeocolorII_841.pdf</x:v>
      </x:c>
      <x:c r="AX463" t="n">
        <x:v>1</x:v>
      </x:c>
      <x:c r="AY463" t="str">
        <x:v>Official</x:v>
      </x:c>
      <x:c r="AZ463" t="str">
        <x:v>Official where available; curated Traditional Chinese/Japanese otherwise</x:v>
      </x:c>
      <x:c r="BA463" t="str">
        <x:v>Verified from official chart; digital HEX is approximate</x:v>
      </x:c>
      <x:c r="BB463" t="str">
        <x:v>Physical media appearance varies by paper, pressure, layering, water and scan/display profile.</x:v>
      </x:c>
    </x:row>
    <x:row r="464">
      <x:c r="A464" t="str">
        <x:f>G464&amp;"|"&amp;L464</x:f>
        <x:v>NC2|051</x:v>
      </x:c>
      <x:c r="B464" t="str">
        <x:v>9e3dded9-cac1-5542-ae39-9707dbe7ac96</x:v>
      </x:c>
      <x:c r="C464" t="str">
        <x:v>CDA-NC2-051</x:v>
      </x:c>
      <x:c r="D464" t="str">
        <x:v>ba3d6fa0-5853-50ec-bfad-2bc45415ef04</x:v>
      </x:c>
      <x:c r="E464" t="str">
        <x:v>CDA-CODE-051</x:v>
      </x:c>
      <x:c r="F464" t="str">
        <x:v>Caran d’Ache</x:v>
      </x:c>
      <x:c r="G464" t="str">
        <x:v>NC2</x:v>
      </x:c>
      <x:c r="H464" t="str">
        <x:v>NEOCOLOR II Aquarelle</x:v>
      </x:c>
      <x:c r="I464" t="str">
        <x:v>Water-soluble wax pastel</x:v>
      </x:c>
      <x:c r="J464" t="str">
        <x:v>Artist</x:v>
      </x:c>
      <x:c r="K464" s="30" t="n">
        <x:v>47</x:v>
      </x:c>
      <x:c r="L464" s="30" t="str">
        <x:v>051</x:v>
      </x:c>
      <x:c r="M464" t="str">
        <x:v>Salmon</x:v>
      </x:c>
      <x:c r="N464" t="str">
        <x:v>鮭魚色</x:v>
      </x:c>
      <x:c r="O464" t="str">
        <x:v>サーモン</x:v>
      </x:c>
      <x:c r="P464" t="str"/>
      <x:c r="Q464" t="str">
        <x:v>Saumon</x:v>
      </x:c>
      <x:c r="R464" t="str">
        <x:v>Lachsrot</x:v>
      </x:c>
      <x:c r="S464" t="str">
        <x:v>Salmone</x:v>
      </x:c>
      <x:c r="T464" t="str">
        <x:v>Salmón</x:v>
      </x:c>
      <x:c r="U464" t="str"/>
      <x:c r="V464" t="str"/>
      <x:c r="W464" t="str"/>
      <x:c r="X464" t="n">
        <x:f>IF(W464="",0,LEN(W464)-LEN(SUBSTITUTE(W464,"/",""))+1)</x:f>
        <x:v>0</x:v>
      </x:c>
      <x:c r="Y464" t="str">
        <x:v>H</x:v>
      </x:c>
      <x:c r="Z464" s="32" t="n">
        <x:v>1.67</x:v>
      </x:c>
      <x:c r="AA464" s="32" t="n">
        <x:v>3</x:v>
      </x:c>
      <x:c r="AB464" s="32" t="str">
        <x:v>Blue Wool Scale / UV 150h</x:v>
      </x:c>
      <x:c r="AC464" t="str">
        <x:v>#FDE9D2</x:v>
      </x:c>
      <x:c r="AD464" s="34" t="n">
        <x:v>253</x:v>
      </x:c>
      <x:c r="AE464" s="34" t="n">
        <x:v>233</x:v>
      </x:c>
      <x:c r="AF464" s="34" t="n">
        <x:v>210</x:v>
      </x:c>
      <x:c r="AG464" s="32" t="n">
        <x:v>32.09</x:v>
      </x:c>
      <x:c r="AH464" s="32" t="n">
        <x:v>91.49</x:v>
      </x:c>
      <x:c r="AI464" s="32" t="n">
        <x:v>90.78</x:v>
      </x:c>
      <x:c r="AJ464" s="32" t="n">
        <x:v>93.37</x:v>
      </x:c>
      <x:c r="AK464" s="32" t="n">
        <x:v>3.17</x:v>
      </x:c>
      <x:c r="AL464" s="32" t="n">
        <x:v>13.64</x:v>
      </x:c>
      <x:c r="AM464" s="32" t="str">
        <x:v>#000000</x:v>
      </x:c>
      <x:c r="AN464" s="32" t="str">
        <x:v>Black</x:v>
      </x:c>
      <x:c r="AO464" s="32" t="n">
        <x:v>17.76</x:v>
      </x:c>
      <x:c r="AP464" s="32" t="n">
        <x:v>17.76</x:v>
      </x:c>
      <x:c r="AQ464" s="32" t="n">
        <x:v>1.18</x:v>
      </x:c>
      <x:c r="AR464" s="32" t="n">
        <x:v>0.838136</x:v>
      </x:c>
      <x:c r="AS464" t="str">
        <x:v>PASS</x:v>
      </x:c>
      <x:c r="AT464" t="str">
        <x:v>--cda-nc2-051</x:v>
      </x:c>
      <x:c r="AU464" t="str">
        <x:v>var(--cda-nc2-051)</x:v>
      </x:c>
      <x:c r="AV464" t="str">
        <x:v>Median RGB from official PDF swatch (screen reference only)</x:v>
      </x:c>
      <x:c r="AW464" t="str">
        <x:v>https://www.carandache.com/content_files/uploaded_doc/product/10603/Colour_Chart_NeocolorII_841.pdf</x:v>
      </x:c>
      <x:c r="AX464" t="n">
        <x:v>1</x:v>
      </x:c>
      <x:c r="AY464" t="str">
        <x:v>Official</x:v>
      </x:c>
      <x:c r="AZ464" t="str">
        <x:v>Official where available; curated Traditional Chinese/Japanese otherwise</x:v>
      </x:c>
      <x:c r="BA464" t="str">
        <x:v>Verified from official chart; digital HEX is approximate</x:v>
      </x:c>
      <x:c r="BB464" t="str">
        <x:v>Physical media appearance varies by paper, pressure, layering, water and scan/display profile.</x:v>
      </x:c>
    </x:row>
    <x:row r="465">
      <x:c r="A465" t="str">
        <x:f>G465&amp;"|"&amp;L465</x:f>
        <x:v>NC2|071</x:v>
      </x:c>
      <x:c r="B465" t="str">
        <x:v>aba54352-4f8a-50bd-859c-a058525996c2</x:v>
      </x:c>
      <x:c r="C465" t="str">
        <x:v>CDA-NC2-071</x:v>
      </x:c>
      <x:c r="D465" t="str">
        <x:v>ee2773c8-482d-51ce-83d3-72cc028e5a61</x:v>
      </x:c>
      <x:c r="E465" t="str">
        <x:v>CDA-CODE-071</x:v>
      </x:c>
      <x:c r="F465" t="str">
        <x:v>Caran d’Ache</x:v>
      </x:c>
      <x:c r="G465" t="str">
        <x:v>NC2</x:v>
      </x:c>
      <x:c r="H465" t="str">
        <x:v>NEOCOLOR II Aquarelle</x:v>
      </x:c>
      <x:c r="I465" t="str">
        <x:v>Water-soluble wax pastel</x:v>
      </x:c>
      <x:c r="J465" t="str">
        <x:v>Artist</x:v>
      </x:c>
      <x:c r="K465" s="30" t="n">
        <x:v>48</x:v>
      </x:c>
      <x:c r="L465" s="30" t="str">
        <x:v>071</x:v>
      </x:c>
      <x:c r="M465" t="str">
        <x:v>Salmon pink</x:v>
      </x:c>
      <x:c r="N465" t="str">
        <x:v>鮭魚粉紅</x:v>
      </x:c>
      <x:c r="O465" t="str">
        <x:v>サーモンピンク</x:v>
      </x:c>
      <x:c r="P465" t="str"/>
      <x:c r="Q465" t="str">
        <x:v>Saumon rose</x:v>
      </x:c>
      <x:c r="R465" t="str">
        <x:v>Rosarot</x:v>
      </x:c>
      <x:c r="S465" t="str">
        <x:v>Salmone rosato</x:v>
      </x:c>
      <x:c r="T465" t="str">
        <x:v>Salmón rosa</x:v>
      </x:c>
      <x:c r="U465" t="str"/>
      <x:c r="V465" t="str"/>
      <x:c r="W465" t="str"/>
      <x:c r="X465" t="n">
        <x:f>IF(W465="",0,LEN(W465)-LEN(SUBSTITUTE(W465,"/",""))+1)</x:f>
        <x:v>0</x:v>
      </x:c>
      <x:c r="Y465" t="str">
        <x:v>H</x:v>
      </x:c>
      <x:c r="Z465" s="32" t="n">
        <x:v>1.67</x:v>
      </x:c>
      <x:c r="AA465" s="32" t="n">
        <x:v>3</x:v>
      </x:c>
      <x:c r="AB465" s="32" t="str">
        <x:v>Blue Wool Scale / UV 150h</x:v>
      </x:c>
      <x:c r="AC465" t="str">
        <x:v>#FBD8D4</x:v>
      </x:c>
      <x:c r="AD465" s="34" t="n">
        <x:v>251</x:v>
      </x:c>
      <x:c r="AE465" s="34" t="n">
        <x:v>216</x:v>
      </x:c>
      <x:c r="AF465" s="34" t="n">
        <x:v>212</x:v>
      </x:c>
      <x:c r="AG465" s="32" t="n">
        <x:v>6.15</x:v>
      </x:c>
      <x:c r="AH465" s="32" t="n">
        <x:v>82.98</x:v>
      </x:c>
      <x:c r="AI465" s="32" t="n">
        <x:v>90.78</x:v>
      </x:c>
      <x:c r="AJ465" s="32" t="n">
        <x:v>89.1</x:v>
      </x:c>
      <x:c r="AK465" s="32" t="n">
        <x:v>11.52</x:v>
      </x:c>
      <x:c r="AL465" s="32" t="n">
        <x:v>6.47</x:v>
      </x:c>
      <x:c r="AM465" s="32" t="str">
        <x:v>#000000</x:v>
      </x:c>
      <x:c r="AN465" s="32" t="str">
        <x:v>Black</x:v>
      </x:c>
      <x:c r="AO465" s="32" t="n">
        <x:v>15.87</x:v>
      </x:c>
      <x:c r="AP465" s="32" t="n">
        <x:v>15.87</x:v>
      </x:c>
      <x:c r="AQ465" s="32" t="n">
        <x:v>1.32</x:v>
      </x:c>
      <x:c r="AR465" s="32" t="n">
        <x:v>0.743744</x:v>
      </x:c>
      <x:c r="AS465" t="str">
        <x:v>PASS</x:v>
      </x:c>
      <x:c r="AT465" t="str">
        <x:v>--cda-nc2-071</x:v>
      </x:c>
      <x:c r="AU465" t="str">
        <x:v>var(--cda-nc2-071)</x:v>
      </x:c>
      <x:c r="AV465" t="str">
        <x:v>Median RGB from official PDF swatch (screen reference only)</x:v>
      </x:c>
      <x:c r="AW465" t="str">
        <x:v>https://www.carandache.com/content_files/uploaded_doc/product/10603/Colour_Chart_NeocolorII_841.pdf</x:v>
      </x:c>
      <x:c r="AX465" t="n">
        <x:v>1</x:v>
      </x:c>
      <x:c r="AY465" t="str">
        <x:v>Official</x:v>
      </x:c>
      <x:c r="AZ465" t="str">
        <x:v>Official where available; curated Traditional Chinese/Japanese otherwise</x:v>
      </x:c>
      <x:c r="BA465" t="str">
        <x:v>Verified from official chart; digital HEX is approximate</x:v>
      </x:c>
      <x:c r="BB465" t="str">
        <x:v>Physical media appearance varies by paper, pressure, layering, water and scan/display profile.</x:v>
      </x:c>
    </x:row>
    <x:row r="466">
      <x:c r="A466" t="str">
        <x:f>G466&amp;"|"&amp;L466</x:f>
        <x:v>NC2|081</x:v>
      </x:c>
      <x:c r="B466" t="str">
        <x:v>3711e565-557b-5e7c-9f4a-83e6448373b5</x:v>
      </x:c>
      <x:c r="C466" t="str">
        <x:v>CDA-NC2-081</x:v>
      </x:c>
      <x:c r="D466" t="str">
        <x:v>211a5e8d-3ee2-580c-9d09-b2a3736b420e</x:v>
      </x:c>
      <x:c r="E466" t="str">
        <x:v>CDA-CODE-081</x:v>
      </x:c>
      <x:c r="F466" t="str">
        <x:v>Caran d’Ache</x:v>
      </x:c>
      <x:c r="G466" t="str">
        <x:v>NC2</x:v>
      </x:c>
      <x:c r="H466" t="str">
        <x:v>NEOCOLOR II Aquarelle</x:v>
      </x:c>
      <x:c r="I466" t="str">
        <x:v>Water-soluble wax pastel</x:v>
      </x:c>
      <x:c r="J466" t="str">
        <x:v>Artist</x:v>
      </x:c>
      <x:c r="K466" s="30" t="n">
        <x:v>49</x:v>
      </x:c>
      <x:c r="L466" s="30" t="str">
        <x:v>081</x:v>
      </x:c>
      <x:c r="M466" t="str">
        <x:v>Pink</x:v>
      </x:c>
      <x:c r="N466" t="str">
        <x:v>粉紅色</x:v>
      </x:c>
      <x:c r="O466" t="str">
        <x:v>ピンク</x:v>
      </x:c>
      <x:c r="P466" t="str"/>
      <x:c r="Q466" t="str">
        <x:v>Rose</x:v>
      </x:c>
      <x:c r="R466" t="str">
        <x:v>Rosa</x:v>
      </x:c>
      <x:c r="S466" t="str">
        <x:v>Rosa</x:v>
      </x:c>
      <x:c r="T466" t="str">
        <x:v>Rosa</x:v>
      </x:c>
      <x:c r="U466" t="str"/>
      <x:c r="V466" t="str"/>
      <x:c r="W466" t="str"/>
      <x:c r="X466" t="n">
        <x:f>IF(W466="",0,LEN(W466)-LEN(SUBSTITUTE(W466,"/",""))+1)</x:f>
        <x:v>0</x:v>
      </x:c>
      <x:c r="Y466" t="str">
        <x:v>H</x:v>
      </x:c>
      <x:c r="Z466" s="32" t="n">
        <x:v>1.67</x:v>
      </x:c>
      <x:c r="AA466" s="32" t="n">
        <x:v>3</x:v>
      </x:c>
      <x:c r="AB466" s="32" t="str">
        <x:v>Blue Wool Scale / UV 150h</x:v>
      </x:c>
      <x:c r="AC466" t="str">
        <x:v>#FADBDB</x:v>
      </x:c>
      <x:c r="AD466" s="34" t="n">
        <x:v>250</x:v>
      </x:c>
      <x:c r="AE466" s="34" t="n">
        <x:v>219</x:v>
      </x:c>
      <x:c r="AF466" s="34" t="n">
        <x:v>219</x:v>
      </x:c>
      <x:c r="AG466" s="32" t="n">
        <x:v>0</x:v>
      </x:c>
      <x:c r="AH466" s="32" t="n">
        <x:v>75.61</x:v>
      </x:c>
      <x:c r="AI466" s="32" t="n">
        <x:v>91.96</x:v>
      </x:c>
      <x:c r="AJ466" s="32" t="n">
        <x:v>89.91</x:v>
      </x:c>
      <x:c r="AK466" s="32" t="n">
        <x:v>10.7</x:v>
      </x:c>
      <x:c r="AL466" s="32" t="n">
        <x:v>3.94</x:v>
      </x:c>
      <x:c r="AM466" s="32" t="str">
        <x:v>#000000</x:v>
      </x:c>
      <x:c r="AN466" s="32" t="str">
        <x:v>Black</x:v>
      </x:c>
      <x:c r="AO466" s="32" t="n">
        <x:v>16.22</x:v>
      </x:c>
      <x:c r="AP466" s="32" t="n">
        <x:v>16.22</x:v>
      </x:c>
      <x:c r="AQ466" s="32" t="n">
        <x:v>1.29</x:v>
      </x:c>
      <x:c r="AR466" s="32" t="n">
        <x:v>0.761015</x:v>
      </x:c>
      <x:c r="AS466" t="str">
        <x:v>PASS</x:v>
      </x:c>
      <x:c r="AT466" t="str">
        <x:v>--cda-nc2-081</x:v>
      </x:c>
      <x:c r="AU466" t="str">
        <x:v>var(--cda-nc2-081)</x:v>
      </x:c>
      <x:c r="AV466" t="str">
        <x:v>Median RGB from official PDF swatch (screen reference only)</x:v>
      </x:c>
      <x:c r="AW466" t="str">
        <x:v>https://www.carandache.com/content_files/uploaded_doc/product/10603/Colour_Chart_NeocolorII_841.pdf</x:v>
      </x:c>
      <x:c r="AX466" t="n">
        <x:v>1</x:v>
      </x:c>
      <x:c r="AY466" t="str">
        <x:v>Official</x:v>
      </x:c>
      <x:c r="AZ466" t="str">
        <x:v>Official where available; curated Traditional Chinese/Japanese otherwise</x:v>
      </x:c>
      <x:c r="BA466" t="str">
        <x:v>Verified from official chart; digital HEX is approximate</x:v>
      </x:c>
      <x:c r="BB466" t="str">
        <x:v>Physical media appearance varies by paper, pressure, layering, water and scan/display profile.</x:v>
      </x:c>
    </x:row>
    <x:row r="467">
      <x:c r="A467" t="str">
        <x:f>G467&amp;"|"&amp;L467</x:f>
        <x:v>NC2|090</x:v>
      </x:c>
      <x:c r="B467" t="str">
        <x:v>483beaba-6513-5ecf-ae55-f0cc75f427d7</x:v>
      </x:c>
      <x:c r="C467" t="str">
        <x:v>CDA-NC2-090</x:v>
      </x:c>
      <x:c r="D467" t="str">
        <x:v>b72cc0ea-a75f-581d-91e3-da56df96481d</x:v>
      </x:c>
      <x:c r="E467" t="str">
        <x:v>CDA-CODE-090</x:v>
      </x:c>
      <x:c r="F467" t="str">
        <x:v>Caran d’Ache</x:v>
      </x:c>
      <x:c r="G467" t="str">
        <x:v>NC2</x:v>
      </x:c>
      <x:c r="H467" t="str">
        <x:v>NEOCOLOR II Aquarelle</x:v>
      </x:c>
      <x:c r="I467" t="str">
        <x:v>Water-soluble wax pastel</x:v>
      </x:c>
      <x:c r="J467" t="str">
        <x:v>Artist</x:v>
      </x:c>
      <x:c r="K467" s="30" t="n">
        <x:v>50</x:v>
      </x:c>
      <x:c r="L467" s="30" t="str">
        <x:v>090</x:v>
      </x:c>
      <x:c r="M467" t="str">
        <x:v>Purple</x:v>
      </x:c>
      <x:c r="N467" t="str">
        <x:v>紫色</x:v>
      </x:c>
      <x:c r="O467" t="str">
        <x:v>パープル</x:v>
      </x:c>
      <x:c r="P467" t="str"/>
      <x:c r="Q467" t="str">
        <x:v>Pourpre</x:v>
      </x:c>
      <x:c r="R467" t="str">
        <x:v>Purpur</x:v>
      </x:c>
      <x:c r="S467" t="str">
        <x:v>Porpora</x:v>
      </x:c>
      <x:c r="T467" t="str">
        <x:v>Púrpura</x:v>
      </x:c>
      <x:c r="U467" t="str"/>
      <x:c r="V467" t="str"/>
      <x:c r="W467" t="str"/>
      <x:c r="X467" t="n">
        <x:f>IF(W467="",0,LEN(W467)-LEN(SUBSTITUTE(W467,"/",""))+1)</x:f>
        <x:v>0</x:v>
      </x:c>
      <x:c r="Y467" t="str">
        <x:v>H</x:v>
      </x:c>
      <x:c r="Z467" s="32" t="n">
        <x:v>1.67</x:v>
      </x:c>
      <x:c r="AA467" s="32" t="n">
        <x:v>3</x:v>
      </x:c>
      <x:c r="AB467" s="32" t="str">
        <x:v>Blue Wool Scale / UV 150h</x:v>
      </x:c>
      <x:c r="AC467" t="str">
        <x:v>#EB9BC0</x:v>
      </x:c>
      <x:c r="AD467" s="34" t="n">
        <x:v>235</x:v>
      </x:c>
      <x:c r="AE467" s="34" t="n">
        <x:v>155</x:v>
      </x:c>
      <x:c r="AF467" s="34" t="n">
        <x:v>192</x:v>
      </x:c>
      <x:c r="AG467" s="32" t="n">
        <x:v>332.25</x:v>
      </x:c>
      <x:c r="AH467" s="32" t="n">
        <x:v>66.67</x:v>
      </x:c>
      <x:c r="AI467" s="32" t="n">
        <x:v>76.47</x:v>
      </x:c>
      <x:c r="AJ467" s="32" t="n">
        <x:v>72.84</x:v>
      </x:c>
      <x:c r="AK467" s="32" t="n">
        <x:v>35</x:v>
      </x:c>
      <x:c r="AL467" s="32" t="n">
        <x:v>-6.7</x:v>
      </x:c>
      <x:c r="AM467" s="32" t="str">
        <x:v>#000000</x:v>
      </x:c>
      <x:c r="AN467" s="32" t="str">
        <x:v>Black</x:v>
      </x:c>
      <x:c r="AO467" s="32" t="n">
        <x:v>9.98</x:v>
      </x:c>
      <x:c r="AP467" s="32" t="n">
        <x:v>9.98</x:v>
      </x:c>
      <x:c r="AQ467" s="32" t="n">
        <x:v>2.1</x:v>
      </x:c>
      <x:c r="AR467" s="32" t="n">
        <x:v>0.449106</x:v>
      </x:c>
      <x:c r="AS467" t="str">
        <x:v>PASS</x:v>
      </x:c>
      <x:c r="AT467" t="str">
        <x:v>--cda-nc2-090</x:v>
      </x:c>
      <x:c r="AU467" t="str">
        <x:v>var(--cda-nc2-090)</x:v>
      </x:c>
      <x:c r="AV467" t="str">
        <x:v>Median RGB from official PDF swatch (screen reference only)</x:v>
      </x:c>
      <x:c r="AW467" t="str">
        <x:v>https://www.carandache.com/content_files/uploaded_doc/product/10603/Colour_Chart_NeocolorII_841.pdf</x:v>
      </x:c>
      <x:c r="AX467" t="n">
        <x:v>1</x:v>
      </x:c>
      <x:c r="AY467" t="str">
        <x:v>Official</x:v>
      </x:c>
      <x:c r="AZ467" t="str">
        <x:v>Official where available; curated Traditional Chinese/Japanese otherwise</x:v>
      </x:c>
      <x:c r="BA467" t="str">
        <x:v>Verified from official chart; digital HEX is approximate</x:v>
      </x:c>
      <x:c r="BB467" t="str">
        <x:v>Physical media appearance varies by paper, pressure, layering, water and scan/display profile.</x:v>
      </x:c>
    </x:row>
    <x:row r="468">
      <x:c r="A468" t="str">
        <x:f>G468&amp;"|"&amp;L468</x:f>
        <x:v>NC2|100</x:v>
      </x:c>
      <x:c r="B468" t="str">
        <x:v>f666f9b3-a0a6-586e-815a-a10b367fbda0</x:v>
      </x:c>
      <x:c r="C468" t="str">
        <x:v>CDA-NC2-100</x:v>
      </x:c>
      <x:c r="D468" t="str">
        <x:v>7d7a2fc3-34ef-554f-8f35-f3e2c4355962</x:v>
      </x:c>
      <x:c r="E468" t="str">
        <x:v>CDA-CODE-100</x:v>
      </x:c>
      <x:c r="F468" t="str">
        <x:v>Caran d’Ache</x:v>
      </x:c>
      <x:c r="G468" t="str">
        <x:v>NC2</x:v>
      </x:c>
      <x:c r="H468" t="str">
        <x:v>NEOCOLOR II Aquarelle</x:v>
      </x:c>
      <x:c r="I468" t="str">
        <x:v>Water-soluble wax pastel</x:v>
      </x:c>
      <x:c r="J468" t="str">
        <x:v>Artist</x:v>
      </x:c>
      <x:c r="K468" s="30" t="n">
        <x:v>51</x:v>
      </x:c>
      <x:c r="L468" s="30" t="str">
        <x:v>100</x:v>
      </x:c>
      <x:c r="M468" t="str">
        <x:v>Purple violet</x:v>
      </x:c>
      <x:c r="N468" t="str">
        <x:v>紫羅蘭</x:v>
      </x:c>
      <x:c r="O468" t="str">
        <x:v>パープルバイオレット</x:v>
      </x:c>
      <x:c r="P468" t="str"/>
      <x:c r="Q468" t="str">
        <x:v>Violet pourpre</x:v>
      </x:c>
      <x:c r="R468" t="str">
        <x:v>Purpurviolett</x:v>
      </x:c>
      <x:c r="S468" t="str">
        <x:v>Viola porpora</x:v>
      </x:c>
      <x:c r="T468" t="str">
        <x:v>Violeta púrpura</x:v>
      </x:c>
      <x:c r="U468" t="str"/>
      <x:c r="V468" t="str"/>
      <x:c r="W468" t="str"/>
      <x:c r="X468" t="n">
        <x:f>IF(W468="",0,LEN(W468)-LEN(SUBSTITUTE(W468,"/",""))+1)</x:f>
        <x:v>0</x:v>
      </x:c>
      <x:c r="Y468" t="str">
        <x:v>H</x:v>
      </x:c>
      <x:c r="Z468" s="32" t="n">
        <x:v>1.67</x:v>
      </x:c>
      <x:c r="AA468" s="32" t="n">
        <x:v>3</x:v>
      </x:c>
      <x:c r="AB468" s="32" t="str">
        <x:v>Blue Wool Scale / UV 150h</x:v>
      </x:c>
      <x:c r="AC468" t="str">
        <x:v>#F8D4E2</x:v>
      </x:c>
      <x:c r="AD468" s="34" t="n">
        <x:v>248</x:v>
      </x:c>
      <x:c r="AE468" s="34" t="n">
        <x:v>212</x:v>
      </x:c>
      <x:c r="AF468" s="34" t="n">
        <x:v>226</x:v>
      </x:c>
      <x:c r="AG468" s="32" t="n">
        <x:v>336.67</x:v>
      </x:c>
      <x:c r="AH468" s="32" t="n">
        <x:v>72</x:v>
      </x:c>
      <x:c r="AI468" s="32" t="n">
        <x:v>90.2</x:v>
      </x:c>
      <x:c r="AJ468" s="32" t="n">
        <x:v>88.23</x:v>
      </x:c>
      <x:c r="AK468" s="32" t="n">
        <x:v>14.79</x:v>
      </x:c>
      <x:c r="AL468" s="32" t="n">
        <x:v>-2.21</x:v>
      </x:c>
      <x:c r="AM468" s="32" t="str">
        <x:v>#000000</x:v>
      </x:c>
      <x:c r="AN468" s="32" t="str">
        <x:v>Black</x:v>
      </x:c>
      <x:c r="AO468" s="32" t="n">
        <x:v>15.51</x:v>
      </x:c>
      <x:c r="AP468" s="32" t="n">
        <x:v>15.51</x:v>
      </x:c>
      <x:c r="AQ468" s="32" t="n">
        <x:v>1.35</x:v>
      </x:c>
      <x:c r="AR468" s="32" t="n">
        <x:v>0.725344</x:v>
      </x:c>
      <x:c r="AS468" t="str">
        <x:v>PASS</x:v>
      </x:c>
      <x:c r="AT468" t="str">
        <x:v>--cda-nc2-100</x:v>
      </x:c>
      <x:c r="AU468" t="str">
        <x:v>var(--cda-nc2-100)</x:v>
      </x:c>
      <x:c r="AV468" t="str">
        <x:v>Median RGB from official PDF swatch (screen reference only)</x:v>
      </x:c>
      <x:c r="AW468" t="str">
        <x:v>https://www.carandache.com/content_files/uploaded_doc/product/10603/Colour_Chart_NeocolorII_841.pdf</x:v>
      </x:c>
      <x:c r="AX468" t="n">
        <x:v>1</x:v>
      </x:c>
      <x:c r="AY468" t="str">
        <x:v>Official</x:v>
      </x:c>
      <x:c r="AZ468" t="str">
        <x:v>Official where available; curated Traditional Chinese/Japanese otherwise</x:v>
      </x:c>
      <x:c r="BA468" t="str">
        <x:v>Verified from official chart; digital HEX is approximate</x:v>
      </x:c>
      <x:c r="BB468" t="str">
        <x:v>Physical media appearance varies by paper, pressure, layering, water and scan/display profile.</x:v>
      </x:c>
    </x:row>
    <x:row r="469">
      <x:c r="A469" t="str">
        <x:f>G469&amp;"|"&amp;L469</x:f>
        <x:v>NC2|111</x:v>
      </x:c>
      <x:c r="B469" t="str">
        <x:v>72dd7e22-1503-528e-9667-0d93dd0001b2</x:v>
      </x:c>
      <x:c r="C469" t="str">
        <x:v>CDA-NC2-111</x:v>
      </x:c>
      <x:c r="D469" t="str">
        <x:v>ed48de5b-9fa5-5c31-aede-7207b4fc5200</x:v>
      </x:c>
      <x:c r="E469" t="str">
        <x:v>CDA-CODE-111</x:v>
      </x:c>
      <x:c r="F469" t="str">
        <x:v>Caran d’Ache</x:v>
      </x:c>
      <x:c r="G469" t="str">
        <x:v>NC2</x:v>
      </x:c>
      <x:c r="H469" t="str">
        <x:v>NEOCOLOR II Aquarelle</x:v>
      </x:c>
      <x:c r="I469" t="str">
        <x:v>Water-soluble wax pastel</x:v>
      </x:c>
      <x:c r="J469" t="str">
        <x:v>Artist</x:v>
      </x:c>
      <x:c r="K469" s="30" t="n">
        <x:v>52</x:v>
      </x:c>
      <x:c r="L469" s="30" t="str">
        <x:v>111</x:v>
      </x:c>
      <x:c r="M469" t="str">
        <x:v>Mauve</x:v>
      </x:c>
      <x:c r="N469" t="str">
        <x:v>淡紫色</x:v>
      </x:c>
      <x:c r="O469" t="str">
        <x:v>モーブ</x:v>
      </x:c>
      <x:c r="P469" t="str"/>
      <x:c r="Q469" t="str">
        <x:v>Mauve</x:v>
      </x:c>
      <x:c r="R469" t="str">
        <x:v>Hellrotviolett</x:v>
      </x:c>
      <x:c r="S469" t="str">
        <x:v>Malva</x:v>
      </x:c>
      <x:c r="T469" t="str">
        <x:v>Malva</x:v>
      </x:c>
      <x:c r="U469" t="str"/>
      <x:c r="V469" t="str"/>
      <x:c r="W469" t="str"/>
      <x:c r="X469" t="n">
        <x:f>IF(W469="",0,LEN(W469)-LEN(SUBSTITUTE(W469,"/",""))+1)</x:f>
        <x:v>0</x:v>
      </x:c>
      <x:c r="Y469" t="str">
        <x:v>H</x:v>
      </x:c>
      <x:c r="Z469" s="32" t="n">
        <x:v>1.67</x:v>
      </x:c>
      <x:c r="AA469" s="32" t="n">
        <x:v>3</x:v>
      </x:c>
      <x:c r="AB469" s="32" t="str">
        <x:v>Blue Wool Scale / UV 150h</x:v>
      </x:c>
      <x:c r="AC469" t="str">
        <x:v>#FBE3E9</x:v>
      </x:c>
      <x:c r="AD469" s="34" t="n">
        <x:v>251</x:v>
      </x:c>
      <x:c r="AE469" s="34" t="n">
        <x:v>227</x:v>
      </x:c>
      <x:c r="AF469" s="34" t="n">
        <x:v>233</x:v>
      </x:c>
      <x:c r="AG469" s="32" t="n">
        <x:v>345</x:v>
      </x:c>
      <x:c r="AH469" s="32" t="n">
        <x:v>75</x:v>
      </x:c>
      <x:c r="AI469" s="32" t="n">
        <x:v>93.73</x:v>
      </x:c>
      <x:c r="AJ469" s="32" t="n">
        <x:v>92.28</x:v>
      </x:c>
      <x:c r="AK469" s="32" t="n">
        <x:v>9.19</x:v>
      </x:c>
      <x:c r="AL469" s="32" t="n">
        <x:v>0.07</x:v>
      </x:c>
      <x:c r="AM469" s="32" t="str">
        <x:v>#000000</x:v>
      </x:c>
      <x:c r="AN469" s="32" t="str">
        <x:v>Black</x:v>
      </x:c>
      <x:c r="AO469" s="32" t="n">
        <x:v>17.27</x:v>
      </x:c>
      <x:c r="AP469" s="32" t="n">
        <x:v>17.27</x:v>
      </x:c>
      <x:c r="AQ469" s="32" t="n">
        <x:v>1.22</x:v>
      </x:c>
      <x:c r="AR469" s="32" t="n">
        <x:v>0.813306</x:v>
      </x:c>
      <x:c r="AS469" t="str">
        <x:v>PASS</x:v>
      </x:c>
      <x:c r="AT469" t="str">
        <x:v>--cda-nc2-111</x:v>
      </x:c>
      <x:c r="AU469" t="str">
        <x:v>var(--cda-nc2-111)</x:v>
      </x:c>
      <x:c r="AV469" t="str">
        <x:v>Median RGB from official PDF swatch (screen reference only)</x:v>
      </x:c>
      <x:c r="AW469" t="str">
        <x:v>https://www.carandache.com/content_files/uploaded_doc/product/10603/Colour_Chart_NeocolorII_841.pdf</x:v>
      </x:c>
      <x:c r="AX469" t="n">
        <x:v>1</x:v>
      </x:c>
      <x:c r="AY469" t="str">
        <x:v>Official</x:v>
      </x:c>
      <x:c r="AZ469" t="str">
        <x:v>Official where available; curated Traditional Chinese/Japanese otherwise</x:v>
      </x:c>
      <x:c r="BA469" t="str">
        <x:v>Verified from official chart; digital HEX is approximate</x:v>
      </x:c>
      <x:c r="BB469" t="str">
        <x:v>Physical media appearance varies by paper, pressure, layering, water and scan/display profile.</x:v>
      </x:c>
    </x:row>
    <x:row r="470">
      <x:c r="A470" t="str">
        <x:f>G470&amp;"|"&amp;L470</x:f>
        <x:v>NC2|110</x:v>
      </x:c>
      <x:c r="B470" t="str">
        <x:v>9dac945e-9c22-5982-ba87-4bd8639b21ca</x:v>
      </x:c>
      <x:c r="C470" t="str">
        <x:v>CDA-NC2-110</x:v>
      </x:c>
      <x:c r="D470" t="str">
        <x:v>f0a08db4-689d-598f-a25b-26913808fa89</x:v>
      </x:c>
      <x:c r="E470" t="str">
        <x:v>CDA-CODE-110</x:v>
      </x:c>
      <x:c r="F470" t="str">
        <x:v>Caran d’Ache</x:v>
      </x:c>
      <x:c r="G470" t="str">
        <x:v>NC2</x:v>
      </x:c>
      <x:c r="H470" t="str">
        <x:v>NEOCOLOR II Aquarelle</x:v>
      </x:c>
      <x:c r="I470" t="str">
        <x:v>Water-soluble wax pastel</x:v>
      </x:c>
      <x:c r="J470" t="str">
        <x:v>Artist</x:v>
      </x:c>
      <x:c r="K470" s="30" t="n">
        <x:v>53</x:v>
      </x:c>
      <x:c r="L470" s="30" t="str">
        <x:v>110</x:v>
      </x:c>
      <x:c r="M470" t="str">
        <x:v>Lilac</x:v>
      </x:c>
      <x:c r="N470" t="str">
        <x:v>丁香紫</x:v>
      </x:c>
      <x:c r="O470" t="str">
        <x:v>ライラック</x:v>
      </x:c>
      <x:c r="P470" t="str"/>
      <x:c r="Q470" t="str">
        <x:v>Lilas</x:v>
      </x:c>
      <x:c r="R470" t="str">
        <x:v>Lila</x:v>
      </x:c>
      <x:c r="S470" t="str">
        <x:v>Lilla</x:v>
      </x:c>
      <x:c r="T470" t="str">
        <x:v>Lila</x:v>
      </x:c>
      <x:c r="U470" t="str"/>
      <x:c r="V470" t="str"/>
      <x:c r="W470" t="str"/>
      <x:c r="X470" t="n">
        <x:f>IF(W470="",0,LEN(W470)-LEN(SUBSTITUTE(W470,"/",""))+1)</x:f>
        <x:v>0</x:v>
      </x:c>
      <x:c r="Y470" t="str">
        <x:v>H</x:v>
      </x:c>
      <x:c r="Z470" s="32" t="n">
        <x:v>1.67</x:v>
      </x:c>
      <x:c r="AA470" s="32" t="n">
        <x:v>3</x:v>
      </x:c>
      <x:c r="AB470" s="32" t="str">
        <x:v>Blue Wool Scale / UV 150h</x:v>
      </x:c>
      <x:c r="AC470" t="str">
        <x:v>#F8DFE5</x:v>
      </x:c>
      <x:c r="AD470" s="34" t="n">
        <x:v>248</x:v>
      </x:c>
      <x:c r="AE470" s="34" t="n">
        <x:v>223</x:v>
      </x:c>
      <x:c r="AF470" s="34" t="n">
        <x:v>229</x:v>
      </x:c>
      <x:c r="AG470" s="32" t="n">
        <x:v>345.6</x:v>
      </x:c>
      <x:c r="AH470" s="32" t="n">
        <x:v>64.1</x:v>
      </x:c>
      <x:c r="AI470" s="32" t="n">
        <x:v>92.35</x:v>
      </x:c>
      <x:c r="AJ470" s="32" t="n">
        <x:v>90.96</x:v>
      </x:c>
      <x:c r="AK470" s="32" t="n">
        <x:v>9.56</x:v>
      </x:c>
      <x:c r="AL470" s="32" t="n">
        <x:v>0.2</x:v>
      </x:c>
      <x:c r="AM470" s="32" t="str">
        <x:v>#000000</x:v>
      </x:c>
      <x:c r="AN470" s="32" t="str">
        <x:v>Black</x:v>
      </x:c>
      <x:c r="AO470" s="32" t="n">
        <x:v>16.68</x:v>
      </x:c>
      <x:c r="AP470" s="32" t="n">
        <x:v>16.68</x:v>
      </x:c>
      <x:c r="AQ470" s="32" t="n">
        <x:v>1.26</x:v>
      </x:c>
      <x:c r="AR470" s="32" t="n">
        <x:v>0.78389</x:v>
      </x:c>
      <x:c r="AS470" t="str">
        <x:v>PASS</x:v>
      </x:c>
      <x:c r="AT470" t="str">
        <x:v>--cda-nc2-110</x:v>
      </x:c>
      <x:c r="AU470" t="str">
        <x:v>var(--cda-nc2-110)</x:v>
      </x:c>
      <x:c r="AV470" t="str">
        <x:v>Median RGB from official PDF swatch (screen reference only)</x:v>
      </x:c>
      <x:c r="AW470" t="str">
        <x:v>https://www.carandache.com/content_files/uploaded_doc/product/10603/Colour_Chart_NeocolorII_841.pdf</x:v>
      </x:c>
      <x:c r="AX470" t="n">
        <x:v>1</x:v>
      </x:c>
      <x:c r="AY470" t="str">
        <x:v>Official</x:v>
      </x:c>
      <x:c r="AZ470" t="str">
        <x:v>Official where available; curated Traditional Chinese/Japanese otherwise</x:v>
      </x:c>
      <x:c r="BA470" t="str">
        <x:v>Verified from official chart; digital HEX is approximate</x:v>
      </x:c>
      <x:c r="BB470" t="str">
        <x:v>Physical media appearance varies by paper, pressure, layering, water and scan/display profile.</x:v>
      </x:c>
    </x:row>
    <x:row r="471">
      <x:c r="A471" t="str">
        <x:f>G471&amp;"|"&amp;L471</x:f>
        <x:v>NC2|120</x:v>
      </x:c>
      <x:c r="B471" t="str">
        <x:v>39247a30-1bbc-598f-9c79-a46d2b2d3c41</x:v>
      </x:c>
      <x:c r="C471" t="str">
        <x:v>CDA-NC2-120</x:v>
      </x:c>
      <x:c r="D471" t="str">
        <x:v>fee913f0-b01c-52a4-9be8-3e5be4c01b51</x:v>
      </x:c>
      <x:c r="E471" t="str">
        <x:v>CDA-CODE-120</x:v>
      </x:c>
      <x:c r="F471" t="str">
        <x:v>Caran d’Ache</x:v>
      </x:c>
      <x:c r="G471" t="str">
        <x:v>NC2</x:v>
      </x:c>
      <x:c r="H471" t="str">
        <x:v>NEOCOLOR II Aquarelle</x:v>
      </x:c>
      <x:c r="I471" t="str">
        <x:v>Water-soluble wax pastel</x:v>
      </x:c>
      <x:c r="J471" t="str">
        <x:v>Artist</x:v>
      </x:c>
      <x:c r="K471" s="30" t="n">
        <x:v>54</x:v>
      </x:c>
      <x:c r="L471" s="30" t="str">
        <x:v>120</x:v>
      </x:c>
      <x:c r="M471" t="str">
        <x:v>Violet</x:v>
      </x:c>
      <x:c r="N471" t="str">
        <x:v>紫羅蘭色</x:v>
      </x:c>
      <x:c r="O471" t="str">
        <x:v>バイオレット</x:v>
      </x:c>
      <x:c r="P471" t="str"/>
      <x:c r="Q471" t="str">
        <x:v>Violet</x:v>
      </x:c>
      <x:c r="R471" t="str">
        <x:v>Violett</x:v>
      </x:c>
      <x:c r="S471" t="str">
        <x:v>Violetto</x:v>
      </x:c>
      <x:c r="T471" t="str">
        <x:v>Violeta</x:v>
      </x:c>
      <x:c r="U471" t="str"/>
      <x:c r="V471" t="str"/>
      <x:c r="W471" t="str"/>
      <x:c r="X471" t="n">
        <x:f>IF(W471="",0,LEN(W471)-LEN(SUBSTITUTE(W471,"/",""))+1)</x:f>
        <x:v>0</x:v>
      </x:c>
      <x:c r="Y471" t="str">
        <x:v>H</x:v>
      </x:c>
      <x:c r="Z471" s="32" t="n">
        <x:v>1.67</x:v>
      </x:c>
      <x:c r="AA471" s="32" t="n">
        <x:v>3</x:v>
      </x:c>
      <x:c r="AB471" s="32" t="str">
        <x:v>Blue Wool Scale / UV 150h</x:v>
      </x:c>
      <x:c r="AC471" t="str">
        <x:v>#F2D1E3</x:v>
      </x:c>
      <x:c r="AD471" s="34" t="n">
        <x:v>242</x:v>
      </x:c>
      <x:c r="AE471" s="34" t="n">
        <x:v>209</x:v>
      </x:c>
      <x:c r="AF471" s="34" t="n">
        <x:v>227</x:v>
      </x:c>
      <x:c r="AG471" s="32" t="n">
        <x:v>327.27</x:v>
      </x:c>
      <x:c r="AH471" s="32" t="n">
        <x:v>55.93</x:v>
      </x:c>
      <x:c r="AI471" s="32" t="n">
        <x:v>88.43</x:v>
      </x:c>
      <x:c r="AJ471" s="32" t="n">
        <x:v>87.01</x:v>
      </x:c>
      <x:c r="AK471" s="32" t="n">
        <x:v>14.48</x:v>
      </x:c>
      <x:c r="AL471" s="32" t="n">
        <x:v>-4.59</x:v>
      </x:c>
      <x:c r="AM471" s="32" t="str">
        <x:v>#000000</x:v>
      </x:c>
      <x:c r="AN471" s="32" t="str">
        <x:v>Black</x:v>
      </x:c>
      <x:c r="AO471" s="32" t="n">
        <x:v>15</x:v>
      </x:c>
      <x:c r="AP471" s="32" t="n">
        <x:v>15</x:v>
      </x:c>
      <x:c r="AQ471" s="32" t="n">
        <x:v>1.4</x:v>
      </x:c>
      <x:c r="AR471" s="32" t="n">
        <x:v>0.700242</x:v>
      </x:c>
      <x:c r="AS471" t="str">
        <x:v>PASS</x:v>
      </x:c>
      <x:c r="AT471" t="str">
        <x:v>--cda-nc2-120</x:v>
      </x:c>
      <x:c r="AU471" t="str">
        <x:v>var(--cda-nc2-120)</x:v>
      </x:c>
      <x:c r="AV471" t="str">
        <x:v>Median RGB from official PDF swatch (screen reference only)</x:v>
      </x:c>
      <x:c r="AW471" t="str">
        <x:v>https://www.carandache.com/content_files/uploaded_doc/product/10603/Colour_Chart_NeocolorII_841.pdf</x:v>
      </x:c>
      <x:c r="AX471" t="n">
        <x:v>1</x:v>
      </x:c>
      <x:c r="AY471" t="str">
        <x:v>Official</x:v>
      </x:c>
      <x:c r="AZ471" t="str">
        <x:v>Official where available; curated Traditional Chinese/Japanese otherwise</x:v>
      </x:c>
      <x:c r="BA471" t="str">
        <x:v>Verified from official chart; digital HEX is approximate</x:v>
      </x:c>
      <x:c r="BB471" t="str">
        <x:v>Physical media appearance varies by paper, pressure, layering, water and scan/display profile.</x:v>
      </x:c>
    </x:row>
    <x:row r="472">
      <x:c r="A472" t="str">
        <x:f>G472&amp;"|"&amp;L472</x:f>
        <x:v>NC2|099</x:v>
      </x:c>
      <x:c r="B472" t="str">
        <x:v>6d083a2c-382e-5d9b-884b-34b53a8fc019</x:v>
      </x:c>
      <x:c r="C472" t="str">
        <x:v>CDA-NC2-099</x:v>
      </x:c>
      <x:c r="D472" t="str">
        <x:v>b1a53e2d-72a1-560f-827c-7dd3d112decc</x:v>
      </x:c>
      <x:c r="E472" t="str">
        <x:v>CDA-CODE-099</x:v>
      </x:c>
      <x:c r="F472" t="str">
        <x:v>Caran d’Ache</x:v>
      </x:c>
      <x:c r="G472" t="str">
        <x:v>NC2</x:v>
      </x:c>
      <x:c r="H472" t="str">
        <x:v>NEOCOLOR II Aquarelle</x:v>
      </x:c>
      <x:c r="I472" t="str">
        <x:v>Water-soluble wax pastel</x:v>
      </x:c>
      <x:c r="J472" t="str">
        <x:v>Artist</x:v>
      </x:c>
      <x:c r="K472" s="30" t="n">
        <x:v>55</x:v>
      </x:c>
      <x:c r="L472" s="30" t="str">
        <x:v>099</x:v>
      </x:c>
      <x:c r="M472" t="str">
        <x:v>Aubergine</x:v>
      </x:c>
      <x:c r="N472" t="str">
        <x:v>茄紫色</x:v>
      </x:c>
      <x:c r="O472" t="str">
        <x:v>オーベルジーヌ</x:v>
      </x:c>
      <x:c r="P472" t="str"/>
      <x:c r="Q472" t="str">
        <x:v>Aubergine</x:v>
      </x:c>
      <x:c r="R472" t="str">
        <x:v>Aubergine</x:v>
      </x:c>
      <x:c r="S472" t="str">
        <x:v>Melanzana</x:v>
      </x:c>
      <x:c r="T472" t="str">
        <x:v>Berenjena</x:v>
      </x:c>
      <x:c r="U472" t="str"/>
      <x:c r="V472" t="str"/>
      <x:c r="W472" t="str"/>
      <x:c r="X472" t="n">
        <x:f>IF(W472="",0,LEN(W472)-LEN(SUBSTITUTE(W472,"/",""))+1)</x:f>
        <x:v>0</x:v>
      </x:c>
      <x:c r="Y472" t="str">
        <x:v>H</x:v>
      </x:c>
      <x:c r="Z472" s="32" t="n">
        <x:v>1.67</x:v>
      </x:c>
      <x:c r="AA472" s="32" t="n">
        <x:v>3</x:v>
      </x:c>
      <x:c r="AB472" s="32" t="str">
        <x:v>Blue Wool Scale / UV 150h</x:v>
      </x:c>
      <x:c r="AC472" t="str">
        <x:v>#F0DFE3</x:v>
      </x:c>
      <x:c r="AD472" s="34" t="n">
        <x:v>240</x:v>
      </x:c>
      <x:c r="AE472" s="34" t="n">
        <x:v>223</x:v>
      </x:c>
      <x:c r="AF472" s="34" t="n">
        <x:v>227</x:v>
      </x:c>
      <x:c r="AG472" s="32" t="n">
        <x:v>345.88</x:v>
      </x:c>
      <x:c r="AH472" s="32" t="n">
        <x:v>36.17</x:v>
      </x:c>
      <x:c r="AI472" s="32" t="n">
        <x:v>90.78</x:v>
      </x:c>
      <x:c r="AJ472" s="32" t="n">
        <x:v>90.25</x:v>
      </x:c>
      <x:c r="AK472" s="32" t="n">
        <x:v>6.48</x:v>
      </x:c>
      <x:c r="AL472" s="32" t="n">
        <x:v>0.14</x:v>
      </x:c>
      <x:c r="AM472" s="32" t="str">
        <x:v>#000000</x:v>
      </x:c>
      <x:c r="AN472" s="32" t="str">
        <x:v>Black</x:v>
      </x:c>
      <x:c r="AO472" s="32" t="n">
        <x:v>16.37</x:v>
      </x:c>
      <x:c r="AP472" s="32" t="n">
        <x:v>16.37</x:v>
      </x:c>
      <x:c r="AQ472" s="32" t="n">
        <x:v>1.28</x:v>
      </x:c>
      <x:c r="AR472" s="32" t="n">
        <x:v>0.768467</x:v>
      </x:c>
      <x:c r="AS472" t="str">
        <x:v>PASS</x:v>
      </x:c>
      <x:c r="AT472" t="str">
        <x:v>--cda-nc2-099</x:v>
      </x:c>
      <x:c r="AU472" t="str">
        <x:v>var(--cda-nc2-099)</x:v>
      </x:c>
      <x:c r="AV472" t="str">
        <x:v>Median RGB from official PDF swatch (screen reference only)</x:v>
      </x:c>
      <x:c r="AW472" t="str">
        <x:v>https://www.carandache.com/content_files/uploaded_doc/product/10603/Colour_Chart_NeocolorII_841.pdf</x:v>
      </x:c>
      <x:c r="AX472" t="n">
        <x:v>1</x:v>
      </x:c>
      <x:c r="AY472" t="str">
        <x:v>Official</x:v>
      </x:c>
      <x:c r="AZ472" t="str">
        <x:v>Official where available; curated Traditional Chinese/Japanese otherwise</x:v>
      </x:c>
      <x:c r="BA472" t="str">
        <x:v>Verified from official chart; digital HEX is approximate</x:v>
      </x:c>
      <x:c r="BB472" t="str">
        <x:v>Physical media appearance varies by paper, pressure, layering, water and scan/display profile.</x:v>
      </x:c>
    </x:row>
    <x:row r="473">
      <x:c r="A473" t="str">
        <x:f>G473&amp;"|"&amp;L473</x:f>
        <x:v>NC2|139</x:v>
      </x:c>
      <x:c r="B473" t="str">
        <x:v>e55e9636-d3b6-589c-b283-50634bd8142c</x:v>
      </x:c>
      <x:c r="C473" t="str">
        <x:v>CDA-NC2-139</x:v>
      </x:c>
      <x:c r="D473" t="str">
        <x:v>82319dcf-1981-54ac-8bc2-b72f5862f24d</x:v>
      </x:c>
      <x:c r="E473" t="str">
        <x:v>CDA-CODE-139</x:v>
      </x:c>
      <x:c r="F473" t="str">
        <x:v>Caran d’Ache</x:v>
      </x:c>
      <x:c r="G473" t="str">
        <x:v>NC2</x:v>
      </x:c>
      <x:c r="H473" t="str">
        <x:v>NEOCOLOR II Aquarelle</x:v>
      </x:c>
      <x:c r="I473" t="str">
        <x:v>Water-soluble wax pastel</x:v>
      </x:c>
      <x:c r="J473" t="str">
        <x:v>Artist</x:v>
      </x:c>
      <x:c r="K473" s="30" t="n">
        <x:v>56</x:v>
      </x:c>
      <x:c r="L473" s="30" t="str">
        <x:v>139</x:v>
      </x:c>
      <x:c r="M473" t="str">
        <x:v>Indigo blue</x:v>
      </x:c>
      <x:c r="N473" t="str">
        <x:v>靛藍</x:v>
      </x:c>
      <x:c r="O473" t="str">
        <x:v>インディゴブルー</x:v>
      </x:c>
      <x:c r="P473" t="str"/>
      <x:c r="Q473" t="str">
        <x:v>Bleu indigo</x:v>
      </x:c>
      <x:c r="R473" t="str">
        <x:v>Indigoblau</x:v>
      </x:c>
      <x:c r="S473" t="str">
        <x:v>Indaco</x:v>
      </x:c>
      <x:c r="T473" t="str">
        <x:v>Azul índigo</x:v>
      </x:c>
      <x:c r="U473" t="str"/>
      <x:c r="V473" t="str"/>
      <x:c r="W473" t="str"/>
      <x:c r="X473" t="n">
        <x:f>IF(W473="",0,LEN(W473)-LEN(SUBSTITUTE(W473,"/",""))+1)</x:f>
        <x:v>0</x:v>
      </x:c>
      <x:c r="Y473" t="str">
        <x:v>H</x:v>
      </x:c>
      <x:c r="Z473" s="32" t="n">
        <x:v>1.67</x:v>
      </x:c>
      <x:c r="AA473" s="32" t="n">
        <x:v>3</x:v>
      </x:c>
      <x:c r="AB473" s="32" t="str">
        <x:v>Blue Wool Scale / UV 150h</x:v>
      </x:c>
      <x:c r="AC473" t="str">
        <x:v>#BDB7CE</x:v>
      </x:c>
      <x:c r="AD473" s="34" t="n">
        <x:v>189</x:v>
      </x:c>
      <x:c r="AE473" s="34" t="n">
        <x:v>183</x:v>
      </x:c>
      <x:c r="AF473" s="34" t="n">
        <x:v>206</x:v>
      </x:c>
      <x:c r="AG473" s="32" t="n">
        <x:v>255.65</x:v>
      </x:c>
      <x:c r="AH473" s="32" t="n">
        <x:v>19.01</x:v>
      </x:c>
      <x:c r="AI473" s="32" t="n">
        <x:v>76.27</x:v>
      </x:c>
      <x:c r="AJ473" s="32" t="n">
        <x:v>75.54</x:v>
      </x:c>
      <x:c r="AK473" s="32" t="n">
        <x:v>6.51</x:v>
      </x:c>
      <x:c r="AL473" s="32" t="n">
        <x:v>-10.82</x:v>
      </x:c>
      <x:c r="AM473" s="32" t="str">
        <x:v>#000000</x:v>
      </x:c>
      <x:c r="AN473" s="32" t="str">
        <x:v>Black</x:v>
      </x:c>
      <x:c r="AO473" s="32" t="n">
        <x:v>10.83</x:v>
      </x:c>
      <x:c r="AP473" s="32" t="n">
        <x:v>10.83</x:v>
      </x:c>
      <x:c r="AQ473" s="32" t="n">
        <x:v>1.94</x:v>
      </x:c>
      <x:c r="AR473" s="32" t="n">
        <x:v>0.49142</x:v>
      </x:c>
      <x:c r="AS473" t="str">
        <x:v>PASS</x:v>
      </x:c>
      <x:c r="AT473" t="str">
        <x:v>--cda-nc2-139</x:v>
      </x:c>
      <x:c r="AU473" t="str">
        <x:v>var(--cda-nc2-139)</x:v>
      </x:c>
      <x:c r="AV473" t="str">
        <x:v>Median RGB from official PDF swatch (screen reference only)</x:v>
      </x:c>
      <x:c r="AW473" t="str">
        <x:v>https://www.carandache.com/content_files/uploaded_doc/product/10603/Colour_Chart_NeocolorII_841.pdf</x:v>
      </x:c>
      <x:c r="AX473" t="n">
        <x:v>1</x:v>
      </x:c>
      <x:c r="AY473" t="str">
        <x:v>Official</x:v>
      </x:c>
      <x:c r="AZ473" t="str">
        <x:v>Official where available; curated Traditional Chinese/Japanese otherwise</x:v>
      </x:c>
      <x:c r="BA473" t="str">
        <x:v>Verified from official chart; digital HEX is approximate</x:v>
      </x:c>
      <x:c r="BB473" t="str">
        <x:v>Physical media appearance varies by paper, pressure, layering, water and scan/display profile.</x:v>
      </x:c>
    </x:row>
    <x:row r="474">
      <x:c r="A474" t="str">
        <x:f>G474&amp;"|"&amp;L474</x:f>
        <x:v>NC2|149</x:v>
      </x:c>
      <x:c r="B474" t="str">
        <x:v>57265567-0ad6-5f2f-ad16-954209044a75</x:v>
      </x:c>
      <x:c r="C474" t="str">
        <x:v>CDA-NC2-149</x:v>
      </x:c>
      <x:c r="D474" t="str">
        <x:v>b0b0f599-0beb-5dd7-b398-ef01ad96ff1b</x:v>
      </x:c>
      <x:c r="E474" t="str">
        <x:v>CDA-CODE-149</x:v>
      </x:c>
      <x:c r="F474" t="str">
        <x:v>Caran d’Ache</x:v>
      </x:c>
      <x:c r="G474" t="str">
        <x:v>NC2</x:v>
      </x:c>
      <x:c r="H474" t="str">
        <x:v>NEOCOLOR II Aquarelle</x:v>
      </x:c>
      <x:c r="I474" t="str">
        <x:v>Water-soluble wax pastel</x:v>
      </x:c>
      <x:c r="J474" t="str">
        <x:v>Artist</x:v>
      </x:c>
      <x:c r="K474" s="30" t="n">
        <x:v>57</x:v>
      </x:c>
      <x:c r="L474" s="30" t="str">
        <x:v>149</x:v>
      </x:c>
      <x:c r="M474" t="str">
        <x:v>Night blue</x:v>
      </x:c>
      <x:c r="N474" t="str">
        <x:v>夜藍</x:v>
      </x:c>
      <x:c r="O474" t="str">
        <x:v>ナイトブルー</x:v>
      </x:c>
      <x:c r="P474" t="str"/>
      <x:c r="Q474" t="str">
        <x:v>Bleu nuit</x:v>
      </x:c>
      <x:c r="R474" t="str">
        <x:v>Nachtblau</x:v>
      </x:c>
      <x:c r="S474" t="str">
        <x:v>Blu notte</x:v>
      </x:c>
      <x:c r="T474" t="str">
        <x:v>Azul noche</x:v>
      </x:c>
      <x:c r="U474" t="str"/>
      <x:c r="V474" t="str"/>
      <x:c r="W474" t="str"/>
      <x:c r="X474" t="n">
        <x:f>IF(W474="",0,LEN(W474)-LEN(SUBSTITUTE(W474,"/",""))+1)</x:f>
        <x:v>0</x:v>
      </x:c>
      <x:c r="Y474" t="str">
        <x:v>H</x:v>
      </x:c>
      <x:c r="Z474" s="32" t="n">
        <x:v>1.67</x:v>
      </x:c>
      <x:c r="AA474" s="32" t="n">
        <x:v>3</x:v>
      </x:c>
      <x:c r="AB474" s="32" t="str">
        <x:v>Blue Wool Scale / UV 150h</x:v>
      </x:c>
      <x:c r="AC474" t="str">
        <x:v>#CDDCEB</x:v>
      </x:c>
      <x:c r="AD474" s="34" t="n">
        <x:v>205</x:v>
      </x:c>
      <x:c r="AE474" s="34" t="n">
        <x:v>220</x:v>
      </x:c>
      <x:c r="AF474" s="34" t="n">
        <x:v>235</x:v>
      </x:c>
      <x:c r="AG474" s="32" t="n">
        <x:v>210</x:v>
      </x:c>
      <x:c r="AH474" s="32" t="n">
        <x:v>42.86</x:v>
      </x:c>
      <x:c r="AI474" s="32" t="n">
        <x:v>86.27</x:v>
      </x:c>
      <x:c r="AJ474" s="32" t="n">
        <x:v>87.08</x:v>
      </x:c>
      <x:c r="AK474" s="32" t="n">
        <x:v>-2.06</x:v>
      </x:c>
      <x:c r="AL474" s="32" t="n">
        <x:v>-9.04</x:v>
      </x:c>
      <x:c r="AM474" s="32" t="str">
        <x:v>#000000</x:v>
      </x:c>
      <x:c r="AN474" s="32" t="str">
        <x:v>Black</x:v>
      </x:c>
      <x:c r="AO474" s="32" t="n">
        <x:v>15.03</x:v>
      </x:c>
      <x:c r="AP474" s="32" t="n">
        <x:v>15.03</x:v>
      </x:c>
      <x:c r="AQ474" s="32" t="n">
        <x:v>1.4</x:v>
      </x:c>
      <x:c r="AR474" s="32" t="n">
        <x:v>0.701637</x:v>
      </x:c>
      <x:c r="AS474" t="str">
        <x:v>PASS</x:v>
      </x:c>
      <x:c r="AT474" t="str">
        <x:v>--cda-nc2-149</x:v>
      </x:c>
      <x:c r="AU474" t="str">
        <x:v>var(--cda-nc2-149)</x:v>
      </x:c>
      <x:c r="AV474" t="str">
        <x:v>Median RGB from official PDF swatch (screen reference only)</x:v>
      </x:c>
      <x:c r="AW474" t="str">
        <x:v>https://www.carandache.com/content_files/uploaded_doc/product/10603/Colour_Chart_NeocolorII_841.pdf</x:v>
      </x:c>
      <x:c r="AX474" t="n">
        <x:v>1</x:v>
      </x:c>
      <x:c r="AY474" t="str">
        <x:v>Official</x:v>
      </x:c>
      <x:c r="AZ474" t="str">
        <x:v>Official where available; curated Traditional Chinese/Japanese otherwise</x:v>
      </x:c>
      <x:c r="BA474" t="str">
        <x:v>Verified from official chart; digital HEX is approximate</x:v>
      </x:c>
      <x:c r="BB474" t="str">
        <x:v>Physical media appearance varies by paper, pressure, layering, water and scan/display profile.</x:v>
      </x:c>
    </x:row>
    <x:row r="475">
      <x:c r="A475" t="str">
        <x:f>G475&amp;"|"&amp;L475</x:f>
        <x:v>NC2|159</x:v>
      </x:c>
      <x:c r="B475" t="str">
        <x:v>a15cff28-96be-5f45-a883-6dcc8ed875b5</x:v>
      </x:c>
      <x:c r="C475" t="str">
        <x:v>CDA-NC2-159</x:v>
      </x:c>
      <x:c r="D475" t="str">
        <x:v>08addc77-b004-586f-abb1-86a724f3b33e</x:v>
      </x:c>
      <x:c r="E475" t="str">
        <x:v>CDA-CODE-159</x:v>
      </x:c>
      <x:c r="F475" t="str">
        <x:v>Caran d’Ache</x:v>
      </x:c>
      <x:c r="G475" t="str">
        <x:v>NC2</x:v>
      </x:c>
      <x:c r="H475" t="str">
        <x:v>NEOCOLOR II Aquarelle</x:v>
      </x:c>
      <x:c r="I475" t="str">
        <x:v>Water-soluble wax pastel</x:v>
      </x:c>
      <x:c r="J475" t="str">
        <x:v>Artist</x:v>
      </x:c>
      <x:c r="K475" s="30" t="n">
        <x:v>58</x:v>
      </x:c>
      <x:c r="L475" s="30" t="str">
        <x:v>159</x:v>
      </x:c>
      <x:c r="M475" t="str">
        <x:v>Prussian blue</x:v>
      </x:c>
      <x:c r="N475" t="str">
        <x:v>普魯士藍</x:v>
      </x:c>
      <x:c r="O475" t="str">
        <x:v>プルシャンブルー</x:v>
      </x:c>
      <x:c r="P475" t="str"/>
      <x:c r="Q475" t="str">
        <x:v>Bleu de Prusse</x:v>
      </x:c>
      <x:c r="R475" t="str">
        <x:v>Preussischblau</x:v>
      </x:c>
      <x:c r="S475" t="str">
        <x:v>Blu di Prussia</x:v>
      </x:c>
      <x:c r="T475" t="str">
        <x:v>Azul de Prusia</x:v>
      </x:c>
      <x:c r="U475" t="str"/>
      <x:c r="V475" t="str"/>
      <x:c r="W475" t="str"/>
      <x:c r="X475" t="n">
        <x:f>IF(W475="",0,LEN(W475)-LEN(SUBSTITUTE(W475,"/",""))+1)</x:f>
        <x:v>0</x:v>
      </x:c>
      <x:c r="Y475" t="str">
        <x:v>H</x:v>
      </x:c>
      <x:c r="Z475" s="32" t="n">
        <x:v>1.67</x:v>
      </x:c>
      <x:c r="AA475" s="32" t="n">
        <x:v>3</x:v>
      </x:c>
      <x:c r="AB475" s="32" t="str">
        <x:v>Blue Wool Scale / UV 150h</x:v>
      </x:c>
      <x:c r="AC475" t="str">
        <x:v>#C0DFEF</x:v>
      </x:c>
      <x:c r="AD475" s="34" t="n">
        <x:v>192</x:v>
      </x:c>
      <x:c r="AE475" s="34" t="n">
        <x:v>223</x:v>
      </x:c>
      <x:c r="AF475" s="34" t="n">
        <x:v>239</x:v>
      </x:c>
      <x:c r="AG475" s="32" t="n">
        <x:v>200.43</x:v>
      </x:c>
      <x:c r="AH475" s="32" t="n">
        <x:v>59.49</x:v>
      </x:c>
      <x:c r="AI475" s="32" t="n">
        <x:v>84.51</x:v>
      </x:c>
      <x:c r="AJ475" s="32" t="n">
        <x:v>87.1</x:v>
      </x:c>
      <x:c r="AK475" s="32" t="n">
        <x:v>-6.84</x:v>
      </x:c>
      <x:c r="AL475" s="32" t="n">
        <x:v>-11.21</x:v>
      </x:c>
      <x:c r="AM475" s="32" t="str">
        <x:v>#000000</x:v>
      </x:c>
      <x:c r="AN475" s="32" t="str">
        <x:v>Black</x:v>
      </x:c>
      <x:c r="AO475" s="32" t="n">
        <x:v>15.04</x:v>
      </x:c>
      <x:c r="AP475" s="32" t="n">
        <x:v>15.04</x:v>
      </x:c>
      <x:c r="AQ475" s="32" t="n">
        <x:v>1.4</x:v>
      </x:c>
      <x:c r="AR475" s="32" t="n">
        <x:v>0.702138</x:v>
      </x:c>
      <x:c r="AS475" t="str">
        <x:v>PASS</x:v>
      </x:c>
      <x:c r="AT475" t="str">
        <x:v>--cda-nc2-159</x:v>
      </x:c>
      <x:c r="AU475" t="str">
        <x:v>var(--cda-nc2-159)</x:v>
      </x:c>
      <x:c r="AV475" t="str">
        <x:v>Median RGB from official PDF swatch (screen reference only)</x:v>
      </x:c>
      <x:c r="AW475" t="str">
        <x:v>https://www.carandache.com/content_files/uploaded_doc/product/10603/Colour_Chart_NeocolorII_841.pdf</x:v>
      </x:c>
      <x:c r="AX475" t="n">
        <x:v>1</x:v>
      </x:c>
      <x:c r="AY475" t="str">
        <x:v>Official</x:v>
      </x:c>
      <x:c r="AZ475" t="str">
        <x:v>Official where available; curated Traditional Chinese/Japanese otherwise</x:v>
      </x:c>
      <x:c r="BA475" t="str">
        <x:v>Verified from official chart; digital HEX is approximate</x:v>
      </x:c>
      <x:c r="BB475" t="str">
        <x:v>Physical media appearance varies by paper, pressure, layering, water and scan/display profile.</x:v>
      </x:c>
    </x:row>
    <x:row r="476">
      <x:c r="A476" t="str">
        <x:f>G476&amp;"|"&amp;L476</x:f>
        <x:v>NC2|130</x:v>
      </x:c>
      <x:c r="B476" t="str">
        <x:v>7d82399c-4b3b-5ff6-8b3e-4b5dfb7e3b1a</x:v>
      </x:c>
      <x:c r="C476" t="str">
        <x:v>CDA-NC2-130</x:v>
      </x:c>
      <x:c r="D476" t="str">
        <x:v>43c027dd-6187-531d-b042-64d6d78c816b</x:v>
      </x:c>
      <x:c r="E476" t="str">
        <x:v>CDA-CODE-130</x:v>
      </x:c>
      <x:c r="F476" t="str">
        <x:v>Caran d’Ache</x:v>
      </x:c>
      <x:c r="G476" t="str">
        <x:v>NC2</x:v>
      </x:c>
      <x:c r="H476" t="str">
        <x:v>NEOCOLOR II Aquarelle</x:v>
      </x:c>
      <x:c r="I476" t="str">
        <x:v>Water-soluble wax pastel</x:v>
      </x:c>
      <x:c r="J476" t="str">
        <x:v>Artist</x:v>
      </x:c>
      <x:c r="K476" s="30" t="n">
        <x:v>59</x:v>
      </x:c>
      <x:c r="L476" s="30" t="str">
        <x:v>130</x:v>
      </x:c>
      <x:c r="M476" t="str">
        <x:v>Royal blue</x:v>
      </x:c>
      <x:c r="N476" t="str">
        <x:v>皇家藍</x:v>
      </x:c>
      <x:c r="O476" t="str">
        <x:v>ロイヤルブルー</x:v>
      </x:c>
      <x:c r="P476" t="str"/>
      <x:c r="Q476" t="str">
        <x:v>Bleu royal</x:v>
      </x:c>
      <x:c r="R476" t="str">
        <x:v>Königsblau</x:v>
      </x:c>
      <x:c r="S476" t="str">
        <x:v>Blu royal</x:v>
      </x:c>
      <x:c r="T476" t="str">
        <x:v>Azul real</x:v>
      </x:c>
      <x:c r="U476" t="str"/>
      <x:c r="V476" t="str"/>
      <x:c r="W476" t="str"/>
      <x:c r="X476" t="n">
        <x:f>IF(W476="",0,LEN(W476)-LEN(SUBSTITUTE(W476,"/",""))+1)</x:f>
        <x:v>0</x:v>
      </x:c>
      <x:c r="Y476" t="str">
        <x:v>H</x:v>
      </x:c>
      <x:c r="Z476" s="32" t="n">
        <x:v>1.67</x:v>
      </x:c>
      <x:c r="AA476" s="32" t="n">
        <x:v>3</x:v>
      </x:c>
      <x:c r="AB476" s="32" t="str">
        <x:v>Blue Wool Scale / UV 150h</x:v>
      </x:c>
      <x:c r="AC476" t="str">
        <x:v>#B9B8D9</x:v>
      </x:c>
      <x:c r="AD476" s="34" t="n">
        <x:v>185</x:v>
      </x:c>
      <x:c r="AE476" s="34" t="n">
        <x:v>184</x:v>
      </x:c>
      <x:c r="AF476" s="34" t="n">
        <x:v>217</x:v>
      </x:c>
      <x:c r="AG476" s="32" t="n">
        <x:v>241.82</x:v>
      </x:c>
      <x:c r="AH476" s="32" t="n">
        <x:v>30.28</x:v>
      </x:c>
      <x:c r="AI476" s="32" t="n">
        <x:v>78.63</x:v>
      </x:c>
      <x:c r="AJ476" s="32" t="n">
        <x:v>75.83</x:v>
      </x:c>
      <x:c r="AK476" s="32" t="n">
        <x:v>6.94</x:v>
      </x:c>
      <x:c r="AL476" s="32" t="n">
        <x:v>-16.4</x:v>
      </x:c>
      <x:c r="AM476" s="32" t="str">
        <x:v>#000000</x:v>
      </x:c>
      <x:c r="AN476" s="32" t="str">
        <x:v>Black</x:v>
      </x:c>
      <x:c r="AO476" s="32" t="n">
        <x:v>10.92</x:v>
      </x:c>
      <x:c r="AP476" s="32" t="n">
        <x:v>10.92</x:v>
      </x:c>
      <x:c r="AQ476" s="32" t="n">
        <x:v>1.92</x:v>
      </x:c>
      <x:c r="AR476" s="32" t="n">
        <x:v>0.49605</x:v>
      </x:c>
      <x:c r="AS476" t="str">
        <x:v>PASS</x:v>
      </x:c>
      <x:c r="AT476" t="str">
        <x:v>--cda-nc2-130</x:v>
      </x:c>
      <x:c r="AU476" t="str">
        <x:v>var(--cda-nc2-130)</x:v>
      </x:c>
      <x:c r="AV476" t="str">
        <x:v>Median RGB from official PDF swatch (screen reference only)</x:v>
      </x:c>
      <x:c r="AW476" t="str">
        <x:v>https://www.carandache.com/content_files/uploaded_doc/product/10603/Colour_Chart_NeocolorII_841.pdf</x:v>
      </x:c>
      <x:c r="AX476" t="n">
        <x:v>1</x:v>
      </x:c>
      <x:c r="AY476" t="str">
        <x:v>Official</x:v>
      </x:c>
      <x:c r="AZ476" t="str">
        <x:v>Official where available; curated Traditional Chinese/Japanese otherwise</x:v>
      </x:c>
      <x:c r="BA476" t="str">
        <x:v>Verified from official chart; digital HEX is approximate</x:v>
      </x:c>
      <x:c r="BB476" t="str">
        <x:v>Physical media appearance varies by paper, pressure, layering, water and scan/display profile.</x:v>
      </x:c>
    </x:row>
    <x:row r="477">
      <x:c r="A477" t="str">
        <x:f>G477&amp;"|"&amp;L477</x:f>
        <x:v>NC2|140</x:v>
      </x:c>
      <x:c r="B477" t="str">
        <x:v>026639f3-e805-5f33-a501-18d570590545</x:v>
      </x:c>
      <x:c r="C477" t="str">
        <x:v>CDA-NC2-140</x:v>
      </x:c>
      <x:c r="D477" t="str">
        <x:v>1cc51d9d-3506-5022-8478-a1ae9af587e8</x:v>
      </x:c>
      <x:c r="E477" t="str">
        <x:v>CDA-CODE-140</x:v>
      </x:c>
      <x:c r="F477" t="str">
        <x:v>Caran d’Ache</x:v>
      </x:c>
      <x:c r="G477" t="str">
        <x:v>NC2</x:v>
      </x:c>
      <x:c r="H477" t="str">
        <x:v>NEOCOLOR II Aquarelle</x:v>
      </x:c>
      <x:c r="I477" t="str">
        <x:v>Water-soluble wax pastel</x:v>
      </x:c>
      <x:c r="J477" t="str">
        <x:v>Artist</x:v>
      </x:c>
      <x:c r="K477" s="30" t="n">
        <x:v>60</x:v>
      </x:c>
      <x:c r="L477" s="30" t="str">
        <x:v>140</x:v>
      </x:c>
      <x:c r="M477" t="str">
        <x:v>Ultramarine</x:v>
      </x:c>
      <x:c r="N477" t="str">
        <x:v>群青</x:v>
      </x:c>
      <x:c r="O477" t="str">
        <x:v>ウルトラマリン</x:v>
      </x:c>
      <x:c r="P477" t="str"/>
      <x:c r="Q477" t="str">
        <x:v>Bleu outremer</x:v>
      </x:c>
      <x:c r="R477" t="str">
        <x:v>Ultramarinblau</x:v>
      </x:c>
      <x:c r="S477" t="str">
        <x:v>Blu oltremare</x:v>
      </x:c>
      <x:c r="T477" t="str">
        <x:v>Azul ultramar</x:v>
      </x:c>
      <x:c r="U477" t="str"/>
      <x:c r="V477" t="str"/>
      <x:c r="W477" t="str"/>
      <x:c r="X477" t="n">
        <x:f>IF(W477="",0,LEN(W477)-LEN(SUBSTITUTE(W477,"/",""))+1)</x:f>
        <x:v>0</x:v>
      </x:c>
      <x:c r="Y477" t="str">
        <x:v>H</x:v>
      </x:c>
      <x:c r="Z477" s="32" t="n">
        <x:v>1.67</x:v>
      </x:c>
      <x:c r="AA477" s="32" t="n">
        <x:v>3</x:v>
      </x:c>
      <x:c r="AB477" s="32" t="str">
        <x:v>Blue Wool Scale / UV 150h</x:v>
      </x:c>
      <x:c r="AC477" t="str">
        <x:v>#DFE2EC</x:v>
      </x:c>
      <x:c r="AD477" s="34" t="n">
        <x:v>223</x:v>
      </x:c>
      <x:c r="AE477" s="34" t="n">
        <x:v>226</x:v>
      </x:c>
      <x:c r="AF477" s="34" t="n">
        <x:v>236</x:v>
      </x:c>
      <x:c r="AG477" s="32" t="n">
        <x:v>226.15</x:v>
      </x:c>
      <x:c r="AH477" s="32" t="n">
        <x:v>25.49</x:v>
      </x:c>
      <x:c r="AI477" s="32" t="n">
        <x:v>90</x:v>
      </x:c>
      <x:c r="AJ477" s="32" t="n">
        <x:v>89.92</x:v>
      </x:c>
      <x:c r="AK477" s="32" t="n">
        <x:v>0.84</x:v>
      </x:c>
      <x:c r="AL477" s="32" t="n">
        <x:v>-5.21</x:v>
      </x:c>
      <x:c r="AM477" s="32" t="str">
        <x:v>#000000</x:v>
      </x:c>
      <x:c r="AN477" s="32" t="str">
        <x:v>Black</x:v>
      </x:c>
      <x:c r="AO477" s="32" t="n">
        <x:v>16.23</x:v>
      </x:c>
      <x:c r="AP477" s="32" t="n">
        <x:v>16.23</x:v>
      </x:c>
      <x:c r="AQ477" s="32" t="n">
        <x:v>1.29</x:v>
      </x:c>
      <x:c r="AR477" s="32" t="n">
        <x:v>0.761368</x:v>
      </x:c>
      <x:c r="AS477" t="str">
        <x:v>PASS</x:v>
      </x:c>
      <x:c r="AT477" t="str">
        <x:v>--cda-nc2-140</x:v>
      </x:c>
      <x:c r="AU477" t="str">
        <x:v>var(--cda-nc2-140)</x:v>
      </x:c>
      <x:c r="AV477" t="str">
        <x:v>Median RGB from official PDF swatch (screen reference only)</x:v>
      </x:c>
      <x:c r="AW477" t="str">
        <x:v>https://www.carandache.com/content_files/uploaded_doc/product/10603/Colour_Chart_NeocolorII_841.pdf</x:v>
      </x:c>
      <x:c r="AX477" t="n">
        <x:v>1</x:v>
      </x:c>
      <x:c r="AY477" t="str">
        <x:v>Official</x:v>
      </x:c>
      <x:c r="AZ477" t="str">
        <x:v>Official where available; curated Traditional Chinese/Japanese otherwise</x:v>
      </x:c>
      <x:c r="BA477" t="str">
        <x:v>Verified from official chart; digital HEX is approximate</x:v>
      </x:c>
      <x:c r="BB477" t="str">
        <x:v>Physical media appearance varies by paper, pressure, layering, water and scan/display profile.</x:v>
      </x:c>
    </x:row>
    <x:row r="478">
      <x:c r="A478" t="str">
        <x:f>G478&amp;"|"&amp;L478</x:f>
        <x:v>NC2|150</x:v>
      </x:c>
      <x:c r="B478" t="str">
        <x:v>557fe1d6-59c3-5876-b214-959cbb5fdcc9</x:v>
      </x:c>
      <x:c r="C478" t="str">
        <x:v>CDA-NC2-150</x:v>
      </x:c>
      <x:c r="D478" t="str">
        <x:v>1efcdfd5-1f9c-5830-a849-7c18919825be</x:v>
      </x:c>
      <x:c r="E478" t="str">
        <x:v>CDA-CODE-150</x:v>
      </x:c>
      <x:c r="F478" t="str">
        <x:v>Caran d’Ache</x:v>
      </x:c>
      <x:c r="G478" t="str">
        <x:v>NC2</x:v>
      </x:c>
      <x:c r="H478" t="str">
        <x:v>NEOCOLOR II Aquarelle</x:v>
      </x:c>
      <x:c r="I478" t="str">
        <x:v>Water-soluble wax pastel</x:v>
      </x:c>
      <x:c r="J478" t="str">
        <x:v>Artist</x:v>
      </x:c>
      <x:c r="K478" s="30" t="n">
        <x:v>61</x:v>
      </x:c>
      <x:c r="L478" s="30" t="str">
        <x:v>150</x:v>
      </x:c>
      <x:c r="M478" t="str">
        <x:v>Sapphire blue</x:v>
      </x:c>
      <x:c r="N478" t="str">
        <x:v>藍寶石藍</x:v>
      </x:c>
      <x:c r="O478" t="str">
        <x:v>サファイアブルー</x:v>
      </x:c>
      <x:c r="P478" t="str"/>
      <x:c r="Q478" t="str">
        <x:v>Bleu saphir</x:v>
      </x:c>
      <x:c r="R478" t="str">
        <x:v>Saphirblau</x:v>
      </x:c>
      <x:c r="S478" t="str">
        <x:v>Blu zaffiro</x:v>
      </x:c>
      <x:c r="T478" t="str">
        <x:v>Azul zafiro</x:v>
      </x:c>
      <x:c r="U478" t="str"/>
      <x:c r="V478" t="str"/>
      <x:c r="W478" t="str"/>
      <x:c r="X478" t="n">
        <x:f>IF(W478="",0,LEN(W478)-LEN(SUBSTITUTE(W478,"/",""))+1)</x:f>
        <x:v>0</x:v>
      </x:c>
      <x:c r="Y478" t="str">
        <x:v>H</x:v>
      </x:c>
      <x:c r="Z478" s="32" t="n">
        <x:v>1.67</x:v>
      </x:c>
      <x:c r="AA478" s="32" t="n">
        <x:v>3</x:v>
      </x:c>
      <x:c r="AB478" s="32" t="str">
        <x:v>Blue Wool Scale / UV 150h</x:v>
      </x:c>
      <x:c r="AC478" t="str">
        <x:v>#EDF3F6</x:v>
      </x:c>
      <x:c r="AD478" s="34" t="n">
        <x:v>237</x:v>
      </x:c>
      <x:c r="AE478" s="34" t="n">
        <x:v>243</x:v>
      </x:c>
      <x:c r="AF478" s="34" t="n">
        <x:v>246</x:v>
      </x:c>
      <x:c r="AG478" s="32" t="n">
        <x:v>200</x:v>
      </x:c>
      <x:c r="AH478" s="32" t="n">
        <x:v>33.33</x:v>
      </x:c>
      <x:c r="AI478" s="32" t="n">
        <x:v>94.71</x:v>
      </x:c>
      <x:c r="AJ478" s="32" t="n">
        <x:v>95.48</x:v>
      </x:c>
      <x:c r="AK478" s="32" t="n">
        <x:v>-1.44</x:v>
      </x:c>
      <x:c r="AL478" s="32" t="n">
        <x:v>-2.13</x:v>
      </x:c>
      <x:c r="AM478" s="32" t="str">
        <x:v>#000000</x:v>
      </x:c>
      <x:c r="AN478" s="32" t="str">
        <x:v>Black</x:v>
      </x:c>
      <x:c r="AO478" s="32" t="n">
        <x:v>18.75</x:v>
      </x:c>
      <x:c r="AP478" s="32" t="n">
        <x:v>18.75</x:v>
      </x:c>
      <x:c r="AQ478" s="32" t="n">
        <x:v>1.12</x:v>
      </x:c>
      <x:c r="AR478" s="32" t="n">
        <x:v>0.887595</x:v>
      </x:c>
      <x:c r="AS478" t="str">
        <x:v>PASS</x:v>
      </x:c>
      <x:c r="AT478" t="str">
        <x:v>--cda-nc2-150</x:v>
      </x:c>
      <x:c r="AU478" t="str">
        <x:v>var(--cda-nc2-150)</x:v>
      </x:c>
      <x:c r="AV478" t="str">
        <x:v>Median RGB from official PDF swatch (screen reference only)</x:v>
      </x:c>
      <x:c r="AW478" t="str">
        <x:v>https://www.carandache.com/content_files/uploaded_doc/product/10603/Colour_Chart_NeocolorII_841.pdf</x:v>
      </x:c>
      <x:c r="AX478" t="n">
        <x:v>1</x:v>
      </x:c>
      <x:c r="AY478" t="str">
        <x:v>Official</x:v>
      </x:c>
      <x:c r="AZ478" t="str">
        <x:v>Official where available; curated Traditional Chinese/Japanese otherwise</x:v>
      </x:c>
      <x:c r="BA478" t="str">
        <x:v>Verified from official chart; digital HEX is approximate</x:v>
      </x:c>
      <x:c r="BB478" t="str">
        <x:v>Physical media appearance varies by paper, pressure, layering, water and scan/display profile.</x:v>
      </x:c>
    </x:row>
    <x:row r="479">
      <x:c r="A479" t="str">
        <x:f>G479&amp;"|"&amp;L479</x:f>
        <x:v>NC2|260</x:v>
      </x:c>
      <x:c r="B479" t="str">
        <x:v>e9f35ad2-abf1-54d3-890a-5606db7aa2d8</x:v>
      </x:c>
      <x:c r="C479" t="str">
        <x:v>CDA-NC2-260</x:v>
      </x:c>
      <x:c r="D479" t="str">
        <x:v>06d5be45-8f90-573d-a96f-05ec46073790</x:v>
      </x:c>
      <x:c r="E479" t="str">
        <x:v>CDA-CODE-260</x:v>
      </x:c>
      <x:c r="F479" t="str">
        <x:v>Caran d’Ache</x:v>
      </x:c>
      <x:c r="G479" t="str">
        <x:v>NC2</x:v>
      </x:c>
      <x:c r="H479" t="str">
        <x:v>NEOCOLOR II Aquarelle</x:v>
      </x:c>
      <x:c r="I479" t="str">
        <x:v>Water-soluble wax pastel</x:v>
      </x:c>
      <x:c r="J479" t="str">
        <x:v>Artist</x:v>
      </x:c>
      <x:c r="K479" s="30" t="n">
        <x:v>62</x:v>
      </x:c>
      <x:c r="L479" s="30" t="str">
        <x:v>260</x:v>
      </x:c>
      <x:c r="M479" t="str">
        <x:v>Blue</x:v>
      </x:c>
      <x:c r="N479" t="str">
        <x:v>藍色</x:v>
      </x:c>
      <x:c r="O479" t="str">
        <x:v>ブルー</x:v>
      </x:c>
      <x:c r="P479" t="str"/>
      <x:c r="Q479" t="str">
        <x:v>Bleu</x:v>
      </x:c>
      <x:c r="R479" t="str">
        <x:v>Blau</x:v>
      </x:c>
      <x:c r="S479" t="str">
        <x:v>Blu</x:v>
      </x:c>
      <x:c r="T479" t="str">
        <x:v>Azul</x:v>
      </x:c>
      <x:c r="U479" t="str"/>
      <x:c r="V479" t="str"/>
      <x:c r="W479" t="str"/>
      <x:c r="X479" t="n">
        <x:f>IF(W479="",0,LEN(W479)-LEN(SUBSTITUTE(W479,"/",""))+1)</x:f>
        <x:v>0</x:v>
      </x:c>
      <x:c r="Y479" t="str">
        <x:v>H</x:v>
      </x:c>
      <x:c r="Z479" s="32" t="n">
        <x:v>1.67</x:v>
      </x:c>
      <x:c r="AA479" s="32" t="n">
        <x:v>3</x:v>
      </x:c>
      <x:c r="AB479" s="32" t="str">
        <x:v>Blue Wool Scale / UV 150h</x:v>
      </x:c>
      <x:c r="AC479" t="str">
        <x:v>#DFEDF3</x:v>
      </x:c>
      <x:c r="AD479" s="34" t="n">
        <x:v>223</x:v>
      </x:c>
      <x:c r="AE479" s="34" t="n">
        <x:v>237</x:v>
      </x:c>
      <x:c r="AF479" s="34" t="n">
        <x:v>243</x:v>
      </x:c>
      <x:c r="AG479" s="32" t="n">
        <x:v>198</x:v>
      </x:c>
      <x:c r="AH479" s="32" t="n">
        <x:v>45.45</x:v>
      </x:c>
      <x:c r="AI479" s="32" t="n">
        <x:v>91.37</x:v>
      </x:c>
      <x:c r="AJ479" s="32" t="n">
        <x:v>92.89</x:v>
      </x:c>
      <x:c r="AK479" s="32" t="n">
        <x:v>-3.49</x:v>
      </x:c>
      <x:c r="AL479" s="32" t="n">
        <x:v>-4.49</x:v>
      </x:c>
      <x:c r="AM479" s="32" t="str">
        <x:v>#000000</x:v>
      </x:c>
      <x:c r="AN479" s="32" t="str">
        <x:v>Black</x:v>
      </x:c>
      <x:c r="AO479" s="32" t="n">
        <x:v>17.55</x:v>
      </x:c>
      <x:c r="AP479" s="32" t="n">
        <x:v>17.55</x:v>
      </x:c>
      <x:c r="AQ479" s="32" t="n">
        <x:v>1.2</x:v>
      </x:c>
      <x:c r="AR479" s="32" t="n">
        <x:v>0.827274</x:v>
      </x:c>
      <x:c r="AS479" t="str">
        <x:v>PASS</x:v>
      </x:c>
      <x:c r="AT479" t="str">
        <x:v>--cda-nc2-260</x:v>
      </x:c>
      <x:c r="AU479" t="str">
        <x:v>var(--cda-nc2-260)</x:v>
      </x:c>
      <x:c r="AV479" t="str">
        <x:v>Median RGB from official PDF swatch (screen reference only)</x:v>
      </x:c>
      <x:c r="AW479" t="str">
        <x:v>https://www.carandache.com/content_files/uploaded_doc/product/10603/Colour_Chart_NeocolorII_841.pdf</x:v>
      </x:c>
      <x:c r="AX479" t="n">
        <x:v>1</x:v>
      </x:c>
      <x:c r="AY479" t="str">
        <x:v>Official</x:v>
      </x:c>
      <x:c r="AZ479" t="str">
        <x:v>Official where available; curated Traditional Chinese/Japanese otherwise</x:v>
      </x:c>
      <x:c r="BA479" t="str">
        <x:v>Verified from official chart; digital HEX is approximate</x:v>
      </x:c>
      <x:c r="BB479" t="str">
        <x:v>Physical media appearance varies by paper, pressure, layering, water and scan/display profile.</x:v>
      </x:c>
    </x:row>
    <x:row r="480">
      <x:c r="A480" t="str">
        <x:f>G480&amp;"|"&amp;L480</x:f>
        <x:v>NC2|160</x:v>
      </x:c>
      <x:c r="B480" t="str">
        <x:v>32b8b9c8-5a64-55b7-b8d2-772fd33d4159</x:v>
      </x:c>
      <x:c r="C480" t="str">
        <x:v>CDA-NC2-160</x:v>
      </x:c>
      <x:c r="D480" t="str">
        <x:v>c7d32486-36fc-53aa-995f-bd6f486d3f37</x:v>
      </x:c>
      <x:c r="E480" t="str">
        <x:v>CDA-CODE-160</x:v>
      </x:c>
      <x:c r="F480" t="str">
        <x:v>Caran d’Ache</x:v>
      </x:c>
      <x:c r="G480" t="str">
        <x:v>NC2</x:v>
      </x:c>
      <x:c r="H480" t="str">
        <x:v>NEOCOLOR II Aquarelle</x:v>
      </x:c>
      <x:c r="I480" t="str">
        <x:v>Water-soluble wax pastel</x:v>
      </x:c>
      <x:c r="J480" t="str">
        <x:v>Artist</x:v>
      </x:c>
      <x:c r="K480" s="30" t="n">
        <x:v>63</x:v>
      </x:c>
      <x:c r="L480" s="30" t="str">
        <x:v>160</x:v>
      </x:c>
      <x:c r="M480" t="str">
        <x:v>Cobalt blue (hue)</x:v>
      </x:c>
      <x:c r="N480" t="str">
        <x:v>鈷藍（色相）</x:v>
      </x:c>
      <x:c r="O480" t="str">
        <x:v>コバルトブルー（ヒュー）</x:v>
      </x:c>
      <x:c r="P480" t="str"/>
      <x:c r="Q480" t="str">
        <x:v>Bleu de cobalt (imit)</x:v>
      </x:c>
      <x:c r="R480" t="str">
        <x:v>Kobaltblau (sub)</x:v>
      </x:c>
      <x:c r="S480" t="str">
        <x:v>Blu cobalto</x:v>
      </x:c>
      <x:c r="T480" t="str">
        <x:v>Azul cobalto</x:v>
      </x:c>
      <x:c r="U480" t="str"/>
      <x:c r="V480" t="str"/>
      <x:c r="W480" t="str"/>
      <x:c r="X480" t="n">
        <x:f>IF(W480="",0,LEN(W480)-LEN(SUBSTITUTE(W480,"/",""))+1)</x:f>
        <x:v>0</x:v>
      </x:c>
      <x:c r="Y480" t="str">
        <x:v>H</x:v>
      </x:c>
      <x:c r="Z480" s="32" t="n">
        <x:v>1.67</x:v>
      </x:c>
      <x:c r="AA480" s="32" t="n">
        <x:v>3</x:v>
      </x:c>
      <x:c r="AB480" s="32" t="str">
        <x:v>Blue Wool Scale / UV 150h</x:v>
      </x:c>
      <x:c r="AC480" t="str">
        <x:v>#D1E9ED</x:v>
      </x:c>
      <x:c r="AD480" s="34" t="n">
        <x:v>209</x:v>
      </x:c>
      <x:c r="AE480" s="34" t="n">
        <x:v>233</x:v>
      </x:c>
      <x:c r="AF480" s="34" t="n">
        <x:v>237</x:v>
      </x:c>
      <x:c r="AG480" s="32" t="n">
        <x:v>188.57</x:v>
      </x:c>
      <x:c r="AH480" s="32" t="n">
        <x:v>43.75</x:v>
      </x:c>
      <x:c r="AI480" s="32" t="n">
        <x:v>87.45</x:v>
      </x:c>
      <x:c r="AJ480" s="32" t="n">
        <x:v>90.76</x:v>
      </x:c>
      <x:c r="AK480" s="32" t="n">
        <x:v>-7.09</x:v>
      </x:c>
      <x:c r="AL480" s="32" t="n">
        <x:v>-4.62</x:v>
      </x:c>
      <x:c r="AM480" s="32" t="str">
        <x:v>#000000</x:v>
      </x:c>
      <x:c r="AN480" s="32" t="str">
        <x:v>Black</x:v>
      </x:c>
      <x:c r="AO480" s="32" t="n">
        <x:v>16.59</x:v>
      </x:c>
      <x:c r="AP480" s="32" t="n">
        <x:v>16.59</x:v>
      </x:c>
      <x:c r="AQ480" s="32" t="n">
        <x:v>1.27</x:v>
      </x:c>
      <x:c r="AR480" s="32" t="n">
        <x:v>0.779476</x:v>
      </x:c>
      <x:c r="AS480" t="str">
        <x:v>PASS</x:v>
      </x:c>
      <x:c r="AT480" t="str">
        <x:v>--cda-nc2-160</x:v>
      </x:c>
      <x:c r="AU480" t="str">
        <x:v>var(--cda-nc2-160)</x:v>
      </x:c>
      <x:c r="AV480" t="str">
        <x:v>Median RGB from official PDF swatch (screen reference only)</x:v>
      </x:c>
      <x:c r="AW480" t="str">
        <x:v>https://www.carandache.com/content_files/uploaded_doc/product/10603/Colour_Chart_NeocolorII_841.pdf</x:v>
      </x:c>
      <x:c r="AX480" t="n">
        <x:v>1</x:v>
      </x:c>
      <x:c r="AY480" t="str">
        <x:v>Official</x:v>
      </x:c>
      <x:c r="AZ480" t="str">
        <x:v>Official where available; curated Traditional Chinese/Japanese otherwise</x:v>
      </x:c>
      <x:c r="BA480" t="str">
        <x:v>Verified from official chart; digital HEX is approximate</x:v>
      </x:c>
      <x:c r="BB480" t="str">
        <x:v>Physical media appearance varies by paper, pressure, layering, water and scan/display profile.</x:v>
      </x:c>
    </x:row>
    <x:row r="481">
      <x:c r="A481" t="str">
        <x:f>G481&amp;"|"&amp;L481</x:f>
        <x:v>NC2|161</x:v>
      </x:c>
      <x:c r="B481" t="str">
        <x:v>f6728687-325e-55e4-97b3-fde8db2bf479</x:v>
      </x:c>
      <x:c r="C481" t="str">
        <x:v>CDA-NC2-161</x:v>
      </x:c>
      <x:c r="D481" t="str">
        <x:v>6ffc111a-0ad6-541a-8290-6ab5dc59fcce</x:v>
      </x:c>
      <x:c r="E481" t="str">
        <x:v>CDA-CODE-161</x:v>
      </x:c>
      <x:c r="F481" t="str">
        <x:v>Caran d’Ache</x:v>
      </x:c>
      <x:c r="G481" t="str">
        <x:v>NC2</x:v>
      </x:c>
      <x:c r="H481" t="str">
        <x:v>NEOCOLOR II Aquarelle</x:v>
      </x:c>
      <x:c r="I481" t="str">
        <x:v>Water-soluble wax pastel</x:v>
      </x:c>
      <x:c r="J481" t="str">
        <x:v>Artist</x:v>
      </x:c>
      <x:c r="K481" s="30" t="n">
        <x:v>64</x:v>
      </x:c>
      <x:c r="L481" s="30" t="str">
        <x:v>161</x:v>
      </x:c>
      <x:c r="M481" t="str">
        <x:v>Light blue</x:v>
      </x:c>
      <x:c r="N481" t="str">
        <x:v>淺藍色</x:v>
      </x:c>
      <x:c r="O481" t="str">
        <x:v>ライトブルー</x:v>
      </x:c>
      <x:c r="P481" t="str"/>
      <x:c r="Q481" t="str">
        <x:v>Bleu clair</x:v>
      </x:c>
      <x:c r="R481" t="str">
        <x:v>Hellblau</x:v>
      </x:c>
      <x:c r="S481" t="str">
        <x:v>Azzurro chiaro</x:v>
      </x:c>
      <x:c r="T481" t="str">
        <x:v>Azul claro</x:v>
      </x:c>
      <x:c r="U481" t="str"/>
      <x:c r="V481" t="str"/>
      <x:c r="W481" t="str"/>
      <x:c r="X481" t="n">
        <x:f>IF(W481="",0,LEN(W481)-LEN(SUBSTITUTE(W481,"/",""))+1)</x:f>
        <x:v>0</x:v>
      </x:c>
      <x:c r="Y481" t="str">
        <x:v>H</x:v>
      </x:c>
      <x:c r="Z481" s="32" t="n">
        <x:v>1.67</x:v>
      </x:c>
      <x:c r="AA481" s="32" t="n">
        <x:v>3</x:v>
      </x:c>
      <x:c r="AB481" s="32" t="str">
        <x:v>Blue Wool Scale / UV 150h</x:v>
      </x:c>
      <x:c r="AC481" t="str">
        <x:v>#EEF4F4</x:v>
      </x:c>
      <x:c r="AD481" s="34" t="n">
        <x:v>238</x:v>
      </x:c>
      <x:c r="AE481" s="34" t="n">
        <x:v>244</x:v>
      </x:c>
      <x:c r="AF481" s="34" t="n">
        <x:v>244</x:v>
      </x:c>
      <x:c r="AG481" s="32" t="n">
        <x:v>180</x:v>
      </x:c>
      <x:c r="AH481" s="32" t="n">
        <x:v>21.43</x:v>
      </x:c>
      <x:c r="AI481" s="32" t="n">
        <x:v>94.51</x:v>
      </x:c>
      <x:c r="AJ481" s="32" t="n">
        <x:v>95.75</x:v>
      </x:c>
      <x:c r="AK481" s="32" t="n">
        <x:v>-1.98</x:v>
      </x:c>
      <x:c r="AL481" s="32" t="n">
        <x:v>-0.69</x:v>
      </x:c>
      <x:c r="AM481" s="32" t="str">
        <x:v>#000000</x:v>
      </x:c>
      <x:c r="AN481" s="32" t="str">
        <x:v>Black</x:v>
      </x:c>
      <x:c r="AO481" s="32" t="n">
        <x:v>18.88</x:v>
      </x:c>
      <x:c r="AP481" s="32" t="n">
        <x:v>18.88</x:v>
      </x:c>
      <x:c r="AQ481" s="32" t="n">
        <x:v>1.11</x:v>
      </x:c>
      <x:c r="AR481" s="32" t="n">
        <x:v>0.894102</x:v>
      </x:c>
      <x:c r="AS481" t="str">
        <x:v>PASS</x:v>
      </x:c>
      <x:c r="AT481" t="str">
        <x:v>--cda-nc2-161</x:v>
      </x:c>
      <x:c r="AU481" t="str">
        <x:v>var(--cda-nc2-161)</x:v>
      </x:c>
      <x:c r="AV481" t="str">
        <x:v>Median RGB from official PDF swatch (screen reference only)</x:v>
      </x:c>
      <x:c r="AW481" t="str">
        <x:v>https://www.carandache.com/content_files/uploaded_doc/product/10603/Colour_Chart_NeocolorII_841.pdf</x:v>
      </x:c>
      <x:c r="AX481" t="n">
        <x:v>1</x:v>
      </x:c>
      <x:c r="AY481" t="str">
        <x:v>Official</x:v>
      </x:c>
      <x:c r="AZ481" t="str">
        <x:v>Official where available; curated Traditional Chinese/Japanese otherwise</x:v>
      </x:c>
      <x:c r="BA481" t="str">
        <x:v>Verified from official chart; digital HEX is approximate</x:v>
      </x:c>
      <x:c r="BB481" t="str">
        <x:v>Physical media appearance varies by paper, pressure, layering, water and scan/display profile.</x:v>
      </x:c>
    </x:row>
    <x:row r="482">
      <x:c r="A482" t="str">
        <x:f>G482&amp;"|"&amp;L482</x:f>
        <x:v>NC2|131</x:v>
      </x:c>
      <x:c r="B482" t="str">
        <x:v>8b3544be-25ef-532c-8b4a-79d300441daf</x:v>
      </x:c>
      <x:c r="C482" t="str">
        <x:v>CDA-NC2-131</x:v>
      </x:c>
      <x:c r="D482" t="str">
        <x:v>e0da0eb4-8bbe-57dd-a5fe-0cf6204da565</x:v>
      </x:c>
      <x:c r="E482" t="str">
        <x:v>CDA-CODE-131</x:v>
      </x:c>
      <x:c r="F482" t="str">
        <x:v>Caran d’Ache</x:v>
      </x:c>
      <x:c r="G482" t="str">
        <x:v>NC2</x:v>
      </x:c>
      <x:c r="H482" t="str">
        <x:v>NEOCOLOR II Aquarelle</x:v>
      </x:c>
      <x:c r="I482" t="str">
        <x:v>Water-soluble wax pastel</x:v>
      </x:c>
      <x:c r="J482" t="str">
        <x:v>Artist</x:v>
      </x:c>
      <x:c r="K482" s="30" t="n">
        <x:v>65</x:v>
      </x:c>
      <x:c r="L482" s="30" t="str">
        <x:v>131</x:v>
      </x:c>
      <x:c r="M482" t="str">
        <x:v>Periwinkle blue</x:v>
      </x:c>
      <x:c r="N482" t="str">
        <x:v>長春花藍</x:v>
      </x:c>
      <x:c r="O482" t="str">
        <x:v>ペリウィンクルブルー</x:v>
      </x:c>
      <x:c r="P482" t="str"/>
      <x:c r="Q482" t="str">
        <x:v>Pervenche</x:v>
      </x:c>
      <x:c r="R482" t="str">
        <x:v>Hellviolett</x:v>
      </x:c>
      <x:c r="S482" t="str">
        <x:v>Blu pervinca</x:v>
      </x:c>
      <x:c r="T482" t="str">
        <x:v>Pervenche</x:v>
      </x:c>
      <x:c r="U482" t="str"/>
      <x:c r="V482" t="str"/>
      <x:c r="W482" t="str"/>
      <x:c r="X482" t="n">
        <x:f>IF(W482="",0,LEN(W482)-LEN(SUBSTITUTE(W482,"/",""))+1)</x:f>
        <x:v>0</x:v>
      </x:c>
      <x:c r="Y482" t="str">
        <x:v>H</x:v>
      </x:c>
      <x:c r="Z482" s="32" t="n">
        <x:v>1.67</x:v>
      </x:c>
      <x:c r="AA482" s="32" t="n">
        <x:v>3</x:v>
      </x:c>
      <x:c r="AB482" s="32" t="str">
        <x:v>Blue Wool Scale / UV 150h</x:v>
      </x:c>
      <x:c r="AC482" t="str">
        <x:v>#DECBE2</x:v>
      </x:c>
      <x:c r="AD482" s="34" t="n">
        <x:v>222</x:v>
      </x:c>
      <x:c r="AE482" s="34" t="n">
        <x:v>203</x:v>
      </x:c>
      <x:c r="AF482" s="34" t="n">
        <x:v>226</x:v>
      </x:c>
      <x:c r="AG482" s="32" t="n">
        <x:v>289.57</x:v>
      </x:c>
      <x:c r="AH482" s="32" t="n">
        <x:v>28.4</x:v>
      </x:c>
      <x:c r="AI482" s="32" t="n">
        <x:v>84.12</x:v>
      </x:c>
      <x:c r="AJ482" s="32" t="n">
        <x:v>83.83</x:v>
      </x:c>
      <x:c r="AK482" s="32" t="n">
        <x:v>10.69</x:v>
      </x:c>
      <x:c r="AL482" s="32" t="n">
        <x:v>-8.96</x:v>
      </x:c>
      <x:c r="AM482" s="32" t="str">
        <x:v>#000000</x:v>
      </x:c>
      <x:c r="AN482" s="32" t="str">
        <x:v>Black</x:v>
      </x:c>
      <x:c r="AO482" s="32" t="n">
        <x:v>13.75</x:v>
      </x:c>
      <x:c r="AP482" s="32" t="n">
        <x:v>13.75</x:v>
      </x:c>
      <x:c r="AQ482" s="32" t="n">
        <x:v>1.53</x:v>
      </x:c>
      <x:c r="AR482" s="32" t="n">
        <x:v>0.637325</x:v>
      </x:c>
      <x:c r="AS482" t="str">
        <x:v>PASS</x:v>
      </x:c>
      <x:c r="AT482" t="str">
        <x:v>--cda-nc2-131</x:v>
      </x:c>
      <x:c r="AU482" t="str">
        <x:v>var(--cda-nc2-131)</x:v>
      </x:c>
      <x:c r="AV482" t="str">
        <x:v>Median RGB from official PDF swatch (screen reference only)</x:v>
      </x:c>
      <x:c r="AW482" t="str">
        <x:v>https://www.carandache.com/content_files/uploaded_doc/product/10603/Colour_Chart_NeocolorII_841.pdf</x:v>
      </x:c>
      <x:c r="AX482" t="n">
        <x:v>1</x:v>
      </x:c>
      <x:c r="AY482" t="str">
        <x:v>Official</x:v>
      </x:c>
      <x:c r="AZ482" t="str">
        <x:v>Official where available; curated Traditional Chinese/Japanese otherwise</x:v>
      </x:c>
      <x:c r="BA482" t="str">
        <x:v>Verified from official chart; digital HEX is approximate</x:v>
      </x:c>
      <x:c r="BB482" t="str">
        <x:v>Physical media appearance varies by paper, pressure, layering, water and scan/display profile.</x:v>
      </x:c>
    </x:row>
    <x:row r="483">
      <x:c r="A483" t="str">
        <x:f>G483&amp;"|"&amp;L483</x:f>
        <x:v>NC2|141</x:v>
      </x:c>
      <x:c r="B483" t="str">
        <x:v>7eece365-e936-5686-8fe0-78ae334a0dc3</x:v>
      </x:c>
      <x:c r="C483" t="str">
        <x:v>CDA-NC2-141</x:v>
      </x:c>
      <x:c r="D483" t="str">
        <x:v>2820208d-5c41-5753-be02-69641858efec</x:v>
      </x:c>
      <x:c r="E483" t="str">
        <x:v>CDA-CODE-141</x:v>
      </x:c>
      <x:c r="F483" t="str">
        <x:v>Caran d’Ache</x:v>
      </x:c>
      <x:c r="G483" t="str">
        <x:v>NC2</x:v>
      </x:c>
      <x:c r="H483" t="str">
        <x:v>NEOCOLOR II Aquarelle</x:v>
      </x:c>
      <x:c r="I483" t="str">
        <x:v>Water-soluble wax pastel</x:v>
      </x:c>
      <x:c r="J483" t="str">
        <x:v>Artist</x:v>
      </x:c>
      <x:c r="K483" s="30" t="n">
        <x:v>66</x:v>
      </x:c>
      <x:c r="L483" s="30" t="str">
        <x:v>141</x:v>
      </x:c>
      <x:c r="M483" t="str">
        <x:v>Sky blue</x:v>
      </x:c>
      <x:c r="N483" t="str">
        <x:v>天空藍</x:v>
      </x:c>
      <x:c r="O483" t="str">
        <x:v>スカイブルー</x:v>
      </x:c>
      <x:c r="P483" t="str"/>
      <x:c r="Q483" t="str">
        <x:v>Bleu lavande</x:v>
      </x:c>
      <x:c r="R483" t="str">
        <x:v>Hellultramarin</x:v>
      </x:c>
      <x:c r="S483" t="str">
        <x:v>Blu lavanda</x:v>
      </x:c>
      <x:c r="T483" t="str">
        <x:v>Azul lavanda</x:v>
      </x:c>
      <x:c r="U483" t="str"/>
      <x:c r="V483" t="str"/>
      <x:c r="W483" t="str"/>
      <x:c r="X483" t="n">
        <x:f>IF(W483="",0,LEN(W483)-LEN(SUBSTITUTE(W483,"/",""))+1)</x:f>
        <x:v>0</x:v>
      </x:c>
      <x:c r="Y483" t="str">
        <x:v>H</x:v>
      </x:c>
      <x:c r="Z483" s="32" t="n">
        <x:v>1.67</x:v>
      </x:c>
      <x:c r="AA483" s="32" t="n">
        <x:v>3</x:v>
      </x:c>
      <x:c r="AB483" s="32" t="str">
        <x:v>Blue Wool Scale / UV 150h</x:v>
      </x:c>
      <x:c r="AC483" t="str">
        <x:v>#CCD4E8</x:v>
      </x:c>
      <x:c r="AD483" s="34" t="n">
        <x:v>204</x:v>
      </x:c>
      <x:c r="AE483" s="34" t="n">
        <x:v>212</x:v>
      </x:c>
      <x:c r="AF483" s="34" t="n">
        <x:v>232</x:v>
      </x:c>
      <x:c r="AG483" s="32" t="n">
        <x:v>222.86</x:v>
      </x:c>
      <x:c r="AH483" s="32" t="n">
        <x:v>37.84</x:v>
      </x:c>
      <x:c r="AI483" s="32" t="n">
        <x:v>85.49</x:v>
      </x:c>
      <x:c r="AJ483" s="32" t="n">
        <x:v>84.87</x:v>
      </x:c>
      <x:c r="AK483" s="32" t="n">
        <x:v>1.19</x:v>
      </x:c>
      <x:c r="AL483" s="32" t="n">
        <x:v>-10.75</x:v>
      </x:c>
      <x:c r="AM483" s="32" t="str">
        <x:v>#000000</x:v>
      </x:c>
      <x:c r="AN483" s="32" t="str">
        <x:v>Black</x:v>
      </x:c>
      <x:c r="AO483" s="32" t="n">
        <x:v>14.15</x:v>
      </x:c>
      <x:c r="AP483" s="32" t="n">
        <x:v>14.15</x:v>
      </x:c>
      <x:c r="AQ483" s="32" t="n">
        <x:v>1.48</x:v>
      </x:c>
      <x:c r="AR483" s="32" t="n">
        <x:v>0.657505</x:v>
      </x:c>
      <x:c r="AS483" t="str">
        <x:v>PASS</x:v>
      </x:c>
      <x:c r="AT483" t="str">
        <x:v>--cda-nc2-141</x:v>
      </x:c>
      <x:c r="AU483" t="str">
        <x:v>var(--cda-nc2-141)</x:v>
      </x:c>
      <x:c r="AV483" t="str">
        <x:v>Median RGB from official PDF swatch (screen reference only)</x:v>
      </x:c>
      <x:c r="AW483" t="str">
        <x:v>https://www.carandache.com/content_files/uploaded_doc/product/10603/Colour_Chart_NeocolorII_841.pdf</x:v>
      </x:c>
      <x:c r="AX483" t="n">
        <x:v>1</x:v>
      </x:c>
      <x:c r="AY483" t="str">
        <x:v>Official</x:v>
      </x:c>
      <x:c r="AZ483" t="str">
        <x:v>Official where available; curated Traditional Chinese/Japanese otherwise</x:v>
      </x:c>
      <x:c r="BA483" t="str">
        <x:v>Verified from official chart; digital HEX is approximate</x:v>
      </x:c>
      <x:c r="BB483" t="str">
        <x:v>Physical media appearance varies by paper, pressure, layering, water and scan/display profile.</x:v>
      </x:c>
    </x:row>
    <x:row r="484">
      <x:c r="A484" t="str">
        <x:f>G484&amp;"|"&amp;L484</x:f>
        <x:v>NC2|661</x:v>
      </x:c>
      <x:c r="B484" t="str">
        <x:v>18802011-faf7-5387-8851-4c01cc93a8c1</x:v>
      </x:c>
      <x:c r="C484" t="str">
        <x:v>CDA-NC2-661</x:v>
      </x:c>
      <x:c r="D484" t="str">
        <x:v>ae9ade29-b330-52ae-9360-9950a169fd51</x:v>
      </x:c>
      <x:c r="E484" t="str">
        <x:v>CDA-CODE-661</x:v>
      </x:c>
      <x:c r="F484" t="str">
        <x:v>Caran d’Ache</x:v>
      </x:c>
      <x:c r="G484" t="str">
        <x:v>NC2</x:v>
      </x:c>
      <x:c r="H484" t="str">
        <x:v>NEOCOLOR II Aquarelle</x:v>
      </x:c>
      <x:c r="I484" t="str">
        <x:v>Water-soluble wax pastel</x:v>
      </x:c>
      <x:c r="J484" t="str">
        <x:v>Artist</x:v>
      </x:c>
      <x:c r="K484" s="30" t="n">
        <x:v>67</x:v>
      </x:c>
      <x:c r="L484" s="30" t="str">
        <x:v>661</x:v>
      </x:c>
      <x:c r="M484" t="str">
        <x:v>Light cobalt blue</x:v>
      </x:c>
      <x:c r="N484" t="str">
        <x:v>淺鈷藍</x:v>
      </x:c>
      <x:c r="O484" t="str">
        <x:v>ライトコバルトブルー</x:v>
      </x:c>
      <x:c r="P484" t="str"/>
      <x:c r="Q484" t="str">
        <x:v>Bleu cobalt clair</x:v>
      </x:c>
      <x:c r="R484" t="str">
        <x:v>Hellkobaltblau</x:v>
      </x:c>
      <x:c r="S484" t="str">
        <x:v>Blu cobalto chiaro</x:v>
      </x:c>
      <x:c r="T484" t="str">
        <x:v>Azul cobalto clarov</x:v>
      </x:c>
      <x:c r="U484" t="str"/>
      <x:c r="V484" t="str"/>
      <x:c r="W484" t="str"/>
      <x:c r="X484" t="n">
        <x:f>IF(W484="",0,LEN(W484)-LEN(SUBSTITUTE(W484,"/",""))+1)</x:f>
        <x:v>0</x:v>
      </x:c>
      <x:c r="Y484" t="str">
        <x:v>H</x:v>
      </x:c>
      <x:c r="Z484" s="32" t="n">
        <x:v>1.67</x:v>
      </x:c>
      <x:c r="AA484" s="32" t="n">
        <x:v>3</x:v>
      </x:c>
      <x:c r="AB484" s="32" t="str">
        <x:v>Blue Wool Scale / UV 150h</x:v>
      </x:c>
      <x:c r="AC484" t="str">
        <x:v>#F1F5F5</x:v>
      </x:c>
      <x:c r="AD484" s="34" t="n">
        <x:v>241</x:v>
      </x:c>
      <x:c r="AE484" s="34" t="n">
        <x:v>245</x:v>
      </x:c>
      <x:c r="AF484" s="34" t="n">
        <x:v>245</x:v>
      </x:c>
      <x:c r="AG484" s="32" t="n">
        <x:v>180</x:v>
      </x:c>
      <x:c r="AH484" s="32" t="n">
        <x:v>16.67</x:v>
      </x:c>
      <x:c r="AI484" s="32" t="n">
        <x:v>95.29</x:v>
      </x:c>
      <x:c r="AJ484" s="32" t="n">
        <x:v>96.24</x:v>
      </x:c>
      <x:c r="AK484" s="32" t="n">
        <x:v>-1.32</x:v>
      </x:c>
      <x:c r="AL484" s="32" t="n">
        <x:v>-0.46</x:v>
      </x:c>
      <x:c r="AM484" s="32" t="str">
        <x:v>#000000</x:v>
      </x:c>
      <x:c r="AN484" s="32" t="str">
        <x:v>Black</x:v>
      </x:c>
      <x:c r="AO484" s="32" t="n">
        <x:v>19.12</x:v>
      </x:c>
      <x:c r="AP484" s="32" t="n">
        <x:v>19.12</x:v>
      </x:c>
      <x:c r="AQ484" s="32" t="n">
        <x:v>1.1</x:v>
      </x:c>
      <x:c r="AR484" s="32" t="n">
        <x:v>0.905982</x:v>
      </x:c>
      <x:c r="AS484" t="str">
        <x:v>PASS</x:v>
      </x:c>
      <x:c r="AT484" t="str">
        <x:v>--cda-nc2-661</x:v>
      </x:c>
      <x:c r="AU484" t="str">
        <x:v>var(--cda-nc2-661)</x:v>
      </x:c>
      <x:c r="AV484" t="str">
        <x:v>Median RGB from official PDF swatch (screen reference only)</x:v>
      </x:c>
      <x:c r="AW484" t="str">
        <x:v>https://www.carandache.com/content_files/uploaded_doc/product/10603/Colour_Chart_NeocolorII_841.pdf</x:v>
      </x:c>
      <x:c r="AX484" t="n">
        <x:v>1</x:v>
      </x:c>
      <x:c r="AY484" t="str">
        <x:v>Official</x:v>
      </x:c>
      <x:c r="AZ484" t="str">
        <x:v>Official where available; curated Traditional Chinese/Japanese otherwise</x:v>
      </x:c>
      <x:c r="BA484" t="str">
        <x:v>Verified from official chart; digital HEX is approximate</x:v>
      </x:c>
      <x:c r="BB484" t="str">
        <x:v>Physical media appearance varies by paper, pressure, layering, water and scan/display profile.</x:v>
      </x:c>
    </x:row>
    <x:row r="485">
      <x:c r="A485" t="str">
        <x:f>G485&amp;"|"&amp;L485</x:f>
        <x:v>NC2|171</x:v>
      </x:c>
      <x:c r="B485" t="str">
        <x:v>caddd189-ed87-587b-8b10-e568c483bbd3</x:v>
      </x:c>
      <x:c r="C485" t="str">
        <x:v>CDA-NC2-171</x:v>
      </x:c>
      <x:c r="D485" t="str">
        <x:v>8af82ae3-1ed6-53f3-82c5-825de5d678dc</x:v>
      </x:c>
      <x:c r="E485" t="str">
        <x:v>CDA-CODE-171</x:v>
      </x:c>
      <x:c r="F485" t="str">
        <x:v>Caran d’Ache</x:v>
      </x:c>
      <x:c r="G485" t="str">
        <x:v>NC2</x:v>
      </x:c>
      <x:c r="H485" t="str">
        <x:v>NEOCOLOR II Aquarelle</x:v>
      </x:c>
      <x:c r="I485" t="str">
        <x:v>Water-soluble wax pastel</x:v>
      </x:c>
      <x:c r="J485" t="str">
        <x:v>Artist</x:v>
      </x:c>
      <x:c r="K485" s="30" t="n">
        <x:v>68</x:v>
      </x:c>
      <x:c r="L485" s="30" t="str">
        <x:v>171</x:v>
      </x:c>
      <x:c r="M485" t="str">
        <x:v>Turquoise blue</x:v>
      </x:c>
      <x:c r="N485" t="str">
        <x:v>土耳其藍</x:v>
      </x:c>
      <x:c r="O485" t="str">
        <x:v>ターコイズブルー</x:v>
      </x:c>
      <x:c r="P485" t="str"/>
      <x:c r="Q485" t="str">
        <x:v>Bleu turquoise</x:v>
      </x:c>
      <x:c r="R485" t="str">
        <x:v>Türkisblau</x:v>
      </x:c>
      <x:c r="S485" t="str">
        <x:v>Blu turchese</x:v>
      </x:c>
      <x:c r="T485" t="str">
        <x:v>Azul turquesa</x:v>
      </x:c>
      <x:c r="U485" t="str"/>
      <x:c r="V485" t="str"/>
      <x:c r="W485" t="str"/>
      <x:c r="X485" t="n">
        <x:f>IF(W485="",0,LEN(W485)-LEN(SUBSTITUTE(W485,"/",""))+1)</x:f>
        <x:v>0</x:v>
      </x:c>
      <x:c r="Y485" t="str">
        <x:v>H</x:v>
      </x:c>
      <x:c r="Z485" s="32" t="n">
        <x:v>1.67</x:v>
      </x:c>
      <x:c r="AA485" s="32" t="n">
        <x:v>3</x:v>
      </x:c>
      <x:c r="AB485" s="32" t="str">
        <x:v>Blue Wool Scale / UV 150h</x:v>
      </x:c>
      <x:c r="AC485" t="str">
        <x:v>#D7EBEA</x:v>
      </x:c>
      <x:c r="AD485" s="34" t="n">
        <x:v>215</x:v>
      </x:c>
      <x:c r="AE485" s="34" t="n">
        <x:v>235</x:v>
      </x:c>
      <x:c r="AF485" s="34" t="n">
        <x:v>234</x:v>
      </x:c>
      <x:c r="AG485" s="32" t="n">
        <x:v>177</x:v>
      </x:c>
      <x:c r="AH485" s="32" t="n">
        <x:v>33.33</x:v>
      </x:c>
      <x:c r="AI485" s="32" t="n">
        <x:v>88.24</x:v>
      </x:c>
      <x:c r="AJ485" s="32" t="n">
        <x:v>91.6</x:v>
      </x:c>
      <x:c r="AK485" s="32" t="n">
        <x:v>-6.76</x:v>
      </x:c>
      <x:c r="AL485" s="32" t="n">
        <x:v>-1.77</x:v>
      </x:c>
      <x:c r="AM485" s="32" t="str">
        <x:v>#000000</x:v>
      </x:c>
      <x:c r="AN485" s="32" t="str">
        <x:v>Black</x:v>
      </x:c>
      <x:c r="AO485" s="32" t="n">
        <x:v>16.96</x:v>
      </x:c>
      <x:c r="AP485" s="32" t="n">
        <x:v>16.96</x:v>
      </x:c>
      <x:c r="AQ485" s="32" t="n">
        <x:v>1.24</x:v>
      </x:c>
      <x:c r="AR485" s="32" t="n">
        <x:v>0.798042</x:v>
      </x:c>
      <x:c r="AS485" t="str">
        <x:v>PASS</x:v>
      </x:c>
      <x:c r="AT485" t="str">
        <x:v>--cda-nc2-171</x:v>
      </x:c>
      <x:c r="AU485" t="str">
        <x:v>var(--cda-nc2-171)</x:v>
      </x:c>
      <x:c r="AV485" t="str">
        <x:v>Median RGB from official PDF swatch (screen reference only)</x:v>
      </x:c>
      <x:c r="AW485" t="str">
        <x:v>https://www.carandache.com/content_files/uploaded_doc/product/10603/Colour_Chart_NeocolorII_841.pdf</x:v>
      </x:c>
      <x:c r="AX485" t="n">
        <x:v>1</x:v>
      </x:c>
      <x:c r="AY485" t="str">
        <x:v>Official</x:v>
      </x:c>
      <x:c r="AZ485" t="str">
        <x:v>Official where available; curated Traditional Chinese/Japanese otherwise</x:v>
      </x:c>
      <x:c r="BA485" t="str">
        <x:v>Verified from official chart; digital HEX is approximate</x:v>
      </x:c>
      <x:c r="BB485" t="str">
        <x:v>Physical media appearance varies by paper, pressure, layering, water and scan/display profile.</x:v>
      </x:c>
    </x:row>
    <x:row r="486">
      <x:c r="A486" t="str">
        <x:f>G486&amp;"|"&amp;L486</x:f>
        <x:v>NC2|191</x:v>
      </x:c>
      <x:c r="B486" t="str">
        <x:v>7686e49e-3169-5970-b789-829ec3dcb93c</x:v>
      </x:c>
      <x:c r="C486" t="str">
        <x:v>CDA-NC2-191</x:v>
      </x:c>
      <x:c r="D486" t="str">
        <x:v>295c1c8c-f3a3-598e-9fb8-99b3a59852df</x:v>
      </x:c>
      <x:c r="E486" t="str">
        <x:v>CDA-CODE-191</x:v>
      </x:c>
      <x:c r="F486" t="str">
        <x:v>Caran d’Ache</x:v>
      </x:c>
      <x:c r="G486" t="str">
        <x:v>NC2</x:v>
      </x:c>
      <x:c r="H486" t="str">
        <x:v>NEOCOLOR II Aquarelle</x:v>
      </x:c>
      <x:c r="I486" t="str">
        <x:v>Water-soluble wax pastel</x:v>
      </x:c>
      <x:c r="J486" t="str">
        <x:v>Artist</x:v>
      </x:c>
      <x:c r="K486" s="30" t="n">
        <x:v>69</x:v>
      </x:c>
      <x:c r="L486" s="30" t="str">
        <x:v>191</x:v>
      </x:c>
      <x:c r="M486" t="str">
        <x:v>Turquoise</x:v>
      </x:c>
      <x:c r="N486" t="str">
        <x:v>綠松石色</x:v>
      </x:c>
      <x:c r="O486" t="str">
        <x:v>ターコイズ</x:v>
      </x:c>
      <x:c r="P486" t="str"/>
      <x:c r="Q486" t="str">
        <x:v>Vert turquoise</x:v>
      </x:c>
      <x:c r="R486" t="str">
        <x:v>Türkischgrün</x:v>
      </x:c>
      <x:c r="S486" t="str">
        <x:v>Verde turchese</x:v>
      </x:c>
      <x:c r="T486" t="str">
        <x:v>Turquesa</x:v>
      </x:c>
      <x:c r="U486" t="str"/>
      <x:c r="V486" t="str"/>
      <x:c r="W486" t="str"/>
      <x:c r="X486" t="n">
        <x:f>IF(W486="",0,LEN(W486)-LEN(SUBSTITUTE(W486,"/",""))+1)</x:f>
        <x:v>0</x:v>
      </x:c>
      <x:c r="Y486" t="str">
        <x:v>H</x:v>
      </x:c>
      <x:c r="Z486" s="32" t="n">
        <x:v>1.67</x:v>
      </x:c>
      <x:c r="AA486" s="32" t="n">
        <x:v>3</x:v>
      </x:c>
      <x:c r="AB486" s="32" t="str">
        <x:v>Blue Wool Scale / UV 150h</x:v>
      </x:c>
      <x:c r="AC486" t="str">
        <x:v>#E0EFEB</x:v>
      </x:c>
      <x:c r="AD486" s="34" t="n">
        <x:v>224</x:v>
      </x:c>
      <x:c r="AE486" s="34" t="n">
        <x:v>239</x:v>
      </x:c>
      <x:c r="AF486" s="34" t="n">
        <x:v>235</x:v>
      </x:c>
      <x:c r="AG486" s="32" t="n">
        <x:v>164</x:v>
      </x:c>
      <x:c r="AH486" s="32" t="n">
        <x:v>31.91</x:v>
      </x:c>
      <x:c r="AI486" s="32" t="n">
        <x:v>90.78</x:v>
      </x:c>
      <x:c r="AJ486" s="32" t="n">
        <x:v>93.27</x:v>
      </x:c>
      <x:c r="AK486" s="32" t="n">
        <x:v>-5.68</x:v>
      </x:c>
      <x:c r="AL486" s="32" t="n">
        <x:v>0.22</x:v>
      </x:c>
      <x:c r="AM486" s="32" t="str">
        <x:v>#000000</x:v>
      </x:c>
      <x:c r="AN486" s="32" t="str">
        <x:v>Black</x:v>
      </x:c>
      <x:c r="AO486" s="32" t="n">
        <x:v>17.72</x:v>
      </x:c>
      <x:c r="AP486" s="32" t="n">
        <x:v>17.72</x:v>
      </x:c>
      <x:c r="AQ486" s="32" t="n">
        <x:v>1.19</x:v>
      </x:c>
      <x:c r="AR486" s="32" t="n">
        <x:v>0.835785</x:v>
      </x:c>
      <x:c r="AS486" t="str">
        <x:v>PASS</x:v>
      </x:c>
      <x:c r="AT486" t="str">
        <x:v>--cda-nc2-191</x:v>
      </x:c>
      <x:c r="AU486" t="str">
        <x:v>var(--cda-nc2-191)</x:v>
      </x:c>
      <x:c r="AV486" t="str">
        <x:v>Median RGB from official PDF swatch (screen reference only)</x:v>
      </x:c>
      <x:c r="AW486" t="str">
        <x:v>https://www.carandache.com/content_files/uploaded_doc/product/10603/Colour_Chart_NeocolorII_841.pdf</x:v>
      </x:c>
      <x:c r="AX486" t="n">
        <x:v>1</x:v>
      </x:c>
      <x:c r="AY486" t="str">
        <x:v>Official</x:v>
      </x:c>
      <x:c r="AZ486" t="str">
        <x:v>Official where available; curated Traditional Chinese/Japanese otherwise</x:v>
      </x:c>
      <x:c r="BA486" t="str">
        <x:v>Verified from official chart; digital HEX is approximate</x:v>
      </x:c>
      <x:c r="BB486" t="str">
        <x:v>Physical media appearance varies by paper, pressure, layering, water and scan/display profile.</x:v>
      </x:c>
    </x:row>
    <x:row r="487">
      <x:c r="A487" t="str">
        <x:f>G487&amp;"|"&amp;L487</x:f>
        <x:v>NC2|201</x:v>
      </x:c>
      <x:c r="B487" t="str">
        <x:v>6c7109d2-cc7e-5106-ba6a-1a4e8f3eb2ed</x:v>
      </x:c>
      <x:c r="C487" t="str">
        <x:v>CDA-NC2-201</x:v>
      </x:c>
      <x:c r="D487" t="str">
        <x:v>41c705d7-153e-5378-b6fd-211680ba74d8</x:v>
      </x:c>
      <x:c r="E487" t="str">
        <x:v>CDA-CODE-201</x:v>
      </x:c>
      <x:c r="F487" t="str">
        <x:v>Caran d’Ache</x:v>
      </x:c>
      <x:c r="G487" t="str">
        <x:v>NC2</x:v>
      </x:c>
      <x:c r="H487" t="str">
        <x:v>NEOCOLOR II Aquarelle</x:v>
      </x:c>
      <x:c r="I487" t="str">
        <x:v>Water-soluble wax pastel</x:v>
      </x:c>
      <x:c r="J487" t="str">
        <x:v>Artist</x:v>
      </x:c>
      <x:c r="K487" s="30" t="n">
        <x:v>70</x:v>
      </x:c>
      <x:c r="L487" s="30" t="str">
        <x:v>201</x:v>
      </x:c>
      <x:c r="M487" t="str">
        <x:v>Veronese green</x:v>
      </x:c>
      <x:c r="N487" t="str">
        <x:v>維羅內塞綠</x:v>
      </x:c>
      <x:c r="O487" t="str">
        <x:v>ベロネーゼグリーン</x:v>
      </x:c>
      <x:c r="P487" t="str"/>
      <x:c r="Q487" t="str">
        <x:v>Vert Véronèse</x:v>
      </x:c>
      <x:c r="R487" t="str">
        <x:v>Veronesergrün</x:v>
      </x:c>
      <x:c r="S487" t="str">
        <x:v>Verde veronese</x:v>
      </x:c>
      <x:c r="T487" t="str">
        <x:v>Verde veronese</x:v>
      </x:c>
      <x:c r="U487" t="str"/>
      <x:c r="V487" t="str"/>
      <x:c r="W487" t="str"/>
      <x:c r="X487" t="n">
        <x:f>IF(W487="",0,LEN(W487)-LEN(SUBSTITUTE(W487,"/",""))+1)</x:f>
        <x:v>0</x:v>
      </x:c>
      <x:c r="Y487" t="str">
        <x:v>H</x:v>
      </x:c>
      <x:c r="Z487" s="32" t="n">
        <x:v>1.67</x:v>
      </x:c>
      <x:c r="AA487" s="32" t="n">
        <x:v>3</x:v>
      </x:c>
      <x:c r="AB487" s="32" t="str">
        <x:v>Blue Wool Scale / UV 150h</x:v>
      </x:c>
      <x:c r="AC487" t="str">
        <x:v>#ABD4BB</x:v>
      </x:c>
      <x:c r="AD487" s="34" t="n">
        <x:v>171</x:v>
      </x:c>
      <x:c r="AE487" s="34" t="n">
        <x:v>212</x:v>
      </x:c>
      <x:c r="AF487" s="34" t="n">
        <x:v>187</x:v>
      </x:c>
      <x:c r="AG487" s="32" t="n">
        <x:v>143.41</x:v>
      </x:c>
      <x:c r="AH487" s="32" t="n">
        <x:v>32.28</x:v>
      </x:c>
      <x:c r="AI487" s="32" t="n">
        <x:v>75.1</x:v>
      </x:c>
      <x:c r="AJ487" s="32" t="n">
        <x:v>81.47</x:v>
      </x:c>
      <x:c r="AK487" s="32" t="n">
        <x:v>-18.39</x:v>
      </x:c>
      <x:c r="AL487" s="32" t="n">
        <x:v>7.95</x:v>
      </x:c>
      <x:c r="AM487" s="32" t="str">
        <x:v>#000000</x:v>
      </x:c>
      <x:c r="AN487" s="32" t="str">
        <x:v>Black</x:v>
      </x:c>
      <x:c r="AO487" s="32" t="n">
        <x:v>12.87</x:v>
      </x:c>
      <x:c r="AP487" s="32" t="n">
        <x:v>12.87</x:v>
      </x:c>
      <x:c r="AQ487" s="32" t="n">
        <x:v>1.63</x:v>
      </x:c>
      <x:c r="AR487" s="32" t="n">
        <x:v>0.593328</x:v>
      </x:c>
      <x:c r="AS487" t="str">
        <x:v>PASS</x:v>
      </x:c>
      <x:c r="AT487" t="str">
        <x:v>--cda-nc2-201</x:v>
      </x:c>
      <x:c r="AU487" t="str">
        <x:v>var(--cda-nc2-201)</x:v>
      </x:c>
      <x:c r="AV487" t="str">
        <x:v>Median RGB from official PDF swatch (screen reference only)</x:v>
      </x:c>
      <x:c r="AW487" t="str">
        <x:v>https://www.carandache.com/content_files/uploaded_doc/product/10603/Colour_Chart_NeocolorII_841.pdf</x:v>
      </x:c>
      <x:c r="AX487" t="n">
        <x:v>1</x:v>
      </x:c>
      <x:c r="AY487" t="str">
        <x:v>Official</x:v>
      </x:c>
      <x:c r="AZ487" t="str">
        <x:v>Official where available; curated Traditional Chinese/Japanese otherwise</x:v>
      </x:c>
      <x:c r="BA487" t="str">
        <x:v>Verified from official chart; digital HEX is approximate</x:v>
      </x:c>
      <x:c r="BB487" t="str">
        <x:v>Physical media appearance varies by paper, pressure, layering, water and scan/display profile.</x:v>
      </x:c>
    </x:row>
    <x:row r="488">
      <x:c r="A488" t="str">
        <x:f>G488&amp;"|"&amp;L488</x:f>
        <x:v>NC2|212</x:v>
      </x:c>
      <x:c r="B488" t="str">
        <x:v>6199887b-320e-5ff2-b8ba-79492b9834f6</x:v>
      </x:c>
      <x:c r="C488" t="str">
        <x:v>CDA-NC2-212</x:v>
      </x:c>
      <x:c r="D488" t="str">
        <x:v>c4654ab2-e8d8-51fb-bafc-1edaae0fcf72</x:v>
      </x:c>
      <x:c r="E488" t="str">
        <x:v>CDA-CODE-212</x:v>
      </x:c>
      <x:c r="F488" t="str">
        <x:v>Caran d’Ache</x:v>
      </x:c>
      <x:c r="G488" t="str">
        <x:v>NC2</x:v>
      </x:c>
      <x:c r="H488" t="str">
        <x:v>NEOCOLOR II Aquarelle</x:v>
      </x:c>
      <x:c r="I488" t="str">
        <x:v>Water-soluble wax pastel</x:v>
      </x:c>
      <x:c r="J488" t="str">
        <x:v>Artist</x:v>
      </x:c>
      <x:c r="K488" s="30" t="n">
        <x:v>71</x:v>
      </x:c>
      <x:c r="L488" s="30" t="str">
        <x:v>212</x:v>
      </x:c>
      <x:c r="M488" t="str">
        <x:v>Chromium oxyde green</x:v>
      </x:c>
      <x:c r="N488" t="str">
        <x:v>氧化鉻綠</x:v>
      </x:c>
      <x:c r="O488" t="str">
        <x:v>クロムオキサイドグリーン</x:v>
      </x:c>
      <x:c r="P488" t="str"/>
      <x:c r="Q488" t="str">
        <x:v>Vert oxyde de chrome</x:v>
      </x:c>
      <x:c r="R488" t="str">
        <x:v>Chromoxydgrün</x:v>
      </x:c>
      <x:c r="S488" t="str">
        <x:v>Ossido di cromo verde</x:v>
      </x:c>
      <x:c r="T488" t="str">
        <x:v>Oxido de cromo verde</x:v>
      </x:c>
      <x:c r="U488" t="str"/>
      <x:c r="V488" t="str"/>
      <x:c r="W488" t="str"/>
      <x:c r="X488" t="n">
        <x:f>IF(W488="",0,LEN(W488)-LEN(SUBSTITUTE(W488,"/",""))+1)</x:f>
        <x:v>0</x:v>
      </x:c>
      <x:c r="Y488" t="str">
        <x:v>H</x:v>
      </x:c>
      <x:c r="Z488" s="32" t="n">
        <x:v>1.67</x:v>
      </x:c>
      <x:c r="AA488" s="32" t="n">
        <x:v>3</x:v>
      </x:c>
      <x:c r="AB488" s="32" t="str">
        <x:v>Blue Wool Scale / UV 150h</x:v>
      </x:c>
      <x:c r="AC488" t="str">
        <x:v>#CDD9A8</x:v>
      </x:c>
      <x:c r="AD488" s="34" t="n">
        <x:v>205</x:v>
      </x:c>
      <x:c r="AE488" s="34" t="n">
        <x:v>217</x:v>
      </x:c>
      <x:c r="AF488" s="34" t="n">
        <x:v>168</x:v>
      </x:c>
      <x:c r="AG488" s="32" t="n">
        <x:v>74.69</x:v>
      </x:c>
      <x:c r="AH488" s="32" t="n">
        <x:v>39.2</x:v>
      </x:c>
      <x:c r="AI488" s="32" t="n">
        <x:v>75.49</x:v>
      </x:c>
      <x:c r="AJ488" s="32" t="n">
        <x:v>84.71</x:v>
      </x:c>
      <x:c r="AK488" s="32" t="n">
        <x:v>-12.29</x:v>
      </x:c>
      <x:c r="AL488" s="32" t="n">
        <x:v>22.84</x:v>
      </x:c>
      <x:c r="AM488" s="32" t="str">
        <x:v>#000000</x:v>
      </x:c>
      <x:c r="AN488" s="32" t="str">
        <x:v>Black</x:v>
      </x:c>
      <x:c r="AO488" s="32" t="n">
        <x:v>14.09</x:v>
      </x:c>
      <x:c r="AP488" s="32" t="n">
        <x:v>14.09</x:v>
      </x:c>
      <x:c r="AQ488" s="32" t="n">
        <x:v>1.49</x:v>
      </x:c>
      <x:c r="AR488" s="32" t="n">
        <x:v>0.65432</x:v>
      </x:c>
      <x:c r="AS488" t="str">
        <x:v>PASS</x:v>
      </x:c>
      <x:c r="AT488" t="str">
        <x:v>--cda-nc2-212</x:v>
      </x:c>
      <x:c r="AU488" t="str">
        <x:v>var(--cda-nc2-212)</x:v>
      </x:c>
      <x:c r="AV488" t="str">
        <x:v>Median RGB from official PDF swatch (screen reference only)</x:v>
      </x:c>
      <x:c r="AW488" t="str">
        <x:v>https://www.carandache.com/content_files/uploaded_doc/product/10603/Colour_Chart_NeocolorII_841.pdf</x:v>
      </x:c>
      <x:c r="AX488" t="n">
        <x:v>1</x:v>
      </x:c>
      <x:c r="AY488" t="str">
        <x:v>Official</x:v>
      </x:c>
      <x:c r="AZ488" t="str">
        <x:v>Official where available; curated Traditional Chinese/Japanese otherwise</x:v>
      </x:c>
      <x:c r="BA488" t="str">
        <x:v>Verified from official chart; digital HEX is approximate</x:v>
      </x:c>
      <x:c r="BB488" t="str">
        <x:v>Physical media appearance varies by paper, pressure, layering, water and scan/display profile.</x:v>
      </x:c>
    </x:row>
    <x:row r="489">
      <x:c r="A489" t="str">
        <x:f>G489&amp;"|"&amp;L489</x:f>
        <x:v>NC2|225</x:v>
      </x:c>
      <x:c r="B489" t="str">
        <x:v>7e6d7e35-e5e3-55b6-9cef-1c95933f204c</x:v>
      </x:c>
      <x:c r="C489" t="str">
        <x:v>CDA-NC2-225</x:v>
      </x:c>
      <x:c r="D489" t="str">
        <x:v>d67f22eb-8649-5739-bafd-f445d45c47b5</x:v>
      </x:c>
      <x:c r="E489" t="str">
        <x:v>CDA-CODE-225</x:v>
      </x:c>
      <x:c r="F489" t="str">
        <x:v>Caran d’Ache</x:v>
      </x:c>
      <x:c r="G489" t="str">
        <x:v>NC2</x:v>
      </x:c>
      <x:c r="H489" t="str">
        <x:v>NEOCOLOR II Aquarelle</x:v>
      </x:c>
      <x:c r="I489" t="str">
        <x:v>Water-soluble wax pastel</x:v>
      </x:c>
      <x:c r="J489" t="str">
        <x:v>Artist</x:v>
      </x:c>
      <x:c r="K489" s="30" t="n">
        <x:v>72</x:v>
      </x:c>
      <x:c r="L489" s="30" t="str">
        <x:v>225</x:v>
      </x:c>
      <x:c r="M489" t="str">
        <x:v>Moss green</x:v>
      </x:c>
      <x:c r="N489" t="str">
        <x:v>苔綠色</x:v>
      </x:c>
      <x:c r="O489" t="str">
        <x:v>モスグリーン</x:v>
      </x:c>
      <x:c r="P489" t="str"/>
      <x:c r="Q489" t="str">
        <x:v>Vert mousse</x:v>
      </x:c>
      <x:c r="R489" t="str">
        <x:v>Moosgrün</x:v>
      </x:c>
      <x:c r="S489" t="str">
        <x:v>Verde muschio</x:v>
      </x:c>
      <x:c r="T489" t="str">
        <x:v>Verde musgo</x:v>
      </x:c>
      <x:c r="U489" t="str"/>
      <x:c r="V489" t="str"/>
      <x:c r="W489" t="str"/>
      <x:c r="X489" t="n">
        <x:f>IF(W489="",0,LEN(W489)-LEN(SUBSTITUTE(W489,"/",""))+1)</x:f>
        <x:v>0</x:v>
      </x:c>
      <x:c r="Y489" t="str">
        <x:v>H</x:v>
      </x:c>
      <x:c r="Z489" s="32" t="n">
        <x:v>1.67</x:v>
      </x:c>
      <x:c r="AA489" s="32" t="n">
        <x:v>3</x:v>
      </x:c>
      <x:c r="AB489" s="32" t="str">
        <x:v>Blue Wool Scale / UV 150h</x:v>
      </x:c>
      <x:c r="AC489" t="str">
        <x:v>#C9D088</x:v>
      </x:c>
      <x:c r="AD489" s="34" t="n">
        <x:v>201</x:v>
      </x:c>
      <x:c r="AE489" s="34" t="n">
        <x:v>208</x:v>
      </x:c>
      <x:c r="AF489" s="34" t="n">
        <x:v>136</x:v>
      </x:c>
      <x:c r="AG489" s="32" t="n">
        <x:v>65.83</x:v>
      </x:c>
      <x:c r="AH489" s="32" t="n">
        <x:v>43.37</x:v>
      </x:c>
      <x:c r="AI489" s="32" t="n">
        <x:v>67.45</x:v>
      </x:c>
      <x:c r="AJ489" s="32" t="n">
        <x:v>81.46</x:v>
      </x:c>
      <x:c r="AK489" s="32" t="n">
        <x:v>-13.56</x:v>
      </x:c>
      <x:c r="AL489" s="32" t="n">
        <x:v>35</x:v>
      </x:c>
      <x:c r="AM489" s="32" t="str">
        <x:v>#000000</x:v>
      </x:c>
      <x:c r="AN489" s="32" t="str">
        <x:v>Black</x:v>
      </x:c>
      <x:c r="AO489" s="32" t="n">
        <x:v>12.86</x:v>
      </x:c>
      <x:c r="AP489" s="32" t="n">
        <x:v>12.86</x:v>
      </x:c>
      <x:c r="AQ489" s="32" t="n">
        <x:v>1.63</x:v>
      </x:c>
      <x:c r="AR489" s="32" t="n">
        <x:v>0.593068</x:v>
      </x:c>
      <x:c r="AS489" t="str">
        <x:v>PASS</x:v>
      </x:c>
      <x:c r="AT489" t="str">
        <x:v>--cda-nc2-225</x:v>
      </x:c>
      <x:c r="AU489" t="str">
        <x:v>var(--cda-nc2-225)</x:v>
      </x:c>
      <x:c r="AV489" t="str">
        <x:v>Median RGB from official PDF swatch (screen reference only)</x:v>
      </x:c>
      <x:c r="AW489" t="str">
        <x:v>https://www.carandache.com/content_files/uploaded_doc/product/10603/Colour_Chart_NeocolorII_841.pdf</x:v>
      </x:c>
      <x:c r="AX489" t="n">
        <x:v>1</x:v>
      </x:c>
      <x:c r="AY489" t="str">
        <x:v>Official</x:v>
      </x:c>
      <x:c r="AZ489" t="str">
        <x:v>Official where available; curated Traditional Chinese/Japanese otherwise</x:v>
      </x:c>
      <x:c r="BA489" t="str">
        <x:v>Verified from official chart; digital HEX is approximate</x:v>
      </x:c>
      <x:c r="BB489" t="str">
        <x:v>Physical media appearance varies by paper, pressure, layering, water and scan/display profile.</x:v>
      </x:c>
    </x:row>
    <x:row r="490">
      <x:c r="A490" t="str">
        <x:f>G490&amp;"|"&amp;L490</x:f>
        <x:v>NC2|229</x:v>
      </x:c>
      <x:c r="B490" t="str">
        <x:v>db753196-bad2-58cb-a464-f4502ef88dac</x:v>
      </x:c>
      <x:c r="C490" t="str">
        <x:v>CDA-NC2-229</x:v>
      </x:c>
      <x:c r="D490" t="str">
        <x:v>95617532-4337-5a36-9e80-86ddcfd90f23</x:v>
      </x:c>
      <x:c r="E490" t="str">
        <x:v>CDA-CODE-229</x:v>
      </x:c>
      <x:c r="F490" t="str">
        <x:v>Caran d’Ache</x:v>
      </x:c>
      <x:c r="G490" t="str">
        <x:v>NC2</x:v>
      </x:c>
      <x:c r="H490" t="str">
        <x:v>NEOCOLOR II Aquarelle</x:v>
      </x:c>
      <x:c r="I490" t="str">
        <x:v>Water-soluble wax pastel</x:v>
      </x:c>
      <x:c r="J490" t="str">
        <x:v>Artist</x:v>
      </x:c>
      <x:c r="K490" s="30" t="n">
        <x:v>73</x:v>
      </x:c>
      <x:c r="L490" s="30" t="str">
        <x:v>229</x:v>
      </x:c>
      <x:c r="M490" t="str">
        <x:v>Dark green</x:v>
      </x:c>
      <x:c r="N490" t="str">
        <x:v>深綠色</x:v>
      </x:c>
      <x:c r="O490" t="str">
        <x:v>ダークグリーン</x:v>
      </x:c>
      <x:c r="P490" t="str"/>
      <x:c r="Q490" t="str">
        <x:v>Vert foncé</x:v>
      </x:c>
      <x:c r="R490" t="str">
        <x:v>Dunkelgrün</x:v>
      </x:c>
      <x:c r="S490" t="str">
        <x:v>Verde scuro</x:v>
      </x:c>
      <x:c r="T490" t="str">
        <x:v>Verde oscuro</x:v>
      </x:c>
      <x:c r="U490" t="str"/>
      <x:c r="V490" t="str"/>
      <x:c r="W490" t="str"/>
      <x:c r="X490" t="n">
        <x:f>IF(W490="",0,LEN(W490)-LEN(SUBSTITUTE(W490,"/",""))+1)</x:f>
        <x:v>0</x:v>
      </x:c>
      <x:c r="Y490" t="str">
        <x:v>H</x:v>
      </x:c>
      <x:c r="Z490" s="32" t="n">
        <x:v>1.67</x:v>
      </x:c>
      <x:c r="AA490" s="32" t="n">
        <x:v>3</x:v>
      </x:c>
      <x:c r="AB490" s="32" t="str">
        <x:v>Blue Wool Scale / UV 150h</x:v>
      </x:c>
      <x:c r="AC490" t="str">
        <x:v>#BBDDCC</x:v>
      </x:c>
      <x:c r="AD490" s="34" t="n">
        <x:v>187</x:v>
      </x:c>
      <x:c r="AE490" s="34" t="n">
        <x:v>221</x:v>
      </x:c>
      <x:c r="AF490" s="34" t="n">
        <x:v>204</x:v>
      </x:c>
      <x:c r="AG490" s="32" t="n">
        <x:v>150</x:v>
      </x:c>
      <x:c r="AH490" s="32" t="n">
        <x:v>33.33</x:v>
      </x:c>
      <x:c r="AI490" s="32" t="n">
        <x:v>80</x:v>
      </x:c>
      <x:c r="AJ490" s="32" t="n">
        <x:v>85.32</x:v>
      </x:c>
      <x:c r="AK490" s="32" t="n">
        <x:v>-14.47</x:v>
      </x:c>
      <x:c r="AL490" s="32" t="n">
        <x:v>4.61</x:v>
      </x:c>
      <x:c r="AM490" s="32" t="str">
        <x:v>#000000</x:v>
      </x:c>
      <x:c r="AN490" s="32" t="str">
        <x:v>Black</x:v>
      </x:c>
      <x:c r="AO490" s="32" t="n">
        <x:v>14.33</x:v>
      </x:c>
      <x:c r="AP490" s="32" t="n">
        <x:v>14.33</x:v>
      </x:c>
      <x:c r="AQ490" s="32" t="n">
        <x:v>1.47</x:v>
      </x:c>
      <x:c r="AR490" s="32" t="n">
        <x:v>0.666373</x:v>
      </x:c>
      <x:c r="AS490" t="str">
        <x:v>PASS</x:v>
      </x:c>
      <x:c r="AT490" t="str">
        <x:v>--cda-nc2-229</x:v>
      </x:c>
      <x:c r="AU490" t="str">
        <x:v>var(--cda-nc2-229)</x:v>
      </x:c>
      <x:c r="AV490" t="str">
        <x:v>Median RGB from official PDF swatch (screen reference only)</x:v>
      </x:c>
      <x:c r="AW490" t="str">
        <x:v>https://www.carandache.com/content_files/uploaded_doc/product/10603/Colour_Chart_NeocolorII_841.pdf</x:v>
      </x:c>
      <x:c r="AX490" t="n">
        <x:v>1</x:v>
      </x:c>
      <x:c r="AY490" t="str">
        <x:v>Official</x:v>
      </x:c>
      <x:c r="AZ490" t="str">
        <x:v>Official where available; curated Traditional Chinese/Japanese otherwise</x:v>
      </x:c>
      <x:c r="BA490" t="str">
        <x:v>Verified from official chart; digital HEX is approximate</x:v>
      </x:c>
      <x:c r="BB490" t="str">
        <x:v>Physical media appearance varies by paper, pressure, layering, water and scan/display profile.</x:v>
      </x:c>
    </x:row>
    <x:row r="491">
      <x:c r="A491" t="str">
        <x:f>G491&amp;"|"&amp;L491</x:f>
        <x:v>NC2|190</x:v>
      </x:c>
      <x:c r="B491" t="str">
        <x:v>375c04d7-113c-58b9-b809-3b906141ca65</x:v>
      </x:c>
      <x:c r="C491" t="str">
        <x:v>CDA-NC2-190</x:v>
      </x:c>
      <x:c r="D491" t="str">
        <x:v>d91a39dc-f93b-5b8b-a953-a353d4f54b4e</x:v>
      </x:c>
      <x:c r="E491" t="str">
        <x:v>CDA-CODE-190</x:v>
      </x:c>
      <x:c r="F491" t="str">
        <x:v>Caran d’Ache</x:v>
      </x:c>
      <x:c r="G491" t="str">
        <x:v>NC2</x:v>
      </x:c>
      <x:c r="H491" t="str">
        <x:v>NEOCOLOR II Aquarelle</x:v>
      </x:c>
      <x:c r="I491" t="str">
        <x:v>Water-soluble wax pastel</x:v>
      </x:c>
      <x:c r="J491" t="str">
        <x:v>Artist</x:v>
      </x:c>
      <x:c r="K491" s="30" t="n">
        <x:v>74</x:v>
      </x:c>
      <x:c r="L491" s="30" t="str">
        <x:v>190</x:v>
      </x:c>
      <x:c r="M491" t="str">
        <x:v>Greenish blue</x:v>
      </x:c>
      <x:c r="N491" t="str">
        <x:v>綠藍色</x:v>
      </x:c>
      <x:c r="O491" t="str">
        <x:v>グリーニッシュブルー</x:v>
      </x:c>
      <x:c r="P491" t="str"/>
      <x:c r="Q491" t="str">
        <x:v>Bleu verdâtre</x:v>
      </x:c>
      <x:c r="R491" t="str">
        <x:v>Grünblau</x:v>
      </x:c>
      <x:c r="S491" t="str">
        <x:v>Blu verdastro</x:v>
      </x:c>
      <x:c r="T491" t="str">
        <x:v>Azul verdoso</x:v>
      </x:c>
      <x:c r="U491" t="str"/>
      <x:c r="V491" t="str"/>
      <x:c r="W491" t="str"/>
      <x:c r="X491" t="n">
        <x:f>IF(W491="",0,LEN(W491)-LEN(SUBSTITUTE(W491,"/",""))+1)</x:f>
        <x:v>0</x:v>
      </x:c>
      <x:c r="Y491" t="str">
        <x:v>H</x:v>
      </x:c>
      <x:c r="Z491" s="32" t="n">
        <x:v>1.67</x:v>
      </x:c>
      <x:c r="AA491" s="32" t="n">
        <x:v>3</x:v>
      </x:c>
      <x:c r="AB491" s="32" t="str">
        <x:v>Blue Wool Scale / UV 150h</x:v>
      </x:c>
      <x:c r="AC491" t="str">
        <x:v>#AAD8D5</x:v>
      </x:c>
      <x:c r="AD491" s="34" t="n">
        <x:v>170</x:v>
      </x:c>
      <x:c r="AE491" s="34" t="n">
        <x:v>216</x:v>
      </x:c>
      <x:c r="AF491" s="34" t="n">
        <x:v>213</x:v>
      </x:c>
      <x:c r="AG491" s="32" t="n">
        <x:v>176.09</x:v>
      </x:c>
      <x:c r="AH491" s="32" t="n">
        <x:v>37.1</x:v>
      </x:c>
      <x:c r="AI491" s="32" t="n">
        <x:v>75.69</x:v>
      </x:c>
      <x:c r="AJ491" s="32" t="n">
        <x:v>83.16</x:v>
      </x:c>
      <x:c r="AK491" s="32" t="n">
        <x:v>-15.5</x:v>
      </x:c>
      <x:c r="AL491" s="32" t="n">
        <x:v>-3.44</x:v>
      </x:c>
      <x:c r="AM491" s="32" t="str">
        <x:v>#000000</x:v>
      </x:c>
      <x:c r="AN491" s="32" t="str">
        <x:v>Black</x:v>
      </x:c>
      <x:c r="AO491" s="32" t="n">
        <x:v>13.49</x:v>
      </x:c>
      <x:c r="AP491" s="32" t="n">
        <x:v>13.49</x:v>
      </x:c>
      <x:c r="AQ491" s="32" t="n">
        <x:v>1.56</x:v>
      </x:c>
      <x:c r="AR491" s="32" t="n">
        <x:v>0.624619</x:v>
      </x:c>
      <x:c r="AS491" t="str">
        <x:v>PASS</x:v>
      </x:c>
      <x:c r="AT491" t="str">
        <x:v>--cda-nc2-190</x:v>
      </x:c>
      <x:c r="AU491" t="str">
        <x:v>var(--cda-nc2-190)</x:v>
      </x:c>
      <x:c r="AV491" t="str">
        <x:v>Median RGB from official PDF swatch (screen reference only)</x:v>
      </x:c>
      <x:c r="AW491" t="str">
        <x:v>https://www.carandache.com/content_files/uploaded_doc/product/10603/Colour_Chart_NeocolorII_841.pdf</x:v>
      </x:c>
      <x:c r="AX491" t="n">
        <x:v>1</x:v>
      </x:c>
      <x:c r="AY491" t="str">
        <x:v>Official</x:v>
      </x:c>
      <x:c r="AZ491" t="str">
        <x:v>Official where available; curated Traditional Chinese/Japanese otherwise</x:v>
      </x:c>
      <x:c r="BA491" t="str">
        <x:v>Verified from official chart; digital HEX is approximate</x:v>
      </x:c>
      <x:c r="BB491" t="str">
        <x:v>Physical media appearance varies by paper, pressure, layering, water and scan/display profile.</x:v>
      </x:c>
    </x:row>
    <x:row r="492">
      <x:c r="A492" t="str">
        <x:f>G492&amp;"|"&amp;L492</x:f>
        <x:v>NC2|180</x:v>
      </x:c>
      <x:c r="B492" t="str">
        <x:v>05d4d9a4-1e69-5610-99ae-af296f42cb85</x:v>
      </x:c>
      <x:c r="C492" t="str">
        <x:v>CDA-NC2-180</x:v>
      </x:c>
      <x:c r="D492" t="str">
        <x:v>4231c496-9609-55e3-b7b2-f62a8cae5f25</x:v>
      </x:c>
      <x:c r="E492" t="str">
        <x:v>CDA-CODE-180</x:v>
      </x:c>
      <x:c r="F492" t="str">
        <x:v>Caran d’Ache</x:v>
      </x:c>
      <x:c r="G492" t="str">
        <x:v>NC2</x:v>
      </x:c>
      <x:c r="H492" t="str">
        <x:v>NEOCOLOR II Aquarelle</x:v>
      </x:c>
      <x:c r="I492" t="str">
        <x:v>Water-soluble wax pastel</x:v>
      </x:c>
      <x:c r="J492" t="str">
        <x:v>Artist</x:v>
      </x:c>
      <x:c r="K492" s="30" t="n">
        <x:v>75</x:v>
      </x:c>
      <x:c r="L492" s="30" t="str">
        <x:v>180</x:v>
      </x:c>
      <x:c r="M492" t="str">
        <x:v>Malachite green</x:v>
      </x:c>
      <x:c r="N492" t="str">
        <x:v>孔雀石綠</x:v>
      </x:c>
      <x:c r="O492" t="str">
        <x:v>マラカイトグリーン</x:v>
      </x:c>
      <x:c r="P492" t="str"/>
      <x:c r="Q492" t="str">
        <x:v>Vert malachite</x:v>
      </x:c>
      <x:c r="R492" t="str">
        <x:v>Malachitgrün</x:v>
      </x:c>
      <x:c r="S492" t="str">
        <x:v>Verde malachite</x:v>
      </x:c>
      <x:c r="T492" t="str">
        <x:v>Verde malaquita</x:v>
      </x:c>
      <x:c r="U492" t="str"/>
      <x:c r="V492" t="str"/>
      <x:c r="W492" t="str"/>
      <x:c r="X492" t="n">
        <x:f>IF(W492="",0,LEN(W492)-LEN(SUBSTITUTE(W492,"/",""))+1)</x:f>
        <x:v>0</x:v>
      </x:c>
      <x:c r="Y492" t="str">
        <x:v>H</x:v>
      </x:c>
      <x:c r="Z492" s="32" t="n">
        <x:v>1.67</x:v>
      </x:c>
      <x:c r="AA492" s="32" t="n">
        <x:v>3</x:v>
      </x:c>
      <x:c r="AB492" s="32" t="str">
        <x:v>Blue Wool Scale / UV 150h</x:v>
      </x:c>
      <x:c r="AC492" t="str">
        <x:v>#DEEEEC</x:v>
      </x:c>
      <x:c r="AD492" s="34" t="n">
        <x:v>222</x:v>
      </x:c>
      <x:c r="AE492" s="34" t="n">
        <x:v>238</x:v>
      </x:c>
      <x:c r="AF492" s="34" t="n">
        <x:v>236</x:v>
      </x:c>
      <x:c r="AG492" s="32" t="n">
        <x:v>172.5</x:v>
      </x:c>
      <x:c r="AH492" s="32" t="n">
        <x:v>32</x:v>
      </x:c>
      <x:c r="AI492" s="32" t="n">
        <x:v>90.2</x:v>
      </x:c>
      <x:c r="AJ492" s="32" t="n">
        <x:v>92.9</x:v>
      </x:c>
      <x:c r="AK492" s="32" t="n">
        <x:v>-5.64</x:v>
      </x:c>
      <x:c r="AL492" s="32" t="n">
        <x:v>-0.85</x:v>
      </x:c>
      <x:c r="AM492" s="32" t="str">
        <x:v>#000000</x:v>
      </x:c>
      <x:c r="AN492" s="32" t="str">
        <x:v>Black</x:v>
      </x:c>
      <x:c r="AO492" s="32" t="n">
        <x:v>17.55</x:v>
      </x:c>
      <x:c r="AP492" s="32" t="n">
        <x:v>17.55</x:v>
      </x:c>
      <x:c r="AQ492" s="32" t="n">
        <x:v>1.2</x:v>
      </x:c>
      <x:c r="AR492" s="32" t="n">
        <x:v>0.827348</x:v>
      </x:c>
      <x:c r="AS492" t="str">
        <x:v>PASS</x:v>
      </x:c>
      <x:c r="AT492" t="str">
        <x:v>--cda-nc2-180</x:v>
      </x:c>
      <x:c r="AU492" t="str">
        <x:v>var(--cda-nc2-180)</x:v>
      </x:c>
      <x:c r="AV492" t="str">
        <x:v>Median RGB from official PDF swatch (screen reference only)</x:v>
      </x:c>
      <x:c r="AW492" t="str">
        <x:v>https://www.carandache.com/content_files/uploaded_doc/product/10603/Colour_Chart_NeocolorII_841.pdf</x:v>
      </x:c>
      <x:c r="AX492" t="n">
        <x:v>1</x:v>
      </x:c>
      <x:c r="AY492" t="str">
        <x:v>Official</x:v>
      </x:c>
      <x:c r="AZ492" t="str">
        <x:v>Official where available; curated Traditional Chinese/Japanese otherwise</x:v>
      </x:c>
      <x:c r="BA492" t="str">
        <x:v>Verified from official chart; digital HEX is approximate</x:v>
      </x:c>
      <x:c r="BB492" t="str">
        <x:v>Physical media appearance varies by paper, pressure, layering, water and scan/display profile.</x:v>
      </x:c>
    </x:row>
    <x:row r="493">
      <x:c r="A493" t="str">
        <x:f>G493&amp;"|"&amp;L493</x:f>
        <x:v>NC2|210</x:v>
      </x:c>
      <x:c r="B493" t="str">
        <x:v>84c645e3-675d-59c7-8e00-acd992705806</x:v>
      </x:c>
      <x:c r="C493" t="str">
        <x:v>CDA-NC2-210</x:v>
      </x:c>
      <x:c r="D493" t="str">
        <x:v>20169bd8-fae1-5c8f-b26d-df9ab6e5a19c</x:v>
      </x:c>
      <x:c r="E493" t="str">
        <x:v>CDA-CODE-210</x:v>
      </x:c>
      <x:c r="F493" t="str">
        <x:v>Caran d’Ache</x:v>
      </x:c>
      <x:c r="G493" t="str">
        <x:v>NC2</x:v>
      </x:c>
      <x:c r="H493" t="str">
        <x:v>NEOCOLOR II Aquarelle</x:v>
      </x:c>
      <x:c r="I493" t="str">
        <x:v>Water-soluble wax pastel</x:v>
      </x:c>
      <x:c r="J493" t="str">
        <x:v>Artist</x:v>
      </x:c>
      <x:c r="K493" s="30" t="n">
        <x:v>76</x:v>
      </x:c>
      <x:c r="L493" s="30" t="str">
        <x:v>210</x:v>
      </x:c>
      <x:c r="M493" t="str">
        <x:v>Emerald green</x:v>
      </x:c>
      <x:c r="N493" t="str">
        <x:v>祖母綠</x:v>
      </x:c>
      <x:c r="O493" t="str">
        <x:v>エメラルドグリーン</x:v>
      </x:c>
      <x:c r="P493" t="str"/>
      <x:c r="Q493" t="str">
        <x:v>Vert émeraude</x:v>
      </x:c>
      <x:c r="R493" t="str">
        <x:v>Smaragdgrün</x:v>
      </x:c>
      <x:c r="S493" t="str">
        <x:v>Verde smeraldo</x:v>
      </x:c>
      <x:c r="T493" t="str">
        <x:v>Verde esmeralda</x:v>
      </x:c>
      <x:c r="U493" t="str"/>
      <x:c r="V493" t="str"/>
      <x:c r="W493" t="str"/>
      <x:c r="X493" t="n">
        <x:f>IF(W493="",0,LEN(W493)-LEN(SUBSTITUTE(W493,"/",""))+1)</x:f>
        <x:v>0</x:v>
      </x:c>
      <x:c r="Y493" t="str">
        <x:v>H</x:v>
      </x:c>
      <x:c r="Z493" s="32" t="n">
        <x:v>1.67</x:v>
      </x:c>
      <x:c r="AA493" s="32" t="n">
        <x:v>3</x:v>
      </x:c>
      <x:c r="AB493" s="32" t="str">
        <x:v>Blue Wool Scale / UV 150h</x:v>
      </x:c>
      <x:c r="AC493" t="str">
        <x:v>#B7DAC9</x:v>
      </x:c>
      <x:c r="AD493" s="34" t="n">
        <x:v>183</x:v>
      </x:c>
      <x:c r="AE493" s="34" t="n">
        <x:v>218</x:v>
      </x:c>
      <x:c r="AF493" s="34" t="n">
        <x:v>201</x:v>
      </x:c>
      <x:c r="AG493" s="32" t="n">
        <x:v>150.86</x:v>
      </x:c>
      <x:c r="AH493" s="32" t="n">
        <x:v>32.11</x:v>
      </x:c>
      <x:c r="AI493" s="32" t="n">
        <x:v>78.63</x:v>
      </x:c>
      <x:c r="AJ493" s="32" t="n">
        <x:v>84.19</x:v>
      </x:c>
      <x:c r="AK493" s="32" t="n">
        <x:v>-14.83</x:v>
      </x:c>
      <x:c r="AL493" s="32" t="n">
        <x:v>4.53</x:v>
      </x:c>
      <x:c r="AM493" s="32" t="str">
        <x:v>#000000</x:v>
      </x:c>
      <x:c r="AN493" s="32" t="str">
        <x:v>Black</x:v>
      </x:c>
      <x:c r="AO493" s="32" t="n">
        <x:v>13.89</x:v>
      </x:c>
      <x:c r="AP493" s="32" t="n">
        <x:v>13.89</x:v>
      </x:c>
      <x:c r="AQ493" s="32" t="n">
        <x:v>1.51</x:v>
      </x:c>
      <x:c r="AR493" s="32" t="n">
        <x:v>0.644271</x:v>
      </x:c>
      <x:c r="AS493" t="str">
        <x:v>PASS</x:v>
      </x:c>
      <x:c r="AT493" t="str">
        <x:v>--cda-nc2-210</x:v>
      </x:c>
      <x:c r="AU493" t="str">
        <x:v>var(--cda-nc2-210)</x:v>
      </x:c>
      <x:c r="AV493" t="str">
        <x:v>Median RGB from official PDF swatch (screen reference only)</x:v>
      </x:c>
      <x:c r="AW493" t="str">
        <x:v>https://www.carandache.com/content_files/uploaded_doc/product/10603/Colour_Chart_NeocolorII_841.pdf</x:v>
      </x:c>
      <x:c r="AX493" t="n">
        <x:v>1</x:v>
      </x:c>
      <x:c r="AY493" t="str">
        <x:v>Official</x:v>
      </x:c>
      <x:c r="AZ493" t="str">
        <x:v>Official where available; curated Traditional Chinese/Japanese otherwise</x:v>
      </x:c>
      <x:c r="BA493" t="str">
        <x:v>Verified from official chart; digital HEX is approximate</x:v>
      </x:c>
      <x:c r="BB493" t="str">
        <x:v>Physical media appearance varies by paper, pressure, layering, water and scan/display profile.</x:v>
      </x:c>
    </x:row>
    <x:row r="494">
      <x:c r="A494" t="str">
        <x:f>G494&amp;"|"&amp;L494</x:f>
        <x:v>NC2|710</x:v>
      </x:c>
      <x:c r="B494" t="str">
        <x:v>0aee6481-4ae1-5c20-bcff-bb84070386d4</x:v>
      </x:c>
      <x:c r="C494" t="str">
        <x:v>CDA-NC2-710</x:v>
      </x:c>
      <x:c r="D494" t="str">
        <x:v>7ea92f7f-586c-548b-94f9-236bd9e56ace</x:v>
      </x:c>
      <x:c r="E494" t="str">
        <x:v>CDA-CODE-710</x:v>
      </x:c>
      <x:c r="F494" t="str">
        <x:v>Caran d’Ache</x:v>
      </x:c>
      <x:c r="G494" t="str">
        <x:v>NC2</x:v>
      </x:c>
      <x:c r="H494" t="str">
        <x:v>NEOCOLOR II Aquarelle</x:v>
      </x:c>
      <x:c r="I494" t="str">
        <x:v>Water-soluble wax pastel</x:v>
      </x:c>
      <x:c r="J494" t="str">
        <x:v>Artist</x:v>
      </x:c>
      <x:c r="K494" s="30" t="n">
        <x:v>77</x:v>
      </x:c>
      <x:c r="L494" s="30" t="str">
        <x:v>710</x:v>
      </x:c>
      <x:c r="M494" t="str">
        <x:v>Phthalocyanine green</x:v>
      </x:c>
      <x:c r="N494" t="str">
        <x:v>酞菁綠</x:v>
      </x:c>
      <x:c r="O494" t="str">
        <x:v>フタロシアニングリーン</x:v>
      </x:c>
      <x:c r="P494" t="str"/>
      <x:c r="Q494" t="str">
        <x:v>Vert de phtalocyanine</x:v>
      </x:c>
      <x:c r="R494" t="str">
        <x:v>Phthalocyaningrün</x:v>
      </x:c>
      <x:c r="S494" t="str">
        <x:v>Verde ftalot</x:v>
      </x:c>
      <x:c r="T494" t="str">
        <x:v>Verde phtalo</x:v>
      </x:c>
      <x:c r="U494" t="str"/>
      <x:c r="V494" t="str"/>
      <x:c r="W494" t="str"/>
      <x:c r="X494" t="n">
        <x:f>IF(W494="",0,LEN(W494)-LEN(SUBSTITUTE(W494,"/",""))+1)</x:f>
        <x:v>0</x:v>
      </x:c>
      <x:c r="Y494" t="str">
        <x:v>H</x:v>
      </x:c>
      <x:c r="Z494" s="32" t="n">
        <x:v>1.67</x:v>
      </x:c>
      <x:c r="AA494" s="32" t="n">
        <x:v>3</x:v>
      </x:c>
      <x:c r="AB494" s="32" t="str">
        <x:v>Blue Wool Scale / UV 150h</x:v>
      </x:c>
      <x:c r="AC494" t="str">
        <x:v>#84C8B7</x:v>
      </x:c>
      <x:c r="AD494" s="34" t="n">
        <x:v>132</x:v>
      </x:c>
      <x:c r="AE494" s="34" t="n">
        <x:v>200</x:v>
      </x:c>
      <x:c r="AF494" s="34" t="n">
        <x:v>183</x:v>
      </x:c>
      <x:c r="AG494" s="32" t="n">
        <x:v>165</x:v>
      </x:c>
      <x:c r="AH494" s="32" t="n">
        <x:v>38.2</x:v>
      </x:c>
      <x:c r="AI494" s="32" t="n">
        <x:v>65.1</x:v>
      </x:c>
      <x:c r="AJ494" s="32" t="n">
        <x:v>75.84</x:v>
      </x:c>
      <x:c r="AK494" s="32" t="n">
        <x:v>-25.24</x:v>
      </x:c>
      <x:c r="AL494" s="32" t="n">
        <x:v>1.69</x:v>
      </x:c>
      <x:c r="AM494" s="32" t="str">
        <x:v>#000000</x:v>
      </x:c>
      <x:c r="AN494" s="32" t="str">
        <x:v>Black</x:v>
      </x:c>
      <x:c r="AO494" s="32" t="n">
        <x:v>10.93</x:v>
      </x:c>
      <x:c r="AP494" s="32" t="n">
        <x:v>10.93</x:v>
      </x:c>
      <x:c r="AQ494" s="32" t="n">
        <x:v>1.92</x:v>
      </x:c>
      <x:c r="AR494" s="32" t="n">
        <x:v>0.49633</x:v>
      </x:c>
      <x:c r="AS494" t="str">
        <x:v>PASS</x:v>
      </x:c>
      <x:c r="AT494" t="str">
        <x:v>--cda-nc2-710</x:v>
      </x:c>
      <x:c r="AU494" t="str">
        <x:v>var(--cda-nc2-710)</x:v>
      </x:c>
      <x:c r="AV494" t="str">
        <x:v>Median RGB from official PDF swatch (screen reference only)</x:v>
      </x:c>
      <x:c r="AW494" t="str">
        <x:v>https://www.carandache.com/content_files/uploaded_doc/product/10603/Colour_Chart_NeocolorII_841.pdf</x:v>
      </x:c>
      <x:c r="AX494" t="n">
        <x:v>1</x:v>
      </x:c>
      <x:c r="AY494" t="str">
        <x:v>Official</x:v>
      </x:c>
      <x:c r="AZ494" t="str">
        <x:v>Official where available; curated Traditional Chinese/Japanese otherwise</x:v>
      </x:c>
      <x:c r="BA494" t="str">
        <x:v>Verified from official chart; digital HEX is approximate</x:v>
      </x:c>
      <x:c r="BB494" t="str">
        <x:v>Physical media appearance varies by paper, pressure, layering, water and scan/display profile.</x:v>
      </x:c>
    </x:row>
    <x:row r="495">
      <x:c r="A495" t="str">
        <x:f>G495&amp;"|"&amp;L495</x:f>
        <x:v>NC2|220</x:v>
      </x:c>
      <x:c r="B495" t="str">
        <x:v>c9c92a21-1bca-5ee0-af14-ae48ee3db37d</x:v>
      </x:c>
      <x:c r="C495" t="str">
        <x:v>CDA-NC2-220</x:v>
      </x:c>
      <x:c r="D495" t="str">
        <x:v>69a03597-fa02-5bd4-9968-b3f74f6fcd04</x:v>
      </x:c>
      <x:c r="E495" t="str">
        <x:v>CDA-CODE-220</x:v>
      </x:c>
      <x:c r="F495" t="str">
        <x:v>Caran d’Ache</x:v>
      </x:c>
      <x:c r="G495" t="str">
        <x:v>NC2</x:v>
      </x:c>
      <x:c r="H495" t="str">
        <x:v>NEOCOLOR II Aquarelle</x:v>
      </x:c>
      <x:c r="I495" t="str">
        <x:v>Water-soluble wax pastel</x:v>
      </x:c>
      <x:c r="J495" t="str">
        <x:v>Artist</x:v>
      </x:c>
      <x:c r="K495" s="30" t="n">
        <x:v>78</x:v>
      </x:c>
      <x:c r="L495" s="30" t="str">
        <x:v>220</x:v>
      </x:c>
      <x:c r="M495" t="str">
        <x:v>Grass green</x:v>
      </x:c>
      <x:c r="N495" t="str">
        <x:v>草綠色</x:v>
      </x:c>
      <x:c r="O495" t="str">
        <x:v>グラスグリーン</x:v>
      </x:c>
      <x:c r="P495" t="str"/>
      <x:c r="Q495" t="str">
        <x:v>Vert prairie</x:v>
      </x:c>
      <x:c r="R495" t="str">
        <x:v>Grasgrün</x:v>
      </x:c>
      <x:c r="S495" t="str">
        <x:v>Verde prato</x:v>
      </x:c>
      <x:c r="T495" t="str">
        <x:v>Verde prado</x:v>
      </x:c>
      <x:c r="U495" t="str"/>
      <x:c r="V495" t="str"/>
      <x:c r="W495" t="str"/>
      <x:c r="X495" t="n">
        <x:f>IF(W495="",0,LEN(W495)-LEN(SUBSTITUTE(W495,"/",""))+1)</x:f>
        <x:v>0</x:v>
      </x:c>
      <x:c r="Y495" t="str">
        <x:v>H</x:v>
      </x:c>
      <x:c r="Z495" s="32" t="n">
        <x:v>1.67</x:v>
      </x:c>
      <x:c r="AA495" s="32" t="n">
        <x:v>3</x:v>
      </x:c>
      <x:c r="AB495" s="32" t="str">
        <x:v>Blue Wool Scale / UV 150h</x:v>
      </x:c>
      <x:c r="AC495" t="str">
        <x:v>#D5E6CA</x:v>
      </x:c>
      <x:c r="AD495" s="34" t="n">
        <x:v>213</x:v>
      </x:c>
      <x:c r="AE495" s="34" t="n">
        <x:v>230</x:v>
      </x:c>
      <x:c r="AF495" s="34" t="n">
        <x:v>202</x:v>
      </x:c>
      <x:c r="AG495" s="32" t="n">
        <x:v>96.43</x:v>
      </x:c>
      <x:c r="AH495" s="32" t="n">
        <x:v>35.9</x:v>
      </x:c>
      <x:c r="AI495" s="32" t="n">
        <x:v>84.71</x:v>
      </x:c>
      <x:c r="AJ495" s="32" t="n">
        <x:v>89.39</x:v>
      </x:c>
      <x:c r="AK495" s="32" t="n">
        <x:v>-10.64</x:v>
      </x:c>
      <x:c r="AL495" s="32" t="n">
        <x:v>11.73</x:v>
      </x:c>
      <x:c r="AM495" s="32" t="str">
        <x:v>#000000</x:v>
      </x:c>
      <x:c r="AN495" s="32" t="str">
        <x:v>Black</x:v>
      </x:c>
      <x:c r="AO495" s="32" t="n">
        <x:v>16</x:v>
      </x:c>
      <x:c r="AP495" s="32" t="n">
        <x:v>16</x:v>
      </x:c>
      <x:c r="AQ495" s="32" t="n">
        <x:v>1.31</x:v>
      </x:c>
      <x:c r="AR495" s="32" t="n">
        <x:v>0.75004</x:v>
      </x:c>
      <x:c r="AS495" t="str">
        <x:v>PASS</x:v>
      </x:c>
      <x:c r="AT495" t="str">
        <x:v>--cda-nc2-220</x:v>
      </x:c>
      <x:c r="AU495" t="str">
        <x:v>var(--cda-nc2-220)</x:v>
      </x:c>
      <x:c r="AV495" t="str">
        <x:v>Median RGB from official PDF swatch (screen reference only)</x:v>
      </x:c>
      <x:c r="AW495" t="str">
        <x:v>https://www.carandache.com/content_files/uploaded_doc/product/10603/Colour_Chart_NeocolorII_841.pdf</x:v>
      </x:c>
      <x:c r="AX495" t="n">
        <x:v>1</x:v>
      </x:c>
      <x:c r="AY495" t="str">
        <x:v>Official</x:v>
      </x:c>
      <x:c r="AZ495" t="str">
        <x:v>Official where available; curated Traditional Chinese/Japanese otherwise</x:v>
      </x:c>
      <x:c r="BA495" t="str">
        <x:v>Verified from official chart; digital HEX is approximate</x:v>
      </x:c>
      <x:c r="BB495" t="str">
        <x:v>Physical media appearance varies by paper, pressure, layering, water and scan/display profile.</x:v>
      </x:c>
    </x:row>
    <x:row r="496">
      <x:c r="A496" t="str">
        <x:f>G496&amp;"|"&amp;L496</x:f>
        <x:v>NC2|720</x:v>
      </x:c>
      <x:c r="B496" t="str">
        <x:v>f38ce62d-8071-592b-9e20-9bd2ec8af04e</x:v>
      </x:c>
      <x:c r="C496" t="str">
        <x:v>CDA-NC2-720</x:v>
      </x:c>
      <x:c r="D496" t="str">
        <x:v>45ea4757-a06c-528d-95a0-af6022384e81</x:v>
      </x:c>
      <x:c r="E496" t="str">
        <x:v>CDA-CODE-720</x:v>
      </x:c>
      <x:c r="F496" t="str">
        <x:v>Caran d’Ache</x:v>
      </x:c>
      <x:c r="G496" t="str">
        <x:v>NC2</x:v>
      </x:c>
      <x:c r="H496" t="str">
        <x:v>NEOCOLOR II Aquarelle</x:v>
      </x:c>
      <x:c r="I496" t="str">
        <x:v>Water-soluble wax pastel</x:v>
      </x:c>
      <x:c r="J496" t="str">
        <x:v>Artist</x:v>
      </x:c>
      <x:c r="K496" s="30" t="n">
        <x:v>79</x:v>
      </x:c>
      <x:c r="L496" s="30" t="str">
        <x:v>720</x:v>
      </x:c>
      <x:c r="M496" t="str">
        <x:v>Bright green</x:v>
      </x:c>
      <x:c r="N496" t="str">
        <x:v>亮綠色</x:v>
      </x:c>
      <x:c r="O496" t="str">
        <x:v>ブライトグリーン</x:v>
      </x:c>
      <x:c r="P496" t="str"/>
      <x:c r="Q496" t="str">
        <x:v>Vert brillant</x:v>
      </x:c>
      <x:c r="R496" t="str">
        <x:v>Brillantgrün</x:v>
      </x:c>
      <x:c r="S496" t="str">
        <x:v>Verde brillante</x:v>
      </x:c>
      <x:c r="T496" t="str">
        <x:v>Verde brillante</x:v>
      </x:c>
      <x:c r="U496" t="str"/>
      <x:c r="V496" t="str"/>
      <x:c r="W496" t="str"/>
      <x:c r="X496" t="n">
        <x:f>IF(W496="",0,LEN(W496)-LEN(SUBSTITUTE(W496,"/",""))+1)</x:f>
        <x:v>0</x:v>
      </x:c>
      <x:c r="Y496" t="str">
        <x:v>H</x:v>
      </x:c>
      <x:c r="Z496" s="32" t="n">
        <x:v>1.67</x:v>
      </x:c>
      <x:c r="AA496" s="32" t="n">
        <x:v>3</x:v>
      </x:c>
      <x:c r="AB496" s="32" t="str">
        <x:v>Blue Wool Scale / UV 150h</x:v>
      </x:c>
      <x:c r="AC496" t="str">
        <x:v>#D7E6BC</x:v>
      </x:c>
      <x:c r="AD496" s="34" t="n">
        <x:v>215</x:v>
      </x:c>
      <x:c r="AE496" s="34" t="n">
        <x:v>230</x:v>
      </x:c>
      <x:c r="AF496" s="34" t="n">
        <x:v>188</x:v>
      </x:c>
      <x:c r="AG496" s="32" t="n">
        <x:v>81.43</x:v>
      </x:c>
      <x:c r="AH496" s="32" t="n">
        <x:v>45.65</x:v>
      </x:c>
      <x:c r="AI496" s="32" t="n">
        <x:v>81.96</x:v>
      </x:c>
      <x:c r="AJ496" s="32" t="n">
        <x:v>89.24</x:v>
      </x:c>
      <x:c r="AK496" s="32" t="n">
        <x:v>-12.2</x:v>
      </x:c>
      <x:c r="AL496" s="32" t="n">
        <x:v>18.82</x:v>
      </x:c>
      <x:c r="AM496" s="32" t="str">
        <x:v>#000000</x:v>
      </x:c>
      <x:c r="AN496" s="32" t="str">
        <x:v>Black</x:v>
      </x:c>
      <x:c r="AO496" s="32" t="n">
        <x:v>15.93</x:v>
      </x:c>
      <x:c r="AP496" s="32" t="n">
        <x:v>15.93</x:v>
      </x:c>
      <x:c r="AQ496" s="32" t="n">
        <x:v>1.32</x:v>
      </x:c>
      <x:c r="AR496" s="32" t="n">
        <x:v>0.746715</x:v>
      </x:c>
      <x:c r="AS496" t="str">
        <x:v>PASS</x:v>
      </x:c>
      <x:c r="AT496" t="str">
        <x:v>--cda-nc2-720</x:v>
      </x:c>
      <x:c r="AU496" t="str">
        <x:v>var(--cda-nc2-720)</x:v>
      </x:c>
      <x:c r="AV496" t="str">
        <x:v>Median RGB from official PDF swatch (screen reference only)</x:v>
      </x:c>
      <x:c r="AW496" t="str">
        <x:v>https://www.carandache.com/content_files/uploaded_doc/product/10603/Colour_Chart_NeocolorII_841.pdf</x:v>
      </x:c>
      <x:c r="AX496" t="n">
        <x:v>1</x:v>
      </x:c>
      <x:c r="AY496" t="str">
        <x:v>Official</x:v>
      </x:c>
      <x:c r="AZ496" t="str">
        <x:v>Official where available; curated Traditional Chinese/Japanese otherwise</x:v>
      </x:c>
      <x:c r="BA496" t="str">
        <x:v>Verified from official chart; digital HEX is approximate</x:v>
      </x:c>
      <x:c r="BB496" t="str">
        <x:v>Physical media appearance varies by paper, pressure, layering, water and scan/display profile.</x:v>
      </x:c>
    </x:row>
    <x:row r="497">
      <x:c r="A497" t="str">
        <x:f>G497&amp;"|"&amp;L497</x:f>
        <x:v>NC2|230</x:v>
      </x:c>
      <x:c r="B497" t="str">
        <x:v>47161e49-81ad-54ea-875a-99e9fbf22b20</x:v>
      </x:c>
      <x:c r="C497" t="str">
        <x:v>CDA-NC2-230</x:v>
      </x:c>
      <x:c r="D497" t="str">
        <x:v>d6bdf492-4bae-524b-9a86-07c3bd564bd9</x:v>
      </x:c>
      <x:c r="E497" t="str">
        <x:v>CDA-CODE-230</x:v>
      </x:c>
      <x:c r="F497" t="str">
        <x:v>Caran d’Ache</x:v>
      </x:c>
      <x:c r="G497" t="str">
        <x:v>NC2</x:v>
      </x:c>
      <x:c r="H497" t="str">
        <x:v>NEOCOLOR II Aquarelle</x:v>
      </x:c>
      <x:c r="I497" t="str">
        <x:v>Water-soluble wax pastel</x:v>
      </x:c>
      <x:c r="J497" t="str">
        <x:v>Artist</x:v>
      </x:c>
      <x:c r="K497" s="30" t="n">
        <x:v>80</x:v>
      </x:c>
      <x:c r="L497" s="30" t="str">
        <x:v>230</x:v>
      </x:c>
      <x:c r="M497" t="str">
        <x:v>Yellow green</x:v>
      </x:c>
      <x:c r="N497" t="str">
        <x:v>黃綠色</x:v>
      </x:c>
      <x:c r="O497" t="str">
        <x:v>イエローグリーン</x:v>
      </x:c>
      <x:c r="P497" t="str"/>
      <x:c r="Q497" t="str">
        <x:v>Vert Jaune</x:v>
      </x:c>
      <x:c r="R497" t="str">
        <x:v>Gelbgrün</x:v>
      </x:c>
      <x:c r="S497" t="str">
        <x:v>Verde giallo</x:v>
      </x:c>
      <x:c r="T497" t="str">
        <x:v>Verde amarillo</x:v>
      </x:c>
      <x:c r="U497" t="str"/>
      <x:c r="V497" t="str"/>
      <x:c r="W497" t="str"/>
      <x:c r="X497" t="n">
        <x:f>IF(W497="",0,LEN(W497)-LEN(SUBSTITUTE(W497,"/",""))+1)</x:f>
        <x:v>0</x:v>
      </x:c>
      <x:c r="Y497" t="str">
        <x:v>H</x:v>
      </x:c>
      <x:c r="Z497" s="32" t="n">
        <x:v>1.67</x:v>
      </x:c>
      <x:c r="AA497" s="32" t="n">
        <x:v>3</x:v>
      </x:c>
      <x:c r="AB497" s="32" t="str">
        <x:v>Blue Wool Scale / UV 150h</x:v>
      </x:c>
      <x:c r="AC497" t="str">
        <x:v>#E5EAB8</x:v>
      </x:c>
      <x:c r="AD497" s="34" t="n">
        <x:v>229</x:v>
      </x:c>
      <x:c r="AE497" s="34" t="n">
        <x:v>234</x:v>
      </x:c>
      <x:c r="AF497" s="34" t="n">
        <x:v>184</x:v>
      </x:c>
      <x:c r="AG497" s="32" t="n">
        <x:v>66</x:v>
      </x:c>
      <x:c r="AH497" s="32" t="n">
        <x:v>54.35</x:v>
      </x:c>
      <x:c r="AI497" s="32" t="n">
        <x:v>81.96</x:v>
      </x:c>
      <x:c r="AJ497" s="32" t="n">
        <x:v>91.22</x:v>
      </x:c>
      <x:c r="AK497" s="32" t="n">
        <x:v>-9.78</x:v>
      </x:c>
      <x:c r="AL497" s="32" t="n">
        <x:v>23.79</x:v>
      </x:c>
      <x:c r="AM497" s="32" t="str">
        <x:v>#000000</x:v>
      </x:c>
      <x:c r="AN497" s="32" t="str">
        <x:v>Black</x:v>
      </x:c>
      <x:c r="AO497" s="32" t="n">
        <x:v>16.79</x:v>
      </x:c>
      <x:c r="AP497" s="32" t="n">
        <x:v>16.79</x:v>
      </x:c>
      <x:c r="AQ497" s="32" t="n">
        <x:v>1.25</x:v>
      </x:c>
      <x:c r="AR497" s="32" t="n">
        <x:v>0.789643</x:v>
      </x:c>
      <x:c r="AS497" t="str">
        <x:v>PASS</x:v>
      </x:c>
      <x:c r="AT497" t="str">
        <x:v>--cda-nc2-230</x:v>
      </x:c>
      <x:c r="AU497" t="str">
        <x:v>var(--cda-nc2-230)</x:v>
      </x:c>
      <x:c r="AV497" t="str">
        <x:v>Median RGB from official PDF swatch (screen reference only)</x:v>
      </x:c>
      <x:c r="AW497" t="str">
        <x:v>https://www.carandache.com/content_files/uploaded_doc/product/10603/Colour_Chart_NeocolorII_841.pdf</x:v>
      </x:c>
      <x:c r="AX497" t="n">
        <x:v>1</x:v>
      </x:c>
      <x:c r="AY497" t="str">
        <x:v>Official</x:v>
      </x:c>
      <x:c r="AZ497" t="str">
        <x:v>Official where available; curated Traditional Chinese/Japanese otherwise</x:v>
      </x:c>
      <x:c r="BA497" t="str">
        <x:v>Verified from official chart; digital HEX is approximate</x:v>
      </x:c>
      <x:c r="BB497" t="str">
        <x:v>Physical media appearance varies by paper, pressure, layering, water and scan/display profile.</x:v>
      </x:c>
    </x:row>
    <x:row r="498">
      <x:c r="A498" t="str">
        <x:f>G498&amp;"|"&amp;L498</x:f>
        <x:v>NC2|245</x:v>
      </x:c>
      <x:c r="B498" t="str">
        <x:v>8f6fa0e8-cee6-5d63-8301-db31695386c7</x:v>
      </x:c>
      <x:c r="C498" t="str">
        <x:v>CDA-NC2-245</x:v>
      </x:c>
      <x:c r="D498" t="str">
        <x:v>592280bd-2cc9-5bea-bb70-ba5d26898542</x:v>
      </x:c>
      <x:c r="E498" t="str">
        <x:v>CDA-CODE-245</x:v>
      </x:c>
      <x:c r="F498" t="str">
        <x:v>Caran d’Ache</x:v>
      </x:c>
      <x:c r="G498" t="str">
        <x:v>NC2</x:v>
      </x:c>
      <x:c r="H498" t="str">
        <x:v>NEOCOLOR II Aquarelle</x:v>
      </x:c>
      <x:c r="I498" t="str">
        <x:v>Water-soluble wax pastel</x:v>
      </x:c>
      <x:c r="J498" t="str">
        <x:v>Artist</x:v>
      </x:c>
      <x:c r="K498" s="30" t="n">
        <x:v>81</x:v>
      </x:c>
      <x:c r="L498" s="30" t="str">
        <x:v>245</x:v>
      </x:c>
      <x:c r="M498" t="str">
        <x:v>Light olive</x:v>
      </x:c>
      <x:c r="N498" t="str">
        <x:v>淺橄欖色</x:v>
      </x:c>
      <x:c r="O498" t="str">
        <x:v>ライトオリーブ</x:v>
      </x:c>
      <x:c r="P498" t="str"/>
      <x:c r="Q498" t="str">
        <x:v>Olive clair</x:v>
      </x:c>
      <x:c r="R498" t="str">
        <x:v>Helloliv</x:v>
      </x:c>
      <x:c r="S498" t="str">
        <x:v>Oliva chiaro</x:v>
      </x:c>
      <x:c r="T498" t="str">
        <x:v>Oliva claro</x:v>
      </x:c>
      <x:c r="U498" t="str"/>
      <x:c r="V498" t="str"/>
      <x:c r="W498" t="str"/>
      <x:c r="X498" t="n">
        <x:f>IF(W498="",0,LEN(W498)-LEN(SUBSTITUTE(W498,"/",""))+1)</x:f>
        <x:v>0</x:v>
      </x:c>
      <x:c r="Y498" t="str">
        <x:v>H</x:v>
      </x:c>
      <x:c r="Z498" s="32" t="n">
        <x:v>1.67</x:v>
      </x:c>
      <x:c r="AA498" s="32" t="n">
        <x:v>3</x:v>
      </x:c>
      <x:c r="AB498" s="32" t="str">
        <x:v>Blue Wool Scale / UV 150h</x:v>
      </x:c>
      <x:c r="AC498" t="str">
        <x:v>#F3EB93</x:v>
      </x:c>
      <x:c r="AD498" s="34" t="n">
        <x:v>243</x:v>
      </x:c>
      <x:c r="AE498" s="34" t="n">
        <x:v>235</x:v>
      </x:c>
      <x:c r="AF498" s="34" t="n">
        <x:v>147</x:v>
      </x:c>
      <x:c r="AG498" s="32" t="n">
        <x:v>55</x:v>
      </x:c>
      <x:c r="AH498" s="32" t="n">
        <x:v>80</x:v>
      </x:c>
      <x:c r="AI498" s="32" t="n">
        <x:v>76.47</x:v>
      </x:c>
      <x:c r="AJ498" s="32" t="n">
        <x:v>91.94</x:v>
      </x:c>
      <x:c r="AK498" s="32" t="n">
        <x:v>-9.61</x:v>
      </x:c>
      <x:c r="AL498" s="32" t="n">
        <x:v>43.64</x:v>
      </x:c>
      <x:c r="AM498" s="32" t="str">
        <x:v>#000000</x:v>
      </x:c>
      <x:c r="AN498" s="32" t="str">
        <x:v>Black</x:v>
      </x:c>
      <x:c r="AO498" s="32" t="n">
        <x:v>17.12</x:v>
      </x:c>
      <x:c r="AP498" s="32" t="n">
        <x:v>17.12</x:v>
      </x:c>
      <x:c r="AQ498" s="32" t="n">
        <x:v>1.23</x:v>
      </x:c>
      <x:c r="AR498" s="32" t="n">
        <x:v>0.805779</x:v>
      </x:c>
      <x:c r="AS498" t="str">
        <x:v>PASS</x:v>
      </x:c>
      <x:c r="AT498" t="str">
        <x:v>--cda-nc2-245</x:v>
      </x:c>
      <x:c r="AU498" t="str">
        <x:v>var(--cda-nc2-245)</x:v>
      </x:c>
      <x:c r="AV498" t="str">
        <x:v>Median RGB from official PDF swatch (screen reference only)</x:v>
      </x:c>
      <x:c r="AW498" t="str">
        <x:v>https://www.carandache.com/content_files/uploaded_doc/product/10603/Colour_Chart_NeocolorII_841.pdf</x:v>
      </x:c>
      <x:c r="AX498" t="n">
        <x:v>1</x:v>
      </x:c>
      <x:c r="AY498" t="str">
        <x:v>Official</x:v>
      </x:c>
      <x:c r="AZ498" t="str">
        <x:v>Official where available; curated Traditional Chinese/Japanese otherwise</x:v>
      </x:c>
      <x:c r="BA498" t="str">
        <x:v>Verified from official chart; digital HEX is approximate</x:v>
      </x:c>
      <x:c r="BB498" t="str">
        <x:v>Physical media appearance varies by paper, pressure, layering, water and scan/display profile.</x:v>
      </x:c>
    </x:row>
    <x:row r="499">
      <x:c r="A499" t="str">
        <x:f>G499&amp;"|"&amp;L499</x:f>
        <x:v>NC2|730</x:v>
      </x:c>
      <x:c r="B499" t="str">
        <x:v>b831f155-7a32-5702-adda-82e13bdd3962</x:v>
      </x:c>
      <x:c r="C499" t="str">
        <x:v>CDA-NC2-730</x:v>
      </x:c>
      <x:c r="D499" t="str">
        <x:v>bfd2fd00-6ce4-5f21-89c9-696b8fc30e6c</x:v>
      </x:c>
      <x:c r="E499" t="str">
        <x:v>CDA-CODE-730</x:v>
      </x:c>
      <x:c r="F499" t="str">
        <x:v>Caran d’Ache</x:v>
      </x:c>
      <x:c r="G499" t="str">
        <x:v>NC2</x:v>
      </x:c>
      <x:c r="H499" t="str">
        <x:v>NEOCOLOR II Aquarelle</x:v>
      </x:c>
      <x:c r="I499" t="str">
        <x:v>Water-soluble wax pastel</x:v>
      </x:c>
      <x:c r="J499" t="str">
        <x:v>Artist</x:v>
      </x:c>
      <x:c r="K499" s="30" t="n">
        <x:v>82</x:v>
      </x:c>
      <x:c r="L499" s="30" t="str">
        <x:v>730</x:v>
      </x:c>
      <x:c r="M499" t="str">
        <x:v>Chinese green</x:v>
      </x:c>
      <x:c r="N499" t="str">
        <x:v>中國綠</x:v>
      </x:c>
      <x:c r="O499" t="str">
        <x:v>チャイニーズグリーン</x:v>
      </x:c>
      <x:c r="P499" t="str"/>
      <x:c r="Q499" t="str">
        <x:v>Vert de Chine</x:v>
      </x:c>
      <x:c r="R499" t="str">
        <x:v>Chinesischgrün</x:v>
      </x:c>
      <x:c r="S499" t="str">
        <x:v>Verde di Cina</x:v>
      </x:c>
      <x:c r="T499" t="str">
        <x:v>Verde de China</x:v>
      </x:c>
      <x:c r="U499" t="str"/>
      <x:c r="V499" t="str"/>
      <x:c r="W499" t="str"/>
      <x:c r="X499" t="n">
        <x:f>IF(W499="",0,LEN(W499)-LEN(SUBSTITUTE(W499,"/",""))+1)</x:f>
        <x:v>0</x:v>
      </x:c>
      <x:c r="Y499" t="str">
        <x:v>H</x:v>
      </x:c>
      <x:c r="Z499" s="32" t="n">
        <x:v>1.67</x:v>
      </x:c>
      <x:c r="AA499" s="32" t="n">
        <x:v>3</x:v>
      </x:c>
      <x:c r="AB499" s="32" t="str">
        <x:v>Blue Wool Scale / UV 150h</x:v>
      </x:c>
      <x:c r="AC499" t="str">
        <x:v>#FAED8D</x:v>
      </x:c>
      <x:c r="AD499" s="34" t="n">
        <x:v>250</x:v>
      </x:c>
      <x:c r="AE499" s="34" t="n">
        <x:v>237</x:v>
      </x:c>
      <x:c r="AF499" s="34" t="n">
        <x:v>141</x:v>
      </x:c>
      <x:c r="AG499" s="32" t="n">
        <x:v>52.84</x:v>
      </x:c>
      <x:c r="AH499" s="32" t="n">
        <x:v>91.6</x:v>
      </x:c>
      <x:c r="AI499" s="32" t="n">
        <x:v>76.67</x:v>
      </x:c>
      <x:c r="AJ499" s="32" t="n">
        <x:v>92.93</x:v>
      </x:c>
      <x:c r="AK499" s="32" t="n">
        <x:v>-8.5</x:v>
      </x:c>
      <x:c r="AL499" s="32" t="n">
        <x:v>47.93</x:v>
      </x:c>
      <x:c r="AM499" s="32" t="str">
        <x:v>#000000</x:v>
      </x:c>
      <x:c r="AN499" s="32" t="str">
        <x:v>Black</x:v>
      </x:c>
      <x:c r="AO499" s="32" t="n">
        <x:v>17.56</x:v>
      </x:c>
      <x:c r="AP499" s="32" t="n">
        <x:v>17.56</x:v>
      </x:c>
      <x:c r="AQ499" s="32" t="n">
        <x:v>1.2</x:v>
      </x:c>
      <x:c r="AR499" s="32" t="n">
        <x:v>0.828155</x:v>
      </x:c>
      <x:c r="AS499" t="str">
        <x:v>PASS</x:v>
      </x:c>
      <x:c r="AT499" t="str">
        <x:v>--cda-nc2-730</x:v>
      </x:c>
      <x:c r="AU499" t="str">
        <x:v>var(--cda-nc2-730)</x:v>
      </x:c>
      <x:c r="AV499" t="str">
        <x:v>Median RGB from official PDF swatch (screen reference only)</x:v>
      </x:c>
      <x:c r="AW499" t="str">
        <x:v>https://www.carandache.com/content_files/uploaded_doc/product/10603/Colour_Chart_NeocolorII_841.pdf</x:v>
      </x:c>
      <x:c r="AX499" t="n">
        <x:v>1</x:v>
      </x:c>
      <x:c r="AY499" t="str">
        <x:v>Official</x:v>
      </x:c>
      <x:c r="AZ499" t="str">
        <x:v>Official where available; curated Traditional Chinese/Japanese otherwise</x:v>
      </x:c>
      <x:c r="BA499" t="str">
        <x:v>Verified from official chart; digital HEX is approximate</x:v>
      </x:c>
      <x:c r="BB499" t="str">
        <x:v>Physical media appearance varies by paper, pressure, layering, water and scan/display profile.</x:v>
      </x:c>
    </x:row>
    <x:row r="500">
      <x:c r="A500" t="str">
        <x:f>G500&amp;"|"&amp;L500</x:f>
        <x:v>NC2|231</x:v>
      </x:c>
      <x:c r="B500" t="str">
        <x:v>71abb6f4-f7d3-55e1-a29b-bea527654a88</x:v>
      </x:c>
      <x:c r="C500" t="str">
        <x:v>CDA-NC2-231</x:v>
      </x:c>
      <x:c r="D500" t="str">
        <x:v>8d5c3121-4cf0-53c5-8e3b-540d6f1e1304</x:v>
      </x:c>
      <x:c r="E500" t="str">
        <x:v>CDA-CODE-231</x:v>
      </x:c>
      <x:c r="F500" t="str">
        <x:v>Caran d’Ache</x:v>
      </x:c>
      <x:c r="G500" t="str">
        <x:v>NC2</x:v>
      </x:c>
      <x:c r="H500" t="str">
        <x:v>NEOCOLOR II Aquarelle</x:v>
      </x:c>
      <x:c r="I500" t="str">
        <x:v>Water-soluble wax pastel</x:v>
      </x:c>
      <x:c r="J500" t="str">
        <x:v>Artist</x:v>
      </x:c>
      <x:c r="K500" s="30" t="n">
        <x:v>83</x:v>
      </x:c>
      <x:c r="L500" s="30" t="str">
        <x:v>231</x:v>
      </x:c>
      <x:c r="M500" t="str">
        <x:v>Lime green</x:v>
      </x:c>
      <x:c r="N500" t="str">
        <x:v>萊姆綠</x:v>
      </x:c>
      <x:c r="O500" t="str">
        <x:v>ライムグリーン</x:v>
      </x:c>
      <x:c r="P500" t="str"/>
      <x:c r="Q500" t="str">
        <x:v>Vert tilleul</x:v>
      </x:c>
      <x:c r="R500" t="str">
        <x:v>Lindengrün</x:v>
      </x:c>
      <x:c r="S500" t="str">
        <x:v>Verde tiglio</x:v>
      </x:c>
      <x:c r="T500" t="str">
        <x:v>Verde tilo</x:v>
      </x:c>
      <x:c r="U500" t="str"/>
      <x:c r="V500" t="str"/>
      <x:c r="W500" t="str"/>
      <x:c r="X500" t="n">
        <x:f>IF(W500="",0,LEN(W500)-LEN(SUBSTITUTE(W500,"/",""))+1)</x:f>
        <x:v>0</x:v>
      </x:c>
      <x:c r="Y500" t="str">
        <x:v>H</x:v>
      </x:c>
      <x:c r="Z500" s="32" t="n">
        <x:v>1.67</x:v>
      </x:c>
      <x:c r="AA500" s="32" t="n">
        <x:v>3</x:v>
      </x:c>
      <x:c r="AB500" s="32" t="str">
        <x:v>Blue Wool Scale / UV 150h</x:v>
      </x:c>
      <x:c r="AC500" t="str">
        <x:v>#F3F1C6</x:v>
      </x:c>
      <x:c r="AD500" s="34" t="n">
        <x:v>243</x:v>
      </x:c>
      <x:c r="AE500" s="34" t="n">
        <x:v>241</x:v>
      </x:c>
      <x:c r="AF500" s="34" t="n">
        <x:v>198</x:v>
      </x:c>
      <x:c r="AG500" s="32" t="n">
        <x:v>57.33</x:v>
      </x:c>
      <x:c r="AH500" s="32" t="n">
        <x:v>65.22</x:v>
      </x:c>
      <x:c r="AI500" s="32" t="n">
        <x:v>86.47</x:v>
      </x:c>
      <x:c r="AJ500" s="32" t="n">
        <x:v>94.33</x:v>
      </x:c>
      <x:c r="AK500" s="32" t="n">
        <x:v>-6.23</x:v>
      </x:c>
      <x:c r="AL500" s="32" t="n">
        <x:v>21.07</x:v>
      </x:c>
      <x:c r="AM500" s="32" t="str">
        <x:v>#000000</x:v>
      </x:c>
      <x:c r="AN500" s="32" t="str">
        <x:v>Black</x:v>
      </x:c>
      <x:c r="AO500" s="32" t="n">
        <x:v>18.21</x:v>
      </x:c>
      <x:c r="AP500" s="32" t="n">
        <x:v>18.21</x:v>
      </x:c>
      <x:c r="AQ500" s="32" t="n">
        <x:v>1.15</x:v>
      </x:c>
      <x:c r="AR500" s="32" t="n">
        <x:v>0.860425</x:v>
      </x:c>
      <x:c r="AS500" t="str">
        <x:v>PASS</x:v>
      </x:c>
      <x:c r="AT500" t="str">
        <x:v>--cda-nc2-231</x:v>
      </x:c>
      <x:c r="AU500" t="str">
        <x:v>var(--cda-nc2-231)</x:v>
      </x:c>
      <x:c r="AV500" t="str">
        <x:v>Median RGB from official PDF swatch (screen reference only)</x:v>
      </x:c>
      <x:c r="AW500" t="str">
        <x:v>https://www.carandache.com/content_files/uploaded_doc/product/10603/Colour_Chart_NeocolorII_841.pdf</x:v>
      </x:c>
      <x:c r="AX500" t="n">
        <x:v>1</x:v>
      </x:c>
      <x:c r="AY500" t="str">
        <x:v>Official</x:v>
      </x:c>
      <x:c r="AZ500" t="str">
        <x:v>Official where available; curated Traditional Chinese/Japanese otherwise</x:v>
      </x:c>
      <x:c r="BA500" t="str">
        <x:v>Verified from official chart; digital HEX is approximate</x:v>
      </x:c>
      <x:c r="BB500" t="str">
        <x:v>Physical media appearance varies by paper, pressure, layering, water and scan/display profile.</x:v>
      </x:c>
    </x:row>
    <x:row r="501">
      <x:c r="A501" t="str">
        <x:f>G501&amp;"|"&amp;L501</x:f>
        <x:v>NC2|211</x:v>
      </x:c>
      <x:c r="B501" t="str">
        <x:v>a23c57e6-8e4b-5d7c-83e0-e57ce6c9041f</x:v>
      </x:c>
      <x:c r="C501" t="str">
        <x:v>CDA-NC2-211</x:v>
      </x:c>
      <x:c r="D501" t="str">
        <x:v>456d0f17-a8f0-5d1b-88fa-d78fc8317ec0</x:v>
      </x:c>
      <x:c r="E501" t="str">
        <x:v>CDA-CODE-211</x:v>
      </x:c>
      <x:c r="F501" t="str">
        <x:v>Caran d’Ache</x:v>
      </x:c>
      <x:c r="G501" t="str">
        <x:v>NC2</x:v>
      </x:c>
      <x:c r="H501" t="str">
        <x:v>NEOCOLOR II Aquarelle</x:v>
      </x:c>
      <x:c r="I501" t="str">
        <x:v>Water-soluble wax pastel</x:v>
      </x:c>
      <x:c r="J501" t="str">
        <x:v>Artist</x:v>
      </x:c>
      <x:c r="K501" s="30" t="n">
        <x:v>84</x:v>
      </x:c>
      <x:c r="L501" s="30" t="str">
        <x:v>211</x:v>
      </x:c>
      <x:c r="M501" t="str">
        <x:v>Jade green</x:v>
      </x:c>
      <x:c r="N501" t="str">
        <x:v>玉綠色</x:v>
      </x:c>
      <x:c r="O501" t="str">
        <x:v>ジェードグリーン</x:v>
      </x:c>
      <x:c r="P501" t="str"/>
      <x:c r="Q501" t="str">
        <x:v>Jade</x:v>
      </x:c>
      <x:c r="R501" t="str">
        <x:v>Jade</x:v>
      </x:c>
      <x:c r="S501" t="str">
        <x:v>Giada</x:v>
      </x:c>
      <x:c r="T501" t="str">
        <x:v>Jade</x:v>
      </x:c>
      <x:c r="U501" t="str"/>
      <x:c r="V501" t="str"/>
      <x:c r="W501" t="str"/>
      <x:c r="X501" t="n">
        <x:f>IF(W501="",0,LEN(W501)-LEN(SUBSTITUTE(W501,"/",""))+1)</x:f>
        <x:v>0</x:v>
      </x:c>
      <x:c r="Y501" t="str">
        <x:v>H</x:v>
      </x:c>
      <x:c r="Z501" s="32" t="n">
        <x:v>1.67</x:v>
      </x:c>
      <x:c r="AA501" s="32" t="n">
        <x:v>3</x:v>
      </x:c>
      <x:c r="AB501" s="32" t="str">
        <x:v>Blue Wool Scale / UV 150h</x:v>
      </x:c>
      <x:c r="AC501" t="str">
        <x:v>#EAF2E3</x:v>
      </x:c>
      <x:c r="AD501" s="34" t="n">
        <x:v>234</x:v>
      </x:c>
      <x:c r="AE501" s="34" t="n">
        <x:v>242</x:v>
      </x:c>
      <x:c r="AF501" s="34" t="n">
        <x:v>227</x:v>
      </x:c>
      <x:c r="AG501" s="32" t="n">
        <x:v>92</x:v>
      </x:c>
      <x:c r="AH501" s="32" t="n">
        <x:v>36.59</x:v>
      </x:c>
      <x:c r="AI501" s="32" t="n">
        <x:v>91.96</x:v>
      </x:c>
      <x:c r="AJ501" s="32" t="n">
        <x:v>94.54</x:v>
      </x:c>
      <x:c r="AK501" s="32" t="n">
        <x:v>-5.29</x:v>
      </x:c>
      <x:c r="AL501" s="32" t="n">
        <x:v>6.31</x:v>
      </x:c>
      <x:c r="AM501" s="32" t="str">
        <x:v>#000000</x:v>
      </x:c>
      <x:c r="AN501" s="32" t="str">
        <x:v>Black</x:v>
      </x:c>
      <x:c r="AO501" s="32" t="n">
        <x:v>18.31</x:v>
      </x:c>
      <x:c r="AP501" s="32" t="n">
        <x:v>18.31</x:v>
      </x:c>
      <x:c r="AQ501" s="32" t="n">
        <x:v>1.15</x:v>
      </x:c>
      <x:c r="AR501" s="32" t="n">
        <x:v>0.865427</x:v>
      </x:c>
      <x:c r="AS501" t="str">
        <x:v>PASS</x:v>
      </x:c>
      <x:c r="AT501" t="str">
        <x:v>--cda-nc2-211</x:v>
      </x:c>
      <x:c r="AU501" t="str">
        <x:v>var(--cda-nc2-211)</x:v>
      </x:c>
      <x:c r="AV501" t="str">
        <x:v>Median RGB from official PDF swatch (screen reference only)</x:v>
      </x:c>
      <x:c r="AW501" t="str">
        <x:v>https://www.carandache.com/content_files/uploaded_doc/product/10603/Colour_Chart_NeocolorII_841.pdf</x:v>
      </x:c>
      <x:c r="AX501" t="n">
        <x:v>1</x:v>
      </x:c>
      <x:c r="AY501" t="str">
        <x:v>Official</x:v>
      </x:c>
      <x:c r="AZ501" t="str">
        <x:v>Official where available; curated Traditional Chinese/Japanese otherwise</x:v>
      </x:c>
      <x:c r="BA501" t="str">
        <x:v>Verified from official chart; digital HEX is approximate</x:v>
      </x:c>
      <x:c r="BB501" t="str">
        <x:v>Physical media appearance varies by paper, pressure, layering, water and scan/display profile.</x:v>
      </x:c>
    </x:row>
    <x:row r="502">
      <x:c r="A502" t="str">
        <x:f>G502&amp;"|"&amp;L502</x:f>
        <x:v>NEO|240</x:v>
      </x:c>
      <x:c r="B502" t="str">
        <x:v>8840d84d-6e91-5888-ba32-eede5d96e6ba</x:v>
      </x:c>
      <x:c r="C502" t="str">
        <x:v>CDA-NEO-240</x:v>
      </x:c>
      <x:c r="D502" t="str">
        <x:v>e71849e5-e37c-518f-99a0-9189b6af2b63</x:v>
      </x:c>
      <x:c r="E502" t="str">
        <x:v>CDA-CODE-240</x:v>
      </x:c>
      <x:c r="F502" t="str">
        <x:v>Caran d’Ache</x:v>
      </x:c>
      <x:c r="G502" t="str">
        <x:v>NEO</x:v>
      </x:c>
      <x:c r="H502" t="str">
        <x:v>NEOPASTEL</x:v>
      </x:c>
      <x:c r="I502" t="str">
        <x:v>Extra-fine oil pastel</x:v>
      </x:c>
      <x:c r="J502" t="str">
        <x:v>Professional</x:v>
      </x:c>
      <x:c r="K502" s="30" t="n">
        <x:v>1</x:v>
      </x:c>
      <x:c r="L502" s="30" t="str">
        <x:v>240</x:v>
      </x:c>
      <x:c r="M502" t="str">
        <x:v>Lemon Yellow</x:v>
      </x:c>
      <x:c r="N502" t="str">
        <x:v>檸檬黃</x:v>
      </x:c>
      <x:c r="O502" t="str">
        <x:v>レモンイエロー</x:v>
      </x:c>
      <x:c r="P502" t="str"/>
      <x:c r="Q502" t="str">
        <x:v>Jaune Citron</x:v>
      </x:c>
      <x:c r="R502" t="str">
        <x:v>Zitronengelb</x:v>
      </x:c>
      <x:c r="S502" t="str">
        <x:v>Giallo limone</x:v>
      </x:c>
      <x:c r="T502" t="str"/>
      <x:c r="U502" t="str">
        <x:v>Amarelo limão</x:v>
      </x:c>
      <x:c r="V502" t="str">
        <x:v>레몬색</x:v>
      </x:c>
      <x:c r="W502" t="str">
        <x:v>PY3/PG7</x:v>
      </x:c>
      <x:c r="X502" t="n">
        <x:f>IF(W502="",0,LEN(W502)-LEN(SUBSTITUTE(W502,"/",""))+1)</x:f>
        <x:v>2</x:v>
      </x:c>
      <x:c r="Y502" t="str">
        <x:v>H</x:v>
      </x:c>
      <x:c r="Z502" s="32" t="n">
        <x:v>1.67</x:v>
      </x:c>
      <x:c r="AA502" s="32" t="n">
        <x:v>3</x:v>
      </x:c>
      <x:c r="AB502" s="32" t="str">
        <x:v>Blue Wool Scale / UV 150h</x:v>
      </x:c>
      <x:c r="AC502" t="str">
        <x:v>#FBE820</x:v>
      </x:c>
      <x:c r="AD502" s="34" t="n">
        <x:v>251</x:v>
      </x:c>
      <x:c r="AE502" s="34" t="n">
        <x:v>232</x:v>
      </x:c>
      <x:c r="AF502" s="34" t="n">
        <x:v>32</x:v>
      </x:c>
      <x:c r="AG502" s="32" t="n">
        <x:v>54.79</x:v>
      </x:c>
      <x:c r="AH502" s="32" t="n">
        <x:v>96.48</x:v>
      </x:c>
      <x:c r="AI502" s="32" t="n">
        <x:v>55.49</x:v>
      </x:c>
      <x:c r="AJ502" s="32" t="n">
        <x:v>90.93</x:v>
      </x:c>
      <x:c r="AK502" s="32" t="n">
        <x:v>-11.74</x:v>
      </x:c>
      <x:c r="AL502" s="32" t="n">
        <x:v>86.25</x:v>
      </x:c>
      <x:c r="AM502" s="32" t="str">
        <x:v>#000000</x:v>
      </x:c>
      <x:c r="AN502" s="32" t="str">
        <x:v>Black</x:v>
      </x:c>
      <x:c r="AO502" s="32" t="n">
        <x:v>16.67</x:v>
      </x:c>
      <x:c r="AP502" s="32" t="n">
        <x:v>16.67</x:v>
      </x:c>
      <x:c r="AQ502" s="32" t="n">
        <x:v>1.26</x:v>
      </x:c>
      <x:c r="AR502" s="32" t="n">
        <x:v>0.783267</x:v>
      </x:c>
      <x:c r="AS502" t="str">
        <x:v>PASS</x:v>
      </x:c>
      <x:c r="AT502" t="str">
        <x:v>--cda-neo-240</x:v>
      </x:c>
      <x:c r="AU502" t="str">
        <x:v>var(--cda-neo-240)</x:v>
      </x:c>
      <x:c r="AV502" t="str">
        <x:v>Median RGB from official PDF swatch (screen reference only)</x:v>
      </x:c>
      <x:c r="AW502" t="str">
        <x:v>https://www.carandache.com/content_files/uploaded_doc/product/10595/Colour_Chart_NeoPastel.pdf</x:v>
      </x:c>
      <x:c r="AX502" t="n">
        <x:v>1</x:v>
      </x:c>
      <x:c r="AY502" t="str">
        <x:v>Official</x:v>
      </x:c>
      <x:c r="AZ502" t="str">
        <x:v>Official where available; curated Traditional Chinese/Japanese otherwise</x:v>
      </x:c>
      <x:c r="BA502" t="str">
        <x:v>Verified from official chart; digital HEX is approximate</x:v>
      </x:c>
      <x:c r="BB502" t="str">
        <x:v>Physical media appearance varies by paper, pressure, layering, water and scan/display profile.</x:v>
      </x:c>
    </x:row>
    <x:row r="503">
      <x:c r="A503" t="str">
        <x:f>G503&amp;"|"&amp;L503</x:f>
        <x:v>NEO|010</x:v>
      </x:c>
      <x:c r="B503" t="str">
        <x:v>39a0ac4b-3f63-5612-b106-d9be1a197ab8</x:v>
      </x:c>
      <x:c r="C503" t="str">
        <x:v>CDA-NEO-010</x:v>
      </x:c>
      <x:c r="D503" t="str">
        <x:v>2eb703d0-d144-5025-ac87-72936a922e7c</x:v>
      </x:c>
      <x:c r="E503" t="str">
        <x:v>CDA-CODE-010</x:v>
      </x:c>
      <x:c r="F503" t="str">
        <x:v>Caran d’Ache</x:v>
      </x:c>
      <x:c r="G503" t="str">
        <x:v>NEO</x:v>
      </x:c>
      <x:c r="H503" t="str">
        <x:v>NEOPASTEL</x:v>
      </x:c>
      <x:c r="I503" t="str">
        <x:v>Extra-fine oil pastel</x:v>
      </x:c>
      <x:c r="J503" t="str">
        <x:v>Professional</x:v>
      </x:c>
      <x:c r="K503" s="30" t="n">
        <x:v>2</x:v>
      </x:c>
      <x:c r="L503" s="30" t="str">
        <x:v>010</x:v>
      </x:c>
      <x:c r="M503" t="str">
        <x:v>Yellow</x:v>
      </x:c>
      <x:c r="N503" t="str">
        <x:v>黃色</x:v>
      </x:c>
      <x:c r="O503" t="str">
        <x:v>イエロー</x:v>
      </x:c>
      <x:c r="P503" t="str"/>
      <x:c r="Q503" t="str">
        <x:v>Jaune</x:v>
      </x:c>
      <x:c r="R503" t="str">
        <x:v>Gelb</x:v>
      </x:c>
      <x:c r="S503" t="str">
        <x:v>Giallo</x:v>
      </x:c>
      <x:c r="T503" t="str"/>
      <x:c r="U503" t="str">
        <x:v>Amarelo</x:v>
      </x:c>
      <x:c r="V503" t="str">
        <x:v>노랑색</x:v>
      </x:c>
      <x:c r="W503" t="str">
        <x:v>PY1/PY13</x:v>
      </x:c>
      <x:c r="X503" t="n">
        <x:f>IF(W503="",0,LEN(W503)-LEN(SUBSTITUTE(W503,"/",""))+1)</x:f>
        <x:v>2</x:v>
      </x:c>
      <x:c r="Y503" t="str">
        <x:v>H</x:v>
      </x:c>
      <x:c r="Z503" s="32" t="n">
        <x:v>1.67</x:v>
      </x:c>
      <x:c r="AA503" s="32" t="n">
        <x:v>3</x:v>
      </x:c>
      <x:c r="AB503" s="32" t="str">
        <x:v>Blue Wool Scale / UV 150h</x:v>
      </x:c>
      <x:c r="AC503" t="str">
        <x:v>#F6D707</x:v>
      </x:c>
      <x:c r="AD503" s="34" t="n">
        <x:v>246</x:v>
      </x:c>
      <x:c r="AE503" s="34" t="n">
        <x:v>215</x:v>
      </x:c>
      <x:c r="AF503" s="34" t="n">
        <x:v>7</x:v>
      </x:c>
      <x:c r="AG503" s="32" t="n">
        <x:v>52.22</x:v>
      </x:c>
      <x:c r="AH503" s="32" t="n">
        <x:v>94.47</x:v>
      </x:c>
      <x:c r="AI503" s="32" t="n">
        <x:v>49.61</x:v>
      </x:c>
      <x:c r="AJ503" s="32" t="n">
        <x:v>86.11</x:v>
      </x:c>
      <x:c r="AK503" s="32" t="n">
        <x:v>-5.7</x:v>
      </x:c>
      <x:c r="AL503" s="32" t="n">
        <x:v>85.57</x:v>
      </x:c>
      <x:c r="AM503" s="32" t="str">
        <x:v>#000000</x:v>
      </x:c>
      <x:c r="AN503" s="32" t="str">
        <x:v>Black</x:v>
      </x:c>
      <x:c r="AO503" s="32" t="n">
        <x:v>14.64</x:v>
      </x:c>
      <x:c r="AP503" s="32" t="n">
        <x:v>14.64</x:v>
      </x:c>
      <x:c r="AQ503" s="32" t="n">
        <x:v>1.43</x:v>
      </x:c>
      <x:c r="AR503" s="32" t="n">
        <x:v>0.68209</x:v>
      </x:c>
      <x:c r="AS503" t="str">
        <x:v>PASS</x:v>
      </x:c>
      <x:c r="AT503" t="str">
        <x:v>--cda-neo-010</x:v>
      </x:c>
      <x:c r="AU503" t="str">
        <x:v>var(--cda-neo-010)</x:v>
      </x:c>
      <x:c r="AV503" t="str">
        <x:v>Median RGB from official PDF swatch (screen reference only)</x:v>
      </x:c>
      <x:c r="AW503" t="str">
        <x:v>https://www.carandache.com/content_files/uploaded_doc/product/10595/Colour_Chart_NeoPastel.pdf</x:v>
      </x:c>
      <x:c r="AX503" t="n">
        <x:v>1</x:v>
      </x:c>
      <x:c r="AY503" t="str">
        <x:v>Official</x:v>
      </x:c>
      <x:c r="AZ503" t="str">
        <x:v>Official where available; curated Traditional Chinese/Japanese otherwise</x:v>
      </x:c>
      <x:c r="BA503" t="str">
        <x:v>Verified from official chart; digital HEX is approximate</x:v>
      </x:c>
      <x:c r="BB503" t="str">
        <x:v>Physical media appearance varies by paper, pressure, layering, water and scan/display profile.</x:v>
      </x:c>
    </x:row>
    <x:row r="504">
      <x:c r="A504" t="str">
        <x:f>G504&amp;"|"&amp;L504</x:f>
        <x:v>NEO|020</x:v>
      </x:c>
      <x:c r="B504" t="str">
        <x:v>a898b1b3-de60-51e8-a964-7e76d9c581af</x:v>
      </x:c>
      <x:c r="C504" t="str">
        <x:v>CDA-NEO-020</x:v>
      </x:c>
      <x:c r="D504" t="str">
        <x:v>6505c891-c1b2-502b-bed0-6adb7d50721c</x:v>
      </x:c>
      <x:c r="E504" t="str">
        <x:v>CDA-CODE-020</x:v>
      </x:c>
      <x:c r="F504" t="str">
        <x:v>Caran d’Ache</x:v>
      </x:c>
      <x:c r="G504" t="str">
        <x:v>NEO</x:v>
      </x:c>
      <x:c r="H504" t="str">
        <x:v>NEOPASTEL</x:v>
      </x:c>
      <x:c r="I504" t="str">
        <x:v>Extra-fine oil pastel</x:v>
      </x:c>
      <x:c r="J504" t="str">
        <x:v>Professional</x:v>
      </x:c>
      <x:c r="K504" s="30" t="n">
        <x:v>3</x:v>
      </x:c>
      <x:c r="L504" s="30" t="str">
        <x:v>020</x:v>
      </x:c>
      <x:c r="M504" t="str">
        <x:v>Golden yellow</x:v>
      </x:c>
      <x:c r="N504" t="str">
        <x:v>金黃色</x:v>
      </x:c>
      <x:c r="O504" t="str">
        <x:v>ゴールデンイエロー</x:v>
      </x:c>
      <x:c r="P504" t="str"/>
      <x:c r="Q504" t="str">
        <x:v>Jaune d’or</x:v>
      </x:c>
      <x:c r="R504" t="str">
        <x:v>Goldgelb</x:v>
      </x:c>
      <x:c r="S504" t="str">
        <x:v>Giallo oro</x:v>
      </x:c>
      <x:c r="T504" t="str"/>
      <x:c r="U504" t="str">
        <x:v>Amarelo ouro</x:v>
      </x:c>
      <x:c r="V504" t="str">
        <x:v>황금색</x:v>
      </x:c>
      <x:c r="W504" t="str">
        <x:v>PO62/PY1/PY13</x:v>
      </x:c>
      <x:c r="X504" t="n">
        <x:f>IF(W504="",0,LEN(W504)-LEN(SUBSTITUTE(W504,"/",""))+1)</x:f>
        <x:v>3</x:v>
      </x:c>
      <x:c r="Y504" t="str">
        <x:v>H</x:v>
      </x:c>
      <x:c r="Z504" s="32" t="n">
        <x:v>1.67</x:v>
      </x:c>
      <x:c r="AA504" s="32" t="n">
        <x:v>3</x:v>
      </x:c>
      <x:c r="AB504" s="32" t="str">
        <x:v>Blue Wool Scale / UV 150h</x:v>
      </x:c>
      <x:c r="AC504" t="str">
        <x:v>#EEB209</x:v>
      </x:c>
      <x:c r="AD504" s="34" t="n">
        <x:v>238</x:v>
      </x:c>
      <x:c r="AE504" s="34" t="n">
        <x:v>178</x:v>
      </x:c>
      <x:c r="AF504" s="34" t="n">
        <x:v>9</x:v>
      </x:c>
      <x:c r="AG504" s="32" t="n">
        <x:v>44.28</x:v>
      </x:c>
      <x:c r="AH504" s="32" t="n">
        <x:v>92.71</x:v>
      </x:c>
      <x:c r="AI504" s="32" t="n">
        <x:v>48.43</x:v>
      </x:c>
      <x:c r="AJ504" s="32" t="n">
        <x:v>76.09</x:v>
      </x:c>
      <x:c r="AK504" s="32" t="n">
        <x:v>9.96</x:v>
      </x:c>
      <x:c r="AL504" s="32" t="n">
        <x:v>77.84</x:v>
      </x:c>
      <x:c r="AM504" s="32" t="str">
        <x:v>#000000</x:v>
      </x:c>
      <x:c r="AN504" s="32" t="str">
        <x:v>Black</x:v>
      </x:c>
      <x:c r="AO504" s="32" t="n">
        <x:v>11.01</x:v>
      </x:c>
      <x:c r="AP504" s="32" t="n">
        <x:v>11.01</x:v>
      </x:c>
      <x:c r="AQ504" s="32" t="n">
        <x:v>1.91</x:v>
      </x:c>
      <x:c r="AR504" s="32" t="n">
        <x:v>0.500377</x:v>
      </x:c>
      <x:c r="AS504" t="str">
        <x:v>PASS</x:v>
      </x:c>
      <x:c r="AT504" t="str">
        <x:v>--cda-neo-020</x:v>
      </x:c>
      <x:c r="AU504" t="str">
        <x:v>var(--cda-neo-020)</x:v>
      </x:c>
      <x:c r="AV504" t="str">
        <x:v>Median RGB from official PDF swatch (screen reference only)</x:v>
      </x:c>
      <x:c r="AW504" t="str">
        <x:v>https://www.carandache.com/content_files/uploaded_doc/product/10595/Colour_Chart_NeoPastel.pdf</x:v>
      </x:c>
      <x:c r="AX504" t="n">
        <x:v>1</x:v>
      </x:c>
      <x:c r="AY504" t="str">
        <x:v>Official</x:v>
      </x:c>
      <x:c r="AZ504" t="str">
        <x:v>Official where available; curated Traditional Chinese/Japanese otherwise</x:v>
      </x:c>
      <x:c r="BA504" t="str">
        <x:v>Verified from official chart; digital HEX is approximate</x:v>
      </x:c>
      <x:c r="BB504" t="str">
        <x:v>Physical media appearance varies by paper, pressure, layering, water and scan/display profile.</x:v>
      </x:c>
    </x:row>
    <x:row r="505">
      <x:c r="A505" t="str">
        <x:f>G505&amp;"|"&amp;L505</x:f>
        <x:v>NEO|030</x:v>
      </x:c>
      <x:c r="B505" t="str">
        <x:v>c15e396d-e213-5944-af27-2014be6e09ee</x:v>
      </x:c>
      <x:c r="C505" t="str">
        <x:v>CDA-NEO-030</x:v>
      </x:c>
      <x:c r="D505" t="str">
        <x:v>ebda54ca-102e-54e3-a9ae-065baab1ac50</x:v>
      </x:c>
      <x:c r="E505" t="str">
        <x:v>CDA-CODE-030</x:v>
      </x:c>
      <x:c r="F505" t="str">
        <x:v>Caran d’Ache</x:v>
      </x:c>
      <x:c r="G505" t="str">
        <x:v>NEO</x:v>
      </x:c>
      <x:c r="H505" t="str">
        <x:v>NEOPASTEL</x:v>
      </x:c>
      <x:c r="I505" t="str">
        <x:v>Extra-fine oil pastel</x:v>
      </x:c>
      <x:c r="J505" t="str">
        <x:v>Professional</x:v>
      </x:c>
      <x:c r="K505" s="30" t="n">
        <x:v>4</x:v>
      </x:c>
      <x:c r="L505" s="30" t="str">
        <x:v>030</x:v>
      </x:c>
      <x:c r="M505" t="str">
        <x:v>Orange</x:v>
      </x:c>
      <x:c r="N505" t="str">
        <x:v>橙色</x:v>
      </x:c>
      <x:c r="O505" t="str">
        <x:v>オレンジ</x:v>
      </x:c>
      <x:c r="P505" t="str"/>
      <x:c r="Q505" t="str">
        <x:v>Orange</x:v>
      </x:c>
      <x:c r="R505" t="str">
        <x:v>Orange</x:v>
      </x:c>
      <x:c r="S505" t="str">
        <x:v>Arancio</x:v>
      </x:c>
      <x:c r="T505" t="str"/>
      <x:c r="U505" t="str">
        <x:v>Laranja</x:v>
      </x:c>
      <x:c r="V505" t="str">
        <x:v>오렌지색</x:v>
      </x:c>
      <x:c r="W505" t="str">
        <x:v>PO13/PY1</x:v>
      </x:c>
      <x:c r="X505" t="n">
        <x:f>IF(W505="",0,LEN(W505)-LEN(SUBSTITUTE(W505,"/",""))+1)</x:f>
        <x:v>2</x:v>
      </x:c>
      <x:c r="Y505" t="str">
        <x:v>H</x:v>
      </x:c>
      <x:c r="Z505" s="32" t="n">
        <x:v>1.67</x:v>
      </x:c>
      <x:c r="AA505" s="32" t="n">
        <x:v>3</x:v>
      </x:c>
      <x:c r="AB505" s="32" t="str">
        <x:v>Blue Wool Scale / UV 150h</x:v>
      </x:c>
      <x:c r="AC505" t="str">
        <x:v>#EE8C22</x:v>
      </x:c>
      <x:c r="AD505" s="34" t="n">
        <x:v>238</x:v>
      </x:c>
      <x:c r="AE505" s="34" t="n">
        <x:v>140</x:v>
      </x:c>
      <x:c r="AF505" s="34" t="n">
        <x:v>34</x:v>
      </x:c>
      <x:c r="AG505" s="32" t="n">
        <x:v>31.18</x:v>
      </x:c>
      <x:c r="AH505" s="32" t="n">
        <x:v>85.71</x:v>
      </x:c>
      <x:c r="AI505" s="32" t="n">
        <x:v>53.33</x:v>
      </x:c>
      <x:c r="AJ505" s="32" t="n">
        <x:v>67.32</x:v>
      </x:c>
      <x:c r="AK505" s="32" t="n">
        <x:v>30.37</x:v>
      </x:c>
      <x:c r="AL505" s="32" t="n">
        <x:v>66.3</x:v>
      </x:c>
      <x:c r="AM505" s="32" t="str">
        <x:v>#000000</x:v>
      </x:c>
      <x:c r="AN505" s="32" t="str">
        <x:v>Black</x:v>
      </x:c>
      <x:c r="AO505" s="32" t="n">
        <x:v>8.41</x:v>
      </x:c>
      <x:c r="AP505" s="32" t="n">
        <x:v>8.41</x:v>
      </x:c>
      <x:c r="AQ505" s="32" t="n">
        <x:v>2.5</x:v>
      </x:c>
      <x:c r="AR505" s="32" t="n">
        <x:v>0.370488</x:v>
      </x:c>
      <x:c r="AS505" t="str">
        <x:v>PASS</x:v>
      </x:c>
      <x:c r="AT505" t="str">
        <x:v>--cda-neo-030</x:v>
      </x:c>
      <x:c r="AU505" t="str">
        <x:v>var(--cda-neo-030)</x:v>
      </x:c>
      <x:c r="AV505" t="str">
        <x:v>Median RGB from official PDF swatch (screen reference only)</x:v>
      </x:c>
      <x:c r="AW505" t="str">
        <x:v>https://www.carandache.com/content_files/uploaded_doc/product/10595/Colour_Chart_NeoPastel.pdf</x:v>
      </x:c>
      <x:c r="AX505" t="n">
        <x:v>1</x:v>
      </x:c>
      <x:c r="AY505" t="str">
        <x:v>Official</x:v>
      </x:c>
      <x:c r="AZ505" t="str">
        <x:v>Official where available; curated Traditional Chinese/Japanese otherwise</x:v>
      </x:c>
      <x:c r="BA505" t="str">
        <x:v>Verified from official chart; digital HEX is approximate</x:v>
      </x:c>
      <x:c r="BB505" t="str">
        <x:v>Physical media appearance varies by paper, pressure, layering, water and scan/display profile.</x:v>
      </x:c>
    </x:row>
    <x:row r="506">
      <x:c r="A506" t="str">
        <x:f>G506&amp;"|"&amp;L506</x:f>
        <x:v>NEO|300</x:v>
      </x:c>
      <x:c r="B506" t="str">
        <x:v>99b81a43-1734-5abd-8d00-ea0cd698c14c</x:v>
      </x:c>
      <x:c r="C506" t="str">
        <x:v>CDA-NEO-300</x:v>
      </x:c>
      <x:c r="D506" t="str">
        <x:v>a0ce686f-7535-53f8-b53e-5ecadedba3d5</x:v>
      </x:c>
      <x:c r="E506" t="str">
        <x:v>CDA-CODE-300</x:v>
      </x:c>
      <x:c r="F506" t="str">
        <x:v>Caran d’Ache</x:v>
      </x:c>
      <x:c r="G506" t="str">
        <x:v>NEO</x:v>
      </x:c>
      <x:c r="H506" t="str">
        <x:v>NEOPASTEL</x:v>
      </x:c>
      <x:c r="I506" t="str">
        <x:v>Extra-fine oil pastel</x:v>
      </x:c>
      <x:c r="J506" t="str">
        <x:v>Professional</x:v>
      </x:c>
      <x:c r="K506" s="30" t="n">
        <x:v>5</x:v>
      </x:c>
      <x:c r="L506" s="30" t="str">
        <x:v>300</x:v>
      </x:c>
      <x:c r="M506" t="str">
        <x:v>Fast orange</x:v>
      </x:c>
      <x:c r="N506" t="str">
        <x:v>耐久橙</x:v>
      </x:c>
      <x:c r="O506" t="str">
        <x:v>ファストオレンジ</x:v>
      </x:c>
      <x:c r="P506" t="str"/>
      <x:c r="Q506" t="str">
        <x:v>Orange solide</x:v>
      </x:c>
      <x:c r="R506" t="str">
        <x:v>Echtorange</x:v>
      </x:c>
      <x:c r="S506" t="str">
        <x:v>Arancio permanente</x:v>
      </x:c>
      <x:c r="T506" t="str"/>
      <x:c r="U506" t="str">
        <x:v>Laranja permanente</x:v>
      </x:c>
      <x:c r="V506" t="str">
        <x:v>페스트 오렌지</x:v>
      </x:c>
      <x:c r="W506" t="str">
        <x:v>PO62</x:v>
      </x:c>
      <x:c r="X506" t="n">
        <x:f>IF(W506="",0,LEN(W506)-LEN(SUBSTITUTE(W506,"/",""))+1)</x:f>
        <x:v>1</x:v>
      </x:c>
      <x:c r="Y506" t="str">
        <x:v>H</x:v>
      </x:c>
      <x:c r="Z506" s="32" t="n">
        <x:v>1.67</x:v>
      </x:c>
      <x:c r="AA506" s="32" t="n">
        <x:v>3</x:v>
      </x:c>
      <x:c r="AB506" s="32" t="str">
        <x:v>Blue Wool Scale / UV 150h</x:v>
      </x:c>
      <x:c r="AC506" t="str">
        <x:v>#F19E1F</x:v>
      </x:c>
      <x:c r="AD506" s="34" t="n">
        <x:v>241</x:v>
      </x:c>
      <x:c r="AE506" s="34" t="n">
        <x:v>158</x:v>
      </x:c>
      <x:c r="AF506" s="34" t="n">
        <x:v>31</x:v>
      </x:c>
      <x:c r="AG506" s="32" t="n">
        <x:v>36.29</x:v>
      </x:c>
      <x:c r="AH506" s="32" t="n">
        <x:v>88.24</x:v>
      </x:c>
      <x:c r="AI506" s="32" t="n">
        <x:v>53.33</x:v>
      </x:c>
      <x:c r="AJ506" s="32" t="n">
        <x:v>71.73</x:v>
      </x:c>
      <x:c r="AK506" s="32" t="n">
        <x:v>22.1</x:v>
      </x:c>
      <x:c r="AL506" s="32" t="n">
        <x:v>70.84</x:v>
      </x:c>
      <x:c r="AM506" s="32" t="str">
        <x:v>#000000</x:v>
      </x:c>
      <x:c r="AN506" s="32" t="str">
        <x:v>Black</x:v>
      </x:c>
      <x:c r="AO506" s="32" t="n">
        <x:v>9.65</x:v>
      </x:c>
      <x:c r="AP506" s="32" t="n">
        <x:v>9.65</x:v>
      </x:c>
      <x:c r="AQ506" s="32" t="n">
        <x:v>2.18</x:v>
      </x:c>
      <x:c r="AR506" s="32" t="n">
        <x:v>0.432534</x:v>
      </x:c>
      <x:c r="AS506" t="str">
        <x:v>PASS</x:v>
      </x:c>
      <x:c r="AT506" t="str">
        <x:v>--cda-neo-300</x:v>
      </x:c>
      <x:c r="AU506" t="str">
        <x:v>var(--cda-neo-300)</x:v>
      </x:c>
      <x:c r="AV506" t="str">
        <x:v>Median RGB from official PDF swatch (screen reference only)</x:v>
      </x:c>
      <x:c r="AW506" t="str">
        <x:v>https://www.carandache.com/content_files/uploaded_doc/product/10595/Colour_Chart_NeoPastel.pdf</x:v>
      </x:c>
      <x:c r="AX506" t="n">
        <x:v>1</x:v>
      </x:c>
      <x:c r="AY506" t="str">
        <x:v>Official</x:v>
      </x:c>
      <x:c r="AZ506" t="str">
        <x:v>Official where available; curated Traditional Chinese/Japanese otherwise</x:v>
      </x:c>
      <x:c r="BA506" t="str">
        <x:v>Verified from official chart; digital HEX is approximate</x:v>
      </x:c>
      <x:c r="BB506" t="str">
        <x:v>Physical media appearance varies by paper, pressure, layering, water and scan/display profile.</x:v>
      </x:c>
    </x:row>
    <x:row r="507">
      <x:c r="A507" t="str">
        <x:f>G507&amp;"|"&amp;L507</x:f>
        <x:v>NEO|040</x:v>
      </x:c>
      <x:c r="B507" t="str">
        <x:v>18a03175-3a60-585c-a455-3f20a98b5ce0</x:v>
      </x:c>
      <x:c r="C507" t="str">
        <x:v>CDA-NEO-040</x:v>
      </x:c>
      <x:c r="D507" t="str">
        <x:v>c0d22832-3f13-580d-986f-0f285f98a6c1</x:v>
      </x:c>
      <x:c r="E507" t="str">
        <x:v>CDA-CODE-040</x:v>
      </x:c>
      <x:c r="F507" t="str">
        <x:v>Caran d’Ache</x:v>
      </x:c>
      <x:c r="G507" t="str">
        <x:v>NEO</x:v>
      </x:c>
      <x:c r="H507" t="str">
        <x:v>NEOPASTEL</x:v>
      </x:c>
      <x:c r="I507" t="str">
        <x:v>Extra-fine oil pastel</x:v>
      </x:c>
      <x:c r="J507" t="str">
        <x:v>Professional</x:v>
      </x:c>
      <x:c r="K507" s="30" t="n">
        <x:v>6</x:v>
      </x:c>
      <x:c r="L507" s="30" t="str">
        <x:v>040</x:v>
      </x:c>
      <x:c r="M507" t="str">
        <x:v>Reddish yellow</x:v>
      </x:c>
      <x:c r="N507" t="str">
        <x:v>紅黃色</x:v>
      </x:c>
      <x:c r="O507" t="str">
        <x:v>レディッシュイエロー</x:v>
      </x:c>
      <x:c r="P507" t="str"/>
      <x:c r="Q507" t="str">
        <x:v>Rouge jaune</x:v>
      </x:c>
      <x:c r="R507" t="str">
        <x:v>Rotgelb</x:v>
      </x:c>
      <x:c r="S507" t="str">
        <x:v>Rosso giallo</x:v>
      </x:c>
      <x:c r="T507" t="str"/>
      <x:c r="U507" t="str">
        <x:v>Vermelho amarelado</x:v>
      </x:c>
      <x:c r="V507" t="str">
        <x:v>붉은 오렌지색</x:v>
      </x:c>
      <x:c r="W507" t="str">
        <x:v>PO61</x:v>
      </x:c>
      <x:c r="X507" t="n">
        <x:f>IF(W507="",0,LEN(W507)-LEN(SUBSTITUTE(W507,"/",""))+1)</x:f>
        <x:v>1</x:v>
      </x:c>
      <x:c r="Y507" t="str">
        <x:v>H</x:v>
      </x:c>
      <x:c r="Z507" s="32" t="n">
        <x:v>1.67</x:v>
      </x:c>
      <x:c r="AA507" s="32" t="n">
        <x:v>3</x:v>
      </x:c>
      <x:c r="AB507" s="32" t="str">
        <x:v>Blue Wool Scale / UV 150h</x:v>
      </x:c>
      <x:c r="AC507" t="str">
        <x:v>#E25C23</x:v>
      </x:c>
      <x:c r="AD507" s="34" t="n">
        <x:v>226</x:v>
      </x:c>
      <x:c r="AE507" s="34" t="n">
        <x:v>92</x:v>
      </x:c>
      <x:c r="AF507" s="34" t="n">
        <x:v>35</x:v>
      </x:c>
      <x:c r="AG507" s="32" t="n">
        <x:v>17.91</x:v>
      </x:c>
      <x:c r="AH507" s="32" t="n">
        <x:v>76.71</x:v>
      </x:c>
      <x:c r="AI507" s="32" t="n">
        <x:v>51.18</x:v>
      </x:c>
      <x:c r="AJ507" s="32" t="n">
        <x:v>56.04</x:v>
      </x:c>
      <x:c r="AK507" s="32" t="n">
        <x:v>49.57</x:v>
      </x:c>
      <x:c r="AL507" s="32" t="n">
        <x:v>55.87</x:v>
      </x:c>
      <x:c r="AM507" s="32" t="str">
        <x:v>#000000</x:v>
      </x:c>
      <x:c r="AN507" s="32" t="str">
        <x:v>Black</x:v>
      </x:c>
      <x:c r="AO507" s="32" t="n">
        <x:v>5.79</x:v>
      </x:c>
      <x:c r="AP507" s="32" t="n">
        <x:v>5.79</x:v>
      </x:c>
      <x:c r="AQ507" s="32" t="n">
        <x:v>3.63</x:v>
      </x:c>
      <x:c r="AR507" s="32" t="n">
        <x:v>0.239444</x:v>
      </x:c>
      <x:c r="AS507" t="str">
        <x:v>PASS</x:v>
      </x:c>
      <x:c r="AT507" t="str">
        <x:v>--cda-neo-040</x:v>
      </x:c>
      <x:c r="AU507" t="str">
        <x:v>var(--cda-neo-040)</x:v>
      </x:c>
      <x:c r="AV507" t="str">
        <x:v>Median RGB from official PDF swatch (screen reference only)</x:v>
      </x:c>
      <x:c r="AW507" t="str">
        <x:v>https://www.carandache.com/content_files/uploaded_doc/product/10595/Colour_Chart_NeoPastel.pdf</x:v>
      </x:c>
      <x:c r="AX507" t="n">
        <x:v>1</x:v>
      </x:c>
      <x:c r="AY507" t="str">
        <x:v>Official</x:v>
      </x:c>
      <x:c r="AZ507" t="str">
        <x:v>Official where available; curated Traditional Chinese/Japanese otherwise</x:v>
      </x:c>
      <x:c r="BA507" t="str">
        <x:v>Verified from official chart; digital HEX is approximate</x:v>
      </x:c>
      <x:c r="BB507" t="str">
        <x:v>Physical media appearance varies by paper, pressure, layering, water and scan/display profile.</x:v>
      </x:c>
    </x:row>
    <x:row r="508">
      <x:c r="A508" t="str">
        <x:f>G508&amp;"|"&amp;L508</x:f>
        <x:v>NEO|050</x:v>
      </x:c>
      <x:c r="B508" t="str">
        <x:v>42f3f8d9-09ab-511d-bb09-1499505b825b</x:v>
      </x:c>
      <x:c r="C508" t="str">
        <x:v>CDA-NEO-050</x:v>
      </x:c>
      <x:c r="D508" t="str">
        <x:v>b1fdf016-f65e-52a7-837f-bacfacf86acf</x:v>
      </x:c>
      <x:c r="E508" t="str">
        <x:v>CDA-CODE-050</x:v>
      </x:c>
      <x:c r="F508" t="str">
        <x:v>Caran d’Ache</x:v>
      </x:c>
      <x:c r="G508" t="str">
        <x:v>NEO</x:v>
      </x:c>
      <x:c r="H508" t="str">
        <x:v>NEOPASTEL</x:v>
      </x:c>
      <x:c r="I508" t="str">
        <x:v>Extra-fine oil pastel</x:v>
      </x:c>
      <x:c r="J508" t="str">
        <x:v>Professional</x:v>
      </x:c>
      <x:c r="K508" s="30" t="n">
        <x:v>7</x:v>
      </x:c>
      <x:c r="L508" s="30" t="str">
        <x:v>050</x:v>
      </x:c>
      <x:c r="M508" t="str">
        <x:v>Flame red</x:v>
      </x:c>
      <x:c r="N508" t="str">
        <x:v>火焰紅</x:v>
      </x:c>
      <x:c r="O508" t="str">
        <x:v>フレームレッド</x:v>
      </x:c>
      <x:c r="P508" t="str"/>
      <x:c r="Q508" t="str">
        <x:v>Rouge orangé</x:v>
      </x:c>
      <x:c r="R508" t="str">
        <x:v>Rotorange</x:v>
      </x:c>
      <x:c r="S508" t="str">
        <x:v>Rosso arancio</x:v>
      </x:c>
      <x:c r="T508" t="str"/>
      <x:c r="U508" t="str">
        <x:v>Vermelho alaranjado</x:v>
      </x:c>
      <x:c r="V508" t="str">
        <x:v>프레임레드</x:v>
      </x:c>
      <x:c r="W508" t="str">
        <x:v>PO43</x:v>
      </x:c>
      <x:c r="X508" t="n">
        <x:f>IF(W508="",0,LEN(W508)-LEN(SUBSTITUTE(W508,"/",""))+1)</x:f>
        <x:v>1</x:v>
      </x:c>
      <x:c r="Y508" t="str">
        <x:v>H</x:v>
      </x:c>
      <x:c r="Z508" s="32" t="n">
        <x:v>1.67</x:v>
      </x:c>
      <x:c r="AA508" s="32" t="n">
        <x:v>3</x:v>
      </x:c>
      <x:c r="AB508" s="32" t="str">
        <x:v>Blue Wool Scale / UV 150h</x:v>
      </x:c>
      <x:c r="AC508" t="str">
        <x:v>#EB8028</x:v>
      </x:c>
      <x:c r="AD508" s="34" t="n">
        <x:v>235</x:v>
      </x:c>
      <x:c r="AE508" s="34" t="n">
        <x:v>128</x:v>
      </x:c>
      <x:c r="AF508" s="34" t="n">
        <x:v>40</x:v>
      </x:c>
      <x:c r="AG508" s="32" t="n">
        <x:v>27.08</x:v>
      </x:c>
      <x:c r="AH508" s="32" t="n">
        <x:v>82.98</x:v>
      </x:c>
      <x:c r="AI508" s="32" t="n">
        <x:v>53.92</x:v>
      </x:c>
      <x:c r="AJ508" s="32" t="n">
        <x:v>64.37</x:v>
      </x:c>
      <x:c r="AK508" s="32" t="n">
        <x:v>35.52</x:v>
      </x:c>
      <x:c r="AL508" s="32" t="n">
        <x:v>61.64</x:v>
      </x:c>
      <x:c r="AM508" s="32" t="str">
        <x:v>#000000</x:v>
      </x:c>
      <x:c r="AN508" s="32" t="str">
        <x:v>Black</x:v>
      </x:c>
      <x:c r="AO508" s="32" t="n">
        <x:v>7.65</x:v>
      </x:c>
      <x:c r="AP508" s="32" t="n">
        <x:v>7.65</x:v>
      </x:c>
      <x:c r="AQ508" s="32" t="n">
        <x:v>2.74</x:v>
      </x:c>
      <x:c r="AR508" s="32" t="n">
        <x:v>0.332537</x:v>
      </x:c>
      <x:c r="AS508" t="str">
        <x:v>PASS</x:v>
      </x:c>
      <x:c r="AT508" t="str">
        <x:v>--cda-neo-050</x:v>
      </x:c>
      <x:c r="AU508" t="str">
        <x:v>var(--cda-neo-050)</x:v>
      </x:c>
      <x:c r="AV508" t="str">
        <x:v>Median RGB from official PDF swatch (screen reference only)</x:v>
      </x:c>
      <x:c r="AW508" t="str">
        <x:v>https://www.carandache.com/content_files/uploaded_doc/product/10595/Colour_Chart_NeoPastel.pdf</x:v>
      </x:c>
      <x:c r="AX508" t="n">
        <x:v>1</x:v>
      </x:c>
      <x:c r="AY508" t="str">
        <x:v>Official</x:v>
      </x:c>
      <x:c r="AZ508" t="str">
        <x:v>Official where available; curated Traditional Chinese/Japanese otherwise</x:v>
      </x:c>
      <x:c r="BA508" t="str">
        <x:v>Verified from official chart; digital HEX is approximate</x:v>
      </x:c>
      <x:c r="BB508" t="str">
        <x:v>Physical media appearance varies by paper, pressure, layering, water and scan/display profile.</x:v>
      </x:c>
    </x:row>
    <x:row r="509">
      <x:c r="A509" t="str">
        <x:f>G509&amp;"|"&amp;L509</x:f>
        <x:v>NEO|060</x:v>
      </x:c>
      <x:c r="B509" t="str">
        <x:v>a89060fc-8e9e-544b-bd65-332da7625750</x:v>
      </x:c>
      <x:c r="C509" t="str">
        <x:v>CDA-NEO-060</x:v>
      </x:c>
      <x:c r="D509" t="str">
        <x:v>332db2c4-d0e9-5445-b3ee-924c107cece4</x:v>
      </x:c>
      <x:c r="E509" t="str">
        <x:v>CDA-CODE-060</x:v>
      </x:c>
      <x:c r="F509" t="str">
        <x:v>Caran d’Ache</x:v>
      </x:c>
      <x:c r="G509" t="str">
        <x:v>NEO</x:v>
      </x:c>
      <x:c r="H509" t="str">
        <x:v>NEOPASTEL</x:v>
      </x:c>
      <x:c r="I509" t="str">
        <x:v>Extra-fine oil pastel</x:v>
      </x:c>
      <x:c r="J509" t="str">
        <x:v>Professional</x:v>
      </x:c>
      <x:c r="K509" s="30" t="n">
        <x:v>8</x:v>
      </x:c>
      <x:c r="L509" s="30" t="str">
        <x:v>060</x:v>
      </x:c>
      <x:c r="M509" t="str">
        <x:v>Vermilion</x:v>
      </x:c>
      <x:c r="N509" t="str">
        <x:v>朱紅</x:v>
      </x:c>
      <x:c r="O509" t="str">
        <x:v>バーミリオン</x:v>
      </x:c>
      <x:c r="P509" t="str"/>
      <x:c r="Q509" t="str">
        <x:v>Vermillon</x:v>
      </x:c>
      <x:c r="R509" t="str">
        <x:v>Zinnoberrot</x:v>
      </x:c>
      <x:c r="S509" t="str">
        <x:v>Vermiglione</x:v>
      </x:c>
      <x:c r="T509" t="str"/>
      <x:c r="U509" t="str">
        <x:v>Vermelhão</x:v>
      </x:c>
      <x:c r="V509" t="str">
        <x:v>주홍색</x:v>
      </x:c>
      <x:c r="W509" t="str">
        <x:v>PR188</x:v>
      </x:c>
      <x:c r="X509" t="n">
        <x:f>IF(W509="",0,LEN(W509)-LEN(SUBSTITUTE(W509,"/",""))+1)</x:f>
        <x:v>1</x:v>
      </x:c>
      <x:c r="Y509" t="str">
        <x:v>H</x:v>
      </x:c>
      <x:c r="Z509" s="32" t="n">
        <x:v>1.67</x:v>
      </x:c>
      <x:c r="AA509" s="32" t="n">
        <x:v>3</x:v>
      </x:c>
      <x:c r="AB509" s="32" t="str">
        <x:v>Blue Wool Scale / UV 150h</x:v>
      </x:c>
      <x:c r="AC509" t="str">
        <x:v>#DE5724</x:v>
      </x:c>
      <x:c r="AD509" s="34" t="n">
        <x:v>222</x:v>
      </x:c>
      <x:c r="AE509" s="34" t="n">
        <x:v>87</x:v>
      </x:c>
      <x:c r="AF509" s="34" t="n">
        <x:v>36</x:v>
      </x:c>
      <x:c r="AG509" s="32" t="n">
        <x:v>16.45</x:v>
      </x:c>
      <x:c r="AH509" s="32" t="n">
        <x:v>73.81</x:v>
      </x:c>
      <x:c r="AI509" s="32" t="n">
        <x:v>50.59</x:v>
      </x:c>
      <x:c r="AJ509" s="32" t="n">
        <x:v>54.53</x:v>
      </x:c>
      <x:c r="AK509" s="32" t="n">
        <x:v>50.42</x:v>
      </x:c>
      <x:c r="AL509" s="32" t="n">
        <x:v>53.9</x:v>
      </x:c>
      <x:c r="AM509" s="32" t="str">
        <x:v>#000000</x:v>
      </x:c>
      <x:c r="AN509" s="32" t="str">
        <x:v>Black</x:v>
      </x:c>
      <x:c r="AO509" s="32" t="n">
        <x:v>5.49</x:v>
      </x:c>
      <x:c r="AP509" s="32" t="n">
        <x:v>5.49</x:v>
      </x:c>
      <x:c r="AQ509" s="32" t="n">
        <x:v>3.82</x:v>
      </x:c>
      <x:c r="AR509" s="32" t="n">
        <x:v>0.224734</x:v>
      </x:c>
      <x:c r="AS509" t="str">
        <x:v>PASS</x:v>
      </x:c>
      <x:c r="AT509" t="str">
        <x:v>--cda-neo-060</x:v>
      </x:c>
      <x:c r="AU509" t="str">
        <x:v>var(--cda-neo-060)</x:v>
      </x:c>
      <x:c r="AV509" t="str">
        <x:v>Median RGB from official PDF swatch (screen reference only)</x:v>
      </x:c>
      <x:c r="AW509" t="str">
        <x:v>https://www.carandache.com/content_files/uploaded_doc/product/10595/Colour_Chart_NeoPastel.pdf</x:v>
      </x:c>
      <x:c r="AX509" t="n">
        <x:v>1</x:v>
      </x:c>
      <x:c r="AY509" t="str">
        <x:v>Official</x:v>
      </x:c>
      <x:c r="AZ509" t="str">
        <x:v>Official where available; curated Traditional Chinese/Japanese otherwise</x:v>
      </x:c>
      <x:c r="BA509" t="str">
        <x:v>Verified from official chart; digital HEX is approximate</x:v>
      </x:c>
      <x:c r="BB509" t="str">
        <x:v>Physical media appearance varies by paper, pressure, layering, water and scan/display profile.</x:v>
      </x:c>
    </x:row>
    <x:row r="510">
      <x:c r="A510" t="str">
        <x:f>G510&amp;"|"&amp;L510</x:f>
        <x:v>NEO|070</x:v>
      </x:c>
      <x:c r="B510" t="str">
        <x:v>4d8fde0d-7be1-5ba8-9ccd-8b043b200441</x:v>
      </x:c>
      <x:c r="C510" t="str">
        <x:v>CDA-NEO-070</x:v>
      </x:c>
      <x:c r="D510" t="str">
        <x:v>2dcedd03-0d82-5dc4-a34e-7ed1c317e71e</x:v>
      </x:c>
      <x:c r="E510" t="str">
        <x:v>CDA-CODE-070</x:v>
      </x:c>
      <x:c r="F510" t="str">
        <x:v>Caran d’Ache</x:v>
      </x:c>
      <x:c r="G510" t="str">
        <x:v>NEO</x:v>
      </x:c>
      <x:c r="H510" t="str">
        <x:v>NEOPASTEL</x:v>
      </x:c>
      <x:c r="I510" t="str">
        <x:v>Extra-fine oil pastel</x:v>
      </x:c>
      <x:c r="J510" t="str">
        <x:v>Professional</x:v>
      </x:c>
      <x:c r="K510" s="30" t="n">
        <x:v>9</x:v>
      </x:c>
      <x:c r="L510" s="30" t="str">
        <x:v>070</x:v>
      </x:c>
      <x:c r="M510" t="str">
        <x:v>Scarlet</x:v>
      </x:c>
      <x:c r="N510" t="str">
        <x:v>猩紅</x:v>
      </x:c>
      <x:c r="O510" t="str">
        <x:v>スカーレット</x:v>
      </x:c>
      <x:c r="P510" t="str"/>
      <x:c r="Q510" t="str">
        <x:v>Ecarlate</x:v>
      </x:c>
      <x:c r="R510" t="str">
        <x:v>Scharlachrot</x:v>
      </x:c>
      <x:c r="S510" t="str">
        <x:v>Scarlatto</x:v>
      </x:c>
      <x:c r="T510" t="str"/>
      <x:c r="U510" t="str">
        <x:v>Escarlate</x:v>
      </x:c>
      <x:c r="V510" t="str">
        <x:v>진홍색</x:v>
      </x:c>
      <x:c r="W510" t="str">
        <x:v>PR254</x:v>
      </x:c>
      <x:c r="X510" t="n">
        <x:f>IF(W510="",0,LEN(W510)-LEN(SUBSTITUTE(W510,"/",""))+1)</x:f>
        <x:v>1</x:v>
      </x:c>
      <x:c r="Y510" t="str">
        <x:v>H</x:v>
      </x:c>
      <x:c r="Z510" s="32" t="n">
        <x:v>1.67</x:v>
      </x:c>
      <x:c r="AA510" s="32" t="n">
        <x:v>3</x:v>
      </x:c>
      <x:c r="AB510" s="32" t="str">
        <x:v>Blue Wool Scale / UV 150h</x:v>
      </x:c>
      <x:c r="AC510" t="str">
        <x:v>#D40C30</x:v>
      </x:c>
      <x:c r="AD510" s="34" t="n">
        <x:v>212</x:v>
      </x:c>
      <x:c r="AE510" s="34" t="n">
        <x:v>12</x:v>
      </x:c>
      <x:c r="AF510" s="34" t="n">
        <x:v>48</x:v>
      </x:c>
      <x:c r="AG510" s="32" t="n">
        <x:v>349.2</x:v>
      </x:c>
      <x:c r="AH510" s="32" t="n">
        <x:v>89.29</x:v>
      </x:c>
      <x:c r="AI510" s="32" t="n">
        <x:v>43.92</x:v>
      </x:c>
      <x:c r="AJ510" s="32" t="n">
        <x:v>44.91</x:v>
      </x:c>
      <x:c r="AK510" s="32" t="n">
        <x:v>69.43</x:v>
      </x:c>
      <x:c r="AL510" s="32" t="n">
        <x:v>37.84</x:v>
      </x:c>
      <x:c r="AM510" s="32" t="str">
        <x:v>#FFFFFF</x:v>
      </x:c>
      <x:c r="AN510" s="32" t="str">
        <x:v>White</x:v>
      </x:c>
      <x:c r="AO510" s="32" t="n">
        <x:v>5.39</x:v>
      </x:c>
      <x:c r="AP510" s="32" t="n">
        <x:v>3.89</x:v>
      </x:c>
      <x:c r="AQ510" s="32" t="n">
        <x:v>5.39</x:v>
      </x:c>
      <x:c r="AR510" s="32" t="n">
        <x:v>0.144734</x:v>
      </x:c>
      <x:c r="AS510" t="str">
        <x:v>PASS</x:v>
      </x:c>
      <x:c r="AT510" t="str">
        <x:v>--cda-neo-070</x:v>
      </x:c>
      <x:c r="AU510" t="str">
        <x:v>var(--cda-neo-070)</x:v>
      </x:c>
      <x:c r="AV510" t="str">
        <x:v>Median RGB from official PDF swatch (screen reference only)</x:v>
      </x:c>
      <x:c r="AW510" t="str">
        <x:v>https://www.carandache.com/content_files/uploaded_doc/product/10595/Colour_Chart_NeoPastel.pdf</x:v>
      </x:c>
      <x:c r="AX510" t="n">
        <x:v>1</x:v>
      </x:c>
      <x:c r="AY510" t="str">
        <x:v>Official</x:v>
      </x:c>
      <x:c r="AZ510" t="str">
        <x:v>Official where available; curated Traditional Chinese/Japanese otherwise</x:v>
      </x:c>
      <x:c r="BA510" t="str">
        <x:v>Verified from official chart; digital HEX is approximate</x:v>
      </x:c>
      <x:c r="BB510" t="str">
        <x:v>Physical media appearance varies by paper, pressure, layering, water and scan/display profile.</x:v>
      </x:c>
    </x:row>
    <x:row r="511">
      <x:c r="A511" t="str">
        <x:f>G511&amp;"|"&amp;L511</x:f>
        <x:v>NEO|280</x:v>
      </x:c>
      <x:c r="B511" t="str">
        <x:v>356f4e76-6bed-5369-966d-bd375b94f509</x:v>
      </x:c>
      <x:c r="C511" t="str">
        <x:v>CDA-NEO-280</x:v>
      </x:c>
      <x:c r="D511" t="str">
        <x:v>6822217d-d89f-53cd-a6b0-807aa44726ba</x:v>
      </x:c>
      <x:c r="E511" t="str">
        <x:v>CDA-CODE-280</x:v>
      </x:c>
      <x:c r="F511" t="str">
        <x:v>Caran d’Ache</x:v>
      </x:c>
      <x:c r="G511" t="str">
        <x:v>NEO</x:v>
      </x:c>
      <x:c r="H511" t="str">
        <x:v>NEOPASTEL</x:v>
      </x:c>
      <x:c r="I511" t="str">
        <x:v>Extra-fine oil pastel</x:v>
      </x:c>
      <x:c r="J511" t="str">
        <x:v>Professional</x:v>
      </x:c>
      <x:c r="K511" s="30" t="n">
        <x:v>10</x:v>
      </x:c>
      <x:c r="L511" s="30" t="str">
        <x:v>280</x:v>
      </x:c>
      <x:c r="M511" t="str">
        <x:v>Ruby red</x:v>
      </x:c>
      <x:c r="N511" t="str">
        <x:v>紅寶石紅</x:v>
      </x:c>
      <x:c r="O511" t="str">
        <x:v>ルビーレッド</x:v>
      </x:c>
      <x:c r="P511" t="str"/>
      <x:c r="Q511" t="str">
        <x:v>Rouge rubis</x:v>
      </x:c>
      <x:c r="R511" t="str">
        <x:v>Rubinrot</x:v>
      </x:c>
      <x:c r="S511" t="str">
        <x:v>Rosso rubino</x:v>
      </x:c>
      <x:c r="T511" t="str"/>
      <x:c r="U511" t="str">
        <x:v>Vermelho rubi</x:v>
      </x:c>
      <x:c r="V511" t="str">
        <x:v>루비색</x:v>
      </x:c>
      <x:c r="W511" t="str">
        <x:v>PR254</x:v>
      </x:c>
      <x:c r="X511" t="n">
        <x:f>IF(W511="",0,LEN(W511)-LEN(SUBSTITUTE(W511,"/",""))+1)</x:f>
        <x:v>1</x:v>
      </x:c>
      <x:c r="Y511" t="str">
        <x:v>H</x:v>
      </x:c>
      <x:c r="Z511" s="32" t="n">
        <x:v>1.67</x:v>
      </x:c>
      <x:c r="AA511" s="32" t="n">
        <x:v>3</x:v>
      </x:c>
      <x:c r="AB511" s="32" t="str">
        <x:v>Blue Wool Scale / UV 150h</x:v>
      </x:c>
      <x:c r="AC511" t="str">
        <x:v>#C3112B</x:v>
      </x:c>
      <x:c r="AD511" s="34" t="n">
        <x:v>195</x:v>
      </x:c>
      <x:c r="AE511" s="34" t="n">
        <x:v>17</x:v>
      </x:c>
      <x:c r="AF511" s="34" t="n">
        <x:v>43</x:v>
      </x:c>
      <x:c r="AG511" s="32" t="n">
        <x:v>351.24</x:v>
      </x:c>
      <x:c r="AH511" s="32" t="n">
        <x:v>83.96</x:v>
      </x:c>
      <x:c r="AI511" s="32" t="n">
        <x:v>41.57</x:v>
      </x:c>
      <x:c r="AJ511" s="32" t="n">
        <x:v>41.5</x:v>
      </x:c>
      <x:c r="AK511" s="32" t="n">
        <x:v>64.37</x:v>
      </x:c>
      <x:c r="AL511" s="32" t="n">
        <x:v>36.05</x:v>
      </x:c>
      <x:c r="AM511" s="32" t="str">
        <x:v>#FFFFFF</x:v>
      </x:c>
      <x:c r="AN511" s="32" t="str">
        <x:v>White</x:v>
      </x:c>
      <x:c r="AO511" s="32" t="n">
        <x:v>6.11</x:v>
      </x:c>
      <x:c r="AP511" s="32" t="n">
        <x:v>3.44</x:v>
      </x:c>
      <x:c r="AQ511" s="32" t="n">
        <x:v>6.11</x:v>
      </x:c>
      <x:c r="AR511" s="32" t="n">
        <x:v>0.121774</x:v>
      </x:c>
      <x:c r="AS511" t="str">
        <x:v>PASS</x:v>
      </x:c>
      <x:c r="AT511" t="str">
        <x:v>--cda-neo-280</x:v>
      </x:c>
      <x:c r="AU511" t="str">
        <x:v>var(--cda-neo-280)</x:v>
      </x:c>
      <x:c r="AV511" t="str">
        <x:v>Median RGB from official PDF swatch (screen reference only)</x:v>
      </x:c>
      <x:c r="AW511" t="str">
        <x:v>https://www.carandache.com/content_files/uploaded_doc/product/10595/Colour_Chart_NeoPastel.pdf</x:v>
      </x:c>
      <x:c r="AX511" t="n">
        <x:v>1</x:v>
      </x:c>
      <x:c r="AY511" t="str">
        <x:v>Official</x:v>
      </x:c>
      <x:c r="AZ511" t="str">
        <x:v>Official where available; curated Traditional Chinese/Japanese otherwise</x:v>
      </x:c>
      <x:c r="BA511" t="str">
        <x:v>Verified from official chart; digital HEX is approximate</x:v>
      </x:c>
      <x:c r="BB511" t="str">
        <x:v>Physical media appearance varies by paper, pressure, layering, water and scan/display profile.</x:v>
      </x:c>
    </x:row>
    <x:row r="512">
      <x:c r="A512" t="str">
        <x:f>G512&amp;"|"&amp;L512</x:f>
        <x:v>NEO|270</x:v>
      </x:c>
      <x:c r="B512" t="str">
        <x:v>50c9f785-c328-58d2-b95a-87b6b3a59027</x:v>
      </x:c>
      <x:c r="C512" t="str">
        <x:v>CDA-NEO-270</x:v>
      </x:c>
      <x:c r="D512" t="str">
        <x:v>7fed9c50-7917-5c2c-949a-4fc34a33385f</x:v>
      </x:c>
      <x:c r="E512" t="str">
        <x:v>CDA-CODE-270</x:v>
      </x:c>
      <x:c r="F512" t="str">
        <x:v>Caran d’Ache</x:v>
      </x:c>
      <x:c r="G512" t="str">
        <x:v>NEO</x:v>
      </x:c>
      <x:c r="H512" t="str">
        <x:v>NEOPASTEL</x:v>
      </x:c>
      <x:c r="I512" t="str">
        <x:v>Extra-fine oil pastel</x:v>
      </x:c>
      <x:c r="J512" t="str">
        <x:v>Professional</x:v>
      </x:c>
      <x:c r="K512" s="30" t="n">
        <x:v>11</x:v>
      </x:c>
      <x:c r="L512" s="30" t="str">
        <x:v>270</x:v>
      </x:c>
      <x:c r="M512" t="str">
        <x:v>Raspberry red</x:v>
      </x:c>
      <x:c r="N512" t="str">
        <x:v>覆盆子紅</x:v>
      </x:c>
      <x:c r="O512" t="str">
        <x:v>ラズベリーレッド</x:v>
      </x:c>
      <x:c r="P512" t="str"/>
      <x:c r="Q512" t="str">
        <x:v>Rouge framboise</x:v>
      </x:c>
      <x:c r="R512" t="str">
        <x:v>Himbeerrot</x:v>
      </x:c>
      <x:c r="S512" t="str">
        <x:v>Rosso lampone</x:v>
      </x:c>
      <x:c r="T512" t="str"/>
      <x:c r="U512" t="str">
        <x:v>Vermelho framboesa</x:v>
      </x:c>
      <x:c r="V512" t="str">
        <x:v>라즈베리 레드</x:v>
      </x:c>
      <x:c r="W512" t="str">
        <x:v>PR112</x:v>
      </x:c>
      <x:c r="X512" t="n">
        <x:f>IF(W512="",0,LEN(W512)-LEN(SUBSTITUTE(W512,"/",""))+1)</x:f>
        <x:v>1</x:v>
      </x:c>
      <x:c r="Y512" t="str">
        <x:v>H</x:v>
      </x:c>
      <x:c r="Z512" s="32" t="n">
        <x:v>1.67</x:v>
      </x:c>
      <x:c r="AA512" s="32" t="n">
        <x:v>3</x:v>
      </x:c>
      <x:c r="AB512" s="32" t="str">
        <x:v>Blue Wool Scale / UV 150h</x:v>
      </x:c>
      <x:c r="AC512" t="str">
        <x:v>#DF4D67</x:v>
      </x:c>
      <x:c r="AD512" s="34" t="n">
        <x:v>223</x:v>
      </x:c>
      <x:c r="AE512" s="34" t="n">
        <x:v>77</x:v>
      </x:c>
      <x:c r="AF512" s="34" t="n">
        <x:v>103</x:v>
      </x:c>
      <x:c r="AG512" s="32" t="n">
        <x:v>349.32</x:v>
      </x:c>
      <x:c r="AH512" s="32" t="n">
        <x:v>69.52</x:v>
      </x:c>
      <x:c r="AI512" s="32" t="n">
        <x:v>58.82</x:v>
      </x:c>
      <x:c r="AJ512" s="32" t="n">
        <x:v>54.01</x:v>
      </x:c>
      <x:c r="AK512" s="32" t="n">
        <x:v>58.46</x:v>
      </x:c>
      <x:c r="AL512" s="32" t="n">
        <x:v>16.95</x:v>
      </x:c>
      <x:c r="AM512" s="32" t="str">
        <x:v>#000000</x:v>
      </x:c>
      <x:c r="AN512" s="32" t="str">
        <x:v>Black</x:v>
      </x:c>
      <x:c r="AO512" s="32" t="n">
        <x:v>5.4</x:v>
      </x:c>
      <x:c r="AP512" s="32" t="n">
        <x:v>5.4</x:v>
      </x:c>
      <x:c r="AQ512" s="32" t="n">
        <x:v>3.89</x:v>
      </x:c>
      <x:c r="AR512" s="32" t="n">
        <x:v>0.21975</x:v>
      </x:c>
      <x:c r="AS512" t="str">
        <x:v>PASS</x:v>
      </x:c>
      <x:c r="AT512" t="str">
        <x:v>--cda-neo-270</x:v>
      </x:c>
      <x:c r="AU512" t="str">
        <x:v>var(--cda-neo-270)</x:v>
      </x:c>
      <x:c r="AV512" t="str">
        <x:v>Median RGB from official PDF swatch (screen reference only)</x:v>
      </x:c>
      <x:c r="AW512" t="str">
        <x:v>https://www.carandache.com/content_files/uploaded_doc/product/10595/Colour_Chart_NeoPastel.pdf</x:v>
      </x:c>
      <x:c r="AX512" t="n">
        <x:v>1</x:v>
      </x:c>
      <x:c r="AY512" t="str">
        <x:v>Official</x:v>
      </x:c>
      <x:c r="AZ512" t="str">
        <x:v>Official where available; curated Traditional Chinese/Japanese otherwise</x:v>
      </x:c>
      <x:c r="BA512" t="str">
        <x:v>Verified from official chart; digital HEX is approximate</x:v>
      </x:c>
      <x:c r="BB512" t="str">
        <x:v>Physical media appearance varies by paper, pressure, layering, water and scan/display profile.</x:v>
      </x:c>
    </x:row>
    <x:row r="513">
      <x:c r="A513" t="str">
        <x:f>G513&amp;"|"&amp;L513</x:f>
        <x:v>NEO|075</x:v>
      </x:c>
      <x:c r="B513" t="str">
        <x:v>a92012b7-5348-51a4-a70e-ee68912a5c85</x:v>
      </x:c>
      <x:c r="C513" t="str">
        <x:v>CDA-NEO-075</x:v>
      </x:c>
      <x:c r="D513" t="str">
        <x:v>363313a5-2c52-552f-8f14-166148a40e39</x:v>
      </x:c>
      <x:c r="E513" t="str">
        <x:v>CDA-CODE-075</x:v>
      </x:c>
      <x:c r="F513" t="str">
        <x:v>Caran d’Ache</x:v>
      </x:c>
      <x:c r="G513" t="str">
        <x:v>NEO</x:v>
      </x:c>
      <x:c r="H513" t="str">
        <x:v>NEOPASTEL</x:v>
      </x:c>
      <x:c r="I513" t="str">
        <x:v>Extra-fine oil pastel</x:v>
      </x:c>
      <x:c r="J513" t="str">
        <x:v>Professional</x:v>
      </x:c>
      <x:c r="K513" s="30" t="n">
        <x:v>12</x:v>
      </x:c>
      <x:c r="L513" s="30" t="str">
        <x:v>075</x:v>
      </x:c>
      <x:c r="M513" t="str">
        <x:v>Indian red</x:v>
      </x:c>
      <x:c r="N513" t="str">
        <x:v>印度紅</x:v>
      </x:c>
      <x:c r="O513" t="str">
        <x:v>インディアンレッド</x:v>
      </x:c>
      <x:c r="P513" t="str"/>
      <x:c r="Q513" t="str">
        <x:v>Rouge indien</x:v>
      </x:c>
      <x:c r="R513" t="str">
        <x:v>Indischrot</x:v>
      </x:c>
      <x:c r="S513" t="str">
        <x:v>Rosso indiano</x:v>
      </x:c>
      <x:c r="T513" t="str"/>
      <x:c r="U513" t="str">
        <x:v>Vermelho indiano</x:v>
      </x:c>
      <x:c r="V513" t="str">
        <x:v>인디안레드</x:v>
      </x:c>
      <x:c r="W513" t="str">
        <x:v>PBk6/PR112</x:v>
      </x:c>
      <x:c r="X513" t="n">
        <x:f>IF(W513="",0,LEN(W513)-LEN(SUBSTITUTE(W513,"/",""))+1)</x:f>
        <x:v>2</x:v>
      </x:c>
      <x:c r="Y513" t="str">
        <x:v>H</x:v>
      </x:c>
      <x:c r="Z513" s="32" t="n">
        <x:v>1.67</x:v>
      </x:c>
      <x:c r="AA513" s="32" t="n">
        <x:v>3</x:v>
      </x:c>
      <x:c r="AB513" s="32" t="str">
        <x:v>Blue Wool Scale / UV 150h</x:v>
      </x:c>
      <x:c r="AC513" t="str">
        <x:v>#A12E39</x:v>
      </x:c>
      <x:c r="AD513" s="34" t="n">
        <x:v>161</x:v>
      </x:c>
      <x:c r="AE513" s="34" t="n">
        <x:v>46</x:v>
      </x:c>
      <x:c r="AF513" s="34" t="n">
        <x:v>57</x:v>
      </x:c>
      <x:c r="AG513" s="32" t="n">
        <x:v>354.26</x:v>
      </x:c>
      <x:c r="AH513" s="32" t="n">
        <x:v>55.56</x:v>
      </x:c>
      <x:c r="AI513" s="32" t="n">
        <x:v>40.59</x:v>
      </x:c>
      <x:c r="AJ513" s="32" t="n">
        <x:v>37.53</x:v>
      </x:c>
      <x:c r="AK513" s="32" t="n">
        <x:v>47.7</x:v>
      </x:c>
      <x:c r="AL513" s="32" t="n">
        <x:v>21.15</x:v>
      </x:c>
      <x:c r="AM513" s="32" t="str">
        <x:v>#FFFFFF</x:v>
      </x:c>
      <x:c r="AN513" s="32" t="str">
        <x:v>White</x:v>
      </x:c>
      <x:c r="AO513" s="32" t="n">
        <x:v>7.08</x:v>
      </x:c>
      <x:c r="AP513" s="32" t="n">
        <x:v>2.97</x:v>
      </x:c>
      <x:c r="AQ513" s="32" t="n">
        <x:v>7.08</x:v>
      </x:c>
      <x:c r="AR513" s="32" t="n">
        <x:v>0.098265</x:v>
      </x:c>
      <x:c r="AS513" t="str">
        <x:v>PASS</x:v>
      </x:c>
      <x:c r="AT513" t="str">
        <x:v>--cda-neo-075</x:v>
      </x:c>
      <x:c r="AU513" t="str">
        <x:v>var(--cda-neo-075)</x:v>
      </x:c>
      <x:c r="AV513" t="str">
        <x:v>Median RGB from official PDF swatch (screen reference only)</x:v>
      </x:c>
      <x:c r="AW513" t="str">
        <x:v>https://www.carandache.com/content_files/uploaded_doc/product/10595/Colour_Chart_NeoPastel.pdf</x:v>
      </x:c>
      <x:c r="AX513" t="n">
        <x:v>1</x:v>
      </x:c>
      <x:c r="AY513" t="str">
        <x:v>Official</x:v>
      </x:c>
      <x:c r="AZ513" t="str">
        <x:v>Official where available; curated Traditional Chinese/Japanese otherwise</x:v>
      </x:c>
      <x:c r="BA513" t="str">
        <x:v>Verified from official chart; digital HEX is approximate</x:v>
      </x:c>
      <x:c r="BB513" t="str">
        <x:v>Physical media appearance varies by paper, pressure, layering, water and scan/display profile.</x:v>
      </x:c>
    </x:row>
    <x:row r="514">
      <x:c r="A514" t="str">
        <x:f>G514&amp;"|"&amp;L514</x:f>
        <x:v>NEO|080</x:v>
      </x:c>
      <x:c r="B514" t="str">
        <x:v>84ac76ca-3ce5-5c59-b5c1-e48ad600ad15</x:v>
      </x:c>
      <x:c r="C514" t="str">
        <x:v>CDA-NEO-080</x:v>
      </x:c>
      <x:c r="D514" t="str">
        <x:v>8fc33401-4732-5074-a23a-104fe5efd12f</x:v>
      </x:c>
      <x:c r="E514" t="str">
        <x:v>CDA-CODE-080</x:v>
      </x:c>
      <x:c r="F514" t="str">
        <x:v>Caran d’Ache</x:v>
      </x:c>
      <x:c r="G514" t="str">
        <x:v>NEO</x:v>
      </x:c>
      <x:c r="H514" t="str">
        <x:v>NEOPASTEL</x:v>
      </x:c>
      <x:c r="I514" t="str">
        <x:v>Extra-fine oil pastel</x:v>
      </x:c>
      <x:c r="J514" t="str">
        <x:v>Professional</x:v>
      </x:c>
      <x:c r="K514" s="30" t="n">
        <x:v>13</x:v>
      </x:c>
      <x:c r="L514" s="30" t="str">
        <x:v>080</x:v>
      </x:c>
      <x:c r="M514" t="str">
        <x:v>Carmine Lake</x:v>
      </x:c>
      <x:c r="N514" t="str">
        <x:v>胭脂紅色淀</x:v>
      </x:c>
      <x:c r="O514" t="str">
        <x:v>カーマインレーキ</x:v>
      </x:c>
      <x:c r="P514" t="str"/>
      <x:c r="Q514" t="str">
        <x:v>Carmin</x:v>
      </x:c>
      <x:c r="R514" t="str">
        <x:v>Karmin</x:v>
      </x:c>
      <x:c r="S514" t="str">
        <x:v>Carminio</x:v>
      </x:c>
      <x:c r="T514" t="str"/>
      <x:c r="U514" t="str">
        <x:v>Carmin</x:v>
      </x:c>
      <x:c r="V514" t="str">
        <x:v>양홍색</x:v>
      </x:c>
      <x:c r="W514" t="str">
        <x:v>PV19/PR48:4</x:v>
      </x:c>
      <x:c r="X514" t="n">
        <x:f>IF(W514="",0,LEN(W514)-LEN(SUBSTITUTE(W514,"/",""))+1)</x:f>
        <x:v>2</x:v>
      </x:c>
      <x:c r="Y514" t="str">
        <x:v>H</x:v>
      </x:c>
      <x:c r="Z514" s="32" t="n">
        <x:v>1.67</x:v>
      </x:c>
      <x:c r="AA514" s="32" t="n">
        <x:v>3</x:v>
      </x:c>
      <x:c r="AB514" s="32" t="str">
        <x:v>Blue Wool Scale / UV 150h</x:v>
      </x:c>
      <x:c r="AC514" t="str">
        <x:v>#AE0537</x:v>
      </x:c>
      <x:c r="AD514" s="34" t="n">
        <x:v>174</x:v>
      </x:c>
      <x:c r="AE514" s="34" t="n">
        <x:v>5</x:v>
      </x:c>
      <x:c r="AF514" s="34" t="n">
        <x:v>55</x:v>
      </x:c>
      <x:c r="AG514" s="32" t="n">
        <x:v>342.25</x:v>
      </x:c>
      <x:c r="AH514" s="32" t="n">
        <x:v>94.41</x:v>
      </x:c>
      <x:c r="AI514" s="32" t="n">
        <x:v>35.1</x:v>
      </x:c>
      <x:c r="AJ514" s="32" t="n">
        <x:v>36.72</x:v>
      </x:c>
      <x:c r="AK514" s="32" t="n">
        <x:v>60.97</x:v>
      </x:c>
      <x:c r="AL514" s="32" t="n">
        <x:v>21.91</x:v>
      </x:c>
      <x:c r="AM514" s="32" t="str">
        <x:v>#FFFFFF</x:v>
      </x:c>
      <x:c r="AN514" s="32" t="str">
        <x:v>White</x:v>
      </x:c>
      <x:c r="AO514" s="32" t="n">
        <x:v>7.3</x:v>
      </x:c>
      <x:c r="AP514" s="32" t="n">
        <x:v>2.88</x:v>
      </x:c>
      <x:c r="AQ514" s="32" t="n">
        <x:v>7.3</x:v>
      </x:c>
      <x:c r="AR514" s="32" t="n">
        <x:v>0.09383</x:v>
      </x:c>
      <x:c r="AS514" t="str">
        <x:v>PASS</x:v>
      </x:c>
      <x:c r="AT514" t="str">
        <x:v>--cda-neo-080</x:v>
      </x:c>
      <x:c r="AU514" t="str">
        <x:v>var(--cda-neo-080)</x:v>
      </x:c>
      <x:c r="AV514" t="str">
        <x:v>Median RGB from official PDF swatch (screen reference only)</x:v>
      </x:c>
      <x:c r="AW514" t="str">
        <x:v>https://www.carandache.com/content_files/uploaded_doc/product/10595/Colour_Chart_NeoPastel.pdf</x:v>
      </x:c>
      <x:c r="AX514" t="n">
        <x:v>1</x:v>
      </x:c>
      <x:c r="AY514" t="str">
        <x:v>Official</x:v>
      </x:c>
      <x:c r="AZ514" t="str">
        <x:v>Official where available; curated Traditional Chinese/Japanese otherwise</x:v>
      </x:c>
      <x:c r="BA514" t="str">
        <x:v>Verified from official chart; digital HEX is approximate</x:v>
      </x:c>
      <x:c r="BB514" t="str">
        <x:v>Physical media appearance varies by paper, pressure, layering, water and scan/display profile.</x:v>
      </x:c>
    </x:row>
    <x:row r="515">
      <x:c r="A515" t="str">
        <x:f>G515&amp;"|"&amp;L515</x:f>
        <x:v>NEO|090</x:v>
      </x:c>
      <x:c r="B515" t="str">
        <x:v>faa5112e-4273-5d3f-a0e9-7d2cf3f78d3e</x:v>
      </x:c>
      <x:c r="C515" t="str">
        <x:v>CDA-NEO-090</x:v>
      </x:c>
      <x:c r="D515" t="str">
        <x:v>b72cc0ea-a75f-581d-91e3-da56df96481d</x:v>
      </x:c>
      <x:c r="E515" t="str">
        <x:v>CDA-CODE-090</x:v>
      </x:c>
      <x:c r="F515" t="str">
        <x:v>Caran d’Ache</x:v>
      </x:c>
      <x:c r="G515" t="str">
        <x:v>NEO</x:v>
      </x:c>
      <x:c r="H515" t="str">
        <x:v>NEOPASTEL</x:v>
      </x:c>
      <x:c r="I515" t="str">
        <x:v>Extra-fine oil pastel</x:v>
      </x:c>
      <x:c r="J515" t="str">
        <x:v>Professional</x:v>
      </x:c>
      <x:c r="K515" s="30" t="n">
        <x:v>14</x:v>
      </x:c>
      <x:c r="L515" s="30" t="str">
        <x:v>090</x:v>
      </x:c>
      <x:c r="M515" t="str">
        <x:v>Purple</x:v>
      </x:c>
      <x:c r="N515" t="str">
        <x:v>紫色</x:v>
      </x:c>
      <x:c r="O515" t="str">
        <x:v>パープル</x:v>
      </x:c>
      <x:c r="P515" t="str"/>
      <x:c r="Q515" t="str">
        <x:v>Pourpre</x:v>
      </x:c>
      <x:c r="R515" t="str">
        <x:v>Purpur</x:v>
      </x:c>
      <x:c r="S515" t="str">
        <x:v>Porpora</x:v>
      </x:c>
      <x:c r="T515" t="str"/>
      <x:c r="U515" t="str">
        <x:v>Púrpura</x:v>
      </x:c>
      <x:c r="V515" t="str">
        <x:v>자주색</x:v>
      </x:c>
      <x:c r="W515" t="str">
        <x:v>PR122</x:v>
      </x:c>
      <x:c r="X515" t="n">
        <x:f>IF(W515="",0,LEN(W515)-LEN(SUBSTITUTE(W515,"/",""))+1)</x:f>
        <x:v>1</x:v>
      </x:c>
      <x:c r="Y515" t="str">
        <x:v>H</x:v>
      </x:c>
      <x:c r="Z515" s="32" t="n">
        <x:v>1.67</x:v>
      </x:c>
      <x:c r="AA515" s="32" t="n">
        <x:v>3</x:v>
      </x:c>
      <x:c r="AB515" s="32" t="str">
        <x:v>Blue Wool Scale / UV 150h</x:v>
      </x:c>
      <x:c r="AC515" t="str">
        <x:v>#B90E60</x:v>
      </x:c>
      <x:c r="AD515" s="34" t="n">
        <x:v>185</x:v>
      </x:c>
      <x:c r="AE515" s="34" t="n">
        <x:v>14</x:v>
      </x:c>
      <x:c r="AF515" s="34" t="n">
        <x:v>96</x:v>
      </x:c>
      <x:c r="AG515" s="32" t="n">
        <x:v>331.23</x:v>
      </x:c>
      <x:c r="AH515" s="32" t="n">
        <x:v>85.93</x:v>
      </x:c>
      <x:c r="AI515" s="32" t="n">
        <x:v>39.02</x:v>
      </x:c>
      <x:c r="AJ515" s="32" t="n">
        <x:v>40.37</x:v>
      </x:c>
      <x:c r="AK515" s="32" t="n">
        <x:v>65.3</x:v>
      </x:c>
      <x:c r="AL515" s="32" t="n">
        <x:v>1.02</x:v>
      </x:c>
      <x:c r="AM515" s="32" t="str">
        <x:v>#FFFFFF</x:v>
      </x:c>
      <x:c r="AN515" s="32" t="str">
        <x:v>White</x:v>
      </x:c>
      <x:c r="AO515" s="32" t="n">
        <x:v>6.37</x:v>
      </x:c>
      <x:c r="AP515" s="32" t="n">
        <x:v>3.29</x:v>
      </x:c>
      <x:c r="AQ515" s="32" t="n">
        <x:v>6.37</x:v>
      </x:c>
      <x:c r="AR515" s="32" t="n">
        <x:v>0.114729</x:v>
      </x:c>
      <x:c r="AS515" t="str">
        <x:v>PASS</x:v>
      </x:c>
      <x:c r="AT515" t="str">
        <x:v>--cda-neo-090</x:v>
      </x:c>
      <x:c r="AU515" t="str">
        <x:v>var(--cda-neo-090)</x:v>
      </x:c>
      <x:c r="AV515" t="str">
        <x:v>Median RGB from official PDF swatch (screen reference only)</x:v>
      </x:c>
      <x:c r="AW515" t="str">
        <x:v>https://www.carandache.com/content_files/uploaded_doc/product/10595/Colour_Chart_NeoPastel.pdf</x:v>
      </x:c>
      <x:c r="AX515" t="n">
        <x:v>1</x:v>
      </x:c>
      <x:c r="AY515" t="str">
        <x:v>Official</x:v>
      </x:c>
      <x:c r="AZ515" t="str">
        <x:v>Official where available; curated Traditional Chinese/Japanese otherwise</x:v>
      </x:c>
      <x:c r="BA515" t="str">
        <x:v>Verified from official chart; digital HEX is approximate</x:v>
      </x:c>
      <x:c r="BB515" t="str">
        <x:v>Physical media appearance varies by paper, pressure, layering, water and scan/display profile.</x:v>
      </x:c>
    </x:row>
    <x:row r="516">
      <x:c r="A516" t="str">
        <x:f>G516&amp;"|"&amp;L516</x:f>
        <x:v>NEO|350</x:v>
      </x:c>
      <x:c r="B516" t="str">
        <x:v>500b2328-d49e-5a77-9e1e-3ae3b32ac57d</x:v>
      </x:c>
      <x:c r="C516" t="str">
        <x:v>CDA-NEO-350</x:v>
      </x:c>
      <x:c r="D516" t="str">
        <x:v>39bf01fa-a31a-593e-a617-859ebd045d80</x:v>
      </x:c>
      <x:c r="E516" t="str">
        <x:v>CDA-CODE-350</x:v>
      </x:c>
      <x:c r="F516" t="str">
        <x:v>Caran d’Ache</x:v>
      </x:c>
      <x:c r="G516" t="str">
        <x:v>NEO</x:v>
      </x:c>
      <x:c r="H516" t="str">
        <x:v>NEOPASTEL</x:v>
      </x:c>
      <x:c r="I516" t="str">
        <x:v>Extra-fine oil pastel</x:v>
      </x:c>
      <x:c r="J516" t="str">
        <x:v>Professional</x:v>
      </x:c>
      <x:c r="K516" s="30" t="n">
        <x:v>15</x:v>
      </x:c>
      <x:c r="L516" s="30" t="str">
        <x:v>350</x:v>
      </x:c>
      <x:c r="M516" t="str">
        <x:v>Purplish Red</x:v>
      </x:c>
      <x:c r="N516" t="str">
        <x:v>紫紅色</x:v>
      </x:c>
      <x:c r="O516" t="str">
        <x:v>パープリッシュレッド</x:v>
      </x:c>
      <x:c r="P516" t="str"/>
      <x:c r="Q516" t="str">
        <x:v>Rouge Pourpre</x:v>
      </x:c>
      <x:c r="R516" t="str">
        <x:v>Purpurrot</x:v>
      </x:c>
      <x:c r="S516" t="str">
        <x:v>Rosso porpora</x:v>
      </x:c>
      <x:c r="T516" t="str"/>
      <x:c r="U516" t="str">
        <x:v>Vermelho púrpura</x:v>
      </x:c>
      <x:c r="V516" t="str">
        <x:v>자주빛 붉은색</x:v>
      </x:c>
      <x:c r="W516" t="str">
        <x:v>PR122</x:v>
      </x:c>
      <x:c r="X516" t="n">
        <x:f>IF(W516="",0,LEN(W516)-LEN(SUBSTITUTE(W516,"/",""))+1)</x:f>
        <x:v>1</x:v>
      </x:c>
      <x:c r="Y516" t="str">
        <x:v>H</x:v>
      </x:c>
      <x:c r="Z516" s="32" t="n">
        <x:v>1.67</x:v>
      </x:c>
      <x:c r="AA516" s="32" t="n">
        <x:v>3</x:v>
      </x:c>
      <x:c r="AB516" s="32" t="str">
        <x:v>Blue Wool Scale / UV 150h</x:v>
      </x:c>
      <x:c r="AC516" t="str">
        <x:v>#AB4289</x:v>
      </x:c>
      <x:c r="AD516" s="34" t="n">
        <x:v>171</x:v>
      </x:c>
      <x:c r="AE516" s="34" t="n">
        <x:v>66</x:v>
      </x:c>
      <x:c r="AF516" s="34" t="n">
        <x:v>137</x:v>
      </x:c>
      <x:c r="AG516" s="32" t="n">
        <x:v>319.43</x:v>
      </x:c>
      <x:c r="AH516" s="32" t="n">
        <x:v>44.3</x:v>
      </x:c>
      <x:c r="AI516" s="32" t="n">
        <x:v>46.47</x:v>
      </x:c>
      <x:c r="AJ516" s="32" t="n">
        <x:v>44.75</x:v>
      </x:c>
      <x:c r="AK516" s="32" t="n">
        <x:v>50.89</x:v>
      </x:c>
      <x:c r="AL516" s="32" t="n">
        <x:v>-18.07</x:v>
      </x:c>
      <x:c r="AM516" s="32" t="str">
        <x:v>#FFFFFF</x:v>
      </x:c>
      <x:c r="AN516" s="32" t="str">
        <x:v>White</x:v>
      </x:c>
      <x:c r="AO516" s="32" t="n">
        <x:v>5.42</x:v>
      </x:c>
      <x:c r="AP516" s="32" t="n">
        <x:v>3.87</x:v>
      </x:c>
      <x:c r="AQ516" s="32" t="n">
        <x:v>5.42</x:v>
      </x:c>
      <x:c r="AR516" s="32" t="n">
        <x:v>0.143605</x:v>
      </x:c>
      <x:c r="AS516" t="str">
        <x:v>PASS</x:v>
      </x:c>
      <x:c r="AT516" t="str">
        <x:v>--cda-neo-350</x:v>
      </x:c>
      <x:c r="AU516" t="str">
        <x:v>var(--cda-neo-350)</x:v>
      </x:c>
      <x:c r="AV516" t="str">
        <x:v>Median RGB from official PDF swatch (screen reference only)</x:v>
      </x:c>
      <x:c r="AW516" t="str">
        <x:v>https://www.carandache.com/content_files/uploaded_doc/product/10595/Colour_Chart_NeoPastel.pdf</x:v>
      </x:c>
      <x:c r="AX516" t="n">
        <x:v>1</x:v>
      </x:c>
      <x:c r="AY516" t="str">
        <x:v>Official</x:v>
      </x:c>
      <x:c r="AZ516" t="str">
        <x:v>Official where available; curated Traditional Chinese/Japanese otherwise</x:v>
      </x:c>
      <x:c r="BA516" t="str">
        <x:v>Verified from official chart; digital HEX is approximate</x:v>
      </x:c>
      <x:c r="BB516" t="str">
        <x:v>Physical media appearance varies by paper, pressure, layering, water and scan/display profile.</x:v>
      </x:c>
    </x:row>
    <x:row r="517">
      <x:c r="A517" t="str">
        <x:f>G517&amp;"|"&amp;L517</x:f>
        <x:v>NEO|110</x:v>
      </x:c>
      <x:c r="B517" t="str">
        <x:v>f22b4931-4ebb-5b1f-abe4-07f4aa1d94da</x:v>
      </x:c>
      <x:c r="C517" t="str">
        <x:v>CDA-NEO-110</x:v>
      </x:c>
      <x:c r="D517" t="str">
        <x:v>f0a08db4-689d-598f-a25b-26913808fa89</x:v>
      </x:c>
      <x:c r="E517" t="str">
        <x:v>CDA-CODE-110</x:v>
      </x:c>
      <x:c r="F517" t="str">
        <x:v>Caran d’Ache</x:v>
      </x:c>
      <x:c r="G517" t="str">
        <x:v>NEO</x:v>
      </x:c>
      <x:c r="H517" t="str">
        <x:v>NEOPASTEL</x:v>
      </x:c>
      <x:c r="I517" t="str">
        <x:v>Extra-fine oil pastel</x:v>
      </x:c>
      <x:c r="J517" t="str">
        <x:v>Professional</x:v>
      </x:c>
      <x:c r="K517" s="30" t="n">
        <x:v>16</x:v>
      </x:c>
      <x:c r="L517" s="30" t="str">
        <x:v>110</x:v>
      </x:c>
      <x:c r="M517" t="str">
        <x:v>Lilac</x:v>
      </x:c>
      <x:c r="N517" t="str">
        <x:v>丁香紫</x:v>
      </x:c>
      <x:c r="O517" t="str">
        <x:v>ライラック</x:v>
      </x:c>
      <x:c r="P517" t="str"/>
      <x:c r="Q517" t="str">
        <x:v>Lilas</x:v>
      </x:c>
      <x:c r="R517" t="str">
        <x:v>Lila</x:v>
      </x:c>
      <x:c r="S517" t="str">
        <x:v>Lilla</x:v>
      </x:c>
      <x:c r="T517" t="str"/>
      <x:c r="U517" t="str">
        <x:v>Lilás</x:v>
      </x:c>
      <x:c r="V517" t="str">
        <x:v>라일락색</x:v>
      </x:c>
      <x:c r="W517" t="str">
        <x:v>PV23/PR122</x:v>
      </x:c>
      <x:c r="X517" t="n">
        <x:f>IF(W517="",0,LEN(W517)-LEN(SUBSTITUTE(W517,"/",""))+1)</x:f>
        <x:v>2</x:v>
      </x:c>
      <x:c r="Y517" t="str">
        <x:v>H</x:v>
      </x:c>
      <x:c r="Z517" s="32" t="n">
        <x:v>1.67</x:v>
      </x:c>
      <x:c r="AA517" s="32" t="n">
        <x:v>3</x:v>
      </x:c>
      <x:c r="AB517" s="32" t="str">
        <x:v>Blue Wool Scale / UV 150h</x:v>
      </x:c>
      <x:c r="AC517" t="str">
        <x:v>#442C4A</x:v>
      </x:c>
      <x:c r="AD517" s="34" t="n">
        <x:v>68</x:v>
      </x:c>
      <x:c r="AE517" s="34" t="n">
        <x:v>44</x:v>
      </x:c>
      <x:c r="AF517" s="34" t="n">
        <x:v>74</x:v>
      </x:c>
      <x:c r="AG517" s="32" t="n">
        <x:v>288</x:v>
      </x:c>
      <x:c r="AH517" s="32" t="n">
        <x:v>25.42</x:v>
      </x:c>
      <x:c r="AI517" s="32" t="n">
        <x:v>23.14</x:v>
      </x:c>
      <x:c r="AJ517" s="32" t="n">
        <x:v>22.03</x:v>
      </x:c>
      <x:c r="AK517" s="32" t="n">
        <x:v>17.22</x:v>
      </x:c>
      <x:c r="AL517" s="32" t="n">
        <x:v>-14.24</x:v>
      </x:c>
      <x:c r="AM517" s="32" t="str">
        <x:v>#FFFFFF</x:v>
      </x:c>
      <x:c r="AN517" s="32" t="str">
        <x:v>White</x:v>
      </x:c>
      <x:c r="AO517" s="32" t="n">
        <x:v>12.32</x:v>
      </x:c>
      <x:c r="AP517" s="32" t="n">
        <x:v>1.7</x:v>
      </x:c>
      <x:c r="AQ517" s="32" t="n">
        <x:v>12.32</x:v>
      </x:c>
      <x:c r="AR517" s="32" t="n">
        <x:v>0.035247</x:v>
      </x:c>
      <x:c r="AS517" t="str">
        <x:v>PASS</x:v>
      </x:c>
      <x:c r="AT517" t="str">
        <x:v>--cda-neo-110</x:v>
      </x:c>
      <x:c r="AU517" t="str">
        <x:v>var(--cda-neo-110)</x:v>
      </x:c>
      <x:c r="AV517" t="str">
        <x:v>Median RGB from official PDF swatch (screen reference only)</x:v>
      </x:c>
      <x:c r="AW517" t="str">
        <x:v>https://www.carandache.com/content_files/uploaded_doc/product/10595/Colour_Chart_NeoPastel.pdf</x:v>
      </x:c>
      <x:c r="AX517" t="n">
        <x:v>1</x:v>
      </x:c>
      <x:c r="AY517" t="str">
        <x:v>Official</x:v>
      </x:c>
      <x:c r="AZ517" t="str">
        <x:v>Official where available; curated Traditional Chinese/Japanese otherwise</x:v>
      </x:c>
      <x:c r="BA517" t="str">
        <x:v>Verified from official chart; digital HEX is approximate</x:v>
      </x:c>
      <x:c r="BB517" t="str">
        <x:v>Physical media appearance varies by paper, pressure, layering, water and scan/display profile.</x:v>
      </x:c>
    </x:row>
    <x:row r="518">
      <x:c r="A518" t="str">
        <x:f>G518&amp;"|"&amp;L518</x:f>
        <x:v>NEO|120</x:v>
      </x:c>
      <x:c r="B518" t="str">
        <x:v>18795ecc-4973-503b-ba1b-56e10c288de7</x:v>
      </x:c>
      <x:c r="C518" t="str">
        <x:v>CDA-NEO-120</x:v>
      </x:c>
      <x:c r="D518" t="str">
        <x:v>fee913f0-b01c-52a4-9be8-3e5be4c01b51</x:v>
      </x:c>
      <x:c r="E518" t="str">
        <x:v>CDA-CODE-120</x:v>
      </x:c>
      <x:c r="F518" t="str">
        <x:v>Caran d’Ache</x:v>
      </x:c>
      <x:c r="G518" t="str">
        <x:v>NEO</x:v>
      </x:c>
      <x:c r="H518" t="str">
        <x:v>NEOPASTEL</x:v>
      </x:c>
      <x:c r="I518" t="str">
        <x:v>Extra-fine oil pastel</x:v>
      </x:c>
      <x:c r="J518" t="str">
        <x:v>Professional</x:v>
      </x:c>
      <x:c r="K518" s="30" t="n">
        <x:v>17</x:v>
      </x:c>
      <x:c r="L518" s="30" t="str">
        <x:v>120</x:v>
      </x:c>
      <x:c r="M518" t="str">
        <x:v>Violet</x:v>
      </x:c>
      <x:c r="N518" t="str">
        <x:v>紫羅蘭色</x:v>
      </x:c>
      <x:c r="O518" t="str">
        <x:v>バイオレット</x:v>
      </x:c>
      <x:c r="P518" t="str"/>
      <x:c r="Q518" t="str">
        <x:v>Violet</x:v>
      </x:c>
      <x:c r="R518" t="str">
        <x:v>Violett</x:v>
      </x:c>
      <x:c r="S518" t="str">
        <x:v>Violetto</x:v>
      </x:c>
      <x:c r="T518" t="str"/>
      <x:c r="U518" t="str">
        <x:v>Violeta</x:v>
      </x:c>
      <x:c r="V518" t="str">
        <x:v>보라색</x:v>
      </x:c>
      <x:c r="W518" t="str">
        <x:v>PV23</x:v>
      </x:c>
      <x:c r="X518" t="n">
        <x:f>IF(W518="",0,LEN(W518)-LEN(SUBSTITUTE(W518,"/",""))+1)</x:f>
        <x:v>1</x:v>
      </x:c>
      <x:c r="Y518" t="str">
        <x:v>H</x:v>
      </x:c>
      <x:c r="Z518" s="32" t="n">
        <x:v>1.67</x:v>
      </x:c>
      <x:c r="AA518" s="32" t="n">
        <x:v>3</x:v>
      </x:c>
      <x:c r="AB518" s="32" t="str">
        <x:v>Blue Wool Scale / UV 150h</x:v>
      </x:c>
      <x:c r="AC518" t="str">
        <x:v>#2D1955</x:v>
      </x:c>
      <x:c r="AD518" s="34" t="n">
        <x:v>45</x:v>
      </x:c>
      <x:c r="AE518" s="34" t="n">
        <x:v>25</x:v>
      </x:c>
      <x:c r="AF518" s="34" t="n">
        <x:v>85</x:v>
      </x:c>
      <x:c r="AG518" s="32" t="n">
        <x:v>260</x:v>
      </x:c>
      <x:c r="AH518" s="32" t="n">
        <x:v>54.55</x:v>
      </x:c>
      <x:c r="AI518" s="32" t="n">
        <x:v>21.57</x:v>
      </x:c>
      <x:c r="AJ518" s="32" t="n">
        <x:v>15</x:v>
      </x:c>
      <x:c r="AK518" s="32" t="n">
        <x:v>25.59</x:v>
      </x:c>
      <x:c r="AL518" s="32" t="n">
        <x:v>-33.02</x:v>
      </x:c>
      <x:c r="AM518" s="32" t="str">
        <x:v>#FFFFFF</x:v>
      </x:c>
      <x:c r="AN518" s="32" t="str">
        <x:v>White</x:v>
      </x:c>
      <x:c r="AO518" s="32" t="n">
        <x:v>15.2</x:v>
      </x:c>
      <x:c r="AP518" s="32" t="n">
        <x:v>1.38</x:v>
      </x:c>
      <x:c r="AQ518" s="32" t="n">
        <x:v>15.2</x:v>
      </x:c>
      <x:c r="AR518" s="32" t="n">
        <x:v>0.01909</x:v>
      </x:c>
      <x:c r="AS518" t="str">
        <x:v>PASS</x:v>
      </x:c>
      <x:c r="AT518" t="str">
        <x:v>--cda-neo-120</x:v>
      </x:c>
      <x:c r="AU518" t="str">
        <x:v>var(--cda-neo-120)</x:v>
      </x:c>
      <x:c r="AV518" t="str">
        <x:v>Median RGB from official PDF swatch (screen reference only)</x:v>
      </x:c>
      <x:c r="AW518" t="str">
        <x:v>https://www.carandache.com/content_files/uploaded_doc/product/10595/Colour_Chart_NeoPastel.pdf</x:v>
      </x:c>
      <x:c r="AX518" t="n">
        <x:v>1</x:v>
      </x:c>
      <x:c r="AY518" t="str">
        <x:v>Official</x:v>
      </x:c>
      <x:c r="AZ518" t="str">
        <x:v>Official where available; curated Traditional Chinese/Japanese otherwise</x:v>
      </x:c>
      <x:c r="BA518" t="str">
        <x:v>Verified from official chart; digital HEX is approximate</x:v>
      </x:c>
      <x:c r="BB518" t="str">
        <x:v>Physical media appearance varies by paper, pressure, layering, water and scan/display profile.</x:v>
      </x:c>
    </x:row>
    <x:row r="519">
      <x:c r="A519" t="str">
        <x:f>G519&amp;"|"&amp;L519</x:f>
        <x:v>NEO|099</x:v>
      </x:c>
      <x:c r="B519" t="str">
        <x:v>058645d7-6661-5f7d-8f2e-df2142ec0682</x:v>
      </x:c>
      <x:c r="C519" t="str">
        <x:v>CDA-NEO-099</x:v>
      </x:c>
      <x:c r="D519" t="str">
        <x:v>b1a53e2d-72a1-560f-827c-7dd3d112decc</x:v>
      </x:c>
      <x:c r="E519" t="str">
        <x:v>CDA-CODE-099</x:v>
      </x:c>
      <x:c r="F519" t="str">
        <x:v>Caran d’Ache</x:v>
      </x:c>
      <x:c r="G519" t="str">
        <x:v>NEO</x:v>
      </x:c>
      <x:c r="H519" t="str">
        <x:v>NEOPASTEL</x:v>
      </x:c>
      <x:c r="I519" t="str">
        <x:v>Extra-fine oil pastel</x:v>
      </x:c>
      <x:c r="J519" t="str">
        <x:v>Professional</x:v>
      </x:c>
      <x:c r="K519" s="30" t="n">
        <x:v>18</x:v>
      </x:c>
      <x:c r="L519" s="30" t="str">
        <x:v>099</x:v>
      </x:c>
      <x:c r="M519" t="str">
        <x:v>Aubergine</x:v>
      </x:c>
      <x:c r="N519" t="str">
        <x:v>茄紫色</x:v>
      </x:c>
      <x:c r="O519" t="str">
        <x:v>オーベルジーヌ</x:v>
      </x:c>
      <x:c r="P519" t="str"/>
      <x:c r="Q519" t="str">
        <x:v>Aubergine</x:v>
      </x:c>
      <x:c r="R519" t="str">
        <x:v>Aubergine</x:v>
      </x:c>
      <x:c r="S519" t="str">
        <x:v>Melanzana</x:v>
      </x:c>
      <x:c r="T519" t="str"/>
      <x:c r="U519" t="str">
        <x:v>Beringela</x:v>
      </x:c>
      <x:c r="V519" t="str">
        <x:v>암자색</x:v>
      </x:c>
      <x:c r="W519" t="str">
        <x:v>PBk6/PR202</x:v>
      </x:c>
      <x:c r="X519" t="n">
        <x:f>IF(W519="",0,LEN(W519)-LEN(SUBSTITUTE(W519,"/",""))+1)</x:f>
        <x:v>2</x:v>
      </x:c>
      <x:c r="Y519" t="str">
        <x:v>H</x:v>
      </x:c>
      <x:c r="Z519" s="32" t="n">
        <x:v>1.67</x:v>
      </x:c>
      <x:c r="AA519" s="32" t="n">
        <x:v>3</x:v>
      </x:c>
      <x:c r="AB519" s="32" t="str">
        <x:v>Blue Wool Scale / UV 150h</x:v>
      </x:c>
      <x:c r="AC519" t="str">
        <x:v>#8F508C</x:v>
      </x:c>
      <x:c r="AD519" s="34" t="n">
        <x:v>143</x:v>
      </x:c>
      <x:c r="AE519" s="34" t="n">
        <x:v>80</x:v>
      </x:c>
      <x:c r="AF519" s="34" t="n">
        <x:v>140</x:v>
      </x:c>
      <x:c r="AG519" s="32" t="n">
        <x:v>302.86</x:v>
      </x:c>
      <x:c r="AH519" s="32" t="n">
        <x:v>28.25</x:v>
      </x:c>
      <x:c r="AI519" s="32" t="n">
        <x:v>43.73</x:v>
      </x:c>
      <x:c r="AJ519" s="32" t="n">
        <x:v>43.47</x:v>
      </x:c>
      <x:c r="AK519" s="32" t="n">
        <x:v>35.68</x:v>
      </x:c>
      <x:c r="AL519" s="32" t="n">
        <x:v>-22.2</x:v>
      </x:c>
      <x:c r="AM519" s="32" t="str">
        <x:v>#FFFFFF</x:v>
      </x:c>
      <x:c r="AN519" s="32" t="str">
        <x:v>White</x:v>
      </x:c>
      <x:c r="AO519" s="32" t="n">
        <x:v>5.68</x:v>
      </x:c>
      <x:c r="AP519" s="32" t="n">
        <x:v>3.69</x:v>
      </x:c>
      <x:c r="AQ519" s="32" t="n">
        <x:v>5.68</x:v>
      </x:c>
      <x:c r="AR519" s="32" t="n">
        <x:v>0.134704</x:v>
      </x:c>
      <x:c r="AS519" t="str">
        <x:v>PASS</x:v>
      </x:c>
      <x:c r="AT519" t="str">
        <x:v>--cda-neo-099</x:v>
      </x:c>
      <x:c r="AU519" t="str">
        <x:v>var(--cda-neo-099)</x:v>
      </x:c>
      <x:c r="AV519" t="str">
        <x:v>Median RGB from official PDF swatch (screen reference only)</x:v>
      </x:c>
      <x:c r="AW519" t="str">
        <x:v>https://www.carandache.com/content_files/uploaded_doc/product/10595/Colour_Chart_NeoPastel.pdf</x:v>
      </x:c>
      <x:c r="AX519" t="n">
        <x:v>1</x:v>
      </x:c>
      <x:c r="AY519" t="str">
        <x:v>Official</x:v>
      </x:c>
      <x:c r="AZ519" t="str">
        <x:v>Official where available; curated Traditional Chinese/Japanese otherwise</x:v>
      </x:c>
      <x:c r="BA519" t="str">
        <x:v>Verified from official chart; digital HEX is approximate</x:v>
      </x:c>
      <x:c r="BB519" t="str">
        <x:v>Physical media appearance varies by paper, pressure, layering, water and scan/display profile.</x:v>
      </x:c>
    </x:row>
    <x:row r="520">
      <x:c r="A520" t="str">
        <x:f>G520&amp;"|"&amp;L520</x:f>
        <x:v>NEO|130</x:v>
      </x:c>
      <x:c r="B520" t="str">
        <x:v>1c509509-d93c-544f-9f0d-960df5a70456</x:v>
      </x:c>
      <x:c r="C520" t="str">
        <x:v>CDA-NEO-130</x:v>
      </x:c>
      <x:c r="D520" t="str">
        <x:v>43c027dd-6187-531d-b042-64d6d78c816b</x:v>
      </x:c>
      <x:c r="E520" t="str">
        <x:v>CDA-CODE-130</x:v>
      </x:c>
      <x:c r="F520" t="str">
        <x:v>Caran d’Ache</x:v>
      </x:c>
      <x:c r="G520" t="str">
        <x:v>NEO</x:v>
      </x:c>
      <x:c r="H520" t="str">
        <x:v>NEOPASTEL</x:v>
      </x:c>
      <x:c r="I520" t="str">
        <x:v>Extra-fine oil pastel</x:v>
      </x:c>
      <x:c r="J520" t="str">
        <x:v>Professional</x:v>
      </x:c>
      <x:c r="K520" s="30" t="n">
        <x:v>19</x:v>
      </x:c>
      <x:c r="L520" s="30" t="str">
        <x:v>130</x:v>
      </x:c>
      <x:c r="M520" t="str">
        <x:v>Royal blue</x:v>
      </x:c>
      <x:c r="N520" t="str">
        <x:v>皇家藍</x:v>
      </x:c>
      <x:c r="O520" t="str">
        <x:v>ロイヤルブルー</x:v>
      </x:c>
      <x:c r="P520" t="str"/>
      <x:c r="Q520" t="str">
        <x:v>Bleu royal</x:v>
      </x:c>
      <x:c r="R520" t="str">
        <x:v>Königsblau</x:v>
      </x:c>
      <x:c r="S520" t="str">
        <x:v>Blu royal</x:v>
      </x:c>
      <x:c r="T520" t="str"/>
      <x:c r="U520" t="str">
        <x:v>Azul real</x:v>
      </x:c>
      <x:c r="V520" t="str">
        <x:v>로얄 블루</x:v>
      </x:c>
      <x:c r="W520" t="str">
        <x:v>PB15:3/PV23</x:v>
      </x:c>
      <x:c r="X520" t="n">
        <x:f>IF(W520="",0,LEN(W520)-LEN(SUBSTITUTE(W520,"/",""))+1)</x:f>
        <x:v>2</x:v>
      </x:c>
      <x:c r="Y520" t="str">
        <x:v>H</x:v>
      </x:c>
      <x:c r="Z520" s="32" t="n">
        <x:v>1.67</x:v>
      </x:c>
      <x:c r="AA520" s="32" t="n">
        <x:v>3</x:v>
      </x:c>
      <x:c r="AB520" s="32" t="str">
        <x:v>Blue Wool Scale / UV 150h</x:v>
      </x:c>
      <x:c r="AC520" t="str">
        <x:v>#04356C</x:v>
      </x:c>
      <x:c r="AD520" s="34" t="n">
        <x:v>4</x:v>
      </x:c>
      <x:c r="AE520" s="34" t="n">
        <x:v>53</x:v>
      </x:c>
      <x:c r="AF520" s="34" t="n">
        <x:v>108</x:v>
      </x:c>
      <x:c r="AG520" s="32" t="n">
        <x:v>211.73</x:v>
      </x:c>
      <x:c r="AH520" s="32" t="n">
        <x:v>92.86</x:v>
      </x:c>
      <x:c r="AI520" s="32" t="n">
        <x:v>21.96</x:v>
      </x:c>
      <x:c r="AJ520" s="32" t="n">
        <x:v>22.49</x:v>
      </x:c>
      <x:c r="AK520" s="32" t="n">
        <x:v>8.42</x:v>
      </x:c>
      <x:c r="AL520" s="32" t="n">
        <x:v>-36.18</x:v>
      </x:c>
      <x:c r="AM520" s="32" t="str">
        <x:v>#FFFFFF</x:v>
      </x:c>
      <x:c r="AN520" s="32" t="str">
        <x:v>White</x:v>
      </x:c>
      <x:c r="AO520" s="32" t="n">
        <x:v>12.13</x:v>
      </x:c>
      <x:c r="AP520" s="32" t="n">
        <x:v>1.73</x:v>
      </x:c>
      <x:c r="AQ520" s="32" t="n">
        <x:v>12.13</x:v>
      </x:c>
      <x:c r="AR520" s="32" t="n">
        <x:v>0.036547</x:v>
      </x:c>
      <x:c r="AS520" t="str">
        <x:v>PASS</x:v>
      </x:c>
      <x:c r="AT520" t="str">
        <x:v>--cda-neo-130</x:v>
      </x:c>
      <x:c r="AU520" t="str">
        <x:v>var(--cda-neo-130)</x:v>
      </x:c>
      <x:c r="AV520" t="str">
        <x:v>Median RGB from official PDF swatch (screen reference only)</x:v>
      </x:c>
      <x:c r="AW520" t="str">
        <x:v>https://www.carandache.com/content_files/uploaded_doc/product/10595/Colour_Chart_NeoPastel.pdf</x:v>
      </x:c>
      <x:c r="AX520" t="n">
        <x:v>1</x:v>
      </x:c>
      <x:c r="AY520" t="str">
        <x:v>Official</x:v>
      </x:c>
      <x:c r="AZ520" t="str">
        <x:v>Official where available; curated Traditional Chinese/Japanese otherwise</x:v>
      </x:c>
      <x:c r="BA520" t="str">
        <x:v>Verified from official chart; digital HEX is approximate</x:v>
      </x:c>
      <x:c r="BB520" t="str">
        <x:v>Physical media appearance varies by paper, pressure, layering, water and scan/display profile.</x:v>
      </x:c>
    </x:row>
    <x:row r="521">
      <x:c r="A521" t="str">
        <x:f>G521&amp;"|"&amp;L521</x:f>
        <x:v>NEO|140</x:v>
      </x:c>
      <x:c r="B521" t="str">
        <x:v>c7d1e4eb-8bd5-54b7-a320-ba9c8c2339e5</x:v>
      </x:c>
      <x:c r="C521" t="str">
        <x:v>CDA-NEO-140</x:v>
      </x:c>
      <x:c r="D521" t="str">
        <x:v>1cc51d9d-3506-5022-8478-a1ae9af587e8</x:v>
      </x:c>
      <x:c r="E521" t="str">
        <x:v>CDA-CODE-140</x:v>
      </x:c>
      <x:c r="F521" t="str">
        <x:v>Caran d’Ache</x:v>
      </x:c>
      <x:c r="G521" t="str">
        <x:v>NEO</x:v>
      </x:c>
      <x:c r="H521" t="str">
        <x:v>NEOPASTEL</x:v>
      </x:c>
      <x:c r="I521" t="str">
        <x:v>Extra-fine oil pastel</x:v>
      </x:c>
      <x:c r="J521" t="str">
        <x:v>Professional</x:v>
      </x:c>
      <x:c r="K521" s="30" t="n">
        <x:v>20</x:v>
      </x:c>
      <x:c r="L521" s="30" t="str">
        <x:v>140</x:v>
      </x:c>
      <x:c r="M521" t="str">
        <x:v>Ultramarine</x:v>
      </x:c>
      <x:c r="N521" t="str">
        <x:v>群青</x:v>
      </x:c>
      <x:c r="O521" t="str">
        <x:v>ウルトラマリン</x:v>
      </x:c>
      <x:c r="P521" t="str"/>
      <x:c r="Q521" t="str">
        <x:v>Bleu Outremer</x:v>
      </x:c>
      <x:c r="R521" t="str">
        <x:v>Ultramarinblau</x:v>
      </x:c>
      <x:c r="S521" t="str">
        <x:v>Blu oltremare</x:v>
      </x:c>
      <x:c r="T521" t="str"/>
      <x:c r="U521" t="str">
        <x:v>Azul ultramarino</x:v>
      </x:c>
      <x:c r="V521" t="str">
        <x:v>군청색</x:v>
      </x:c>
      <x:c r="W521" t="str">
        <x:v>PB29/PB1</x:v>
      </x:c>
      <x:c r="X521" t="n">
        <x:f>IF(W521="",0,LEN(W521)-LEN(SUBSTITUTE(W521,"/",""))+1)</x:f>
        <x:v>2</x:v>
      </x:c>
      <x:c r="Y521" t="str">
        <x:v>H</x:v>
      </x:c>
      <x:c r="Z521" s="32" t="n">
        <x:v>1.67</x:v>
      </x:c>
      <x:c r="AA521" s="32" t="n">
        <x:v>3</x:v>
      </x:c>
      <x:c r="AB521" s="32" t="str">
        <x:v>Blue Wool Scale / UV 150h</x:v>
      </x:c>
      <x:c r="AC521" t="str">
        <x:v>#143387</x:v>
      </x:c>
      <x:c r="AD521" s="34" t="n">
        <x:v>20</x:v>
      </x:c>
      <x:c r="AE521" s="34" t="n">
        <x:v>51</x:v>
      </x:c>
      <x:c r="AF521" s="34" t="n">
        <x:v>135</x:v>
      </x:c>
      <x:c r="AG521" s="32" t="n">
        <x:v>223.83</x:v>
      </x:c>
      <x:c r="AH521" s="32" t="n">
        <x:v>74.19</x:v>
      </x:c>
      <x:c r="AI521" s="32" t="n">
        <x:v>30.39</x:v>
      </x:c>
      <x:c r="AJ521" s="32" t="n">
        <x:v>24.53</x:v>
      </x:c>
      <x:c r="AK521" s="32" t="n">
        <x:v>22.65</x:v>
      </x:c>
      <x:c r="AL521" s="32" t="n">
        <x:v>-49.98</x:v>
      </x:c>
      <x:c r="AM521" s="32" t="str">
        <x:v>#FFFFFF</x:v>
      </x:c>
      <x:c r="AN521" s="32" t="str">
        <x:v>White</x:v>
      </x:c>
      <x:c r="AO521" s="32" t="n">
        <x:v>11.33</x:v>
      </x:c>
      <x:c r="AP521" s="32" t="n">
        <x:v>1.85</x:v>
      </x:c>
      <x:c r="AQ521" s="32" t="n">
        <x:v>11.33</x:v>
      </x:c>
      <x:c r="AR521" s="32" t="n">
        <x:v>0.042656</x:v>
      </x:c>
      <x:c r="AS521" t="str">
        <x:v>PASS</x:v>
      </x:c>
      <x:c r="AT521" t="str">
        <x:v>--cda-neo-140</x:v>
      </x:c>
      <x:c r="AU521" t="str">
        <x:v>var(--cda-neo-140)</x:v>
      </x:c>
      <x:c r="AV521" t="str">
        <x:v>Median RGB from official PDF swatch (screen reference only)</x:v>
      </x:c>
      <x:c r="AW521" t="str">
        <x:v>https://www.carandache.com/content_files/uploaded_doc/product/10595/Colour_Chart_NeoPastel.pdf</x:v>
      </x:c>
      <x:c r="AX521" t="n">
        <x:v>1</x:v>
      </x:c>
      <x:c r="AY521" t="str">
        <x:v>Official</x:v>
      </x:c>
      <x:c r="AZ521" t="str">
        <x:v>Official where available; curated Traditional Chinese/Japanese otherwise</x:v>
      </x:c>
      <x:c r="BA521" t="str">
        <x:v>Verified from official chart; digital HEX is approximate</x:v>
      </x:c>
      <x:c r="BB521" t="str">
        <x:v>Physical media appearance varies by paper, pressure, layering, water and scan/display profile.</x:v>
      </x:c>
    </x:row>
    <x:row r="522">
      <x:c r="A522" t="str">
        <x:f>G522&amp;"|"&amp;L522</x:f>
        <x:v>NEO|150</x:v>
      </x:c>
      <x:c r="B522" t="str">
        <x:v>73598ceb-c0f7-5251-be5b-c2af7fb840f5</x:v>
      </x:c>
      <x:c r="C522" t="str">
        <x:v>CDA-NEO-150</x:v>
      </x:c>
      <x:c r="D522" t="str">
        <x:v>1efcdfd5-1f9c-5830-a849-7c18919825be</x:v>
      </x:c>
      <x:c r="E522" t="str">
        <x:v>CDA-CODE-150</x:v>
      </x:c>
      <x:c r="F522" t="str">
        <x:v>Caran d’Ache</x:v>
      </x:c>
      <x:c r="G522" t="str">
        <x:v>NEO</x:v>
      </x:c>
      <x:c r="H522" t="str">
        <x:v>NEOPASTEL</x:v>
      </x:c>
      <x:c r="I522" t="str">
        <x:v>Extra-fine oil pastel</x:v>
      </x:c>
      <x:c r="J522" t="str">
        <x:v>Professional</x:v>
      </x:c>
      <x:c r="K522" s="30" t="n">
        <x:v>21</x:v>
      </x:c>
      <x:c r="L522" s="30" t="str">
        <x:v>150</x:v>
      </x:c>
      <x:c r="M522" t="str">
        <x:v>Sapphire blue</x:v>
      </x:c>
      <x:c r="N522" t="str">
        <x:v>藍寶石藍</x:v>
      </x:c>
      <x:c r="O522" t="str">
        <x:v>サファイアブルー</x:v>
      </x:c>
      <x:c r="P522" t="str"/>
      <x:c r="Q522" t="str">
        <x:v>Bleu saphir</x:v>
      </x:c>
      <x:c r="R522" t="str">
        <x:v>Saphirblau</x:v>
      </x:c>
      <x:c r="S522" t="str">
        <x:v>Blu zaffiro</x:v>
      </x:c>
      <x:c r="T522" t="str"/>
      <x:c r="U522" t="str">
        <x:v>Azul safira</x:v>
      </x:c>
      <x:c r="V522" t="str">
        <x:v>감청색</x:v>
      </x:c>
      <x:c r="W522" t="str">
        <x:v>PV23/PB15:3/PG7</x:v>
      </x:c>
      <x:c r="X522" t="n">
        <x:f>IF(W522="",0,LEN(W522)-LEN(SUBSTITUTE(W522,"/",""))+1)</x:f>
        <x:v>3</x:v>
      </x:c>
      <x:c r="Y522" t="str">
        <x:v>H</x:v>
      </x:c>
      <x:c r="Z522" s="32" t="n">
        <x:v>1.67</x:v>
      </x:c>
      <x:c r="AA522" s="32" t="n">
        <x:v>3</x:v>
      </x:c>
      <x:c r="AB522" s="32" t="str">
        <x:v>Blue Wool Scale / UV 150h</x:v>
      </x:c>
      <x:c r="AC522" t="str">
        <x:v>#044381</x:v>
      </x:c>
      <x:c r="AD522" s="34" t="n">
        <x:v>4</x:v>
      </x:c>
      <x:c r="AE522" s="34" t="n">
        <x:v>67</x:v>
      </x:c>
      <x:c r="AF522" s="34" t="n">
        <x:v>129</x:v>
      </x:c>
      <x:c r="AG522" s="32" t="n">
        <x:v>209.76</x:v>
      </x:c>
      <x:c r="AH522" s="32" t="n">
        <x:v>93.98</x:v>
      </x:c>
      <x:c r="AI522" s="32" t="n">
        <x:v>26.08</x:v>
      </x:c>
      <x:c r="AJ522" s="32" t="n">
        <x:v>28.44</x:v>
      </x:c>
      <x:c r="AK522" s="32" t="n">
        <x:v>7.72</x:v>
      </x:c>
      <x:c r="AL522" s="32" t="n">
        <x:v>-39.9</x:v>
      </x:c>
      <x:c r="AM522" s="32" t="str">
        <x:v>#FFFFFF</x:v>
      </x:c>
      <x:c r="AN522" s="32" t="str">
        <x:v>White</x:v>
      </x:c>
      <x:c r="AO522" s="32" t="n">
        <x:v>9.88</x:v>
      </x:c>
      <x:c r="AP522" s="32" t="n">
        <x:v>2.13</x:v>
      </x:c>
      <x:c r="AQ522" s="32" t="n">
        <x:v>9.88</x:v>
      </x:c>
      <x:c r="AR522" s="32" t="n">
        <x:v>0.056251</x:v>
      </x:c>
      <x:c r="AS522" t="str">
        <x:v>PASS</x:v>
      </x:c>
      <x:c r="AT522" t="str">
        <x:v>--cda-neo-150</x:v>
      </x:c>
      <x:c r="AU522" t="str">
        <x:v>var(--cda-neo-150)</x:v>
      </x:c>
      <x:c r="AV522" t="str">
        <x:v>Median RGB from official PDF swatch (screen reference only)</x:v>
      </x:c>
      <x:c r="AW522" t="str">
        <x:v>https://www.carandache.com/content_files/uploaded_doc/product/10595/Colour_Chart_NeoPastel.pdf</x:v>
      </x:c>
      <x:c r="AX522" t="n">
        <x:v>1</x:v>
      </x:c>
      <x:c r="AY522" t="str">
        <x:v>Official</x:v>
      </x:c>
      <x:c r="AZ522" t="str">
        <x:v>Official where available; curated Traditional Chinese/Japanese otherwise</x:v>
      </x:c>
      <x:c r="BA522" t="str">
        <x:v>Verified from official chart; digital HEX is approximate</x:v>
      </x:c>
      <x:c r="BB522" t="str">
        <x:v>Physical media appearance varies by paper, pressure, layering, water and scan/display profile.</x:v>
      </x:c>
    </x:row>
    <x:row r="523">
      <x:c r="A523" t="str">
        <x:f>G523&amp;"|"&amp;L523</x:f>
        <x:v>NEO|149</x:v>
      </x:c>
      <x:c r="B523" t="str">
        <x:v>e51f7850-2c53-5ca2-b05f-5d75159e39a0</x:v>
      </x:c>
      <x:c r="C523" t="str">
        <x:v>CDA-NEO-149</x:v>
      </x:c>
      <x:c r="D523" t="str">
        <x:v>b0b0f599-0beb-5dd7-b398-ef01ad96ff1b</x:v>
      </x:c>
      <x:c r="E523" t="str">
        <x:v>CDA-CODE-149</x:v>
      </x:c>
      <x:c r="F523" t="str">
        <x:v>Caran d’Ache</x:v>
      </x:c>
      <x:c r="G523" t="str">
        <x:v>NEO</x:v>
      </x:c>
      <x:c r="H523" t="str">
        <x:v>NEOPASTEL</x:v>
      </x:c>
      <x:c r="I523" t="str">
        <x:v>Extra-fine oil pastel</x:v>
      </x:c>
      <x:c r="J523" t="str">
        <x:v>Professional</x:v>
      </x:c>
      <x:c r="K523" s="30" t="n">
        <x:v>22</x:v>
      </x:c>
      <x:c r="L523" s="30" t="str">
        <x:v>149</x:v>
      </x:c>
      <x:c r="M523" t="str">
        <x:v>Night blue</x:v>
      </x:c>
      <x:c r="N523" t="str">
        <x:v>夜藍</x:v>
      </x:c>
      <x:c r="O523" t="str">
        <x:v>ナイトブルー</x:v>
      </x:c>
      <x:c r="P523" t="str"/>
      <x:c r="Q523" t="str">
        <x:v>Bleu nuit</x:v>
      </x:c>
      <x:c r="R523" t="str">
        <x:v>Nachtblau</x:v>
      </x:c>
      <x:c r="S523" t="str">
        <x:v>Blu notte</x:v>
      </x:c>
      <x:c r="T523" t="str"/>
      <x:c r="U523" t="str">
        <x:v>Azul noite</x:v>
      </x:c>
      <x:c r="V523" t="str">
        <x:v>나이트 블루</x:v>
      </x:c>
      <x:c r="W523" t="str">
        <x:v>PBk6/PR202/PB15</x:v>
      </x:c>
      <x:c r="X523" t="n">
        <x:f>IF(W523="",0,LEN(W523)-LEN(SUBSTITUTE(W523,"/",""))+1)</x:f>
        <x:v>3</x:v>
      </x:c>
      <x:c r="Y523" t="str">
        <x:v>H</x:v>
      </x:c>
      <x:c r="Z523" s="32" t="n">
        <x:v>1.67</x:v>
      </x:c>
      <x:c r="AA523" s="32" t="n">
        <x:v>3</x:v>
      </x:c>
      <x:c r="AB523" s="32" t="str">
        <x:v>Blue Wool Scale / UV 150h</x:v>
      </x:c>
      <x:c r="AC523" t="str">
        <x:v>#193F74</x:v>
      </x:c>
      <x:c r="AD523" s="34" t="n">
        <x:v>25</x:v>
      </x:c>
      <x:c r="AE523" s="34" t="n">
        <x:v>63</x:v>
      </x:c>
      <x:c r="AF523" s="34" t="n">
        <x:v>116</x:v>
      </x:c>
      <x:c r="AG523" s="32" t="n">
        <x:v>214.95</x:v>
      </x:c>
      <x:c r="AH523" s="32" t="n">
        <x:v>64.54</x:v>
      </x:c>
      <x:c r="AI523" s="32" t="n">
        <x:v>27.65</x:v>
      </x:c>
      <x:c r="AJ523" s="32" t="n">
        <x:v>26.8</x:v>
      </x:c>
      <x:c r="AK523" s="32" t="n">
        <x:v>6.91</x:v>
      </x:c>
      <x:c r="AL523" s="32" t="n">
        <x:v>-34.34</x:v>
      </x:c>
      <x:c r="AM523" s="32" t="str">
        <x:v>#FFFFFF</x:v>
      </x:c>
      <x:c r="AN523" s="32" t="str">
        <x:v>White</x:v>
      </x:c>
      <x:c r="AO523" s="32" t="n">
        <x:v>10.48</x:v>
      </x:c>
      <x:c r="AP523" s="32" t="n">
        <x:v>2</x:v>
      </x:c>
      <x:c r="AQ523" s="32" t="n">
        <x:v>10.48</x:v>
      </x:c>
      <x:c r="AR523" s="32" t="n">
        <x:v>0.050226</x:v>
      </x:c>
      <x:c r="AS523" t="str">
        <x:v>PASS</x:v>
      </x:c>
      <x:c r="AT523" t="str">
        <x:v>--cda-neo-149</x:v>
      </x:c>
      <x:c r="AU523" t="str">
        <x:v>var(--cda-neo-149)</x:v>
      </x:c>
      <x:c r="AV523" t="str">
        <x:v>Median RGB from official PDF swatch (screen reference only)</x:v>
      </x:c>
      <x:c r="AW523" t="str">
        <x:v>https://www.carandache.com/content_files/uploaded_doc/product/10595/Colour_Chart_NeoPastel.pdf</x:v>
      </x:c>
      <x:c r="AX523" t="n">
        <x:v>1</x:v>
      </x:c>
      <x:c r="AY523" t="str">
        <x:v>Official</x:v>
      </x:c>
      <x:c r="AZ523" t="str">
        <x:v>Official where available; curated Traditional Chinese/Japanese otherwise</x:v>
      </x:c>
      <x:c r="BA523" t="str">
        <x:v>Verified from official chart; digital HEX is approximate</x:v>
      </x:c>
      <x:c r="BB523" t="str">
        <x:v>Physical media appearance varies by paper, pressure, layering, water and scan/display profile.</x:v>
      </x:c>
    </x:row>
    <x:row r="524">
      <x:c r="A524" t="str">
        <x:f>G524&amp;"|"&amp;L524</x:f>
        <x:v>NEO|139</x:v>
      </x:c>
      <x:c r="B524" t="str">
        <x:v>331b7da5-df1b-5100-8e56-49be732916eb</x:v>
      </x:c>
      <x:c r="C524" t="str">
        <x:v>CDA-NEO-139</x:v>
      </x:c>
      <x:c r="D524" t="str">
        <x:v>82319dcf-1981-54ac-8bc2-b72f5862f24d</x:v>
      </x:c>
      <x:c r="E524" t="str">
        <x:v>CDA-CODE-139</x:v>
      </x:c>
      <x:c r="F524" t="str">
        <x:v>Caran d’Ache</x:v>
      </x:c>
      <x:c r="G524" t="str">
        <x:v>NEO</x:v>
      </x:c>
      <x:c r="H524" t="str">
        <x:v>NEOPASTEL</x:v>
      </x:c>
      <x:c r="I524" t="str">
        <x:v>Extra-fine oil pastel</x:v>
      </x:c>
      <x:c r="J524" t="str">
        <x:v>Professional</x:v>
      </x:c>
      <x:c r="K524" s="30" t="n">
        <x:v>23</x:v>
      </x:c>
      <x:c r="L524" s="30" t="str">
        <x:v>139</x:v>
      </x:c>
      <x:c r="M524" t="str">
        <x:v>Indigo blue</x:v>
      </x:c>
      <x:c r="N524" t="str">
        <x:v>靛藍</x:v>
      </x:c>
      <x:c r="O524" t="str">
        <x:v>インディゴブルー</x:v>
      </x:c>
      <x:c r="P524" t="str"/>
      <x:c r="Q524" t="str">
        <x:v>Bleu indigo</x:v>
      </x:c>
      <x:c r="R524" t="str">
        <x:v>Indigoblau</x:v>
      </x:c>
      <x:c r="S524" t="str">
        <x:v>Indaco</x:v>
      </x:c>
      <x:c r="T524" t="str"/>
      <x:c r="U524" t="str">
        <x:v>Azul indigo</x:v>
      </x:c>
      <x:c r="V524" t="str">
        <x:v>남색</x:v>
      </x:c>
      <x:c r="W524" t="str">
        <x:v>PB60/PV19/PBk6</x:v>
      </x:c>
      <x:c r="X524" t="n">
        <x:f>IF(W524="",0,LEN(W524)-LEN(SUBSTITUTE(W524,"/",""))+1)</x:f>
        <x:v>3</x:v>
      </x:c>
      <x:c r="Y524" t="str">
        <x:v>H</x:v>
      </x:c>
      <x:c r="Z524" s="32" t="n">
        <x:v>1.67</x:v>
      </x:c>
      <x:c r="AA524" s="32" t="n">
        <x:v>3</x:v>
      </x:c>
      <x:c r="AB524" s="32" t="str">
        <x:v>Blue Wool Scale / UV 150h</x:v>
      </x:c>
      <x:c r="AC524" t="str">
        <x:v>#313A5C</x:v>
      </x:c>
      <x:c r="AD524" s="34" t="n">
        <x:v>49</x:v>
      </x:c>
      <x:c r="AE524" s="34" t="n">
        <x:v>58</x:v>
      </x:c>
      <x:c r="AF524" s="34" t="n">
        <x:v>92</x:v>
      </x:c>
      <x:c r="AG524" s="32" t="n">
        <x:v>227.44</x:v>
      </x:c>
      <x:c r="AH524" s="32" t="n">
        <x:v>30.5</x:v>
      </x:c>
      <x:c r="AI524" s="32" t="n">
        <x:v>27.65</x:v>
      </x:c>
      <x:c r="AJ524" s="32" t="n">
        <x:v>25.11</x:v>
      </x:c>
      <x:c r="AK524" s="32" t="n">
        <x:v>6.46</x:v>
      </x:c>
      <x:c r="AL524" s="32" t="n">
        <x:v>-21.51</x:v>
      </x:c>
      <x:c r="AM524" s="32" t="str">
        <x:v>#FFFFFF</x:v>
      </x:c>
      <x:c r="AN524" s="32" t="str">
        <x:v>White</x:v>
      </x:c>
      <x:c r="AO524" s="32" t="n">
        <x:v>11.11</x:v>
      </x:c>
      <x:c r="AP524" s="32" t="n">
        <x:v>1.89</x:v>
      </x:c>
      <x:c r="AQ524" s="32" t="n">
        <x:v>11.11</x:v>
      </x:c>
      <x:c r="AR524" s="32" t="n">
        <x:v>0.044518</x:v>
      </x:c>
      <x:c r="AS524" t="str">
        <x:v>PASS</x:v>
      </x:c>
      <x:c r="AT524" t="str">
        <x:v>--cda-neo-139</x:v>
      </x:c>
      <x:c r="AU524" t="str">
        <x:v>var(--cda-neo-139)</x:v>
      </x:c>
      <x:c r="AV524" t="str">
        <x:v>Median RGB from official PDF swatch (screen reference only)</x:v>
      </x:c>
      <x:c r="AW524" t="str">
        <x:v>https://www.carandache.com/content_files/uploaded_doc/product/10595/Colour_Chart_NeoPastel.pdf</x:v>
      </x:c>
      <x:c r="AX524" t="n">
        <x:v>1</x:v>
      </x:c>
      <x:c r="AY524" t="str">
        <x:v>Official</x:v>
      </x:c>
      <x:c r="AZ524" t="str">
        <x:v>Official where available; curated Traditional Chinese/Japanese otherwise</x:v>
      </x:c>
      <x:c r="BA524" t="str">
        <x:v>Verified from official chart; digital HEX is approximate</x:v>
      </x:c>
      <x:c r="BB524" t="str">
        <x:v>Physical media appearance varies by paper, pressure, layering, water and scan/display profile.</x:v>
      </x:c>
    </x:row>
    <x:row r="525">
      <x:c r="A525" t="str">
        <x:f>G525&amp;"|"&amp;L525</x:f>
        <x:v>NEO|159</x:v>
      </x:c>
      <x:c r="B525" t="str">
        <x:v>6b9f7e76-0d0b-5d91-b7bb-22035a9f7dd9</x:v>
      </x:c>
      <x:c r="C525" t="str">
        <x:v>CDA-NEO-159</x:v>
      </x:c>
      <x:c r="D525" t="str">
        <x:v>08addc77-b004-586f-abb1-86a724f3b33e</x:v>
      </x:c>
      <x:c r="E525" t="str">
        <x:v>CDA-CODE-159</x:v>
      </x:c>
      <x:c r="F525" t="str">
        <x:v>Caran d’Ache</x:v>
      </x:c>
      <x:c r="G525" t="str">
        <x:v>NEO</x:v>
      </x:c>
      <x:c r="H525" t="str">
        <x:v>NEOPASTEL</x:v>
      </x:c>
      <x:c r="I525" t="str">
        <x:v>Extra-fine oil pastel</x:v>
      </x:c>
      <x:c r="J525" t="str">
        <x:v>Professional</x:v>
      </x:c>
      <x:c r="K525" s="30" t="n">
        <x:v>24</x:v>
      </x:c>
      <x:c r="L525" s="30" t="str">
        <x:v>159</x:v>
      </x:c>
      <x:c r="M525" t="str">
        <x:v>Prussian Blue</x:v>
      </x:c>
      <x:c r="N525" t="str">
        <x:v>普魯士藍</x:v>
      </x:c>
      <x:c r="O525" t="str">
        <x:v>プルシャンブルー</x:v>
      </x:c>
      <x:c r="P525" t="str"/>
      <x:c r="Q525" t="str">
        <x:v>Bleu de Prusse</x:v>
      </x:c>
      <x:c r="R525" t="str">
        <x:v>Preussischblau</x:v>
      </x:c>
      <x:c r="S525" t="str">
        <x:v>Blu di Prussia</x:v>
      </x:c>
      <x:c r="T525" t="str"/>
      <x:c r="U525" t="str">
        <x:v>Azul da Prussia</x:v>
      </x:c>
      <x:c r="V525" t="str">
        <x:v>페르시안 블루</x:v>
      </x:c>
      <x:c r="W525" t="str">
        <x:v>PBk6/PV23/PB15:3</x:v>
      </x:c>
      <x:c r="X525" t="n">
        <x:f>IF(W525="",0,LEN(W525)-LEN(SUBSTITUTE(W525,"/",""))+1)</x:f>
        <x:v>3</x:v>
      </x:c>
      <x:c r="Y525" t="str">
        <x:v>H</x:v>
      </x:c>
      <x:c r="Z525" s="32" t="n">
        <x:v>1.67</x:v>
      </x:c>
      <x:c r="AA525" s="32" t="n">
        <x:v>3</x:v>
      </x:c>
      <x:c r="AB525" s="32" t="str">
        <x:v>Blue Wool Scale / UV 150h</x:v>
      </x:c>
      <x:c r="AC525" t="str">
        <x:v>#053862</x:v>
      </x:c>
      <x:c r="AD525" s="34" t="n">
        <x:v>5</x:v>
      </x:c>
      <x:c r="AE525" s="34" t="n">
        <x:v>56</x:v>
      </x:c>
      <x:c r="AF525" s="34" t="n">
        <x:v>98</x:v>
      </x:c>
      <x:c r="AG525" s="32" t="n">
        <x:v>207.1</x:v>
      </x:c>
      <x:c r="AH525" s="32" t="n">
        <x:v>90.29</x:v>
      </x:c>
      <x:c r="AI525" s="32" t="n">
        <x:v>20.2</x:v>
      </x:c>
      <x:c r="AJ525" s="32" t="n">
        <x:v>22.8</x:v>
      </x:c>
      <x:c r="AK525" s="32" t="n">
        <x:v>1.92</x:v>
      </x:c>
      <x:c r="AL525" s="32" t="n">
        <x:v>-29.21</x:v>
      </x:c>
      <x:c r="AM525" s="32" t="str">
        <x:v>#FFFFFF</x:v>
      </x:c>
      <x:c r="AN525" s="32" t="str">
        <x:v>White</x:v>
      </x:c>
      <x:c r="AO525" s="32" t="n">
        <x:v>12.01</x:v>
      </x:c>
      <x:c r="AP525" s="32" t="n">
        <x:v>1.75</x:v>
      </x:c>
      <x:c r="AQ525" s="32" t="n">
        <x:v>12.01</x:v>
      </x:c>
      <x:c r="AR525" s="32" t="n">
        <x:v>0.037425</x:v>
      </x:c>
      <x:c r="AS525" t="str">
        <x:v>PASS</x:v>
      </x:c>
      <x:c r="AT525" t="str">
        <x:v>--cda-neo-159</x:v>
      </x:c>
      <x:c r="AU525" t="str">
        <x:v>var(--cda-neo-159)</x:v>
      </x:c>
      <x:c r="AV525" t="str">
        <x:v>Median RGB from official PDF swatch (screen reference only)</x:v>
      </x:c>
      <x:c r="AW525" t="str">
        <x:v>https://www.carandache.com/content_files/uploaded_doc/product/10595/Colour_Chart_NeoPastel.pdf</x:v>
      </x:c>
      <x:c r="AX525" t="n">
        <x:v>1</x:v>
      </x:c>
      <x:c r="AY525" t="str">
        <x:v>Official</x:v>
      </x:c>
      <x:c r="AZ525" t="str">
        <x:v>Official where available; curated Traditional Chinese/Japanese otherwise</x:v>
      </x:c>
      <x:c r="BA525" t="str">
        <x:v>Verified from official chart; digital HEX is approximate</x:v>
      </x:c>
      <x:c r="BB525" t="str">
        <x:v>Physical media appearance varies by paper, pressure, layering, water and scan/display profile.</x:v>
      </x:c>
    </x:row>
    <x:row r="526">
      <x:c r="A526" t="str">
        <x:f>G526&amp;"|"&amp;L526</x:f>
        <x:v>NEO|260</x:v>
      </x:c>
      <x:c r="B526" t="str">
        <x:v>79dd1e7b-3605-5100-93d8-8838e428d20d</x:v>
      </x:c>
      <x:c r="C526" t="str">
        <x:v>CDA-NEO-260</x:v>
      </x:c>
      <x:c r="D526" t="str">
        <x:v>06d5be45-8f90-573d-a96f-05ec46073790</x:v>
      </x:c>
      <x:c r="E526" t="str">
        <x:v>CDA-CODE-260</x:v>
      </x:c>
      <x:c r="F526" t="str">
        <x:v>Caran d’Ache</x:v>
      </x:c>
      <x:c r="G526" t="str">
        <x:v>NEO</x:v>
      </x:c>
      <x:c r="H526" t="str">
        <x:v>NEOPASTEL</x:v>
      </x:c>
      <x:c r="I526" t="str">
        <x:v>Extra-fine oil pastel</x:v>
      </x:c>
      <x:c r="J526" t="str">
        <x:v>Professional</x:v>
      </x:c>
      <x:c r="K526" s="30" t="n">
        <x:v>25</x:v>
      </x:c>
      <x:c r="L526" s="30" t="str">
        <x:v>260</x:v>
      </x:c>
      <x:c r="M526" t="str">
        <x:v>Blue</x:v>
      </x:c>
      <x:c r="N526" t="str">
        <x:v>藍色</x:v>
      </x:c>
      <x:c r="O526" t="str">
        <x:v>ブルー</x:v>
      </x:c>
      <x:c r="P526" t="str"/>
      <x:c r="Q526" t="str">
        <x:v>Bleu</x:v>
      </x:c>
      <x:c r="R526" t="str">
        <x:v>Blau</x:v>
      </x:c>
      <x:c r="S526" t="str">
        <x:v>Blu</x:v>
      </x:c>
      <x:c r="T526" t="str"/>
      <x:c r="U526" t="str">
        <x:v>Azul</x:v>
      </x:c>
      <x:c r="V526" t="str">
        <x:v>청색</x:v>
      </x:c>
      <x:c r="W526" t="str">
        <x:v>PB15</x:v>
      </x:c>
      <x:c r="X526" t="n">
        <x:f>IF(W526="",0,LEN(W526)-LEN(SUBSTITUTE(W526,"/",""))+1)</x:f>
        <x:v>1</x:v>
      </x:c>
      <x:c r="Y526" t="str">
        <x:v>H</x:v>
      </x:c>
      <x:c r="Z526" s="32" t="n">
        <x:v>1.67</x:v>
      </x:c>
      <x:c r="AA526" s="32" t="n">
        <x:v>3</x:v>
      </x:c>
      <x:c r="AB526" s="32" t="str">
        <x:v>Blue Wool Scale / UV 150h</x:v>
      </x:c>
      <x:c r="AC526" t="str">
        <x:v>#034394</x:v>
      </x:c>
      <x:c r="AD526" s="34" t="n">
        <x:v>3</x:v>
      </x:c>
      <x:c r="AE526" s="34" t="n">
        <x:v>67</x:v>
      </x:c>
      <x:c r="AF526" s="34" t="n">
        <x:v>148</x:v>
      </x:c>
      <x:c r="AG526" s="32" t="n">
        <x:v>213.52</x:v>
      </x:c>
      <x:c r="AH526" s="32" t="n">
        <x:v>96.03</x:v>
      </x:c>
      <x:c r="AI526" s="32" t="n">
        <x:v>29.61</x:v>
      </x:c>
      <x:c r="AJ526" s="32" t="n">
        <x:v>29.84</x:v>
      </x:c>
      <x:c r="AK526" s="32" t="n">
        <x:v>15.8</x:v>
      </x:c>
      <x:c r="AL526" s="32" t="n">
        <x:v>-49.37</x:v>
      </x:c>
      <x:c r="AM526" s="32" t="str">
        <x:v>#FFFFFF</x:v>
      </x:c>
      <x:c r="AN526" s="32" t="str">
        <x:v>White</x:v>
      </x:c>
      <x:c r="AO526" s="32" t="n">
        <x:v>9.4</x:v>
      </x:c>
      <x:c r="AP526" s="32" t="n">
        <x:v>2.23</x:v>
      </x:c>
      <x:c r="AQ526" s="32" t="n">
        <x:v>9.4</x:v>
      </x:c>
      <x:c r="AR526" s="32" t="n">
        <x:v>0.061718</x:v>
      </x:c>
      <x:c r="AS526" t="str">
        <x:v>PASS</x:v>
      </x:c>
      <x:c r="AT526" t="str">
        <x:v>--cda-neo-260</x:v>
      </x:c>
      <x:c r="AU526" t="str">
        <x:v>var(--cda-neo-260)</x:v>
      </x:c>
      <x:c r="AV526" t="str">
        <x:v>Median RGB from official PDF swatch (screen reference only)</x:v>
      </x:c>
      <x:c r="AW526" t="str">
        <x:v>https://www.carandache.com/content_files/uploaded_doc/product/10595/Colour_Chart_NeoPastel.pdf</x:v>
      </x:c>
      <x:c r="AX526" t="n">
        <x:v>1</x:v>
      </x:c>
      <x:c r="AY526" t="str">
        <x:v>Official</x:v>
      </x:c>
      <x:c r="AZ526" t="str">
        <x:v>Official where available; curated Traditional Chinese/Japanese otherwise</x:v>
      </x:c>
      <x:c r="BA526" t="str">
        <x:v>Verified from official chart; digital HEX is approximate</x:v>
      </x:c>
      <x:c r="BB526" t="str">
        <x:v>Physical media appearance varies by paper, pressure, layering, water and scan/display profile.</x:v>
      </x:c>
    </x:row>
    <x:row r="527">
      <x:c r="A527" t="str">
        <x:f>G527&amp;"|"&amp;L527</x:f>
        <x:v>NEO|370</x:v>
      </x:c>
      <x:c r="B527" t="str">
        <x:v>e9c2a9ca-ff98-579e-8742-2fb3d443f6c7</x:v>
      </x:c>
      <x:c r="C527" t="str">
        <x:v>CDA-NEO-370</x:v>
      </x:c>
      <x:c r="D527" t="str">
        <x:v>af4c8d4a-7fbd-5dbe-9455-0e110ad4b140</x:v>
      </x:c>
      <x:c r="E527" t="str">
        <x:v>CDA-CODE-370</x:v>
      </x:c>
      <x:c r="F527" t="str">
        <x:v>Caran d’Ache</x:v>
      </x:c>
      <x:c r="G527" t="str">
        <x:v>NEO</x:v>
      </x:c>
      <x:c r="H527" t="str">
        <x:v>NEOPASTEL</x:v>
      </x:c>
      <x:c r="I527" t="str">
        <x:v>Extra-fine oil pastel</x:v>
      </x:c>
      <x:c r="J527" t="str">
        <x:v>Professional</x:v>
      </x:c>
      <x:c r="K527" s="30" t="n">
        <x:v>26</x:v>
      </x:c>
      <x:c r="L527" s="30" t="str">
        <x:v>370</x:v>
      </x:c>
      <x:c r="M527" t="str">
        <x:v>Gentian blue</x:v>
      </x:c>
      <x:c r="N527" t="str">
        <x:v>龍膽藍</x:v>
      </x:c>
      <x:c r="O527" t="str">
        <x:v>ゲンチアンブルー</x:v>
      </x:c>
      <x:c r="P527" t="str"/>
      <x:c r="Q527" t="str">
        <x:v>Bleu gentiane</x:v>
      </x:c>
      <x:c r="R527" t="str">
        <x:v>Enzianblau</x:v>
      </x:c>
      <x:c r="S527" t="str">
        <x:v>Blu genziana</x:v>
      </x:c>
      <x:c r="T527" t="str"/>
      <x:c r="U527" t="str">
        <x:v>Azul genciano</x:v>
      </x:c>
      <x:c r="V527" t="str">
        <x:v>젠시안 블루</x:v>
      </x:c>
      <x:c r="W527" t="str">
        <x:v>PB15:3</x:v>
      </x:c>
      <x:c r="X527" t="n">
        <x:f>IF(W527="",0,LEN(W527)-LEN(SUBSTITUTE(W527,"/",""))+1)</x:f>
        <x:v>1</x:v>
      </x:c>
      <x:c r="Y527" t="str">
        <x:v>H</x:v>
      </x:c>
      <x:c r="Z527" s="32" t="n">
        <x:v>1.67</x:v>
      </x:c>
      <x:c r="AA527" s="32" t="n">
        <x:v>3</x:v>
      </x:c>
      <x:c r="AB527" s="32" t="str">
        <x:v>Blue Wool Scale / UV 150h</x:v>
      </x:c>
      <x:c r="AC527" t="str">
        <x:v>#0367B1</x:v>
      </x:c>
      <x:c r="AD527" s="34" t="n">
        <x:v>3</x:v>
      </x:c>
      <x:c r="AE527" s="34" t="n">
        <x:v>103</x:v>
      </x:c>
      <x:c r="AF527" s="34" t="n">
        <x:v>177</x:v>
      </x:c>
      <x:c r="AG527" s="32" t="n">
        <x:v>205.52</x:v>
      </x:c>
      <x:c r="AH527" s="32" t="n">
        <x:v>96.67</x:v>
      </x:c>
      <x:c r="AI527" s="32" t="n">
        <x:v>35.29</x:v>
      </x:c>
      <x:c r="AJ527" s="32" t="n">
        <x:v>42.6</x:v>
      </x:c>
      <x:c r="AK527" s="32" t="n">
        <x:v>3.84</x:v>
      </x:c>
      <x:c r="AL527" s="32" t="n">
        <x:v>-46.15</x:v>
      </x:c>
      <x:c r="AM527" s="32" t="str">
        <x:v>#FFFFFF</x:v>
      </x:c>
      <x:c r="AN527" s="32" t="str">
        <x:v>White</x:v>
      </x:c>
      <x:c r="AO527" s="32" t="n">
        <x:v>5.87</x:v>
      </x:c>
      <x:c r="AP527" s="32" t="n">
        <x:v>3.58</x:v>
      </x:c>
      <x:c r="AQ527" s="32" t="n">
        <x:v>5.87</x:v>
      </x:c>
      <x:c r="AR527" s="32" t="n">
        <x:v>0.128942</x:v>
      </x:c>
      <x:c r="AS527" t="str">
        <x:v>PASS</x:v>
      </x:c>
      <x:c r="AT527" t="str">
        <x:v>--cda-neo-370</x:v>
      </x:c>
      <x:c r="AU527" t="str">
        <x:v>var(--cda-neo-370)</x:v>
      </x:c>
      <x:c r="AV527" t="str">
        <x:v>Median RGB from official PDF swatch (screen reference only)</x:v>
      </x:c>
      <x:c r="AW527" t="str">
        <x:v>https://www.carandache.com/content_files/uploaded_doc/product/10595/Colour_Chart_NeoPastel.pdf</x:v>
      </x:c>
      <x:c r="AX527" t="n">
        <x:v>1</x:v>
      </x:c>
      <x:c r="AY527" t="str">
        <x:v>Official</x:v>
      </x:c>
      <x:c r="AZ527" t="str">
        <x:v>Official where available; curated Traditional Chinese/Japanese otherwise</x:v>
      </x:c>
      <x:c r="BA527" t="str">
        <x:v>Verified from official chart; digital HEX is approximate</x:v>
      </x:c>
      <x:c r="BB527" t="str">
        <x:v>Physical media appearance varies by paper, pressure, layering, water and scan/display profile.</x:v>
      </x:c>
    </x:row>
    <x:row r="528">
      <x:c r="A528" t="str">
        <x:f>G528&amp;"|"&amp;L528</x:f>
        <x:v>NEO|160</x:v>
      </x:c>
      <x:c r="B528" t="str">
        <x:v>f4ce16b7-f7eb-57a6-b704-4c62735bb5f8</x:v>
      </x:c>
      <x:c r="C528" t="str">
        <x:v>CDA-NEO-160</x:v>
      </x:c>
      <x:c r="D528" t="str">
        <x:v>c7d32486-36fc-53aa-995f-bd6f486d3f37</x:v>
      </x:c>
      <x:c r="E528" t="str">
        <x:v>CDA-CODE-160</x:v>
      </x:c>
      <x:c r="F528" t="str">
        <x:v>Caran d’Ache</x:v>
      </x:c>
      <x:c r="G528" t="str">
        <x:v>NEO</x:v>
      </x:c>
      <x:c r="H528" t="str">
        <x:v>NEOPASTEL</x:v>
      </x:c>
      <x:c r="I528" t="str">
        <x:v>Extra-fine oil pastel</x:v>
      </x:c>
      <x:c r="J528" t="str">
        <x:v>Professional</x:v>
      </x:c>
      <x:c r="K528" s="30" t="n">
        <x:v>27</x:v>
      </x:c>
      <x:c r="L528" s="30" t="str">
        <x:v>160</x:v>
      </x:c>
      <x:c r="M528" t="str">
        <x:v>Cobalt Blue (hue)</x:v>
      </x:c>
      <x:c r="N528" t="str">
        <x:v>鈷藍（色相）</x:v>
      </x:c>
      <x:c r="O528" t="str">
        <x:v>コバルトブルー（ヒュー）</x:v>
      </x:c>
      <x:c r="P528" t="str"/>
      <x:c r="Q528" t="str">
        <x:v>Bleu de Cobalt (imit)</x:v>
      </x:c>
      <x:c r="R528" t="str">
        <x:v>Kobaltblau (sub)</x:v>
      </x:c>
      <x:c r="S528" t="str">
        <x:v>Blu cobalto</x:v>
      </x:c>
      <x:c r="T528" t="str"/>
      <x:c r="U528" t="str">
        <x:v>Azul cobalto</x:v>
      </x:c>
      <x:c r="V528" t="str">
        <x:v>코발투 블루</x:v>
      </x:c>
      <x:c r="W528" t="str">
        <x:v>PB15:3/PG7</x:v>
      </x:c>
      <x:c r="X528" t="n">
        <x:f>IF(W528="",0,LEN(W528)-LEN(SUBSTITUTE(W528,"/",""))+1)</x:f>
        <x:v>2</x:v>
      </x:c>
      <x:c r="Y528" t="str">
        <x:v>H</x:v>
      </x:c>
      <x:c r="Z528" s="32" t="n">
        <x:v>1.67</x:v>
      </x:c>
      <x:c r="AA528" s="32" t="n">
        <x:v>3</x:v>
      </x:c>
      <x:c r="AB528" s="32" t="str">
        <x:v>Blue Wool Scale / UV 150h</x:v>
      </x:c>
      <x:c r="AC528" t="str">
        <x:v>#066093</x:v>
      </x:c>
      <x:c r="AD528" s="34" t="n">
        <x:v>6</x:v>
      </x:c>
      <x:c r="AE528" s="34" t="n">
        <x:v>96</x:v>
      </x:c>
      <x:c r="AF528" s="34" t="n">
        <x:v>147</x:v>
      </x:c>
      <x:c r="AG528" s="32" t="n">
        <x:v>201.7</x:v>
      </x:c>
      <x:c r="AH528" s="32" t="n">
        <x:v>92.16</x:v>
      </x:c>
      <x:c r="AI528" s="32" t="n">
        <x:v>30</x:v>
      </x:c>
      <x:c r="AJ528" s="32" t="n">
        <x:v>38.74</x:v>
      </x:c>
      <x:c r="AK528" s="32" t="n">
        <x:v>-3.73</x:v>
      </x:c>
      <x:c r="AL528" s="32" t="n">
        <x:v>-34.48</x:v>
      </x:c>
      <x:c r="AM528" s="32" t="str">
        <x:v>#FFFFFF</x:v>
      </x:c>
      <x:c r="AN528" s="32" t="str">
        <x:v>White</x:v>
      </x:c>
      <x:c r="AO528" s="32" t="n">
        <x:v>6.77</x:v>
      </x:c>
      <x:c r="AP528" s="32" t="n">
        <x:v>3.1</x:v>
      </x:c>
      <x:c r="AQ528" s="32" t="n">
        <x:v>6.77</x:v>
      </x:c>
      <x:c r="AR528" s="32" t="n">
        <x:v>0.10511</x:v>
      </x:c>
      <x:c r="AS528" t="str">
        <x:v>PASS</x:v>
      </x:c>
      <x:c r="AT528" t="str">
        <x:v>--cda-neo-160</x:v>
      </x:c>
      <x:c r="AU528" t="str">
        <x:v>var(--cda-neo-160)</x:v>
      </x:c>
      <x:c r="AV528" t="str">
        <x:v>Median RGB from official PDF swatch (screen reference only)</x:v>
      </x:c>
      <x:c r="AW528" t="str">
        <x:v>https://www.carandache.com/content_files/uploaded_doc/product/10595/Colour_Chart_NeoPastel.pdf</x:v>
      </x:c>
      <x:c r="AX528" t="n">
        <x:v>1</x:v>
      </x:c>
      <x:c r="AY528" t="str">
        <x:v>Official</x:v>
      </x:c>
      <x:c r="AZ528" t="str">
        <x:v>Official where available; curated Traditional Chinese/Japanese otherwise</x:v>
      </x:c>
      <x:c r="BA528" t="str">
        <x:v>Verified from official chart; digital HEX is approximate</x:v>
      </x:c>
      <x:c r="BB528" t="str">
        <x:v>Physical media appearance varies by paper, pressure, layering, water and scan/display profile.</x:v>
      </x:c>
    </x:row>
    <x:row r="529">
      <x:c r="A529" t="str">
        <x:f>G529&amp;"|"&amp;L529</x:f>
        <x:v>NEO|170</x:v>
      </x:c>
      <x:c r="B529" t="str">
        <x:v>7d9feb5c-6f0e-500d-97ad-f5337279c88d</x:v>
      </x:c>
      <x:c r="C529" t="str">
        <x:v>CDA-NEO-170</x:v>
      </x:c>
      <x:c r="D529" t="str">
        <x:v>60cfb7af-26b5-51df-845a-1aedc11011c5</x:v>
      </x:c>
      <x:c r="E529" t="str">
        <x:v>CDA-CODE-170</x:v>
      </x:c>
      <x:c r="F529" t="str">
        <x:v>Caran d’Ache</x:v>
      </x:c>
      <x:c r="G529" t="str">
        <x:v>NEO</x:v>
      </x:c>
      <x:c r="H529" t="str">
        <x:v>NEOPASTEL</x:v>
      </x:c>
      <x:c r="I529" t="str">
        <x:v>Extra-fine oil pastel</x:v>
      </x:c>
      <x:c r="J529" t="str">
        <x:v>Professional</x:v>
      </x:c>
      <x:c r="K529" s="30" t="n">
        <x:v>28</x:v>
      </x:c>
      <x:c r="L529" s="30" t="str">
        <x:v>170</x:v>
      </x:c>
      <x:c r="M529" t="str">
        <x:v>Azurite blue</x:v>
      </x:c>
      <x:c r="N529" t="str">
        <x:v>藍銅礦藍</x:v>
      </x:c>
      <x:c r="O529" t="str">
        <x:v>アズライトブルー</x:v>
      </x:c>
      <x:c r="P529" t="str"/>
      <x:c r="Q529" t="str">
        <x:v>Bleu azur</x:v>
      </x:c>
      <x:c r="R529" t="str">
        <x:v>Azurblau</x:v>
      </x:c>
      <x:c r="S529" t="str">
        <x:v>Azzurro cyan</x:v>
      </x:c>
      <x:c r="T529" t="str"/>
      <x:c r="U529" t="str">
        <x:v>Azul cyan</x:v>
      </x:c>
      <x:c r="V529" t="str">
        <x:v>녹청색</x:v>
      </x:c>
      <x:c r="W529" t="str">
        <x:v>PB15:3/PG7</x:v>
      </x:c>
      <x:c r="X529" t="n">
        <x:f>IF(W529="",0,LEN(W529)-LEN(SUBSTITUTE(W529,"/",""))+1)</x:f>
        <x:v>2</x:v>
      </x:c>
      <x:c r="Y529" t="str">
        <x:v>H</x:v>
      </x:c>
      <x:c r="Z529" s="32" t="n">
        <x:v>1.67</x:v>
      </x:c>
      <x:c r="AA529" s="32" t="n">
        <x:v>3</x:v>
      </x:c>
      <x:c r="AB529" s="32" t="str">
        <x:v>Blue Wool Scale / UV 150h</x:v>
      </x:c>
      <x:c r="AC529" t="str">
        <x:v>#046C7B</x:v>
      </x:c>
      <x:c r="AD529" s="34" t="n">
        <x:v>4</x:v>
      </x:c>
      <x:c r="AE529" s="34" t="n">
        <x:v>108</x:v>
      </x:c>
      <x:c r="AF529" s="34" t="n">
        <x:v>123</x:v>
      </x:c>
      <x:c r="AG529" s="32" t="n">
        <x:v>187.56</x:v>
      </x:c>
      <x:c r="AH529" s="32" t="n">
        <x:v>93.7</x:v>
      </x:c>
      <x:c r="AI529" s="32" t="n">
        <x:v>24.9</x:v>
      </x:c>
      <x:c r="AJ529" s="32" t="n">
        <x:v>41.5</x:v>
      </x:c>
      <x:c r="AK529" s="32" t="n">
        <x:v>-20.07</x:v>
      </x:c>
      <x:c r="AL529" s="32" t="n">
        <x:v>-15.7</x:v>
      </x:c>
      <x:c r="AM529" s="32" t="str">
        <x:v>#FFFFFF</x:v>
      </x:c>
      <x:c r="AN529" s="32" t="str">
        <x:v>White</x:v>
      </x:c>
      <x:c r="AO529" s="32" t="n">
        <x:v>6.11</x:v>
      </x:c>
      <x:c r="AP529" s="32" t="n">
        <x:v>3.44</x:v>
      </x:c>
      <x:c r="AQ529" s="32" t="n">
        <x:v>6.11</x:v>
      </x:c>
      <x:c r="AR529" s="32" t="n">
        <x:v>0.12181</x:v>
      </x:c>
      <x:c r="AS529" t="str">
        <x:v>PASS</x:v>
      </x:c>
      <x:c r="AT529" t="str">
        <x:v>--cda-neo-170</x:v>
      </x:c>
      <x:c r="AU529" t="str">
        <x:v>var(--cda-neo-170)</x:v>
      </x:c>
      <x:c r="AV529" t="str">
        <x:v>Median RGB from official PDF swatch (screen reference only)</x:v>
      </x:c>
      <x:c r="AW529" t="str">
        <x:v>https://www.carandache.com/content_files/uploaded_doc/product/10595/Colour_Chart_NeoPastel.pdf</x:v>
      </x:c>
      <x:c r="AX529" t="n">
        <x:v>1</x:v>
      </x:c>
      <x:c r="AY529" t="str">
        <x:v>Official</x:v>
      </x:c>
      <x:c r="AZ529" t="str">
        <x:v>Official where available; curated Traditional Chinese/Japanese otherwise</x:v>
      </x:c>
      <x:c r="BA529" t="str">
        <x:v>Verified from official chart; digital HEX is approximate</x:v>
      </x:c>
      <x:c r="BB529" t="str">
        <x:v>Physical media appearance varies by paper, pressure, layering, water and scan/display profile.</x:v>
      </x:c>
    </x:row>
    <x:row r="530">
      <x:c r="A530" t="str">
        <x:f>G530&amp;"|"&amp;L530</x:f>
        <x:v>NEO|180</x:v>
      </x:c>
      <x:c r="B530" t="str">
        <x:v>15a67528-c3a2-59a5-a51c-91864702c2e9</x:v>
      </x:c>
      <x:c r="C530" t="str">
        <x:v>CDA-NEO-180</x:v>
      </x:c>
      <x:c r="D530" t="str">
        <x:v>4231c496-9609-55e3-b7b2-f62a8cae5f25</x:v>
      </x:c>
      <x:c r="E530" t="str">
        <x:v>CDA-CODE-180</x:v>
      </x:c>
      <x:c r="F530" t="str">
        <x:v>Caran d’Ache</x:v>
      </x:c>
      <x:c r="G530" t="str">
        <x:v>NEO</x:v>
      </x:c>
      <x:c r="H530" t="str">
        <x:v>NEOPASTEL</x:v>
      </x:c>
      <x:c r="I530" t="str">
        <x:v>Extra-fine oil pastel</x:v>
      </x:c>
      <x:c r="J530" t="str">
        <x:v>Professional</x:v>
      </x:c>
      <x:c r="K530" s="30" t="n">
        <x:v>29</x:v>
      </x:c>
      <x:c r="L530" s="30" t="str">
        <x:v>180</x:v>
      </x:c>
      <x:c r="M530" t="str">
        <x:v>Malachite green</x:v>
      </x:c>
      <x:c r="N530" t="str">
        <x:v>孔雀石綠</x:v>
      </x:c>
      <x:c r="O530" t="str">
        <x:v>マラカイトグリーン</x:v>
      </x:c>
      <x:c r="P530" t="str"/>
      <x:c r="Q530" t="str">
        <x:v>Vert malachite</x:v>
      </x:c>
      <x:c r="R530" t="str">
        <x:v>Malachitgrün</x:v>
      </x:c>
      <x:c r="S530" t="str">
        <x:v>Verde malachite</x:v>
      </x:c>
      <x:c r="T530" t="str"/>
      <x:c r="U530" t="str">
        <x:v>Verde malaquite</x:v>
      </x:c>
      <x:c r="V530" t="str">
        <x:v>사철나무색</x:v>
      </x:c>
      <x:c r="W530" t="str">
        <x:v>PG7/PB15</x:v>
      </x:c>
      <x:c r="X530" t="n">
        <x:f>IF(W530="",0,LEN(W530)-LEN(SUBSTITUTE(W530,"/",""))+1)</x:f>
        <x:v>2</x:v>
      </x:c>
      <x:c r="Y530" t="str">
        <x:v>H</x:v>
      </x:c>
      <x:c r="Z530" s="32" t="n">
        <x:v>1.67</x:v>
      </x:c>
      <x:c r="AA530" s="32" t="n">
        <x:v>3</x:v>
      </x:c>
      <x:c r="AB530" s="32" t="str">
        <x:v>Blue Wool Scale / UV 150h</x:v>
      </x:c>
      <x:c r="AC530" t="str">
        <x:v>#085F6E</x:v>
      </x:c>
      <x:c r="AD530" s="34" t="n">
        <x:v>8</x:v>
      </x:c>
      <x:c r="AE530" s="34" t="n">
        <x:v>95</x:v>
      </x:c>
      <x:c r="AF530" s="34" t="n">
        <x:v>110</x:v>
      </x:c>
      <x:c r="AG530" s="32" t="n">
        <x:v>188.82</x:v>
      </x:c>
      <x:c r="AH530" s="32" t="n">
        <x:v>86.44</x:v>
      </x:c>
      <x:c r="AI530" s="32" t="n">
        <x:v>23.14</x:v>
      </x:c>
      <x:c r="AJ530" s="32" t="n">
        <x:v>36.67</x:v>
      </x:c>
      <x:c r="AK530" s="32" t="n">
        <x:v>-17.39</x:v>
      </x:c>
      <x:c r="AL530" s="32" t="n">
        <x:v>-15.14</x:v>
      </x:c>
      <x:c r="AM530" s="32" t="str">
        <x:v>#FFFFFF</x:v>
      </x:c>
      <x:c r="AN530" s="32" t="str">
        <x:v>White</x:v>
      </x:c>
      <x:c r="AO530" s="32" t="n">
        <x:v>7.31</x:v>
      </x:c>
      <x:c r="AP530" s="32" t="n">
        <x:v>2.87</x:v>
      </x:c>
      <x:c r="AQ530" s="32" t="n">
        <x:v>7.31</x:v>
      </x:c>
      <x:c r="AR530" s="32" t="n">
        <x:v>0.093618</x:v>
      </x:c>
      <x:c r="AS530" t="str">
        <x:v>PASS</x:v>
      </x:c>
      <x:c r="AT530" t="str">
        <x:v>--cda-neo-180</x:v>
      </x:c>
      <x:c r="AU530" t="str">
        <x:v>var(--cda-neo-180)</x:v>
      </x:c>
      <x:c r="AV530" t="str">
        <x:v>Median RGB from official PDF swatch (screen reference only)</x:v>
      </x:c>
      <x:c r="AW530" t="str">
        <x:v>https://www.carandache.com/content_files/uploaded_doc/product/10595/Colour_Chart_NeoPastel.pdf</x:v>
      </x:c>
      <x:c r="AX530" t="n">
        <x:v>1</x:v>
      </x:c>
      <x:c r="AY530" t="str">
        <x:v>Official</x:v>
      </x:c>
      <x:c r="AZ530" t="str">
        <x:v>Official where available; curated Traditional Chinese/Japanese otherwise</x:v>
      </x:c>
      <x:c r="BA530" t="str">
        <x:v>Verified from official chart; digital HEX is approximate</x:v>
      </x:c>
      <x:c r="BB530" t="str">
        <x:v>Physical media appearance varies by paper, pressure, layering, water and scan/display profile.</x:v>
      </x:c>
    </x:row>
    <x:row r="531">
      <x:c r="A531" t="str">
        <x:f>G531&amp;"|"&amp;L531</x:f>
        <x:v>NEO|190</x:v>
      </x:c>
      <x:c r="B531" t="str">
        <x:v>cf033793-efce-5064-b540-477cef63a87f</x:v>
      </x:c>
      <x:c r="C531" t="str">
        <x:v>CDA-NEO-190</x:v>
      </x:c>
      <x:c r="D531" t="str">
        <x:v>d91a39dc-f93b-5b8b-a953-a353d4f54b4e</x:v>
      </x:c>
      <x:c r="E531" t="str">
        <x:v>CDA-CODE-190</x:v>
      </x:c>
      <x:c r="F531" t="str">
        <x:v>Caran d’Ache</x:v>
      </x:c>
      <x:c r="G531" t="str">
        <x:v>NEO</x:v>
      </x:c>
      <x:c r="H531" t="str">
        <x:v>NEOPASTEL</x:v>
      </x:c>
      <x:c r="I531" t="str">
        <x:v>Extra-fine oil pastel</x:v>
      </x:c>
      <x:c r="J531" t="str">
        <x:v>Professional</x:v>
      </x:c>
      <x:c r="K531" s="30" t="n">
        <x:v>30</x:v>
      </x:c>
      <x:c r="L531" s="30" t="str">
        <x:v>190</x:v>
      </x:c>
      <x:c r="M531" t="str">
        <x:v>Greenish blue</x:v>
      </x:c>
      <x:c r="N531" t="str">
        <x:v>綠藍色</x:v>
      </x:c>
      <x:c r="O531" t="str">
        <x:v>グリーニッシュブルー</x:v>
      </x:c>
      <x:c r="P531" t="str"/>
      <x:c r="Q531" t="str">
        <x:v>Bleu verdâtre</x:v>
      </x:c>
      <x:c r="R531" t="str">
        <x:v>Grünblau</x:v>
      </x:c>
      <x:c r="S531" t="str">
        <x:v>Blu verdastro</x:v>
      </x:c>
      <x:c r="T531" t="str"/>
      <x:c r="U531" t="str">
        <x:v>Azul esverdeado</x:v>
      </x:c>
      <x:c r="V531" t="str">
        <x:v>초록빛 청색</x:v>
      </x:c>
      <x:c r="W531" t="str">
        <x:v>PG7/PB15</x:v>
      </x:c>
      <x:c r="X531" t="n">
        <x:f>IF(W531="",0,LEN(W531)-LEN(SUBSTITUTE(W531,"/",""))+1)</x:f>
        <x:v>2</x:v>
      </x:c>
      <x:c r="Y531" t="str">
        <x:v>H</x:v>
      </x:c>
      <x:c r="Z531" s="32" t="n">
        <x:v>1.67</x:v>
      </x:c>
      <x:c r="AA531" s="32" t="n">
        <x:v>3</x:v>
      </x:c>
      <x:c r="AB531" s="32" t="str">
        <x:v>Blue Wool Scale / UV 150h</x:v>
      </x:c>
      <x:c r="AC531" t="str">
        <x:v>#04675D</x:v>
      </x:c>
      <x:c r="AD531" s="34" t="n">
        <x:v>4</x:v>
      </x:c>
      <x:c r="AE531" s="34" t="n">
        <x:v>103</x:v>
      </x:c>
      <x:c r="AF531" s="34" t="n">
        <x:v>93</x:v>
      </x:c>
      <x:c r="AG531" s="32" t="n">
        <x:v>173.94</x:v>
      </x:c>
      <x:c r="AH531" s="32" t="n">
        <x:v>92.52</x:v>
      </x:c>
      <x:c r="AI531" s="32" t="n">
        <x:v>20.98</x:v>
      </x:c>
      <x:c r="AJ531" s="32" t="n">
        <x:v>38.75</x:v>
      </x:c>
      <x:c r="AK531" s="32" t="n">
        <x:v>-27.67</x:v>
      </x:c>
      <x:c r="AL531" s="32" t="n">
        <x:v>-1.54</x:v>
      </x:c>
      <x:c r="AM531" s="32" t="str">
        <x:v>#FFFFFF</x:v>
      </x:c>
      <x:c r="AN531" s="32" t="str">
        <x:v>White</x:v>
      </x:c>
      <x:c r="AO531" s="32" t="n">
        <x:v>6.77</x:v>
      </x:c>
      <x:c r="AP531" s="32" t="n">
        <x:v>3.1</x:v>
      </x:c>
      <x:c r="AQ531" s="32" t="n">
        <x:v>6.77</x:v>
      </x:c>
      <x:c r="AR531" s="32" t="n">
        <x:v>0.105166</x:v>
      </x:c>
      <x:c r="AS531" t="str">
        <x:v>PASS</x:v>
      </x:c>
      <x:c r="AT531" t="str">
        <x:v>--cda-neo-190</x:v>
      </x:c>
      <x:c r="AU531" t="str">
        <x:v>var(--cda-neo-190)</x:v>
      </x:c>
      <x:c r="AV531" t="str">
        <x:v>Median RGB from official PDF swatch (screen reference only)</x:v>
      </x:c>
      <x:c r="AW531" t="str">
        <x:v>https://www.carandache.com/content_files/uploaded_doc/product/10595/Colour_Chart_NeoPastel.pdf</x:v>
      </x:c>
      <x:c r="AX531" t="n">
        <x:v>1</x:v>
      </x:c>
      <x:c r="AY531" t="str">
        <x:v>Official</x:v>
      </x:c>
      <x:c r="AZ531" t="str">
        <x:v>Official where available; curated Traditional Chinese/Japanese otherwise</x:v>
      </x:c>
      <x:c r="BA531" t="str">
        <x:v>Verified from official chart; digital HEX is approximate</x:v>
      </x:c>
      <x:c r="BB531" t="str">
        <x:v>Physical media appearance varies by paper, pressure, layering, water and scan/display profile.</x:v>
      </x:c>
    </x:row>
    <x:row r="532">
      <x:c r="A532" t="str">
        <x:f>G532&amp;"|"&amp;L532</x:f>
        <x:v>NEO|229</x:v>
      </x:c>
      <x:c r="B532" t="str">
        <x:v>9a975916-1c89-5ae3-bef4-4fd337883bd7</x:v>
      </x:c>
      <x:c r="C532" t="str">
        <x:v>CDA-NEO-229</x:v>
      </x:c>
      <x:c r="D532" t="str">
        <x:v>95617532-4337-5a36-9e80-86ddcfd90f23</x:v>
      </x:c>
      <x:c r="E532" t="str">
        <x:v>CDA-CODE-229</x:v>
      </x:c>
      <x:c r="F532" t="str">
        <x:v>Caran d’Ache</x:v>
      </x:c>
      <x:c r="G532" t="str">
        <x:v>NEO</x:v>
      </x:c>
      <x:c r="H532" t="str">
        <x:v>NEOPASTEL</x:v>
      </x:c>
      <x:c r="I532" t="str">
        <x:v>Extra-fine oil pastel</x:v>
      </x:c>
      <x:c r="J532" t="str">
        <x:v>Professional</x:v>
      </x:c>
      <x:c r="K532" s="30" t="n">
        <x:v>31</x:v>
      </x:c>
      <x:c r="L532" s="30" t="str">
        <x:v>229</x:v>
      </x:c>
      <x:c r="M532" t="str">
        <x:v>Dark green</x:v>
      </x:c>
      <x:c r="N532" t="str">
        <x:v>深綠色</x:v>
      </x:c>
      <x:c r="O532" t="str">
        <x:v>ダークグリーン</x:v>
      </x:c>
      <x:c r="P532" t="str"/>
      <x:c r="Q532" t="str">
        <x:v>Vert foncé</x:v>
      </x:c>
      <x:c r="R532" t="str">
        <x:v>Dunkelgrün</x:v>
      </x:c>
      <x:c r="S532" t="str">
        <x:v>Verde scuro</x:v>
      </x:c>
      <x:c r="T532" t="str"/>
      <x:c r="U532" t="str">
        <x:v>Verde escuro</x:v>
      </x:c>
      <x:c r="V532" t="str">
        <x:v>어두운 녹색</x:v>
      </x:c>
      <x:c r="W532" t="str">
        <x:v>PB15:3/PY1/PO62/PY3</x:v>
      </x:c>
      <x:c r="X532" t="n">
        <x:f>IF(W532="",0,LEN(W532)-LEN(SUBSTITUTE(W532,"/",""))+1)</x:f>
        <x:v>4</x:v>
      </x:c>
      <x:c r="Y532" t="str">
        <x:v>H</x:v>
      </x:c>
      <x:c r="Z532" s="32" t="n">
        <x:v>1.67</x:v>
      </x:c>
      <x:c r="AA532" s="32" t="n">
        <x:v>3</x:v>
      </x:c>
      <x:c r="AB532" s="32" t="str">
        <x:v>Blue Wool Scale / UV 150h</x:v>
      </x:c>
      <x:c r="AC532" t="str">
        <x:v>#06433A</x:v>
      </x:c>
      <x:c r="AD532" s="34" t="n">
        <x:v>6</x:v>
      </x:c>
      <x:c r="AE532" s="34" t="n">
        <x:v>67</x:v>
      </x:c>
      <x:c r="AF532" s="34" t="n">
        <x:v>58</x:v>
      </x:c>
      <x:c r="AG532" s="32" t="n">
        <x:v>171.15</x:v>
      </x:c>
      <x:c r="AH532" s="32" t="n">
        <x:v>83.56</x:v>
      </x:c>
      <x:c r="AI532" s="32" t="n">
        <x:v>14.31</x:v>
      </x:c>
      <x:c r="AJ532" s="32" t="n">
        <x:v>24.82</x:v>
      </x:c>
      <x:c r="AK532" s="32" t="n">
        <x:v>-20.7</x:v>
      </x:c>
      <x:c r="AL532" s="32" t="n">
        <x:v>0.26</x:v>
      </x:c>
      <x:c r="AM532" s="32" t="str">
        <x:v>#FFFFFF</x:v>
      </x:c>
      <x:c r="AN532" s="32" t="str">
        <x:v>White</x:v>
      </x:c>
      <x:c r="AO532" s="32" t="n">
        <x:v>11.22</x:v>
      </x:c>
      <x:c r="AP532" s="32" t="n">
        <x:v>1.87</x:v>
      </x:c>
      <x:c r="AQ532" s="32" t="n">
        <x:v>11.22</x:v>
      </x:c>
      <x:c r="AR532" s="32" t="n">
        <x:v>0.043585</x:v>
      </x:c>
      <x:c r="AS532" t="str">
        <x:v>PASS</x:v>
      </x:c>
      <x:c r="AT532" t="str">
        <x:v>--cda-neo-229</x:v>
      </x:c>
      <x:c r="AU532" t="str">
        <x:v>var(--cda-neo-229)</x:v>
      </x:c>
      <x:c r="AV532" t="str">
        <x:v>Median RGB from official PDF swatch (screen reference only)</x:v>
      </x:c>
      <x:c r="AW532" t="str">
        <x:v>https://www.carandache.com/content_files/uploaded_doc/product/10595/Colour_Chart_NeoPastel.pdf</x:v>
      </x:c>
      <x:c r="AX532" t="n">
        <x:v>1</x:v>
      </x:c>
      <x:c r="AY532" t="str">
        <x:v>Official</x:v>
      </x:c>
      <x:c r="AZ532" t="str">
        <x:v>Official where available; curated Traditional Chinese/Japanese otherwise</x:v>
      </x:c>
      <x:c r="BA532" t="str">
        <x:v>Verified from official chart; digital HEX is approximate</x:v>
      </x:c>
      <x:c r="BB532" t="str">
        <x:v>Physical media appearance varies by paper, pressure, layering, water and scan/display profile.</x:v>
      </x:c>
    </x:row>
    <x:row r="533">
      <x:c r="A533" t="str">
        <x:f>G533&amp;"|"&amp;L533</x:f>
        <x:v>NEO|210</x:v>
      </x:c>
      <x:c r="B533" t="str">
        <x:v>47ecee0b-5add-5e06-8ef3-384c272617c0</x:v>
      </x:c>
      <x:c r="C533" t="str">
        <x:v>CDA-NEO-210</x:v>
      </x:c>
      <x:c r="D533" t="str">
        <x:v>20169bd8-fae1-5c8f-b26d-df9ab6e5a19c</x:v>
      </x:c>
      <x:c r="E533" t="str">
        <x:v>CDA-CODE-210</x:v>
      </x:c>
      <x:c r="F533" t="str">
        <x:v>Caran d’Ache</x:v>
      </x:c>
      <x:c r="G533" t="str">
        <x:v>NEO</x:v>
      </x:c>
      <x:c r="H533" t="str">
        <x:v>NEOPASTEL</x:v>
      </x:c>
      <x:c r="I533" t="str">
        <x:v>Extra-fine oil pastel</x:v>
      </x:c>
      <x:c r="J533" t="str">
        <x:v>Professional</x:v>
      </x:c>
      <x:c r="K533" s="30" t="n">
        <x:v>32</x:v>
      </x:c>
      <x:c r="L533" s="30" t="str">
        <x:v>210</x:v>
      </x:c>
      <x:c r="M533" t="str">
        <x:v>Emerald green</x:v>
      </x:c>
      <x:c r="N533" t="str">
        <x:v>祖母綠</x:v>
      </x:c>
      <x:c r="O533" t="str">
        <x:v>エメラルドグリーン</x:v>
      </x:c>
      <x:c r="P533" t="str"/>
      <x:c r="Q533" t="str">
        <x:v>Vert émeraude</x:v>
      </x:c>
      <x:c r="R533" t="str">
        <x:v>Smaragdgrün</x:v>
      </x:c>
      <x:c r="S533" t="str">
        <x:v>Verde smeraldo</x:v>
      </x:c>
      <x:c r="T533" t="str"/>
      <x:c r="U533" t="str">
        <x:v>Verde esmeralda</x:v>
      </x:c>
      <x:c r="V533" t="str">
        <x:v>에메랄드 그린</x:v>
      </x:c>
      <x:c r="W533" t="str">
        <x:v>PY3/PB15</x:v>
      </x:c>
      <x:c r="X533" t="n">
        <x:f>IF(W533="",0,LEN(W533)-LEN(SUBSTITUTE(W533,"/",""))+1)</x:f>
        <x:v>2</x:v>
      </x:c>
      <x:c r="Y533" t="str">
        <x:v>H</x:v>
      </x:c>
      <x:c r="Z533" s="32" t="n">
        <x:v>1.67</x:v>
      </x:c>
      <x:c r="AA533" s="32" t="n">
        <x:v>3</x:v>
      </x:c>
      <x:c r="AB533" s="32" t="str">
        <x:v>Blue Wool Scale / UV 150h</x:v>
      </x:c>
      <x:c r="AC533" t="str">
        <x:v>#174E3A</x:v>
      </x:c>
      <x:c r="AD533" s="34" t="n">
        <x:v>23</x:v>
      </x:c>
      <x:c r="AE533" s="34" t="n">
        <x:v>78</x:v>
      </x:c>
      <x:c r="AF533" s="34" t="n">
        <x:v>58</x:v>
      </x:c>
      <x:c r="AG533" s="32" t="n">
        <x:v>158.18</x:v>
      </x:c>
      <x:c r="AH533" s="32" t="n">
        <x:v>54.46</x:v>
      </x:c>
      <x:c r="AI533" s="32" t="n">
        <x:v>19.8</x:v>
      </x:c>
      <x:c r="AJ533" s="32" t="n">
        <x:v>29.25</x:v>
      </x:c>
      <x:c r="AK533" s="32" t="n">
        <x:v>-23.46</x:v>
      </x:c>
      <x:c r="AL533" s="32" t="n">
        <x:v>6.66</x:v>
      </x:c>
      <x:c r="AM533" s="32" t="str">
        <x:v>#FFFFFF</x:v>
      </x:c>
      <x:c r="AN533" s="32" t="str">
        <x:v>White</x:v>
      </x:c>
      <x:c r="AO533" s="32" t="n">
        <x:v>9.6</x:v>
      </x:c>
      <x:c r="AP533" s="32" t="n">
        <x:v>2.19</x:v>
      </x:c>
      <x:c r="AQ533" s="32" t="n">
        <x:v>9.6</x:v>
      </x:c>
      <x:c r="AR533" s="32" t="n">
        <x:v>0.059364</x:v>
      </x:c>
      <x:c r="AS533" t="str">
        <x:v>PASS</x:v>
      </x:c>
      <x:c r="AT533" t="str">
        <x:v>--cda-neo-210</x:v>
      </x:c>
      <x:c r="AU533" t="str">
        <x:v>var(--cda-neo-210)</x:v>
      </x:c>
      <x:c r="AV533" t="str">
        <x:v>Median RGB from official PDF swatch (screen reference only)</x:v>
      </x:c>
      <x:c r="AW533" t="str">
        <x:v>https://www.carandache.com/content_files/uploaded_doc/product/10595/Colour_Chart_NeoPastel.pdf</x:v>
      </x:c>
      <x:c r="AX533" t="n">
        <x:v>1</x:v>
      </x:c>
      <x:c r="AY533" t="str">
        <x:v>Official</x:v>
      </x:c>
      <x:c r="AZ533" t="str">
        <x:v>Official where available; curated Traditional Chinese/Japanese otherwise</x:v>
      </x:c>
      <x:c r="BA533" t="str">
        <x:v>Verified from official chart; digital HEX is approximate</x:v>
      </x:c>
      <x:c r="BB533" t="str">
        <x:v>Physical media appearance varies by paper, pressure, layering, water and scan/display profile.</x:v>
      </x:c>
    </x:row>
    <x:row r="534">
      <x:c r="A534" t="str">
        <x:f>G534&amp;"|"&amp;L534</x:f>
        <x:v>NEO|200</x:v>
      </x:c>
      <x:c r="B534" t="str">
        <x:v>a8132ce5-2284-51a5-9370-761071f59833</x:v>
      </x:c>
      <x:c r="C534" t="str">
        <x:v>CDA-NEO-200</x:v>
      </x:c>
      <x:c r="D534" t="str">
        <x:v>acd1f677-a0b6-52a5-9f16-3917bf335a93</x:v>
      </x:c>
      <x:c r="E534" t="str">
        <x:v>CDA-CODE-200</x:v>
      </x:c>
      <x:c r="F534" t="str">
        <x:v>Caran d’Ache</x:v>
      </x:c>
      <x:c r="G534" t="str">
        <x:v>NEO</x:v>
      </x:c>
      <x:c r="H534" t="str">
        <x:v>NEOPASTEL</x:v>
      </x:c>
      <x:c r="I534" t="str">
        <x:v>Extra-fine oil pastel</x:v>
      </x:c>
      <x:c r="J534" t="str">
        <x:v>Professional</x:v>
      </x:c>
      <x:c r="K534" s="30" t="n">
        <x:v>33</x:v>
      </x:c>
      <x:c r="L534" s="30" t="str">
        <x:v>200</x:v>
      </x:c>
      <x:c r="M534" t="str">
        <x:v>Bluish green</x:v>
      </x:c>
      <x:c r="N534" t="str">
        <x:v>藍綠色</x:v>
      </x:c>
      <x:c r="O534" t="str">
        <x:v>ブルーイッシュグリーン</x:v>
      </x:c>
      <x:c r="P534" t="str"/>
      <x:c r="Q534" t="str">
        <x:v>Vert bleuâtre</x:v>
      </x:c>
      <x:c r="R534" t="str">
        <x:v>Blaugrün</x:v>
      </x:c>
      <x:c r="S534" t="str">
        <x:v>Verde bluastro</x:v>
      </x:c>
      <x:c r="T534" t="str"/>
      <x:c r="U534" t="str">
        <x:v>Verde azulado</x:v>
      </x:c>
      <x:c r="V534" t="str">
        <x:v>녹청색</x:v>
      </x:c>
      <x:c r="W534" t="str">
        <x:v>PB15:3/PY3</x:v>
      </x:c>
      <x:c r="X534" t="n">
        <x:f>IF(W534="",0,LEN(W534)-LEN(SUBSTITUTE(W534,"/",""))+1)</x:f>
        <x:v>2</x:v>
      </x:c>
      <x:c r="Y534" t="str">
        <x:v>H</x:v>
      </x:c>
      <x:c r="Z534" s="32" t="n">
        <x:v>1.67</x:v>
      </x:c>
      <x:c r="AA534" s="32" t="n">
        <x:v>3</x:v>
      </x:c>
      <x:c r="AB534" s="32" t="str">
        <x:v>Blue Wool Scale / UV 150h</x:v>
      </x:c>
      <x:c r="AC534" t="str">
        <x:v>#04675A</x:v>
      </x:c>
      <x:c r="AD534" s="34" t="n">
        <x:v>4</x:v>
      </x:c>
      <x:c r="AE534" s="34" t="n">
        <x:v>103</x:v>
      </x:c>
      <x:c r="AF534" s="34" t="n">
        <x:v>90</x:v>
      </x:c>
      <x:c r="AG534" s="32" t="n">
        <x:v>172.12</x:v>
      </x:c>
      <x:c r="AH534" s="32" t="n">
        <x:v>92.52</x:v>
      </x:c>
      <x:c r="AI534" s="32" t="n">
        <x:v>20.98</x:v>
      </x:c>
      <x:c r="AJ534" s="32" t="n">
        <x:v>38.66</x:v>
      </x:c>
      <x:c r="AK534" s="32" t="n">
        <x:v>-28.61</x:v>
      </x:c>
      <x:c r="AL534" s="32" t="n">
        <x:v>0.16</x:v>
      </x:c>
      <x:c r="AM534" s="32" t="str">
        <x:v>#FFFFFF</x:v>
      </x:c>
      <x:c r="AN534" s="32" t="str">
        <x:v>White</x:v>
      </x:c>
      <x:c r="AO534" s="32" t="n">
        <x:v>6.79</x:v>
      </x:c>
      <x:c r="AP534" s="32" t="n">
        <x:v>3.09</x:v>
      </x:c>
      <x:c r="AQ534" s="32" t="n">
        <x:v>6.79</x:v>
      </x:c>
      <x:c r="AR534" s="32" t="n">
        <x:v>0.104645</x:v>
      </x:c>
      <x:c r="AS534" t="str">
        <x:v>PASS</x:v>
      </x:c>
      <x:c r="AT534" t="str">
        <x:v>--cda-neo-200</x:v>
      </x:c>
      <x:c r="AU534" t="str">
        <x:v>var(--cda-neo-200)</x:v>
      </x:c>
      <x:c r="AV534" t="str">
        <x:v>Median RGB from official PDF swatch (screen reference only)</x:v>
      </x:c>
      <x:c r="AW534" t="str">
        <x:v>https://www.carandache.com/content_files/uploaded_doc/product/10595/Colour_Chart_NeoPastel.pdf</x:v>
      </x:c>
      <x:c r="AX534" t="n">
        <x:v>1</x:v>
      </x:c>
      <x:c r="AY534" t="str">
        <x:v>Official</x:v>
      </x:c>
      <x:c r="AZ534" t="str">
        <x:v>Official where available; curated Traditional Chinese/Japanese otherwise</x:v>
      </x:c>
      <x:c r="BA534" t="str">
        <x:v>Verified from official chart; digital HEX is approximate</x:v>
      </x:c>
      <x:c r="BB534" t="str">
        <x:v>Physical media appearance varies by paper, pressure, layering, water and scan/display profile.</x:v>
      </x:c>
    </x:row>
    <x:row r="535">
      <x:c r="A535" t="str">
        <x:f>G535&amp;"|"&amp;L535</x:f>
        <x:v>NEO|195</x:v>
      </x:c>
      <x:c r="B535" t="str">
        <x:v>e3af792a-cbf3-5e44-912b-436f37ec32d5</x:v>
      </x:c>
      <x:c r="C535" t="str">
        <x:v>CDA-NEO-195</x:v>
      </x:c>
      <x:c r="D535" t="str">
        <x:v>9d26ba70-2933-5d48-92be-1fd1287b451c</x:v>
      </x:c>
      <x:c r="E535" t="str">
        <x:v>CDA-CODE-195</x:v>
      </x:c>
      <x:c r="F535" t="str">
        <x:v>Caran d’Ache</x:v>
      </x:c>
      <x:c r="G535" t="str">
        <x:v>NEO</x:v>
      </x:c>
      <x:c r="H535" t="str">
        <x:v>NEOPASTEL</x:v>
      </x:c>
      <x:c r="I535" t="str">
        <x:v>Extra-fine oil pastel</x:v>
      </x:c>
      <x:c r="J535" t="str">
        <x:v>Professional</x:v>
      </x:c>
      <x:c r="K535" s="30" t="n">
        <x:v>34</x:v>
      </x:c>
      <x:c r="L535" s="30" t="str">
        <x:v>195</x:v>
      </x:c>
      <x:c r="M535" t="str">
        <x:v>Opaline green</x:v>
      </x:c>
      <x:c r="N535" t="str">
        <x:v>乳白綠</x:v>
      </x:c>
      <x:c r="O535" t="str">
        <x:v>オパリングリーン</x:v>
      </x:c>
      <x:c r="P535" t="str"/>
      <x:c r="Q535" t="str">
        <x:v>Vert opale</x:v>
      </x:c>
      <x:c r="R535" t="str">
        <x:v>Opalgrün</x:v>
      </x:c>
      <x:c r="S535" t="str">
        <x:v>Verde opalino</x:v>
      </x:c>
      <x:c r="T535" t="str"/>
      <x:c r="U535" t="str">
        <x:v>Verde opala</x:v>
      </x:c>
      <x:c r="V535" t="str">
        <x:v>오파린 그린</x:v>
      </x:c>
      <x:c r="W535" t="str">
        <x:v>PBk6/PB15/PG7</x:v>
      </x:c>
      <x:c r="X535" t="n">
        <x:f>IF(W535="",0,LEN(W535)-LEN(SUBSTITUTE(W535,"/",""))+1)</x:f>
        <x:v>3</x:v>
      </x:c>
      <x:c r="Y535" t="str">
        <x:v>H</x:v>
      </x:c>
      <x:c r="Z535" s="32" t="n">
        <x:v>1.67</x:v>
      </x:c>
      <x:c r="AA535" s="32" t="n">
        <x:v>3</x:v>
      </x:c>
      <x:c r="AB535" s="32" t="str">
        <x:v>Blue Wool Scale / UV 150h</x:v>
      </x:c>
      <x:c r="AC535" t="str">
        <x:v>#047E73</x:v>
      </x:c>
      <x:c r="AD535" s="34" t="n">
        <x:v>4</x:v>
      </x:c>
      <x:c r="AE535" s="34" t="n">
        <x:v>126</x:v>
      </x:c>
      <x:c r="AF535" s="34" t="n">
        <x:v>115</x:v>
      </x:c>
      <x:c r="AG535" s="32" t="n">
        <x:v>174.59</x:v>
      </x:c>
      <x:c r="AH535" s="32" t="n">
        <x:v>93.85</x:v>
      </x:c>
      <x:c r="AI535" s="32" t="n">
        <x:v>25.49</x:v>
      </x:c>
      <x:c r="AJ535" s="32" t="n">
        <x:v>47.21</x:v>
      </x:c>
      <x:c r="AK535" s="32" t="n">
        <x:v>-31.78</x:v>
      </x:c>
      <x:c r="AL535" s="32" t="n">
        <x:v>-2.34</x:v>
      </x:c>
      <x:c r="AM535" s="32" t="str">
        <x:v>#FFFFFF</x:v>
      </x:c>
      <x:c r="AN535" s="32" t="str">
        <x:v>White</x:v>
      </x:c>
      <x:c r="AO535" s="32" t="n">
        <x:v>4.96</x:v>
      </x:c>
      <x:c r="AP535" s="32" t="n">
        <x:v>4.24</x:v>
      </x:c>
      <x:c r="AQ535" s="32" t="n">
        <x:v>4.96</x:v>
      </x:c>
      <x:c r="AR535" s="32" t="n">
        <x:v>0.161853</x:v>
      </x:c>
      <x:c r="AS535" t="str">
        <x:v>PASS</x:v>
      </x:c>
      <x:c r="AT535" t="str">
        <x:v>--cda-neo-195</x:v>
      </x:c>
      <x:c r="AU535" t="str">
        <x:v>var(--cda-neo-195)</x:v>
      </x:c>
      <x:c r="AV535" t="str">
        <x:v>Median RGB from official PDF swatch (screen reference only)</x:v>
      </x:c>
      <x:c r="AW535" t="str">
        <x:v>https://www.carandache.com/content_files/uploaded_doc/product/10595/Colour_Chart_NeoPastel.pdf</x:v>
      </x:c>
      <x:c r="AX535" t="n">
        <x:v>1</x:v>
      </x:c>
      <x:c r="AY535" t="str">
        <x:v>Official</x:v>
      </x:c>
      <x:c r="AZ535" t="str">
        <x:v>Official where available; curated Traditional Chinese/Japanese otherwise</x:v>
      </x:c>
      <x:c r="BA535" t="str">
        <x:v>Verified from official chart; digital HEX is approximate</x:v>
      </x:c>
      <x:c r="BB535" t="str">
        <x:v>Physical media appearance varies by paper, pressure, layering, water and scan/display profile.</x:v>
      </x:c>
    </x:row>
    <x:row r="536">
      <x:c r="A536" t="str">
        <x:f>G536&amp;"|"&amp;L536</x:f>
        <x:v>NEO|215</x:v>
      </x:c>
      <x:c r="B536" t="str">
        <x:v>a536aa1f-d897-5aa6-b5d6-f2e57f38c30c</x:v>
      </x:c>
      <x:c r="C536" t="str">
        <x:v>CDA-NEO-215</x:v>
      </x:c>
      <x:c r="D536" t="str">
        <x:v>aea5e20b-e7e8-5a1d-a41e-89b67633ffcd</x:v>
      </x:c>
      <x:c r="E536" t="str">
        <x:v>CDA-CODE-215</x:v>
      </x:c>
      <x:c r="F536" t="str">
        <x:v>Caran d’Ache</x:v>
      </x:c>
      <x:c r="G536" t="str">
        <x:v>NEO</x:v>
      </x:c>
      <x:c r="H536" t="str">
        <x:v>NEOPASTEL</x:v>
      </x:c>
      <x:c r="I536" t="str">
        <x:v>Extra-fine oil pastel</x:v>
      </x:c>
      <x:c r="J536" t="str">
        <x:v>Professional</x:v>
      </x:c>
      <x:c r="K536" s="30" t="n">
        <x:v>35</x:v>
      </x:c>
      <x:c r="L536" s="30" t="str">
        <x:v>215</x:v>
      </x:c>
      <x:c r="M536" t="str">
        <x:v>Greyish green</x:v>
      </x:c>
      <x:c r="N536" t="str">
        <x:v>灰綠色</x:v>
      </x:c>
      <x:c r="O536" t="str">
        <x:v>グレイッシュグリーン</x:v>
      </x:c>
      <x:c r="P536" t="str"/>
      <x:c r="Q536" t="str">
        <x:v>Vert gris</x:v>
      </x:c>
      <x:c r="R536" t="str">
        <x:v>Graugrün</x:v>
      </x:c>
      <x:c r="S536" t="str">
        <x:v>Verde grigio</x:v>
      </x:c>
      <x:c r="T536" t="str"/>
      <x:c r="U536" t="str">
        <x:v>Verde cinzento</x:v>
      </x:c>
      <x:c r="V536" t="str">
        <x:v>그레이쉬 그린</x:v>
      </x:c>
      <x:c r="W536" t="str">
        <x:v>PBk6/PY3/PG7</x:v>
      </x:c>
      <x:c r="X536" t="n">
        <x:f>IF(W536="",0,LEN(W536)-LEN(SUBSTITUTE(W536,"/",""))+1)</x:f>
        <x:v>3</x:v>
      </x:c>
      <x:c r="Y536" t="str">
        <x:v>H</x:v>
      </x:c>
      <x:c r="Z536" s="32" t="n">
        <x:v>1.67</x:v>
      </x:c>
      <x:c r="AA536" s="32" t="n">
        <x:v>3</x:v>
      </x:c>
      <x:c r="AB536" s="32" t="str">
        <x:v>Blue Wool Scale / UV 150h</x:v>
      </x:c>
      <x:c r="AC536" t="str">
        <x:v>#048969</x:v>
      </x:c>
      <x:c r="AD536" s="34" t="n">
        <x:v>4</x:v>
      </x:c>
      <x:c r="AE536" s="34" t="n">
        <x:v>137</x:v>
      </x:c>
      <x:c r="AF536" s="34" t="n">
        <x:v>105</x:v>
      </x:c>
      <x:c r="AG536" s="32" t="n">
        <x:v>165.56</x:v>
      </x:c>
      <x:c r="AH536" s="32" t="n">
        <x:v>94.33</x:v>
      </x:c>
      <x:c r="AI536" s="32" t="n">
        <x:v>27.65</x:v>
      </x:c>
      <x:c r="AJ536" s="32" t="n">
        <x:v>50.61</x:v>
      </x:c>
      <x:c r="AK536" s="32" t="n">
        <x:v>-39.5</x:v>
      </x:c>
      <x:c r="AL536" s="32" t="n">
        <x:v>8.42</x:v>
      </x:c>
      <x:c r="AM536" s="32" t="str">
        <x:v>#000000</x:v>
      </x:c>
      <x:c r="AN536" s="32" t="str">
        <x:v>Black</x:v>
      </x:c>
      <x:c r="AO536" s="32" t="n">
        <x:v>4.79</x:v>
      </x:c>
      <x:c r="AP536" s="32" t="n">
        <x:v>4.79</x:v>
      </x:c>
      <x:c r="AQ536" s="32" t="n">
        <x:v>4.39</x:v>
      </x:c>
      <x:c r="AR536" s="32" t="n">
        <x:v>0.189371</x:v>
      </x:c>
      <x:c r="AS536" t="str">
        <x:v>PASS</x:v>
      </x:c>
      <x:c r="AT536" t="str">
        <x:v>--cda-neo-215</x:v>
      </x:c>
      <x:c r="AU536" t="str">
        <x:v>var(--cda-neo-215)</x:v>
      </x:c>
      <x:c r="AV536" t="str">
        <x:v>Median RGB from official PDF swatch (screen reference only)</x:v>
      </x:c>
      <x:c r="AW536" t="str">
        <x:v>https://www.carandache.com/content_files/uploaded_doc/product/10595/Colour_Chart_NeoPastel.pdf</x:v>
      </x:c>
      <x:c r="AX536" t="n">
        <x:v>1</x:v>
      </x:c>
      <x:c r="AY536" t="str">
        <x:v>Official</x:v>
      </x:c>
      <x:c r="AZ536" t="str">
        <x:v>Official where available; curated Traditional Chinese/Japanese otherwise</x:v>
      </x:c>
      <x:c r="BA536" t="str">
        <x:v>Verified from official chart; digital HEX is approximate</x:v>
      </x:c>
      <x:c r="BB536" t="str">
        <x:v>Physical media appearance varies by paper, pressure, layering, water and scan/display profile.</x:v>
      </x:c>
    </x:row>
    <x:row r="537">
      <x:c r="A537" t="str">
        <x:f>G537&amp;"|"&amp;L537</x:f>
        <x:v>NEO|220</x:v>
      </x:c>
      <x:c r="B537" t="str">
        <x:v>c401eeee-91fe-5910-8834-d90d4cc4c144</x:v>
      </x:c>
      <x:c r="C537" t="str">
        <x:v>CDA-NEO-220</x:v>
      </x:c>
      <x:c r="D537" t="str">
        <x:v>69a03597-fa02-5bd4-9968-b3f74f6fcd04</x:v>
      </x:c>
      <x:c r="E537" t="str">
        <x:v>CDA-CODE-220</x:v>
      </x:c>
      <x:c r="F537" t="str">
        <x:v>Caran d’Ache</x:v>
      </x:c>
      <x:c r="G537" t="str">
        <x:v>NEO</x:v>
      </x:c>
      <x:c r="H537" t="str">
        <x:v>NEOPASTEL</x:v>
      </x:c>
      <x:c r="I537" t="str">
        <x:v>Extra-fine oil pastel</x:v>
      </x:c>
      <x:c r="J537" t="str">
        <x:v>Professional</x:v>
      </x:c>
      <x:c r="K537" s="30" t="n">
        <x:v>36</x:v>
      </x:c>
      <x:c r="L537" s="30" t="str">
        <x:v>220</x:v>
      </x:c>
      <x:c r="M537" t="str">
        <x:v>Grass Green</x:v>
      </x:c>
      <x:c r="N537" t="str">
        <x:v>草綠色</x:v>
      </x:c>
      <x:c r="O537" t="str">
        <x:v>グラスグリーン</x:v>
      </x:c>
      <x:c r="P537" t="str"/>
      <x:c r="Q537" t="str">
        <x:v>Vert Prairie</x:v>
      </x:c>
      <x:c r="R537" t="str">
        <x:v>Grasgrün</x:v>
      </x:c>
      <x:c r="S537" t="str">
        <x:v>Verde prato</x:v>
      </x:c>
      <x:c r="T537" t="str"/>
      <x:c r="U537" t="str">
        <x:v>Verde prato</x:v>
      </x:c>
      <x:c r="V537" t="str">
        <x:v>풀색</x:v>
      </x:c>
      <x:c r="W537" t="str">
        <x:v>PY1/PY3/PG7</x:v>
      </x:c>
      <x:c r="X537" t="n">
        <x:f>IF(W537="",0,LEN(W537)-LEN(SUBSTITUTE(W537,"/",""))+1)</x:f>
        <x:v>3</x:v>
      </x:c>
      <x:c r="Y537" t="str">
        <x:v>H</x:v>
      </x:c>
      <x:c r="Z537" s="32" t="n">
        <x:v>1.67</x:v>
      </x:c>
      <x:c r="AA537" s="32" t="n">
        <x:v>3</x:v>
      </x:c>
      <x:c r="AB537" s="32" t="str">
        <x:v>Blue Wool Scale / UV 150h</x:v>
      </x:c>
      <x:c r="AC537" t="str">
        <x:v>#2A973C</x:v>
      </x:c>
      <x:c r="AD537" s="34" t="n">
        <x:v>42</x:v>
      </x:c>
      <x:c r="AE537" s="34" t="n">
        <x:v>151</x:v>
      </x:c>
      <x:c r="AF537" s="34" t="n">
        <x:v>60</x:v>
      </x:c>
      <x:c r="AG537" s="32" t="n">
        <x:v>129.91</x:v>
      </x:c>
      <x:c r="AH537" s="32" t="n">
        <x:v>56.48</x:v>
      </x:c>
      <x:c r="AI537" s="32" t="n">
        <x:v>37.84</x:v>
      </x:c>
      <x:c r="AJ537" s="32" t="n">
        <x:v>55.02</x:v>
      </x:c>
      <x:c r="AK537" s="32" t="n">
        <x:v>-49.6</x:v>
      </x:c>
      <x:c r="AL537" s="32" t="n">
        <x:v>38.59</x:v>
      </x:c>
      <x:c r="AM537" s="32" t="str">
        <x:v>#000000</x:v>
      </x:c>
      <x:c r="AN537" s="32" t="str">
        <x:v>Black</x:v>
      </x:c>
      <x:c r="AO537" s="32" t="n">
        <x:v>5.59</x:v>
      </x:c>
      <x:c r="AP537" s="32" t="n">
        <x:v>5.59</x:v>
      </x:c>
      <x:c r="AQ537" s="32" t="n">
        <x:v>3.76</x:v>
      </x:c>
      <x:c r="AR537" s="32" t="n">
        <x:v>0.229517</x:v>
      </x:c>
      <x:c r="AS537" t="str">
        <x:v>PASS</x:v>
      </x:c>
      <x:c r="AT537" t="str">
        <x:v>--cda-neo-220</x:v>
      </x:c>
      <x:c r="AU537" t="str">
        <x:v>var(--cda-neo-220)</x:v>
      </x:c>
      <x:c r="AV537" t="str">
        <x:v>Median RGB from official PDF swatch (screen reference only)</x:v>
      </x:c>
      <x:c r="AW537" t="str">
        <x:v>https://www.carandache.com/content_files/uploaded_doc/product/10595/Colour_Chart_NeoPastel.pdf</x:v>
      </x:c>
      <x:c r="AX537" t="n">
        <x:v>1</x:v>
      </x:c>
      <x:c r="AY537" t="str">
        <x:v>Official</x:v>
      </x:c>
      <x:c r="AZ537" t="str">
        <x:v>Official where available; curated Traditional Chinese/Japanese otherwise</x:v>
      </x:c>
      <x:c r="BA537" t="str">
        <x:v>Verified from official chart; digital HEX is approximate</x:v>
      </x:c>
      <x:c r="BB537" t="str">
        <x:v>Physical media appearance varies by paper, pressure, layering, water and scan/display profile.</x:v>
      </x:c>
    </x:row>
    <x:row r="538">
      <x:c r="A538" t="str">
        <x:f>G538&amp;"|"&amp;L538</x:f>
        <x:v>NEO|230</x:v>
      </x:c>
      <x:c r="B538" t="str">
        <x:v>4b78b851-458d-5ab8-84ca-63b6cc83d2fb</x:v>
      </x:c>
      <x:c r="C538" t="str">
        <x:v>CDA-NEO-230</x:v>
      </x:c>
      <x:c r="D538" t="str">
        <x:v>d6bdf492-4bae-524b-9a86-07c3bd564bd9</x:v>
      </x:c>
      <x:c r="E538" t="str">
        <x:v>CDA-CODE-230</x:v>
      </x:c>
      <x:c r="F538" t="str">
        <x:v>Caran d’Ache</x:v>
      </x:c>
      <x:c r="G538" t="str">
        <x:v>NEO</x:v>
      </x:c>
      <x:c r="H538" t="str">
        <x:v>NEOPASTEL</x:v>
      </x:c>
      <x:c r="I538" t="str">
        <x:v>Extra-fine oil pastel</x:v>
      </x:c>
      <x:c r="J538" t="str">
        <x:v>Professional</x:v>
      </x:c>
      <x:c r="K538" s="30" t="n">
        <x:v>37</x:v>
      </x:c>
      <x:c r="L538" s="30" t="str">
        <x:v>230</x:v>
      </x:c>
      <x:c r="M538" t="str">
        <x:v>Yellow Green</x:v>
      </x:c>
      <x:c r="N538" t="str">
        <x:v>黃綠色</x:v>
      </x:c>
      <x:c r="O538" t="str">
        <x:v>イエローグリーン</x:v>
      </x:c>
      <x:c r="P538" t="str"/>
      <x:c r="Q538" t="str">
        <x:v>Vert Jaune</x:v>
      </x:c>
      <x:c r="R538" t="str">
        <x:v>Gelbgrün</x:v>
      </x:c>
      <x:c r="S538" t="str">
        <x:v>Verde giallo</x:v>
      </x:c>
      <x:c r="T538" t="str"/>
      <x:c r="U538" t="str">
        <x:v>Verde amarelado</x:v>
      </x:c>
      <x:c r="V538" t="str">
        <x:v>옐로우 그린</x:v>
      </x:c>
      <x:c r="W538" t="str">
        <x:v>PY3/PG7</x:v>
      </x:c>
      <x:c r="X538" t="n">
        <x:f>IF(W538="",0,LEN(W538)-LEN(SUBSTITUTE(W538,"/",""))+1)</x:f>
        <x:v>2</x:v>
      </x:c>
      <x:c r="Y538" t="str">
        <x:v>H</x:v>
      </x:c>
      <x:c r="Z538" s="32" t="n">
        <x:v>1.67</x:v>
      </x:c>
      <x:c r="AA538" s="32" t="n">
        <x:v>3</x:v>
      </x:c>
      <x:c r="AB538" s="32" t="str">
        <x:v>Blue Wool Scale / UV 150h</x:v>
      </x:c>
      <x:c r="AC538" t="str">
        <x:v>#ADC01E</x:v>
      </x:c>
      <x:c r="AD538" s="34" t="n">
        <x:v>173</x:v>
      </x:c>
      <x:c r="AE538" s="34" t="n">
        <x:v>192</x:v>
      </x:c>
      <x:c r="AF538" s="34" t="n">
        <x:v>30</x:v>
      </x:c>
      <x:c r="AG538" s="32" t="n">
        <x:v>67.04</x:v>
      </x:c>
      <x:c r="AH538" s="32" t="n">
        <x:v>72.97</x:v>
      </x:c>
      <x:c r="AI538" s="32" t="n">
        <x:v>43.53</x:v>
      </x:c>
      <x:c r="AJ538" s="32" t="n">
        <x:v>73.98</x:v>
      </x:c>
      <x:c r="AK538" s="32" t="n">
        <x:v>-25.03</x:v>
      </x:c>
      <x:c r="AL538" s="32" t="n">
        <x:v>70.26</x:v>
      </x:c>
      <x:c r="AM538" s="32" t="str">
        <x:v>#000000</x:v>
      </x:c>
      <x:c r="AN538" s="32" t="str">
        <x:v>Black</x:v>
      </x:c>
      <x:c r="AO538" s="32" t="n">
        <x:v>10.34</x:v>
      </x:c>
      <x:c r="AP538" s="32" t="n">
        <x:v>10.34</x:v>
      </x:c>
      <x:c r="AQ538" s="32" t="n">
        <x:v>2.03</x:v>
      </x:c>
      <x:c r="AR538" s="32" t="n">
        <x:v>0.466772</x:v>
      </x:c>
      <x:c r="AS538" t="str">
        <x:v>PASS</x:v>
      </x:c>
      <x:c r="AT538" t="str">
        <x:v>--cda-neo-230</x:v>
      </x:c>
      <x:c r="AU538" t="str">
        <x:v>var(--cda-neo-230)</x:v>
      </x:c>
      <x:c r="AV538" t="str">
        <x:v>Median RGB from official PDF swatch (screen reference only)</x:v>
      </x:c>
      <x:c r="AW538" t="str">
        <x:v>https://www.carandache.com/content_files/uploaded_doc/product/10595/Colour_Chart_NeoPastel.pdf</x:v>
      </x:c>
      <x:c r="AX538" t="n">
        <x:v>1</x:v>
      </x:c>
      <x:c r="AY538" t="str">
        <x:v>Official</x:v>
      </x:c>
      <x:c r="AZ538" t="str">
        <x:v>Official where available; curated Traditional Chinese/Japanese otherwise</x:v>
      </x:c>
      <x:c r="BA538" t="str">
        <x:v>Verified from official chart; digital HEX is approximate</x:v>
      </x:c>
      <x:c r="BB538" t="str">
        <x:v>Physical media appearance varies by paper, pressure, layering, water and scan/display profile.</x:v>
      </x:c>
    </x:row>
    <x:row r="539">
      <x:c r="A539" t="str">
        <x:f>G539&amp;"|"&amp;L539</x:f>
        <x:v>NEO|470</x:v>
      </x:c>
      <x:c r="B539" t="str">
        <x:v>3ce5a573-6a66-54b7-ae42-82af4cd327db</x:v>
      </x:c>
      <x:c r="C539" t="str">
        <x:v>CDA-NEO-470</x:v>
      </x:c>
      <x:c r="D539" t="str">
        <x:v>e5fd455d-0e91-54ba-bac2-04493fa22e11</x:v>
      </x:c>
      <x:c r="E539" t="str">
        <x:v>CDA-CODE-470</x:v>
      </x:c>
      <x:c r="F539" t="str">
        <x:v>Caran d’Ache</x:v>
      </x:c>
      <x:c r="G539" t="str">
        <x:v>NEO</x:v>
      </x:c>
      <x:c r="H539" t="str">
        <x:v>NEOPASTEL</x:v>
      </x:c>
      <x:c r="I539" t="str">
        <x:v>Extra-fine oil pastel</x:v>
      </x:c>
      <x:c r="J539" t="str">
        <x:v>Professional</x:v>
      </x:c>
      <x:c r="K539" s="30" t="n">
        <x:v>38</x:v>
      </x:c>
      <x:c r="L539" s="30" t="str">
        <x:v>470</x:v>
      </x:c>
      <x:c r="M539" t="str">
        <x:v>Spring Green</x:v>
      </x:c>
      <x:c r="N539" t="str">
        <x:v>春綠色</x:v>
      </x:c>
      <x:c r="O539" t="str">
        <x:v>スプリンググリーン</x:v>
      </x:c>
      <x:c r="P539" t="str"/>
      <x:c r="Q539" t="str">
        <x:v>Vert de Mai</x:v>
      </x:c>
      <x:c r="R539" t="str">
        <x:v>Maigrün</x:v>
      </x:c>
      <x:c r="S539" t="str">
        <x:v>Verde primavera</x:v>
      </x:c>
      <x:c r="T539" t="str"/>
      <x:c r="U539" t="str">
        <x:v>Verde maio</x:v>
      </x:c>
      <x:c r="V539" t="str">
        <x:v>스프링 그린</x:v>
      </x:c>
      <x:c r="W539" t="str">
        <x:v>PG7/PY3</x:v>
      </x:c>
      <x:c r="X539" t="n">
        <x:f>IF(W539="",0,LEN(W539)-LEN(SUBSTITUTE(W539,"/",""))+1)</x:f>
        <x:v>2</x:v>
      </x:c>
      <x:c r="Y539" t="str">
        <x:v>H</x:v>
      </x:c>
      <x:c r="Z539" s="32" t="n">
        <x:v>1.67</x:v>
      </x:c>
      <x:c r="AA539" s="32" t="n">
        <x:v>3</x:v>
      </x:c>
      <x:c r="AB539" s="32" t="str">
        <x:v>Blue Wool Scale / UV 150h</x:v>
      </x:c>
      <x:c r="AC539" t="str">
        <x:v>#95BF4A</x:v>
      </x:c>
      <x:c r="AD539" s="34" t="n">
        <x:v>149</x:v>
      </x:c>
      <x:c r="AE539" s="34" t="n">
        <x:v>191</x:v>
      </x:c>
      <x:c r="AF539" s="34" t="n">
        <x:v>74</x:v>
      </x:c>
      <x:c r="AG539" s="32" t="n">
        <x:v>81.54</x:v>
      </x:c>
      <x:c r="AH539" s="32" t="n">
        <x:v>47.76</x:v>
      </x:c>
      <x:c r="AI539" s="32" t="n">
        <x:v>51.96</x:v>
      </x:c>
      <x:c r="AJ539" s="32" t="n">
        <x:v>72.33</x:v>
      </x:c>
      <x:c r="AK539" s="32" t="n">
        <x:v>-31.93</x:v>
      </x:c>
      <x:c r="AL539" s="32" t="n">
        <x:v>53.06</x:v>
      </x:c>
      <x:c r="AM539" s="32" t="str">
        <x:v>#000000</x:v>
      </x:c>
      <x:c r="AN539" s="32" t="str">
        <x:v>Black</x:v>
      </x:c>
      <x:c r="AO539" s="32" t="n">
        <x:v>9.83</x:v>
      </x:c>
      <x:c r="AP539" s="32" t="n">
        <x:v>9.83</x:v>
      </x:c>
      <x:c r="AQ539" s="32" t="n">
        <x:v>2.14</x:v>
      </x:c>
      <x:c r="AR539" s="32" t="n">
        <x:v>0.441456</x:v>
      </x:c>
      <x:c r="AS539" t="str">
        <x:v>PASS</x:v>
      </x:c>
      <x:c r="AT539" t="str">
        <x:v>--cda-neo-470</x:v>
      </x:c>
      <x:c r="AU539" t="str">
        <x:v>var(--cda-neo-470)</x:v>
      </x:c>
      <x:c r="AV539" t="str">
        <x:v>Median RGB from official PDF swatch (screen reference only)</x:v>
      </x:c>
      <x:c r="AW539" t="str">
        <x:v>https://www.carandache.com/content_files/uploaded_doc/product/10595/Colour_Chart_NeoPastel.pdf</x:v>
      </x:c>
      <x:c r="AX539" t="n">
        <x:v>1</x:v>
      </x:c>
      <x:c r="AY539" t="str">
        <x:v>Official</x:v>
      </x:c>
      <x:c r="AZ539" t="str">
        <x:v>Official where available; curated Traditional Chinese/Japanese otherwise</x:v>
      </x:c>
      <x:c r="BA539" t="str">
        <x:v>Verified from official chart; digital HEX is approximate</x:v>
      </x:c>
      <x:c r="BB539" t="str">
        <x:v>Physical media appearance varies by paper, pressure, layering, water and scan/display profile.</x:v>
      </x:c>
    </x:row>
    <x:row r="540">
      <x:c r="A540" t="str">
        <x:f>G540&amp;"|"&amp;L540</x:f>
        <x:v>NEO|231</x:v>
      </x:c>
      <x:c r="B540" t="str">
        <x:v>8ff027ef-b06f-5239-8c62-320fb6f37872</x:v>
      </x:c>
      <x:c r="C540" t="str">
        <x:v>CDA-NEO-231</x:v>
      </x:c>
      <x:c r="D540" t="str">
        <x:v>8d5c3121-4cf0-53c5-8e3b-540d6f1e1304</x:v>
      </x:c>
      <x:c r="E540" t="str">
        <x:v>CDA-CODE-231</x:v>
      </x:c>
      <x:c r="F540" t="str">
        <x:v>Caran d’Ache</x:v>
      </x:c>
      <x:c r="G540" t="str">
        <x:v>NEO</x:v>
      </x:c>
      <x:c r="H540" t="str">
        <x:v>NEOPASTEL</x:v>
      </x:c>
      <x:c r="I540" t="str">
        <x:v>Extra-fine oil pastel</x:v>
      </x:c>
      <x:c r="J540" t="str">
        <x:v>Professional</x:v>
      </x:c>
      <x:c r="K540" s="30" t="n">
        <x:v>39</x:v>
      </x:c>
      <x:c r="L540" s="30" t="str">
        <x:v>231</x:v>
      </x:c>
      <x:c r="M540" t="str">
        <x:v>Lime green</x:v>
      </x:c>
      <x:c r="N540" t="str">
        <x:v>萊姆綠</x:v>
      </x:c>
      <x:c r="O540" t="str">
        <x:v>ライムグリーン</x:v>
      </x:c>
      <x:c r="P540" t="str"/>
      <x:c r="Q540" t="str">
        <x:v>Vert tilleul</x:v>
      </x:c>
      <x:c r="R540" t="str">
        <x:v>Lindengrün</x:v>
      </x:c>
      <x:c r="S540" t="str">
        <x:v>Verde tiglio</x:v>
      </x:c>
      <x:c r="T540" t="str"/>
      <x:c r="U540" t="str">
        <x:v>Verde tília</x:v>
      </x:c>
      <x:c r="V540" t="str">
        <x:v>라임그린</x:v>
      </x:c>
      <x:c r="W540" t="str">
        <x:v>PY3/PG7</x:v>
      </x:c>
      <x:c r="X540" t="n">
        <x:f>IF(W540="",0,LEN(W540)-LEN(SUBSTITUTE(W540,"/",""))+1)</x:f>
        <x:v>2</x:v>
      </x:c>
      <x:c r="Y540" t="str">
        <x:v>H</x:v>
      </x:c>
      <x:c r="Z540" s="32" t="n">
        <x:v>1.67</x:v>
      </x:c>
      <x:c r="AA540" s="32" t="n">
        <x:v>3</x:v>
      </x:c>
      <x:c r="AB540" s="32" t="str">
        <x:v>Blue Wool Scale / UV 150h</x:v>
      </x:c>
      <x:c r="AC540" t="str">
        <x:v>#B5CD67</x:v>
      </x:c>
      <x:c r="AD540" s="34" t="n">
        <x:v>181</x:v>
      </x:c>
      <x:c r="AE540" s="34" t="n">
        <x:v>205</x:v>
      </x:c>
      <x:c r="AF540" s="34" t="n">
        <x:v>103</x:v>
      </x:c>
      <x:c r="AG540" s="32" t="n">
        <x:v>74.12</x:v>
      </x:c>
      <x:c r="AH540" s="32" t="n">
        <x:v>50.5</x:v>
      </x:c>
      <x:c r="AI540" s="32" t="n">
        <x:v>60.39</x:v>
      </x:c>
      <x:c r="AJ540" s="32" t="n">
        <x:v>78.73</x:v>
      </x:c>
      <x:c r="AK540" s="32" t="n">
        <x:v>-23.5</x:v>
      </x:c>
      <x:c r="AL540" s="32" t="n">
        <x:v>47.67</x:v>
      </x:c>
      <x:c r="AM540" s="32" t="str">
        <x:v>#000000</x:v>
      </x:c>
      <x:c r="AN540" s="32" t="str">
        <x:v>Black</x:v>
      </x:c>
      <x:c r="AO540" s="32" t="n">
        <x:v>11.89</x:v>
      </x:c>
      <x:c r="AP540" s="32" t="n">
        <x:v>11.89</x:v>
      </x:c>
      <x:c r="AQ540" s="32" t="n">
        <x:v>1.77</x:v>
      </x:c>
      <x:c r="AR540" s="32" t="n">
        <x:v>0.544657</x:v>
      </x:c>
      <x:c r="AS540" t="str">
        <x:v>PASS</x:v>
      </x:c>
      <x:c r="AT540" t="str">
        <x:v>--cda-neo-231</x:v>
      </x:c>
      <x:c r="AU540" t="str">
        <x:v>var(--cda-neo-231)</x:v>
      </x:c>
      <x:c r="AV540" t="str">
        <x:v>Median RGB from official PDF swatch (screen reference only)</x:v>
      </x:c>
      <x:c r="AW540" t="str">
        <x:v>https://www.carandache.com/content_files/uploaded_doc/product/10595/Colour_Chart_NeoPastel.pdf</x:v>
      </x:c>
      <x:c r="AX540" t="n">
        <x:v>1</x:v>
      </x:c>
      <x:c r="AY540" t="str">
        <x:v>Official</x:v>
      </x:c>
      <x:c r="AZ540" t="str">
        <x:v>Official where available; curated Traditional Chinese/Japanese otherwise</x:v>
      </x:c>
      <x:c r="BA540" t="str">
        <x:v>Verified from official chart; digital HEX is approximate</x:v>
      </x:c>
      <x:c r="BB540" t="str">
        <x:v>Physical media appearance varies by paper, pressure, layering, water and scan/display profile.</x:v>
      </x:c>
    </x:row>
    <x:row r="541">
      <x:c r="A541" t="str">
        <x:f>G541&amp;"|"&amp;L541</x:f>
        <x:v>NEO|011</x:v>
      </x:c>
      <x:c r="B541" t="str">
        <x:v>6169c030-7a14-53f0-bac4-73733d556f80</x:v>
      </x:c>
      <x:c r="C541" t="str">
        <x:v>CDA-NEO-011</x:v>
      </x:c>
      <x:c r="D541" t="str">
        <x:v>43a8d005-d4eb-5d75-b7e7-67ed5cabd5f4</x:v>
      </x:c>
      <x:c r="E541" t="str">
        <x:v>CDA-CODE-011</x:v>
      </x:c>
      <x:c r="F541" t="str">
        <x:v>Caran d’Ache</x:v>
      </x:c>
      <x:c r="G541" t="str">
        <x:v>NEO</x:v>
      </x:c>
      <x:c r="H541" t="str">
        <x:v>NEOPASTEL</x:v>
      </x:c>
      <x:c r="I541" t="str">
        <x:v>Extra-fine oil pastel</x:v>
      </x:c>
      <x:c r="J541" t="str">
        <x:v>Professional</x:v>
      </x:c>
      <x:c r="K541" s="30" t="n">
        <x:v>40</x:v>
      </x:c>
      <x:c r="L541" s="30" t="str">
        <x:v>011</x:v>
      </x:c>
      <x:c r="M541" t="str">
        <x:v>Pale yellow</x:v>
      </x:c>
      <x:c r="N541" t="str">
        <x:v>淡黃色</x:v>
      </x:c>
      <x:c r="O541" t="str">
        <x:v>ペールイエロー</x:v>
      </x:c>
      <x:c r="P541" t="str"/>
      <x:c r="Q541" t="str">
        <x:v>Jaune lumière</x:v>
      </x:c>
      <x:c r="R541" t="str">
        <x:v>Lichtgelb</x:v>
      </x:c>
      <x:c r="S541" t="str">
        <x:v>Giallo Chiaro</x:v>
      </x:c>
      <x:c r="T541" t="str"/>
      <x:c r="U541" t="str">
        <x:v>Amarelo luminoso</x:v>
      </x:c>
      <x:c r="V541" t="str">
        <x:v>담황색</x:v>
      </x:c>
      <x:c r="W541" t="str">
        <x:v>PY1</x:v>
      </x:c>
      <x:c r="X541" t="n">
        <x:f>IF(W541="",0,LEN(W541)-LEN(SUBSTITUTE(W541,"/",""))+1)</x:f>
        <x:v>1</x:v>
      </x:c>
      <x:c r="Y541" t="str">
        <x:v>H</x:v>
      </x:c>
      <x:c r="Z541" s="32" t="n">
        <x:v>1.67</x:v>
      </x:c>
      <x:c r="AA541" s="32" t="n">
        <x:v>3</x:v>
      </x:c>
      <x:c r="AB541" s="32" t="str">
        <x:v>Blue Wool Scale / UV 150h</x:v>
      </x:c>
      <x:c r="AC541" t="str">
        <x:v>#EFEAAF</x:v>
      </x:c>
      <x:c r="AD541" s="34" t="n">
        <x:v>239</x:v>
      </x:c>
      <x:c r="AE541" s="34" t="n">
        <x:v>234</x:v>
      </x:c>
      <x:c r="AF541" s="34" t="n">
        <x:v>175</x:v>
      </x:c>
      <x:c r="AG541" s="32" t="n">
        <x:v>55.31</x:v>
      </x:c>
      <x:c r="AH541" s="32" t="n">
        <x:v>66.67</x:v>
      </x:c>
      <x:c r="AI541" s="32" t="n">
        <x:v>81.18</x:v>
      </x:c>
      <x:c r="AJ541" s="32" t="n">
        <x:v>91.82</x:v>
      </x:c>
      <x:c r="AK541" s="32" t="n">
        <x:v>-7.34</x:v>
      </x:c>
      <x:c r="AL541" s="32" t="n">
        <x:v>29.34</x:v>
      </x:c>
      <x:c r="AM541" s="32" t="str">
        <x:v>#000000</x:v>
      </x:c>
      <x:c r="AN541" s="32" t="str">
        <x:v>Black</x:v>
      </x:c>
      <x:c r="AO541" s="32" t="n">
        <x:v>17.06</x:v>
      </x:c>
      <x:c r="AP541" s="32" t="n">
        <x:v>17.06</x:v>
      </x:c>
      <x:c r="AQ541" s="32" t="n">
        <x:v>1.23</x:v>
      </x:c>
      <x:c r="AR541" s="32" t="n">
        <x:v>0.802915</x:v>
      </x:c>
      <x:c r="AS541" t="str">
        <x:v>PASS</x:v>
      </x:c>
      <x:c r="AT541" t="str">
        <x:v>--cda-neo-011</x:v>
      </x:c>
      <x:c r="AU541" t="str">
        <x:v>var(--cda-neo-011)</x:v>
      </x:c>
      <x:c r="AV541" t="str">
        <x:v>Median RGB from official PDF swatch (screen reference only)</x:v>
      </x:c>
      <x:c r="AW541" t="str">
        <x:v>https://www.carandache.com/content_files/uploaded_doc/product/10595/Colour_Chart_NeoPastel.pdf</x:v>
      </x:c>
      <x:c r="AX541" t="n">
        <x:v>1</x:v>
      </x:c>
      <x:c r="AY541" t="str">
        <x:v>Official</x:v>
      </x:c>
      <x:c r="AZ541" t="str">
        <x:v>Official where available; curated Traditional Chinese/Japanese otherwise</x:v>
      </x:c>
      <x:c r="BA541" t="str">
        <x:v>Verified from official chart; digital HEX is approximate</x:v>
      </x:c>
      <x:c r="BB541" t="str">
        <x:v>Physical media appearance varies by paper, pressure, layering, water and scan/display profile.</x:v>
      </x:c>
    </x:row>
    <x:row r="542">
      <x:c r="A542" t="str">
        <x:f>G542&amp;"|"&amp;L542</x:f>
        <x:v>NEO|031</x:v>
      </x:c>
      <x:c r="B542" t="str">
        <x:v>e9e73c75-c89b-5dab-8f81-730c99853fa7</x:v>
      </x:c>
      <x:c r="C542" t="str">
        <x:v>CDA-NEO-031</x:v>
      </x:c>
      <x:c r="D542" t="str">
        <x:v>f7a139ed-9b9b-504e-8c44-0aed7906baf0</x:v>
      </x:c>
      <x:c r="E542" t="str">
        <x:v>CDA-CODE-031</x:v>
      </x:c>
      <x:c r="F542" t="str">
        <x:v>Caran d’Ache</x:v>
      </x:c>
      <x:c r="G542" t="str">
        <x:v>NEO</x:v>
      </x:c>
      <x:c r="H542" t="str">
        <x:v>NEOPASTEL</x:v>
      </x:c>
      <x:c r="I542" t="str">
        <x:v>Extra-fine oil pastel</x:v>
      </x:c>
      <x:c r="J542" t="str">
        <x:v>Professional</x:v>
      </x:c>
      <x:c r="K542" s="30" t="n">
        <x:v>41</x:v>
      </x:c>
      <x:c r="L542" s="30" t="str">
        <x:v>031</x:v>
      </x:c>
      <x:c r="M542" t="str">
        <x:v>Orangish yellow</x:v>
      </x:c>
      <x:c r="N542" t="str">
        <x:v>橙黃色</x:v>
      </x:c>
      <x:c r="O542" t="str">
        <x:v>オレンジイエロー</x:v>
      </x:c>
      <x:c r="P542" t="str"/>
      <x:c r="Q542" t="str">
        <x:v>Jaune paille</x:v>
      </x:c>
      <x:c r="R542" t="str">
        <x:v>Hellorange</x:v>
      </x:c>
      <x:c r="S542" t="str">
        <x:v>Giallo paglia</x:v>
      </x:c>
      <x:c r="T542" t="str"/>
      <x:c r="U542" t="str">
        <x:v>Amarelo palha</x:v>
      </x:c>
      <x:c r="V542" t="str">
        <x:v>오렌지빛 노랑색</x:v>
      </x:c>
      <x:c r="W542" t="str">
        <x:v>PO62/PY1</x:v>
      </x:c>
      <x:c r="X542" t="n">
        <x:f>IF(W542="",0,LEN(W542)-LEN(SUBSTITUTE(W542,"/",""))+1)</x:f>
        <x:v>2</x:v>
      </x:c>
      <x:c r="Y542" t="str">
        <x:v>H</x:v>
      </x:c>
      <x:c r="Z542" s="32" t="n">
        <x:v>1.67</x:v>
      </x:c>
      <x:c r="AA542" s="32" t="n">
        <x:v>3</x:v>
      </x:c>
      <x:c r="AB542" s="32" t="str">
        <x:v>Blue Wool Scale / UV 150h</x:v>
      </x:c>
      <x:c r="AC542" t="str">
        <x:v>#F2B740</x:v>
      </x:c>
      <x:c r="AD542" s="34" t="n">
        <x:v>242</x:v>
      </x:c>
      <x:c r="AE542" s="34" t="n">
        <x:v>183</x:v>
      </x:c>
      <x:c r="AF542" s="34" t="n">
        <x:v>64</x:v>
      </x:c>
      <x:c r="AG542" s="32" t="n">
        <x:v>40.11</x:v>
      </x:c>
      <x:c r="AH542" s="32" t="n">
        <x:v>87.25</x:v>
      </x:c>
      <x:c r="AI542" s="32" t="n">
        <x:v>60</x:v>
      </x:c>
      <x:c r="AJ542" s="32" t="n">
        <x:v>77.94</x:v>
      </x:c>
      <x:c r="AK542" s="32" t="n">
        <x:v>10.41</x:v>
      </x:c>
      <x:c r="AL542" s="32" t="n">
        <x:v>65.47</x:v>
      </x:c>
      <x:c r="AM542" s="32" t="str">
        <x:v>#000000</x:v>
      </x:c>
      <x:c r="AN542" s="32" t="str">
        <x:v>Black</x:v>
      </x:c>
      <x:c r="AO542" s="32" t="n">
        <x:v>11.62</x:v>
      </x:c>
      <x:c r="AP542" s="32" t="n">
        <x:v>11.62</x:v>
      </x:c>
      <x:c r="AQ542" s="32" t="n">
        <x:v>1.81</x:v>
      </x:c>
      <x:c r="AR542" s="32" t="n">
        <x:v>0.531144</x:v>
      </x:c>
      <x:c r="AS542" t="str">
        <x:v>PASS</x:v>
      </x:c>
      <x:c r="AT542" t="str">
        <x:v>--cda-neo-031</x:v>
      </x:c>
      <x:c r="AU542" t="str">
        <x:v>var(--cda-neo-031)</x:v>
      </x:c>
      <x:c r="AV542" t="str">
        <x:v>Median RGB from official PDF swatch (screen reference only)</x:v>
      </x:c>
      <x:c r="AW542" t="str">
        <x:v>https://www.carandache.com/content_files/uploaded_doc/product/10595/Colour_Chart_NeoPastel.pdf</x:v>
      </x:c>
      <x:c r="AX542" t="n">
        <x:v>1</x:v>
      </x:c>
      <x:c r="AY542" t="str">
        <x:v>Official</x:v>
      </x:c>
      <x:c r="AZ542" t="str">
        <x:v>Official where available; curated Traditional Chinese/Japanese otherwise</x:v>
      </x:c>
      <x:c r="BA542" t="str">
        <x:v>Verified from official chart; digital HEX is approximate</x:v>
      </x:c>
      <x:c r="BB542" t="str">
        <x:v>Physical media appearance varies by paper, pressure, layering, water and scan/display profile.</x:v>
      </x:c>
    </x:row>
    <x:row r="543">
      <x:c r="A543" t="str">
        <x:f>G543&amp;"|"&amp;L543</x:f>
        <x:v>NEO|051</x:v>
      </x:c>
      <x:c r="B543" t="str">
        <x:v>9a965720-264e-5253-ab68-36eb49a3aa6b</x:v>
      </x:c>
      <x:c r="C543" t="str">
        <x:v>CDA-NEO-051</x:v>
      </x:c>
      <x:c r="D543" t="str">
        <x:v>ba3d6fa0-5853-50ec-bfad-2bc45415ef04</x:v>
      </x:c>
      <x:c r="E543" t="str">
        <x:v>CDA-CODE-051</x:v>
      </x:c>
      <x:c r="F543" t="str">
        <x:v>Caran d’Ache</x:v>
      </x:c>
      <x:c r="G543" t="str">
        <x:v>NEO</x:v>
      </x:c>
      <x:c r="H543" t="str">
        <x:v>NEOPASTEL</x:v>
      </x:c>
      <x:c r="I543" t="str">
        <x:v>Extra-fine oil pastel</x:v>
      </x:c>
      <x:c r="J543" t="str">
        <x:v>Professional</x:v>
      </x:c>
      <x:c r="K543" s="30" t="n">
        <x:v>42</x:v>
      </x:c>
      <x:c r="L543" s="30" t="str">
        <x:v>051</x:v>
      </x:c>
      <x:c r="M543" t="str">
        <x:v>Salmon</x:v>
      </x:c>
      <x:c r="N543" t="str">
        <x:v>鮭魚色</x:v>
      </x:c>
      <x:c r="O543" t="str">
        <x:v>サーモン</x:v>
      </x:c>
      <x:c r="P543" t="str"/>
      <x:c r="Q543" t="str">
        <x:v>Saumon</x:v>
      </x:c>
      <x:c r="R543" t="str">
        <x:v>Lachsrot</x:v>
      </x:c>
      <x:c r="S543" t="str">
        <x:v>Salmone</x:v>
      </x:c>
      <x:c r="T543" t="str"/>
      <x:c r="U543" t="str">
        <x:v>Salmão</x:v>
      </x:c>
      <x:c r="V543" t="str">
        <x:v>연어빛색</x:v>
      </x:c>
      <x:c r="W543" t="str">
        <x:v>PR168/PO62</x:v>
      </x:c>
      <x:c r="X543" t="n">
        <x:f>IF(W543="",0,LEN(W543)-LEN(SUBSTITUTE(W543,"/",""))+1)</x:f>
        <x:v>2</x:v>
      </x:c>
      <x:c r="Y543" t="str">
        <x:v>H</x:v>
      </x:c>
      <x:c r="Z543" s="32" t="n">
        <x:v>1.67</x:v>
      </x:c>
      <x:c r="AA543" s="32" t="n">
        <x:v>3</x:v>
      </x:c>
      <x:c r="AB543" s="32" t="str">
        <x:v>Blue Wool Scale / UV 150h</x:v>
      </x:c>
      <x:c r="AC543" t="str">
        <x:v>#ECAB82</x:v>
      </x:c>
      <x:c r="AD543" s="34" t="n">
        <x:v>236</x:v>
      </x:c>
      <x:c r="AE543" s="34" t="n">
        <x:v>171</x:v>
      </x:c>
      <x:c r="AF543" s="34" t="n">
        <x:v>130</x:v>
      </x:c>
      <x:c r="AG543" s="32" t="n">
        <x:v>23.21</x:v>
      </x:c>
      <x:c r="AH543" s="32" t="n">
        <x:v>73.61</x:v>
      </x:c>
      <x:c r="AI543" s="32" t="n">
        <x:v>71.76</x:v>
      </x:c>
      <x:c r="AJ543" s="32" t="n">
        <x:v>75.19</x:v>
      </x:c>
      <x:c r="AK543" s="32" t="n">
        <x:v>18.98</x:v>
      </x:c>
      <x:c r="AL543" s="32" t="n">
        <x:v>30.51</x:v>
      </x:c>
      <x:c r="AM543" s="32" t="str">
        <x:v>#000000</x:v>
      </x:c>
      <x:c r="AN543" s="32" t="str">
        <x:v>Black</x:v>
      </x:c>
      <x:c r="AO543" s="32" t="n">
        <x:v>10.71</x:v>
      </x:c>
      <x:c r="AP543" s="32" t="n">
        <x:v>10.71</x:v>
      </x:c>
      <x:c r="AQ543" s="32" t="n">
        <x:v>1.96</x:v>
      </x:c>
      <x:c r="AR543" s="32" t="n">
        <x:v>0.485704</x:v>
      </x:c>
      <x:c r="AS543" t="str">
        <x:v>PASS</x:v>
      </x:c>
      <x:c r="AT543" t="str">
        <x:v>--cda-neo-051</x:v>
      </x:c>
      <x:c r="AU543" t="str">
        <x:v>var(--cda-neo-051)</x:v>
      </x:c>
      <x:c r="AV543" t="str">
        <x:v>Median RGB from official PDF swatch (screen reference only)</x:v>
      </x:c>
      <x:c r="AW543" t="str">
        <x:v>https://www.carandache.com/content_files/uploaded_doc/product/10595/Colour_Chart_NeoPastel.pdf</x:v>
      </x:c>
      <x:c r="AX543" t="n">
        <x:v>1</x:v>
      </x:c>
      <x:c r="AY543" t="str">
        <x:v>Official</x:v>
      </x:c>
      <x:c r="AZ543" t="str">
        <x:v>Official where available; curated Traditional Chinese/Japanese otherwise</x:v>
      </x:c>
      <x:c r="BA543" t="str">
        <x:v>Verified from official chart; digital HEX is approximate</x:v>
      </x:c>
      <x:c r="BB543" t="str">
        <x:v>Physical media appearance varies by paper, pressure, layering, water and scan/display profile.</x:v>
      </x:c>
    </x:row>
    <x:row r="544">
      <x:c r="A544" t="str">
        <x:f>G544&amp;"|"&amp;L544</x:f>
        <x:v>NEO|493</x:v>
      </x:c>
      <x:c r="B544" t="str">
        <x:v>38d8c506-a3e6-5bb9-a908-a3542d350871</x:v>
      </x:c>
      <x:c r="C544" t="str">
        <x:v>CDA-NEO-493</x:v>
      </x:c>
      <x:c r="D544" t="str">
        <x:v>1f225a02-e19a-5ba5-afe7-19744aaa8e3e</x:v>
      </x:c>
      <x:c r="E544" t="str">
        <x:v>CDA-CODE-493</x:v>
      </x:c>
      <x:c r="F544" t="str">
        <x:v>Caran d’Ache</x:v>
      </x:c>
      <x:c r="G544" t="str">
        <x:v>NEO</x:v>
      </x:c>
      <x:c r="H544" t="str">
        <x:v>NEOPASTEL</x:v>
      </x:c>
      <x:c r="I544" t="str">
        <x:v>Extra-fine oil pastel</x:v>
      </x:c>
      <x:c r="J544" t="str">
        <x:v>Professional</x:v>
      </x:c>
      <x:c r="K544" s="30" t="n">
        <x:v>43</x:v>
      </x:c>
      <x:c r="L544" s="30" t="str">
        <x:v>493</x:v>
      </x:c>
      <x:c r="M544" t="str">
        <x:v>Granite rose</x:v>
      </x:c>
      <x:c r="N544" t="str">
        <x:v>花崗岩粉紅</x:v>
      </x:c>
      <x:c r="O544" t="str">
        <x:v>グラナイトローズ</x:v>
      </x:c>
      <x:c r="P544" t="str"/>
      <x:c r="Q544" t="str">
        <x:v>Granit rose</x:v>
      </x:c>
      <x:c r="R544" t="str">
        <x:v>Rosagranit</x:v>
      </x:c>
      <x:c r="S544" t="str">
        <x:v>Granito rosa</x:v>
      </x:c>
      <x:c r="T544" t="str"/>
      <x:c r="U544" t="str">
        <x:v>Granito rosa</x:v>
      </x:c>
      <x:c r="V544" t="str">
        <x:v>화강암색</x:v>
      </x:c>
      <x:c r="W544" t="str">
        <x:v>PR101</x:v>
      </x:c>
      <x:c r="X544" t="n">
        <x:f>IF(W544="",0,LEN(W544)-LEN(SUBSTITUTE(W544,"/",""))+1)</x:f>
        <x:v>1</x:v>
      </x:c>
      <x:c r="Y544" t="str">
        <x:v>H</x:v>
      </x:c>
      <x:c r="Z544" s="32" t="n">
        <x:v>1.67</x:v>
      </x:c>
      <x:c r="AA544" s="32" t="n">
        <x:v>3</x:v>
      </x:c>
      <x:c r="AB544" s="32" t="str">
        <x:v>Blue Wool Scale / UV 150h</x:v>
      </x:c>
      <x:c r="AC544" t="str">
        <x:v>#F1C8C1</x:v>
      </x:c>
      <x:c r="AD544" s="34" t="n">
        <x:v>241</x:v>
      </x:c>
      <x:c r="AE544" s="34" t="n">
        <x:v>200</x:v>
      </x:c>
      <x:c r="AF544" s="34" t="n">
        <x:v>193</x:v>
      </x:c>
      <x:c r="AG544" s="32" t="n">
        <x:v>8.75</x:v>
      </x:c>
      <x:c r="AH544" s="32" t="n">
        <x:v>63.16</x:v>
      </x:c>
      <x:c r="AI544" s="32" t="n">
        <x:v>85.1</x:v>
      </x:c>
      <x:c r="AJ544" s="32" t="n">
        <x:v>83.89</x:v>
      </x:c>
      <x:c r="AK544" s="32" t="n">
        <x:v>13.43</x:v>
      </x:c>
      <x:c r="AL544" s="32" t="n">
        <x:v>8.94</x:v>
      </x:c>
      <x:c r="AM544" s="32" t="str">
        <x:v>#000000</x:v>
      </x:c>
      <x:c r="AN544" s="32" t="str">
        <x:v>Black</x:v>
      </x:c>
      <x:c r="AO544" s="32" t="n">
        <x:v>13.77</x:v>
      </x:c>
      <x:c r="AP544" s="32" t="n">
        <x:v>13.77</x:v>
      </x:c>
      <x:c r="AQ544" s="32" t="n">
        <x:v>1.52</x:v>
      </x:c>
      <x:c r="AR544" s="32" t="n">
        <x:v>0.638596</x:v>
      </x:c>
      <x:c r="AS544" t="str">
        <x:v>PASS</x:v>
      </x:c>
      <x:c r="AT544" t="str">
        <x:v>--cda-neo-493</x:v>
      </x:c>
      <x:c r="AU544" t="str">
        <x:v>var(--cda-neo-493)</x:v>
      </x:c>
      <x:c r="AV544" t="str">
        <x:v>Median RGB from official PDF swatch (screen reference only)</x:v>
      </x:c>
      <x:c r="AW544" t="str">
        <x:v>https://www.carandache.com/content_files/uploaded_doc/product/10595/Colour_Chart_NeoPastel.pdf</x:v>
      </x:c>
      <x:c r="AX544" t="n">
        <x:v>1</x:v>
      </x:c>
      <x:c r="AY544" t="str">
        <x:v>Official</x:v>
      </x:c>
      <x:c r="AZ544" t="str">
        <x:v>Official where available; curated Traditional Chinese/Japanese otherwise</x:v>
      </x:c>
      <x:c r="BA544" t="str">
        <x:v>Verified from official chart; digital HEX is approximate</x:v>
      </x:c>
      <x:c r="BB544" t="str">
        <x:v>Physical media appearance varies by paper, pressure, layering, water and scan/display profile.</x:v>
      </x:c>
    </x:row>
    <x:row r="545">
      <x:c r="A545" t="str">
        <x:f>G545&amp;"|"&amp;L545</x:f>
        <x:v>NEO|071</x:v>
      </x:c>
      <x:c r="B545" t="str">
        <x:v>1a474911-401a-594d-952f-0d704fa14067</x:v>
      </x:c>
      <x:c r="C545" t="str">
        <x:v>CDA-NEO-071</x:v>
      </x:c>
      <x:c r="D545" t="str">
        <x:v>ee2773c8-482d-51ce-83d3-72cc028e5a61</x:v>
      </x:c>
      <x:c r="E545" t="str">
        <x:v>CDA-CODE-071</x:v>
      </x:c>
      <x:c r="F545" t="str">
        <x:v>Caran d’Ache</x:v>
      </x:c>
      <x:c r="G545" t="str">
        <x:v>NEO</x:v>
      </x:c>
      <x:c r="H545" t="str">
        <x:v>NEOPASTEL</x:v>
      </x:c>
      <x:c r="I545" t="str">
        <x:v>Extra-fine oil pastel</x:v>
      </x:c>
      <x:c r="J545" t="str">
        <x:v>Professional</x:v>
      </x:c>
      <x:c r="K545" s="30" t="n">
        <x:v>44</x:v>
      </x:c>
      <x:c r="L545" s="30" t="str">
        <x:v>071</x:v>
      </x:c>
      <x:c r="M545" t="str">
        <x:v>Salmon Pink</x:v>
      </x:c>
      <x:c r="N545" t="str">
        <x:v>鮭魚粉紅</x:v>
      </x:c>
      <x:c r="O545" t="str">
        <x:v>サーモンピンク</x:v>
      </x:c>
      <x:c r="P545" t="str"/>
      <x:c r="Q545" t="str">
        <x:v>Saumon rose</x:v>
      </x:c>
      <x:c r="R545" t="str">
        <x:v>Rosarot</x:v>
      </x:c>
      <x:c r="S545" t="str">
        <x:v>Salmone rosato</x:v>
      </x:c>
      <x:c r="T545" t="str"/>
      <x:c r="U545" t="str">
        <x:v>Rosa salmão</x:v>
      </x:c>
      <x:c r="V545" t="str">
        <x:v>연어빛색 분홍</x:v>
      </x:c>
      <x:c r="W545" t="str">
        <x:v>PR168</x:v>
      </x:c>
      <x:c r="X545" t="n">
        <x:f>IF(W545="",0,LEN(W545)-LEN(SUBSTITUTE(W545,"/",""))+1)</x:f>
        <x:v>1</x:v>
      </x:c>
      <x:c r="Y545" t="str">
        <x:v>H</x:v>
      </x:c>
      <x:c r="Z545" s="32" t="n">
        <x:v>1.67</x:v>
      </x:c>
      <x:c r="AA545" s="32" t="n">
        <x:v>3</x:v>
      </x:c>
      <x:c r="AB545" s="32" t="str">
        <x:v>Blue Wool Scale / UV 150h</x:v>
      </x:c>
      <x:c r="AC545" t="str">
        <x:v>#E9917A</x:v>
      </x:c>
      <x:c r="AD545" s="34" t="n">
        <x:v>233</x:v>
      </x:c>
      <x:c r="AE545" s="34" t="n">
        <x:v>145</x:v>
      </x:c>
      <x:c r="AF545" s="34" t="n">
        <x:v>122</x:v>
      </x:c>
      <x:c r="AG545" s="32" t="n">
        <x:v>12.43</x:v>
      </x:c>
      <x:c r="AH545" s="32" t="n">
        <x:v>71.61</x:v>
      </x:c>
      <x:c r="AI545" s="32" t="n">
        <x:v>69.61</x:v>
      </x:c>
      <x:c r="AJ545" s="32" t="n">
        <x:v>68.74</x:v>
      </x:c>
      <x:c r="AK545" s="32" t="n">
        <x:v>30.82</x:v>
      </x:c>
      <x:c r="AL545" s="32" t="n">
        <x:v>26.23</x:v>
      </x:c>
      <x:c r="AM545" s="32" t="str">
        <x:v>#000000</x:v>
      </x:c>
      <x:c r="AN545" s="32" t="str">
        <x:v>Black</x:v>
      </x:c>
      <x:c r="AO545" s="32" t="n">
        <x:v>8.8</x:v>
      </x:c>
      <x:c r="AP545" s="32" t="n">
        <x:v>8.8</x:v>
      </x:c>
      <x:c r="AQ545" s="32" t="n">
        <x:v>2.39</x:v>
      </x:c>
      <x:c r="AR545" s="32" t="n">
        <x:v>0.389796</x:v>
      </x:c>
      <x:c r="AS545" t="str">
        <x:v>PASS</x:v>
      </x:c>
      <x:c r="AT545" t="str">
        <x:v>--cda-neo-071</x:v>
      </x:c>
      <x:c r="AU545" t="str">
        <x:v>var(--cda-neo-071)</x:v>
      </x:c>
      <x:c r="AV545" t="str">
        <x:v>Median RGB from official PDF swatch (screen reference only)</x:v>
      </x:c>
      <x:c r="AW545" t="str">
        <x:v>https://www.carandache.com/content_files/uploaded_doc/product/10595/Colour_Chart_NeoPastel.pdf</x:v>
      </x:c>
      <x:c r="AX545" t="n">
        <x:v>1</x:v>
      </x:c>
      <x:c r="AY545" t="str">
        <x:v>Official</x:v>
      </x:c>
      <x:c r="AZ545" t="str">
        <x:v>Official where available; curated Traditional Chinese/Japanese otherwise</x:v>
      </x:c>
      <x:c r="BA545" t="str">
        <x:v>Verified from official chart; digital HEX is approximate</x:v>
      </x:c>
      <x:c r="BB545" t="str">
        <x:v>Physical media appearance varies by paper, pressure, layering, water and scan/display profile.</x:v>
      </x:c>
    </x:row>
    <x:row r="546">
      <x:c r="A546" t="str">
        <x:f>G546&amp;"|"&amp;L546</x:f>
        <x:v>NEO|081</x:v>
      </x:c>
      <x:c r="B546" t="str">
        <x:v>a378230e-45d5-5794-b50c-13f625c13dc3</x:v>
      </x:c>
      <x:c r="C546" t="str">
        <x:v>CDA-NEO-081</x:v>
      </x:c>
      <x:c r="D546" t="str">
        <x:v>211a5e8d-3ee2-580c-9d09-b2a3736b420e</x:v>
      </x:c>
      <x:c r="E546" t="str">
        <x:v>CDA-CODE-081</x:v>
      </x:c>
      <x:c r="F546" t="str">
        <x:v>Caran d’Ache</x:v>
      </x:c>
      <x:c r="G546" t="str">
        <x:v>NEO</x:v>
      </x:c>
      <x:c r="H546" t="str">
        <x:v>NEOPASTEL</x:v>
      </x:c>
      <x:c r="I546" t="str">
        <x:v>Extra-fine oil pastel</x:v>
      </x:c>
      <x:c r="J546" t="str">
        <x:v>Professional</x:v>
      </x:c>
      <x:c r="K546" s="30" t="n">
        <x:v>45</x:v>
      </x:c>
      <x:c r="L546" s="30" t="str">
        <x:v>081</x:v>
      </x:c>
      <x:c r="M546" t="str">
        <x:v>Pink</x:v>
      </x:c>
      <x:c r="N546" t="str">
        <x:v>粉紅色</x:v>
      </x:c>
      <x:c r="O546" t="str">
        <x:v>ピンク</x:v>
      </x:c>
      <x:c r="P546" t="str"/>
      <x:c r="Q546" t="str">
        <x:v>Rose</x:v>
      </x:c>
      <x:c r="R546" t="str">
        <x:v>Rosa</x:v>
      </x:c>
      <x:c r="S546" t="str">
        <x:v>Rosa</x:v>
      </x:c>
      <x:c r="T546" t="str"/>
      <x:c r="U546" t="str">
        <x:v>Rosa</x:v>
      </x:c>
      <x:c r="V546" t="str">
        <x:v>분홍색</x:v>
      </x:c>
      <x:c r="W546" t="str">
        <x:v>PR170/PR48:4</x:v>
      </x:c>
      <x:c r="X546" t="n">
        <x:f>IF(W546="",0,LEN(W546)-LEN(SUBSTITUTE(W546,"/",""))+1)</x:f>
        <x:v>2</x:v>
      </x:c>
      <x:c r="Y546" t="str">
        <x:v>H</x:v>
      </x:c>
      <x:c r="Z546" s="32" t="n">
        <x:v>1.67</x:v>
      </x:c>
      <x:c r="AA546" s="32" t="n">
        <x:v>3</x:v>
      </x:c>
      <x:c r="AB546" s="32" t="str">
        <x:v>Blue Wool Scale / UV 150h</x:v>
      </x:c>
      <x:c r="AC546" t="str">
        <x:v>#DA808B</x:v>
      </x:c>
      <x:c r="AD546" s="34" t="n">
        <x:v>218</x:v>
      </x:c>
      <x:c r="AE546" s="34" t="n">
        <x:v>128</x:v>
      </x:c>
      <x:c r="AF546" s="34" t="n">
        <x:v>139</x:v>
      </x:c>
      <x:c r="AG546" s="32" t="n">
        <x:v>352.67</x:v>
      </x:c>
      <x:c r="AH546" s="32" t="n">
        <x:v>54.88</x:v>
      </x:c>
      <x:c r="AI546" s="32" t="n">
        <x:v>67.84</x:v>
      </x:c>
      <x:c r="AJ546" s="32" t="n">
        <x:v>63.52</x:v>
      </x:c>
      <x:c r="AK546" s="32" t="n">
        <x:v>35.95</x:v>
      </x:c>
      <x:c r="AL546" s="32" t="n">
        <x:v>9.22</x:v>
      </x:c>
      <x:c r="AM546" s="32" t="str">
        <x:v>#000000</x:v>
      </x:c>
      <x:c r="AN546" s="32" t="str">
        <x:v>Black</x:v>
      </x:c>
      <x:c r="AO546" s="32" t="n">
        <x:v>7.44</x:v>
      </x:c>
      <x:c r="AP546" s="32" t="n">
        <x:v>7.44</x:v>
      </x:c>
      <x:c r="AQ546" s="32" t="n">
        <x:v>2.82</x:v>
      </x:c>
      <x:c r="AR546" s="32" t="n">
        <x:v>0.322078</x:v>
      </x:c>
      <x:c r="AS546" t="str">
        <x:v>PASS</x:v>
      </x:c>
      <x:c r="AT546" t="str">
        <x:v>--cda-neo-081</x:v>
      </x:c>
      <x:c r="AU546" t="str">
        <x:v>var(--cda-neo-081)</x:v>
      </x:c>
      <x:c r="AV546" t="str">
        <x:v>Median RGB from official PDF swatch (screen reference only)</x:v>
      </x:c>
      <x:c r="AW546" t="str">
        <x:v>https://www.carandache.com/content_files/uploaded_doc/product/10595/Colour_Chart_NeoPastel.pdf</x:v>
      </x:c>
      <x:c r="AX546" t="n">
        <x:v>1</x:v>
      </x:c>
      <x:c r="AY546" t="str">
        <x:v>Official</x:v>
      </x:c>
      <x:c r="AZ546" t="str">
        <x:v>Official where available; curated Traditional Chinese/Japanese otherwise</x:v>
      </x:c>
      <x:c r="BA546" t="str">
        <x:v>Verified from official chart; digital HEX is approximate</x:v>
      </x:c>
      <x:c r="BB546" t="str">
        <x:v>Physical media appearance varies by paper, pressure, layering, water and scan/display profile.</x:v>
      </x:c>
    </x:row>
    <x:row r="547">
      <x:c r="A547" t="str">
        <x:f>G547&amp;"|"&amp;L547</x:f>
        <x:v>NEO|101</x:v>
      </x:c>
      <x:c r="B547" t="str">
        <x:v>6e17af4a-fe2a-547e-bf7a-defcbfdf6ba3</x:v>
      </x:c>
      <x:c r="C547" t="str">
        <x:v>CDA-NEO-101</x:v>
      </x:c>
      <x:c r="D547" t="str">
        <x:v>64cfa989-ec4f-5dd8-8873-9964e373b07f</x:v>
      </x:c>
      <x:c r="E547" t="str">
        <x:v>CDA-CODE-101</x:v>
      </x:c>
      <x:c r="F547" t="str">
        <x:v>Caran d’Ache</x:v>
      </x:c>
      <x:c r="G547" t="str">
        <x:v>NEO</x:v>
      </x:c>
      <x:c r="H547" t="str">
        <x:v>NEOPASTEL</x:v>
      </x:c>
      <x:c r="I547" t="str">
        <x:v>Extra-fine oil pastel</x:v>
      </x:c>
      <x:c r="J547" t="str">
        <x:v>Professional</x:v>
      </x:c>
      <x:c r="K547" s="30" t="n">
        <x:v>46</x:v>
      </x:c>
      <x:c r="L547" s="30" t="str">
        <x:v>101</x:v>
      </x:c>
      <x:c r="M547" t="str">
        <x:v>Light purple violet</x:v>
      </x:c>
      <x:c r="N547" t="str">
        <x:v>淺紫羅蘭</x:v>
      </x:c>
      <x:c r="O547" t="str">
        <x:v>ライトパープルバイオレット</x:v>
      </x:c>
      <x:c r="P547" t="str"/>
      <x:c r="Q547" t="str">
        <x:v>Violet pourpre clair</x:v>
      </x:c>
      <x:c r="R547" t="str">
        <x:v>Hellpurpurviolett</x:v>
      </x:c>
      <x:c r="S547" t="str">
        <x:v>Viola porpora chiaro</x:v>
      </x:c>
      <x:c r="T547" t="str"/>
      <x:c r="U547" t="str">
        <x:v>Violeta púrpura claro</x:v>
      </x:c>
      <x:c r="V547" t="str">
        <x:v>밝은 자주빛 보라색</x:v>
      </x:c>
      <x:c r="W547" t="str">
        <x:v>PV23/PR122</x:v>
      </x:c>
      <x:c r="X547" t="n">
        <x:f>IF(W547="",0,LEN(W547)-LEN(SUBSTITUTE(W547,"/",""))+1)</x:f>
        <x:v>2</x:v>
      </x:c>
      <x:c r="Y547" t="str">
        <x:v>H</x:v>
      </x:c>
      <x:c r="Z547" s="32" t="n">
        <x:v>1.67</x:v>
      </x:c>
      <x:c r="AA547" s="32" t="n">
        <x:v>3</x:v>
      </x:c>
      <x:c r="AB547" s="32" t="str">
        <x:v>Blue Wool Scale / UV 150h</x:v>
      </x:c>
      <x:c r="AC547" t="str">
        <x:v>#BC7EB0</x:v>
      </x:c>
      <x:c r="AD547" s="34" t="n">
        <x:v>188</x:v>
      </x:c>
      <x:c r="AE547" s="34" t="n">
        <x:v>126</x:v>
      </x:c>
      <x:c r="AF547" s="34" t="n">
        <x:v>176</x:v>
      </x:c>
      <x:c r="AG547" s="32" t="n">
        <x:v>311.61</x:v>
      </x:c>
      <x:c r="AH547" s="32" t="n">
        <x:v>31.63</x:v>
      </x:c>
      <x:c r="AI547" s="32" t="n">
        <x:v>61.57</x:v>
      </x:c>
      <x:c r="AJ547" s="32" t="n">
        <x:v>60.56</x:v>
      </x:c>
      <x:c r="AK547" s="32" t="n">
        <x:v>31.89</x:v>
      </x:c>
      <x:c r="AL547" s="32" t="n">
        <x:v>-16.66</x:v>
      </x:c>
      <x:c r="AM547" s="32" t="str">
        <x:v>#000000</x:v>
      </x:c>
      <x:c r="AN547" s="32" t="str">
        <x:v>Black</x:v>
      </x:c>
      <x:c r="AO547" s="32" t="n">
        <x:v>6.75</x:v>
      </x:c>
      <x:c r="AP547" s="32" t="n">
        <x:v>6.75</x:v>
      </x:c>
      <x:c r="AQ547" s="32" t="n">
        <x:v>3.11</x:v>
      </x:c>
      <x:c r="AR547" s="32" t="n">
        <x:v>0.287477</x:v>
      </x:c>
      <x:c r="AS547" t="str">
        <x:v>PASS</x:v>
      </x:c>
      <x:c r="AT547" t="str">
        <x:v>--cda-neo-101</x:v>
      </x:c>
      <x:c r="AU547" t="str">
        <x:v>var(--cda-neo-101)</x:v>
      </x:c>
      <x:c r="AV547" t="str">
        <x:v>Median RGB from official PDF swatch (screen reference only)</x:v>
      </x:c>
      <x:c r="AW547" t="str">
        <x:v>https://www.carandache.com/content_files/uploaded_doc/product/10595/Colour_Chart_NeoPastel.pdf</x:v>
      </x:c>
      <x:c r="AX547" t="n">
        <x:v>1</x:v>
      </x:c>
      <x:c r="AY547" t="str">
        <x:v>Official</x:v>
      </x:c>
      <x:c r="AZ547" t="str">
        <x:v>Official where available; curated Traditional Chinese/Japanese otherwise</x:v>
      </x:c>
      <x:c r="BA547" t="str">
        <x:v>Verified from official chart; digital HEX is approximate</x:v>
      </x:c>
      <x:c r="BB547" t="str">
        <x:v>Physical media appearance varies by paper, pressure, layering, water and scan/display profile.</x:v>
      </x:c>
    </x:row>
    <x:row r="548">
      <x:c r="A548" t="str">
        <x:f>G548&amp;"|"&amp;L548</x:f>
        <x:v>NEO|111</x:v>
      </x:c>
      <x:c r="B548" t="str">
        <x:v>c0bd6138-418d-5dd5-b357-9b38437b8c41</x:v>
      </x:c>
      <x:c r="C548" t="str">
        <x:v>CDA-NEO-111</x:v>
      </x:c>
      <x:c r="D548" t="str">
        <x:v>ed48de5b-9fa5-5c31-aede-7207b4fc5200</x:v>
      </x:c>
      <x:c r="E548" t="str">
        <x:v>CDA-CODE-111</x:v>
      </x:c>
      <x:c r="F548" t="str">
        <x:v>Caran d’Ache</x:v>
      </x:c>
      <x:c r="G548" t="str">
        <x:v>NEO</x:v>
      </x:c>
      <x:c r="H548" t="str">
        <x:v>NEOPASTEL</x:v>
      </x:c>
      <x:c r="I548" t="str">
        <x:v>Extra-fine oil pastel</x:v>
      </x:c>
      <x:c r="J548" t="str">
        <x:v>Professional</x:v>
      </x:c>
      <x:c r="K548" s="30" t="n">
        <x:v>47</x:v>
      </x:c>
      <x:c r="L548" s="30" t="str">
        <x:v>111</x:v>
      </x:c>
      <x:c r="M548" t="str">
        <x:v>Mauve</x:v>
      </x:c>
      <x:c r="N548" t="str">
        <x:v>淡紫色</x:v>
      </x:c>
      <x:c r="O548" t="str">
        <x:v>モーブ</x:v>
      </x:c>
      <x:c r="P548" t="str"/>
      <x:c r="Q548" t="str">
        <x:v>Mauve</x:v>
      </x:c>
      <x:c r="R548" t="str">
        <x:v>Hellrotviolett</x:v>
      </x:c>
      <x:c r="S548" t="str">
        <x:v>Malva</x:v>
      </x:c>
      <x:c r="T548" t="str"/>
      <x:c r="U548" t="str">
        <x:v>Malva</x:v>
      </x:c>
      <x:c r="V548" t="str">
        <x:v>엷은 자주색</x:v>
      </x:c>
      <x:c r="W548" t="str">
        <x:v>PV23/PR122</x:v>
      </x:c>
      <x:c r="X548" t="n">
        <x:f>IF(W548="",0,LEN(W548)-LEN(SUBSTITUTE(W548,"/",""))+1)</x:f>
        <x:v>2</x:v>
      </x:c>
      <x:c r="Y548" t="str">
        <x:v>H</x:v>
      </x:c>
      <x:c r="Z548" s="32" t="n">
        <x:v>1.67</x:v>
      </x:c>
      <x:c r="AA548" s="32" t="n">
        <x:v>3</x:v>
      </x:c>
      <x:c r="AB548" s="32" t="str">
        <x:v>Blue Wool Scale / UV 150h</x:v>
      </x:c>
      <x:c r="AC548" t="str">
        <x:v>#8D448F</x:v>
      </x:c>
      <x:c r="AD548" s="34" t="n">
        <x:v>141</x:v>
      </x:c>
      <x:c r="AE548" s="34" t="n">
        <x:v>68</x:v>
      </x:c>
      <x:c r="AF548" s="34" t="n">
        <x:v>143</x:v>
      </x:c>
      <x:c r="AG548" s="32" t="n">
        <x:v>298.4</x:v>
      </x:c>
      <x:c r="AH548" s="32" t="n">
        <x:v>35.55</x:v>
      </x:c>
      <x:c r="AI548" s="32" t="n">
        <x:v>41.37</x:v>
      </x:c>
      <x:c r="AJ548" s="32" t="n">
        <x:v>40.87</x:v>
      </x:c>
      <x:c r="AK548" s="32" t="n">
        <x:v>42.07</x:v>
      </x:c>
      <x:c r="AL548" s="32" t="n">
        <x:v>-28.08</x:v>
      </x:c>
      <x:c r="AM548" s="32" t="str">
        <x:v>#FFFFFF</x:v>
      </x:c>
      <x:c r="AN548" s="32" t="str">
        <x:v>White</x:v>
      </x:c>
      <x:c r="AO548" s="32" t="n">
        <x:v>6.26</x:v>
      </x:c>
      <x:c r="AP548" s="32" t="n">
        <x:v>3.36</x:v>
      </x:c>
      <x:c r="AQ548" s="32" t="n">
        <x:v>6.26</x:v>
      </x:c>
      <x:c r="AR548" s="32" t="n">
        <x:v>0.117801</x:v>
      </x:c>
      <x:c r="AS548" t="str">
        <x:v>PASS</x:v>
      </x:c>
      <x:c r="AT548" t="str">
        <x:v>--cda-neo-111</x:v>
      </x:c>
      <x:c r="AU548" t="str">
        <x:v>var(--cda-neo-111)</x:v>
      </x:c>
      <x:c r="AV548" t="str">
        <x:v>Median RGB from official PDF swatch (screen reference only)</x:v>
      </x:c>
      <x:c r="AW548" t="str">
        <x:v>https://www.carandache.com/content_files/uploaded_doc/product/10595/Colour_Chart_NeoPastel.pdf</x:v>
      </x:c>
      <x:c r="AX548" t="n">
        <x:v>1</x:v>
      </x:c>
      <x:c r="AY548" t="str">
        <x:v>Official</x:v>
      </x:c>
      <x:c r="AZ548" t="str">
        <x:v>Official where available; curated Traditional Chinese/Japanese otherwise</x:v>
      </x:c>
      <x:c r="BA548" t="str">
        <x:v>Verified from official chart; digital HEX is approximate</x:v>
      </x:c>
      <x:c r="BB548" t="str">
        <x:v>Physical media appearance varies by paper, pressure, layering, water and scan/display profile.</x:v>
      </x:c>
    </x:row>
    <x:row r="549">
      <x:c r="A549" t="str">
        <x:f>G549&amp;"|"&amp;L549</x:f>
        <x:v>NEO|131</x:v>
      </x:c>
      <x:c r="B549" t="str">
        <x:v>8d596090-3a6b-5901-8e11-fa3904e5932f</x:v>
      </x:c>
      <x:c r="C549" t="str">
        <x:v>CDA-NEO-131</x:v>
      </x:c>
      <x:c r="D549" t="str">
        <x:v>e0da0eb4-8bbe-57dd-a5fe-0cf6204da565</x:v>
      </x:c>
      <x:c r="E549" t="str">
        <x:v>CDA-CODE-131</x:v>
      </x:c>
      <x:c r="F549" t="str">
        <x:v>Caran d’Ache</x:v>
      </x:c>
      <x:c r="G549" t="str">
        <x:v>NEO</x:v>
      </x:c>
      <x:c r="H549" t="str">
        <x:v>NEOPASTEL</x:v>
      </x:c>
      <x:c r="I549" t="str">
        <x:v>Extra-fine oil pastel</x:v>
      </x:c>
      <x:c r="J549" t="str">
        <x:v>Professional</x:v>
      </x:c>
      <x:c r="K549" s="30" t="n">
        <x:v>48</x:v>
      </x:c>
      <x:c r="L549" s="30" t="str">
        <x:v>131</x:v>
      </x:c>
      <x:c r="M549" t="str">
        <x:v>Periwinkle blue</x:v>
      </x:c>
      <x:c r="N549" t="str">
        <x:v>長春花藍</x:v>
      </x:c>
      <x:c r="O549" t="str">
        <x:v>ペリウィンクルブルー</x:v>
      </x:c>
      <x:c r="P549" t="str"/>
      <x:c r="Q549" t="str">
        <x:v>Pervenche</x:v>
      </x:c>
      <x:c r="R549" t="str">
        <x:v>Hellviolett</x:v>
      </x:c>
      <x:c r="S549" t="str">
        <x:v>Blu pervinca</x:v>
      </x:c>
      <x:c r="T549" t="str"/>
      <x:c r="U549" t="str">
        <x:v>Violeta claro</x:v>
      </x:c>
      <x:c r="V549" t="str">
        <x:v>자색빛 청색</x:v>
      </x:c>
      <x:c r="W549" t="str">
        <x:v>PV23</x:v>
      </x:c>
      <x:c r="X549" t="n">
        <x:f>IF(W549="",0,LEN(W549)-LEN(SUBSTITUTE(W549,"/",""))+1)</x:f>
        <x:v>1</x:v>
      </x:c>
      <x:c r="Y549" t="str">
        <x:v>H</x:v>
      </x:c>
      <x:c r="Z549" s="32" t="n">
        <x:v>1.67</x:v>
      </x:c>
      <x:c r="AA549" s="32" t="n">
        <x:v>3</x:v>
      </x:c>
      <x:c r="AB549" s="32" t="str">
        <x:v>Blue Wool Scale / UV 150h</x:v>
      </x:c>
      <x:c r="AC549" t="str">
        <x:v>#56438C</x:v>
      </x:c>
      <x:c r="AD549" s="34" t="n">
        <x:v>86</x:v>
      </x:c>
      <x:c r="AE549" s="34" t="n">
        <x:v>67</x:v>
      </x:c>
      <x:c r="AF549" s="34" t="n">
        <x:v>140</x:v>
      </x:c>
      <x:c r="AG549" s="32" t="n">
        <x:v>255.62</x:v>
      </x:c>
      <x:c r="AH549" s="32" t="n">
        <x:v>35.27</x:v>
      </x:c>
      <x:c r="AI549" s="32" t="n">
        <x:v>40.59</x:v>
      </x:c>
      <x:c r="AJ549" s="32" t="n">
        <x:v>33.74</x:v>
      </x:c>
      <x:c r="AK549" s="32" t="n">
        <x:v>26.09</x:v>
      </x:c>
      <x:c r="AL549" s="32" t="n">
        <x:v>-37.95</x:v>
      </x:c>
      <x:c r="AM549" s="32" t="str">
        <x:v>#FFFFFF</x:v>
      </x:c>
      <x:c r="AN549" s="32" t="str">
        <x:v>White</x:v>
      </x:c>
      <x:c r="AO549" s="32" t="n">
        <x:v>8.15</x:v>
      </x:c>
      <x:c r="AP549" s="32" t="n">
        <x:v>2.58</x:v>
      </x:c>
      <x:c r="AQ549" s="32" t="n">
        <x:v>8.15</x:v>
      </x:c>
      <x:c r="AR549" s="32" t="n">
        <x:v>0.078862</x:v>
      </x:c>
      <x:c r="AS549" t="str">
        <x:v>PASS</x:v>
      </x:c>
      <x:c r="AT549" t="str">
        <x:v>--cda-neo-131</x:v>
      </x:c>
      <x:c r="AU549" t="str">
        <x:v>var(--cda-neo-131)</x:v>
      </x:c>
      <x:c r="AV549" t="str">
        <x:v>Median RGB from official PDF swatch (screen reference only)</x:v>
      </x:c>
      <x:c r="AW549" t="str">
        <x:v>https://www.carandache.com/content_files/uploaded_doc/product/10595/Colour_Chart_NeoPastel.pdf</x:v>
      </x:c>
      <x:c r="AX549" t="n">
        <x:v>1</x:v>
      </x:c>
      <x:c r="AY549" t="str">
        <x:v>Official</x:v>
      </x:c>
      <x:c r="AZ549" t="str">
        <x:v>Official where available; curated Traditional Chinese/Japanese otherwise</x:v>
      </x:c>
      <x:c r="BA549" t="str">
        <x:v>Verified from official chart; digital HEX is approximate</x:v>
      </x:c>
      <x:c r="BB549" t="str">
        <x:v>Physical media appearance varies by paper, pressure, layering, water and scan/display profile.</x:v>
      </x:c>
    </x:row>
    <x:row r="550">
      <x:c r="A550" t="str">
        <x:f>G550&amp;"|"&amp;L550</x:f>
        <x:v>NEO|141</x:v>
      </x:c>
      <x:c r="B550" t="str">
        <x:v>427776fc-5771-505b-9312-3de805a214b2</x:v>
      </x:c>
      <x:c r="C550" t="str">
        <x:v>CDA-NEO-141</x:v>
      </x:c>
      <x:c r="D550" t="str">
        <x:v>2820208d-5c41-5753-be02-69641858efec</x:v>
      </x:c>
      <x:c r="E550" t="str">
        <x:v>CDA-CODE-141</x:v>
      </x:c>
      <x:c r="F550" t="str">
        <x:v>Caran d’Ache</x:v>
      </x:c>
      <x:c r="G550" t="str">
        <x:v>NEO</x:v>
      </x:c>
      <x:c r="H550" t="str">
        <x:v>NEOPASTEL</x:v>
      </x:c>
      <x:c r="I550" t="str">
        <x:v>Extra-fine oil pastel</x:v>
      </x:c>
      <x:c r="J550" t="str">
        <x:v>Professional</x:v>
      </x:c>
      <x:c r="K550" s="30" t="n">
        <x:v>49</x:v>
      </x:c>
      <x:c r="L550" s="30" t="str">
        <x:v>141</x:v>
      </x:c>
      <x:c r="M550" t="str">
        <x:v>Sky blue</x:v>
      </x:c>
      <x:c r="N550" t="str">
        <x:v>天空藍</x:v>
      </x:c>
      <x:c r="O550" t="str">
        <x:v>スカイブルー</x:v>
      </x:c>
      <x:c r="P550" t="str"/>
      <x:c r="Q550" t="str">
        <x:v>Bleu lavande</x:v>
      </x:c>
      <x:c r="R550" t="str">
        <x:v>Hellultramarin</x:v>
      </x:c>
      <x:c r="S550" t="str">
        <x:v>Blu lavanda</x:v>
      </x:c>
      <x:c r="T550" t="str"/>
      <x:c r="U550" t="str">
        <x:v>Azul lavanda</x:v>
      </x:c>
      <x:c r="V550" t="str">
        <x:v>하늘색</x:v>
      </x:c>
      <x:c r="W550" t="str">
        <x:v>PV23/PB15</x:v>
      </x:c>
      <x:c r="X550" t="n">
        <x:f>IF(W550="",0,LEN(W550)-LEN(SUBSTITUTE(W550,"/",""))+1)</x:f>
        <x:v>2</x:v>
      </x:c>
      <x:c r="Y550" t="str">
        <x:v>H</x:v>
      </x:c>
      <x:c r="Z550" s="32" t="n">
        <x:v>1.67</x:v>
      </x:c>
      <x:c r="AA550" s="32" t="n">
        <x:v>3</x:v>
      </x:c>
      <x:c r="AB550" s="32" t="str">
        <x:v>Blue Wool Scale / UV 150h</x:v>
      </x:c>
      <x:c r="AC550" t="str">
        <x:v>#4F7CB9</x:v>
      </x:c>
      <x:c r="AD550" s="34" t="n">
        <x:v>79</x:v>
      </x:c>
      <x:c r="AE550" s="34" t="n">
        <x:v>124</x:v>
      </x:c>
      <x:c r="AF550" s="34" t="n">
        <x:v>185</x:v>
      </x:c>
      <x:c r="AG550" s="32" t="n">
        <x:v>214.53</x:v>
      </x:c>
      <x:c r="AH550" s="32" t="n">
        <x:v>43.09</x:v>
      </x:c>
      <x:c r="AI550" s="32" t="n">
        <x:v>51.76</x:v>
      </x:c>
      <x:c r="AJ550" s="32" t="n">
        <x:v>51.36</x:v>
      </x:c>
      <x:c r="AK550" s="32" t="n">
        <x:v>2.97</x:v>
      </x:c>
      <x:c r="AL550" s="32" t="n">
        <x:v>-36.77</x:v>
      </x:c>
      <x:c r="AM550" s="32" t="str">
        <x:v>#000000</x:v>
      </x:c>
      <x:c r="AN550" s="32" t="str">
        <x:v>Black</x:v>
      </x:c>
      <x:c r="AO550" s="32" t="n">
        <x:v>4.92</x:v>
      </x:c>
      <x:c r="AP550" s="32" t="n">
        <x:v>4.92</x:v>
      </x:c>
      <x:c r="AQ550" s="32" t="n">
        <x:v>4.27</x:v>
      </x:c>
      <x:c r="AR550" s="32" t="n">
        <x:v>0.195804</x:v>
      </x:c>
      <x:c r="AS550" t="str">
        <x:v>PASS</x:v>
      </x:c>
      <x:c r="AT550" t="str">
        <x:v>--cda-neo-141</x:v>
      </x:c>
      <x:c r="AU550" t="str">
        <x:v>var(--cda-neo-141)</x:v>
      </x:c>
      <x:c r="AV550" t="str">
        <x:v>Median RGB from official PDF swatch (screen reference only)</x:v>
      </x:c>
      <x:c r="AW550" t="str">
        <x:v>https://www.carandache.com/content_files/uploaded_doc/product/10595/Colour_Chart_NeoPastel.pdf</x:v>
      </x:c>
      <x:c r="AX550" t="n">
        <x:v>1</x:v>
      </x:c>
      <x:c r="AY550" t="str">
        <x:v>Official</x:v>
      </x:c>
      <x:c r="AZ550" t="str">
        <x:v>Official where available; curated Traditional Chinese/Japanese otherwise</x:v>
      </x:c>
      <x:c r="BA550" t="str">
        <x:v>Verified from official chart; digital HEX is approximate</x:v>
      </x:c>
      <x:c r="BB550" t="str">
        <x:v>Physical media appearance varies by paper, pressure, layering, water and scan/display profile.</x:v>
      </x:c>
    </x:row>
    <x:row r="551">
      <x:c r="A551" t="str">
        <x:f>G551&amp;"|"&amp;L551</x:f>
        <x:v>NEO|155</x:v>
      </x:c>
      <x:c r="B551" t="str">
        <x:v>989398f2-f94b-594a-abb8-b0979538ce13</x:v>
      </x:c>
      <x:c r="C551" t="str">
        <x:v>CDA-NEO-155</x:v>
      </x:c>
      <x:c r="D551" t="str">
        <x:v>3c5db537-6064-5064-a505-fe605b85a67d</x:v>
      </x:c>
      <x:c r="E551" t="str">
        <x:v>CDA-CODE-155</x:v>
      </x:c>
      <x:c r="F551" t="str">
        <x:v>Caran d’Ache</x:v>
      </x:c>
      <x:c r="G551" t="str">
        <x:v>NEO</x:v>
      </x:c>
      <x:c r="H551" t="str">
        <x:v>NEOPASTEL</x:v>
      </x:c>
      <x:c r="I551" t="str">
        <x:v>Extra-fine oil pastel</x:v>
      </x:c>
      <x:c r="J551" t="str">
        <x:v>Professional</x:v>
      </x:c>
      <x:c r="K551" s="30" t="n">
        <x:v>50</x:v>
      </x:c>
      <x:c r="L551" s="30" t="str">
        <x:v>155</x:v>
      </x:c>
      <x:c r="M551" t="str">
        <x:v>Blue jeans</x:v>
      </x:c>
      <x:c r="N551" t="str">
        <x:v>牛仔藍</x:v>
      </x:c>
      <x:c r="O551" t="str">
        <x:v>ブルージーンズ</x:v>
      </x:c>
      <x:c r="P551" t="str"/>
      <x:c r="Q551" t="str">
        <x:v>Bleu jeans</x:v>
      </x:c>
      <x:c r="R551" t="str">
        <x:v>Jeansblau</x:v>
      </x:c>
      <x:c r="S551" t="str">
        <x:v>Blu jeans</x:v>
      </x:c>
      <x:c r="T551" t="str"/>
      <x:c r="U551" t="str">
        <x:v>Azul jeans</x:v>
      </x:c>
      <x:c r="V551" t="str">
        <x:v>블루 진</x:v>
      </x:c>
      <x:c r="W551" t="str">
        <x:v>PBk6/PB60/PB15</x:v>
      </x:c>
      <x:c r="X551" t="n">
        <x:f>IF(W551="",0,LEN(W551)-LEN(SUBSTITUTE(W551,"/",""))+1)</x:f>
        <x:v>3</x:v>
      </x:c>
      <x:c r="Y551" t="str">
        <x:v>H</x:v>
      </x:c>
      <x:c r="Z551" s="32" t="n">
        <x:v>1.67</x:v>
      </x:c>
      <x:c r="AA551" s="32" t="n">
        <x:v>3</x:v>
      </x:c>
      <x:c r="AB551" s="32" t="str">
        <x:v>Blue Wool Scale / UV 150h</x:v>
      </x:c>
      <x:c r="AC551" t="str">
        <x:v>#04709F</x:v>
      </x:c>
      <x:c r="AD551" s="34" t="n">
        <x:v>4</x:v>
      </x:c>
      <x:c r="AE551" s="34" t="n">
        <x:v>112</x:v>
      </x:c>
      <x:c r="AF551" s="34" t="n">
        <x:v>159</x:v>
      </x:c>
      <x:c r="AG551" s="32" t="n">
        <x:v>198.19</x:v>
      </x:c>
      <x:c r="AH551" s="32" t="n">
        <x:v>95.09</x:v>
      </x:c>
      <x:c r="AI551" s="32" t="n">
        <x:v>31.96</x:v>
      </x:c>
      <x:c r="AJ551" s="32" t="n">
        <x:v>44.4</x:v>
      </x:c>
      <x:c r="AK551" s="32" t="n">
        <x:v>-8.81</x:v>
      </x:c>
      <x:c r="AL551" s="32" t="n">
        <x:v>-32.71</x:v>
      </x:c>
      <x:c r="AM551" s="32" t="str">
        <x:v>#FFFFFF</x:v>
      </x:c>
      <x:c r="AN551" s="32" t="str">
        <x:v>White</x:v>
      </x:c>
      <x:c r="AO551" s="32" t="n">
        <x:v>5.49</x:v>
      </x:c>
      <x:c r="AP551" s="32" t="n">
        <x:v>3.82</x:v>
      </x:c>
      <x:c r="AQ551" s="32" t="n">
        <x:v>5.49</x:v>
      </x:c>
      <x:c r="AR551" s="32" t="n">
        <x:v>0.141174</x:v>
      </x:c>
      <x:c r="AS551" t="str">
        <x:v>PASS</x:v>
      </x:c>
      <x:c r="AT551" t="str">
        <x:v>--cda-neo-155</x:v>
      </x:c>
      <x:c r="AU551" t="str">
        <x:v>var(--cda-neo-155)</x:v>
      </x:c>
      <x:c r="AV551" t="str">
        <x:v>Median RGB from official PDF swatch (screen reference only)</x:v>
      </x:c>
      <x:c r="AW551" t="str">
        <x:v>https://www.carandache.com/content_files/uploaded_doc/product/10595/Colour_Chart_NeoPastel.pdf</x:v>
      </x:c>
      <x:c r="AX551" t="n">
        <x:v>1</x:v>
      </x:c>
      <x:c r="AY551" t="str">
        <x:v>Official</x:v>
      </x:c>
      <x:c r="AZ551" t="str">
        <x:v>Official where available; curated Traditional Chinese/Japanese otherwise</x:v>
      </x:c>
      <x:c r="BA551" t="str">
        <x:v>Verified from official chart; digital HEX is approximate</x:v>
      </x:c>
      <x:c r="BB551" t="str">
        <x:v>Physical media appearance varies by paper, pressure, layering, water and scan/display profile.</x:v>
      </x:c>
    </x:row>
    <x:row r="552">
      <x:c r="A552" t="str">
        <x:f>G552&amp;"|"&amp;L552</x:f>
        <x:v>NEO|161</x:v>
      </x:c>
      <x:c r="B552" t="str">
        <x:v>5eae0a28-32a1-5f24-8bcf-32dec5b5f08d</x:v>
      </x:c>
      <x:c r="C552" t="str">
        <x:v>CDA-NEO-161</x:v>
      </x:c>
      <x:c r="D552" t="str">
        <x:v>6ffc111a-0ad6-541a-8290-6ab5dc59fcce</x:v>
      </x:c>
      <x:c r="E552" t="str">
        <x:v>CDA-CODE-161</x:v>
      </x:c>
      <x:c r="F552" t="str">
        <x:v>Caran d’Ache</x:v>
      </x:c>
      <x:c r="G552" t="str">
        <x:v>NEO</x:v>
      </x:c>
      <x:c r="H552" t="str">
        <x:v>NEOPASTEL</x:v>
      </x:c>
      <x:c r="I552" t="str">
        <x:v>Extra-fine oil pastel</x:v>
      </x:c>
      <x:c r="J552" t="str">
        <x:v>Professional</x:v>
      </x:c>
      <x:c r="K552" s="30" t="n">
        <x:v>51</x:v>
      </x:c>
      <x:c r="L552" s="30" t="str">
        <x:v>161</x:v>
      </x:c>
      <x:c r="M552" t="str">
        <x:v>Light blue</x:v>
      </x:c>
      <x:c r="N552" t="str">
        <x:v>淺藍色</x:v>
      </x:c>
      <x:c r="O552" t="str">
        <x:v>ライトブルー</x:v>
      </x:c>
      <x:c r="P552" t="str"/>
      <x:c r="Q552" t="str">
        <x:v>Bleu clair</x:v>
      </x:c>
      <x:c r="R552" t="str">
        <x:v>Hellblau</x:v>
      </x:c>
      <x:c r="S552" t="str">
        <x:v>Azzurro chiaro</x:v>
      </x:c>
      <x:c r="T552" t="str"/>
      <x:c r="U552" t="str">
        <x:v>Azul claro</x:v>
      </x:c>
      <x:c r="V552" t="str">
        <x:v>담청색</x:v>
      </x:c>
      <x:c r="W552" t="str">
        <x:v>PB15</x:v>
      </x:c>
      <x:c r="X552" t="n">
        <x:f>IF(W552="",0,LEN(W552)-LEN(SUBSTITUTE(W552,"/",""))+1)</x:f>
        <x:v>1</x:v>
      </x:c>
      <x:c r="Y552" t="str">
        <x:v>H</x:v>
      </x:c>
      <x:c r="Z552" s="32" t="n">
        <x:v>1.67</x:v>
      </x:c>
      <x:c r="AA552" s="32" t="n">
        <x:v>3</x:v>
      </x:c>
      <x:c r="AB552" s="32" t="str">
        <x:v>Blue Wool Scale / UV 150h</x:v>
      </x:c>
      <x:c r="AC552" t="str">
        <x:v>#478CC5</x:v>
      </x:c>
      <x:c r="AD552" s="34" t="n">
        <x:v>71</x:v>
      </x:c>
      <x:c r="AE552" s="34" t="n">
        <x:v>140</x:v>
      </x:c>
      <x:c r="AF552" s="34" t="n">
        <x:v>197</x:v>
      </x:c>
      <x:c r="AG552" s="32" t="n">
        <x:v>207.14</x:v>
      </x:c>
      <x:c r="AH552" s="32" t="n">
        <x:v>52.07</x:v>
      </x:c>
      <x:c r="AI552" s="32" t="n">
        <x:v>52.55</x:v>
      </x:c>
      <x:c r="AJ552" s="32" t="n">
        <x:v>56.21</x:v>
      </x:c>
      <x:c r="AK552" s="32" t="n">
        <x:v>-4.03</x:v>
      </x:c>
      <x:c r="AL552" s="32" t="n">
        <x:v>-36.03</x:v>
      </x:c>
      <x:c r="AM552" s="32" t="str">
        <x:v>#000000</x:v>
      </x:c>
      <x:c r="AN552" s="32" t="str">
        <x:v>Black</x:v>
      </x:c>
      <x:c r="AO552" s="32" t="n">
        <x:v>5.83</x:v>
      </x:c>
      <x:c r="AP552" s="32" t="n">
        <x:v>5.83</x:v>
      </x:c>
      <x:c r="AQ552" s="32" t="n">
        <x:v>3.6</x:v>
      </x:c>
      <x:c r="AR552" s="32" t="n">
        <x:v>0.24127</x:v>
      </x:c>
      <x:c r="AS552" t="str">
        <x:v>PASS</x:v>
      </x:c>
      <x:c r="AT552" t="str">
        <x:v>--cda-neo-161</x:v>
      </x:c>
      <x:c r="AU552" t="str">
        <x:v>var(--cda-neo-161)</x:v>
      </x:c>
      <x:c r="AV552" t="str">
        <x:v>Median RGB from official PDF swatch (screen reference only)</x:v>
      </x:c>
      <x:c r="AW552" t="str">
        <x:v>https://www.carandache.com/content_files/uploaded_doc/product/10595/Colour_Chart_NeoPastel.pdf</x:v>
      </x:c>
      <x:c r="AX552" t="n">
        <x:v>1</x:v>
      </x:c>
      <x:c r="AY552" t="str">
        <x:v>Official</x:v>
      </x:c>
      <x:c r="AZ552" t="str">
        <x:v>Official where available; curated Traditional Chinese/Japanese otherwise</x:v>
      </x:c>
      <x:c r="BA552" t="str">
        <x:v>Verified from official chart; digital HEX is approximate</x:v>
      </x:c>
      <x:c r="BB552" t="str">
        <x:v>Physical media appearance varies by paper, pressure, layering, water and scan/display profile.</x:v>
      </x:c>
    </x:row>
    <x:row r="553">
      <x:c r="A553" t="str">
        <x:f>G553&amp;"|"&amp;L553</x:f>
        <x:v>NEO|171</x:v>
      </x:c>
      <x:c r="B553" t="str">
        <x:v>03315ca9-b57c-5281-a9b4-113e637bcb39</x:v>
      </x:c>
      <x:c r="C553" t="str">
        <x:v>CDA-NEO-171</x:v>
      </x:c>
      <x:c r="D553" t="str">
        <x:v>8af82ae3-1ed6-53f3-82c5-825de5d678dc</x:v>
      </x:c>
      <x:c r="E553" t="str">
        <x:v>CDA-CODE-171</x:v>
      </x:c>
      <x:c r="F553" t="str">
        <x:v>Caran d’Ache</x:v>
      </x:c>
      <x:c r="G553" t="str">
        <x:v>NEO</x:v>
      </x:c>
      <x:c r="H553" t="str">
        <x:v>NEOPASTEL</x:v>
      </x:c>
      <x:c r="I553" t="str">
        <x:v>Extra-fine oil pastel</x:v>
      </x:c>
      <x:c r="J553" t="str">
        <x:v>Professional</x:v>
      </x:c>
      <x:c r="K553" s="30" t="n">
        <x:v>52</x:v>
      </x:c>
      <x:c r="L553" s="30" t="str">
        <x:v>171</x:v>
      </x:c>
      <x:c r="M553" t="str">
        <x:v>Turquoise blue</x:v>
      </x:c>
      <x:c r="N553" t="str">
        <x:v>土耳其藍</x:v>
      </x:c>
      <x:c r="O553" t="str">
        <x:v>ターコイズブルー</x:v>
      </x:c>
      <x:c r="P553" t="str"/>
      <x:c r="Q553" t="str">
        <x:v>Bleu turquoise</x:v>
      </x:c>
      <x:c r="R553" t="str">
        <x:v>Türkisblau</x:v>
      </x:c>
      <x:c r="S553" t="str">
        <x:v>Blu turchese</x:v>
      </x:c>
      <x:c r="T553" t="str"/>
      <x:c r="U553" t="str">
        <x:v>Azul turquesa</x:v>
      </x:c>
      <x:c r="V553" t="str">
        <x:v>터키블루</x:v>
      </x:c>
      <x:c r="W553" t="str">
        <x:v>PG7/PB15</x:v>
      </x:c>
      <x:c r="X553" t="n">
        <x:f>IF(W553="",0,LEN(W553)-LEN(SUBSTITUTE(W553,"/",""))+1)</x:f>
        <x:v>2</x:v>
      </x:c>
      <x:c r="Y553" t="str">
        <x:v>H</x:v>
      </x:c>
      <x:c r="Z553" s="32" t="n">
        <x:v>1.67</x:v>
      </x:c>
      <x:c r="AA553" s="32" t="n">
        <x:v>3</x:v>
      </x:c>
      <x:c r="AB553" s="32" t="str">
        <x:v>Blue Wool Scale / UV 150h</x:v>
      </x:c>
      <x:c r="AC553" t="str">
        <x:v>#29A4B9</x:v>
      </x:c>
      <x:c r="AD553" s="34" t="n">
        <x:v>41</x:v>
      </x:c>
      <x:c r="AE553" s="34" t="n">
        <x:v>164</x:v>
      </x:c>
      <x:c r="AF553" s="34" t="n">
        <x:v>185</x:v>
      </x:c>
      <x:c r="AG553" s="32" t="n">
        <x:v>188.75</x:v>
      </x:c>
      <x:c r="AH553" s="32" t="n">
        <x:v>63.72</x:v>
      </x:c>
      <x:c r="AI553" s="32" t="n">
        <x:v>44.31</x:v>
      </x:c>
      <x:c r="AJ553" s="32" t="n">
        <x:v>62.1</x:v>
      </x:c>
      <x:c r="AK553" s="32" t="n">
        <x:v>-25.33</x:v>
      </x:c>
      <x:c r="AL553" s="32" t="n">
        <x:v>-20.23</x:v>
      </x:c>
      <x:c r="AM553" s="32" t="str">
        <x:v>#000000</x:v>
      </x:c>
      <x:c r="AN553" s="32" t="str">
        <x:v>Black</x:v>
      </x:c>
      <x:c r="AO553" s="32" t="n">
        <x:v>7.11</x:v>
      </x:c>
      <x:c r="AP553" s="32" t="n">
        <x:v>7.11</x:v>
      </x:c>
      <x:c r="AQ553" s="32" t="n">
        <x:v>2.96</x:v>
      </x:c>
      <x:c r="AR553" s="32" t="n">
        <x:v>0.305251</x:v>
      </x:c>
      <x:c r="AS553" t="str">
        <x:v>PASS</x:v>
      </x:c>
      <x:c r="AT553" t="str">
        <x:v>--cda-neo-171</x:v>
      </x:c>
      <x:c r="AU553" t="str">
        <x:v>var(--cda-neo-171)</x:v>
      </x:c>
      <x:c r="AV553" t="str">
        <x:v>Median RGB from official PDF swatch (screen reference only)</x:v>
      </x:c>
      <x:c r="AW553" t="str">
        <x:v>https://www.carandache.com/content_files/uploaded_doc/product/10595/Colour_Chart_NeoPastel.pdf</x:v>
      </x:c>
      <x:c r="AX553" t="n">
        <x:v>1</x:v>
      </x:c>
      <x:c r="AY553" t="str">
        <x:v>Official</x:v>
      </x:c>
      <x:c r="AZ553" t="str">
        <x:v>Official where available; curated Traditional Chinese/Japanese otherwise</x:v>
      </x:c>
      <x:c r="BA553" t="str">
        <x:v>Verified from official chart; digital HEX is approximate</x:v>
      </x:c>
      <x:c r="BB553" t="str">
        <x:v>Physical media appearance varies by paper, pressure, layering, water and scan/display profile.</x:v>
      </x:c>
    </x:row>
    <x:row r="554">
      <x:c r="A554" t="str">
        <x:f>G554&amp;"|"&amp;L554</x:f>
        <x:v>NEO|191</x:v>
      </x:c>
      <x:c r="B554" t="str">
        <x:v>8ff98288-3370-5af5-9e53-944c10d56ad5</x:v>
      </x:c>
      <x:c r="C554" t="str">
        <x:v>CDA-NEO-191</x:v>
      </x:c>
      <x:c r="D554" t="str">
        <x:v>295c1c8c-f3a3-598e-9fb8-99b3a59852df</x:v>
      </x:c>
      <x:c r="E554" t="str">
        <x:v>CDA-CODE-191</x:v>
      </x:c>
      <x:c r="F554" t="str">
        <x:v>Caran d’Ache</x:v>
      </x:c>
      <x:c r="G554" t="str">
        <x:v>NEO</x:v>
      </x:c>
      <x:c r="H554" t="str">
        <x:v>NEOPASTEL</x:v>
      </x:c>
      <x:c r="I554" t="str">
        <x:v>Extra-fine oil pastel</x:v>
      </x:c>
      <x:c r="J554" t="str">
        <x:v>Professional</x:v>
      </x:c>
      <x:c r="K554" s="30" t="n">
        <x:v>53</x:v>
      </x:c>
      <x:c r="L554" s="30" t="str">
        <x:v>191</x:v>
      </x:c>
      <x:c r="M554" t="str">
        <x:v>Turquoise</x:v>
      </x:c>
      <x:c r="N554" t="str">
        <x:v>綠松石色</x:v>
      </x:c>
      <x:c r="O554" t="str">
        <x:v>ターコイズ</x:v>
      </x:c>
      <x:c r="P554" t="str"/>
      <x:c r="Q554" t="str">
        <x:v>Vert turquoise</x:v>
      </x:c>
      <x:c r="R554" t="str">
        <x:v>Türkisgrün</x:v>
      </x:c>
      <x:c r="S554" t="str">
        <x:v>Verde turchese</x:v>
      </x:c>
      <x:c r="T554" t="str"/>
      <x:c r="U554" t="str">
        <x:v>Verde turquesa</x:v>
      </x:c>
      <x:c r="V554" t="str">
        <x:v>터키 그린</x:v>
      </x:c>
      <x:c r="W554" t="str">
        <x:v>PB15:3/PG7</x:v>
      </x:c>
      <x:c r="X554" t="n">
        <x:f>IF(W554="",0,LEN(W554)-LEN(SUBSTITUTE(W554,"/",""))+1)</x:f>
        <x:v>2</x:v>
      </x:c>
      <x:c r="Y554" t="str">
        <x:v>H</x:v>
      </x:c>
      <x:c r="Z554" s="32" t="n">
        <x:v>1.67</x:v>
      </x:c>
      <x:c r="AA554" s="32" t="n">
        <x:v>3</x:v>
      </x:c>
      <x:c r="AB554" s="32" t="str">
        <x:v>Blue Wool Scale / UV 150h</x:v>
      </x:c>
      <x:c r="AC554" t="str">
        <x:v>#3DAE9D</x:v>
      </x:c>
      <x:c r="AD554" s="34" t="n">
        <x:v>61</x:v>
      </x:c>
      <x:c r="AE554" s="34" t="n">
        <x:v>174</x:v>
      </x:c>
      <x:c r="AF554" s="34" t="n">
        <x:v>157</x:v>
      </x:c>
      <x:c r="AG554" s="32" t="n">
        <x:v>170.97</x:v>
      </x:c>
      <x:c r="AH554" s="32" t="n">
        <x:v>48.09</x:v>
      </x:c>
      <x:c r="AI554" s="32" t="n">
        <x:v>46.08</x:v>
      </x:c>
      <x:c r="AJ554" s="32" t="n">
        <x:v>64.72</x:v>
      </x:c>
      <x:c r="AK554" s="32" t="n">
        <x:v>-35.71</x:v>
      </x:c>
      <x:c r="AL554" s="32" t="n">
        <x:v>-0.61</x:v>
      </x:c>
      <x:c r="AM554" s="32" t="str">
        <x:v>#000000</x:v>
      </x:c>
      <x:c r="AN554" s="32" t="str">
        <x:v>Black</x:v>
      </x:c>
      <x:c r="AO554" s="32" t="n">
        <x:v>7.74</x:v>
      </x:c>
      <x:c r="AP554" s="32" t="n">
        <x:v>7.74</x:v>
      </x:c>
      <x:c r="AQ554" s="32" t="n">
        <x:v>2.71</x:v>
      </x:c>
      <x:c r="AR554" s="32" t="n">
        <x:v>0.336985</x:v>
      </x:c>
      <x:c r="AS554" t="str">
        <x:v>PASS</x:v>
      </x:c>
      <x:c r="AT554" t="str">
        <x:v>--cda-neo-191</x:v>
      </x:c>
      <x:c r="AU554" t="str">
        <x:v>var(--cda-neo-191)</x:v>
      </x:c>
      <x:c r="AV554" t="str">
        <x:v>Median RGB from official PDF swatch (screen reference only)</x:v>
      </x:c>
      <x:c r="AW554" t="str">
        <x:v>https://www.carandache.com/content_files/uploaded_doc/product/10595/Colour_Chart_NeoPastel.pdf</x:v>
      </x:c>
      <x:c r="AX554" t="n">
        <x:v>1</x:v>
      </x:c>
      <x:c r="AY554" t="str">
        <x:v>Official</x:v>
      </x:c>
      <x:c r="AZ554" t="str">
        <x:v>Official where available; curated Traditional Chinese/Japanese otherwise</x:v>
      </x:c>
      <x:c r="BA554" t="str">
        <x:v>Verified from official chart; digital HEX is approximate</x:v>
      </x:c>
      <x:c r="BB554" t="str">
        <x:v>Physical media appearance varies by paper, pressure, layering, water and scan/display profile.</x:v>
      </x:c>
    </x:row>
    <x:row r="555">
      <x:c r="A555" t="str">
        <x:f>G555&amp;"|"&amp;L555</x:f>
        <x:v>NEO|211</x:v>
      </x:c>
      <x:c r="B555" t="str">
        <x:v>7b9a6d13-a3f7-5f49-85c1-9b874bf599cd</x:v>
      </x:c>
      <x:c r="C555" t="str">
        <x:v>CDA-NEO-211</x:v>
      </x:c>
      <x:c r="D555" t="str">
        <x:v>456d0f17-a8f0-5d1b-88fa-d78fc8317ec0</x:v>
      </x:c>
      <x:c r="E555" t="str">
        <x:v>CDA-CODE-211</x:v>
      </x:c>
      <x:c r="F555" t="str">
        <x:v>Caran d’Ache</x:v>
      </x:c>
      <x:c r="G555" t="str">
        <x:v>NEO</x:v>
      </x:c>
      <x:c r="H555" t="str">
        <x:v>NEOPASTEL</x:v>
      </x:c>
      <x:c r="I555" t="str">
        <x:v>Extra-fine oil pastel</x:v>
      </x:c>
      <x:c r="J555" t="str">
        <x:v>Professional</x:v>
      </x:c>
      <x:c r="K555" s="30" t="n">
        <x:v>54</x:v>
      </x:c>
      <x:c r="L555" s="30" t="str">
        <x:v>211</x:v>
      </x:c>
      <x:c r="M555" t="str">
        <x:v>Jade green</x:v>
      </x:c>
      <x:c r="N555" t="str">
        <x:v>玉綠色</x:v>
      </x:c>
      <x:c r="O555" t="str">
        <x:v>ジェードグリーン</x:v>
      </x:c>
      <x:c r="P555" t="str"/>
      <x:c r="Q555" t="str">
        <x:v>Jade</x:v>
      </x:c>
      <x:c r="R555" t="str">
        <x:v>Jade</x:v>
      </x:c>
      <x:c r="S555" t="str">
        <x:v>Giada</x:v>
      </x:c>
      <x:c r="T555" t="str"/>
      <x:c r="U555" t="str">
        <x:v>Jade</x:v>
      </x:c>
      <x:c r="V555" t="str">
        <x:v>경옥색</x:v>
      </x:c>
      <x:c r="W555" t="str">
        <x:v>PY1/PG7</x:v>
      </x:c>
      <x:c r="X555" t="n">
        <x:f>IF(W555="",0,LEN(W555)-LEN(SUBSTITUTE(W555,"/",""))+1)</x:f>
        <x:v>2</x:v>
      </x:c>
      <x:c r="Y555" t="str">
        <x:v>H</x:v>
      </x:c>
      <x:c r="Z555" s="32" t="n">
        <x:v>1.67</x:v>
      </x:c>
      <x:c r="AA555" s="32" t="n">
        <x:v>3</x:v>
      </x:c>
      <x:c r="AB555" s="32" t="str">
        <x:v>Blue Wool Scale / UV 150h</x:v>
      </x:c>
      <x:c r="AC555" t="str">
        <x:v>#5BB7A4</x:v>
      </x:c>
      <x:c r="AD555" s="34" t="n">
        <x:v>91</x:v>
      </x:c>
      <x:c r="AE555" s="34" t="n">
        <x:v>183</x:v>
      </x:c>
      <x:c r="AF555" s="34" t="n">
        <x:v>164</x:v>
      </x:c>
      <x:c r="AG555" s="32" t="n">
        <x:v>167.61</x:v>
      </x:c>
      <x:c r="AH555" s="32" t="n">
        <x:v>38.98</x:v>
      </x:c>
      <x:c r="AI555" s="32" t="n">
        <x:v>53.73</x:v>
      </x:c>
      <x:c r="AJ555" s="32" t="n">
        <x:v>68.58</x:v>
      </x:c>
      <x:c r="AK555" s="32" t="n">
        <x:v>-32.11</x:v>
      </x:c>
      <x:c r="AL555" s="32" t="n">
        <x:v>1.26</x:v>
      </x:c>
      <x:c r="AM555" s="32" t="str">
        <x:v>#000000</x:v>
      </x:c>
      <x:c r="AN555" s="32" t="str">
        <x:v>Black</x:v>
      </x:c>
      <x:c r="AO555" s="32" t="n">
        <x:v>8.75</x:v>
      </x:c>
      <x:c r="AP555" s="32" t="n">
        <x:v>8.75</x:v>
      </x:c>
      <x:c r="AQ555" s="32" t="n">
        <x:v>2.4</x:v>
      </x:c>
      <x:c r="AR555" s="32" t="n">
        <x:v>0.387715</x:v>
      </x:c>
      <x:c r="AS555" t="str">
        <x:v>PASS</x:v>
      </x:c>
      <x:c r="AT555" t="str">
        <x:v>--cda-neo-211</x:v>
      </x:c>
      <x:c r="AU555" t="str">
        <x:v>var(--cda-neo-211)</x:v>
      </x:c>
      <x:c r="AV555" t="str">
        <x:v>Median RGB from official PDF swatch (screen reference only)</x:v>
      </x:c>
      <x:c r="AW555" t="str">
        <x:v>https://www.carandache.com/content_files/uploaded_doc/product/10595/Colour_Chart_NeoPastel.pdf</x:v>
      </x:c>
      <x:c r="AX555" t="n">
        <x:v>1</x:v>
      </x:c>
      <x:c r="AY555" t="str">
        <x:v>Official</x:v>
      </x:c>
      <x:c r="AZ555" t="str">
        <x:v>Official where available; curated Traditional Chinese/Japanese otherwise</x:v>
      </x:c>
      <x:c r="BA555" t="str">
        <x:v>Verified from official chart; digital HEX is approximate</x:v>
      </x:c>
      <x:c r="BB555" t="str">
        <x:v>Physical media appearance varies by paper, pressure, layering, water and scan/display profile.</x:v>
      </x:c>
    </x:row>
    <x:row r="556">
      <x:c r="A556" t="str">
        <x:f>G556&amp;"|"&amp;L556</x:f>
        <x:v>NEO|201</x:v>
      </x:c>
      <x:c r="B556" t="str">
        <x:v>7d6e2a09-b1d4-5c4a-a492-0db76267b67e</x:v>
      </x:c>
      <x:c r="C556" t="str">
        <x:v>CDA-NEO-201</x:v>
      </x:c>
      <x:c r="D556" t="str">
        <x:v>41c705d7-153e-5378-b6fd-211680ba74d8</x:v>
      </x:c>
      <x:c r="E556" t="str">
        <x:v>CDA-CODE-201</x:v>
      </x:c>
      <x:c r="F556" t="str">
        <x:v>Caran d’Ache</x:v>
      </x:c>
      <x:c r="G556" t="str">
        <x:v>NEO</x:v>
      </x:c>
      <x:c r="H556" t="str">
        <x:v>NEOPASTEL</x:v>
      </x:c>
      <x:c r="I556" t="str">
        <x:v>Extra-fine oil pastel</x:v>
      </x:c>
      <x:c r="J556" t="str">
        <x:v>Professional</x:v>
      </x:c>
      <x:c r="K556" s="30" t="n">
        <x:v>55</x:v>
      </x:c>
      <x:c r="L556" s="30" t="str">
        <x:v>201</x:v>
      </x:c>
      <x:c r="M556" t="str">
        <x:v>Veronese green</x:v>
      </x:c>
      <x:c r="N556" t="str">
        <x:v>維羅內塞綠</x:v>
      </x:c>
      <x:c r="O556" t="str">
        <x:v>ベロネーゼグリーン</x:v>
      </x:c>
      <x:c r="P556" t="str"/>
      <x:c r="Q556" t="str">
        <x:v>Vert Véronèse</x:v>
      </x:c>
      <x:c r="R556" t="str">
        <x:v>Veronesergrün</x:v>
      </x:c>
      <x:c r="S556" t="str">
        <x:v>Verde veronese</x:v>
      </x:c>
      <x:c r="T556" t="str"/>
      <x:c r="U556" t="str">
        <x:v>Verde veronese</x:v>
      </x:c>
      <x:c r="V556" t="str">
        <x:v>베로니즈 그린</x:v>
      </x:c>
      <x:c r="W556" t="str">
        <x:v>PY3/PG7</x:v>
      </x:c>
      <x:c r="X556" t="n">
        <x:f>IF(W556="",0,LEN(W556)-LEN(SUBSTITUTE(W556,"/",""))+1)</x:f>
        <x:v>2</x:v>
      </x:c>
      <x:c r="Y556" t="str">
        <x:v>H</x:v>
      </x:c>
      <x:c r="Z556" s="32" t="n">
        <x:v>1.67</x:v>
      </x:c>
      <x:c r="AA556" s="32" t="n">
        <x:v>3</x:v>
      </x:c>
      <x:c r="AB556" s="32" t="str">
        <x:v>Blue Wool Scale / UV 150h</x:v>
      </x:c>
      <x:c r="AC556" t="str">
        <x:v>#0E8F62</x:v>
      </x:c>
      <x:c r="AD556" s="34" t="n">
        <x:v>14</x:v>
      </x:c>
      <x:c r="AE556" s="34" t="n">
        <x:v>143</x:v>
      </x:c>
      <x:c r="AF556" s="34" t="n">
        <x:v>98</x:v>
      </x:c>
      <x:c r="AG556" s="32" t="n">
        <x:v>159.07</x:v>
      </x:c>
      <x:c r="AH556" s="32" t="n">
        <x:v>82.17</x:v>
      </x:c>
      <x:c r="AI556" s="32" t="n">
        <x:v>30.78</x:v>
      </x:c>
      <x:c r="AJ556" s="32" t="n">
        <x:v>52.53</x:v>
      </x:c>
      <x:c r="AK556" s="32" t="n">
        <x:v>-43.12</x:v>
      </x:c>
      <x:c r="AL556" s="32" t="n">
        <x:v>15.12</x:v>
      </x:c>
      <x:c r="AM556" s="32" t="str">
        <x:v>#000000</x:v>
      </x:c>
      <x:c r="AN556" s="32" t="str">
        <x:v>Black</x:v>
      </x:c>
      <x:c r="AO556" s="32" t="n">
        <x:v>5.12</x:v>
      </x:c>
      <x:c r="AP556" s="32" t="n">
        <x:v>5.12</x:v>
      </x:c>
      <x:c r="AQ556" s="32" t="n">
        <x:v>4.1</x:v>
      </x:c>
      <x:c r="AR556" s="32" t="n">
        <x:v>0.206201</x:v>
      </x:c>
      <x:c r="AS556" t="str">
        <x:v>PASS</x:v>
      </x:c>
      <x:c r="AT556" t="str">
        <x:v>--cda-neo-201</x:v>
      </x:c>
      <x:c r="AU556" t="str">
        <x:v>var(--cda-neo-201)</x:v>
      </x:c>
      <x:c r="AV556" t="str">
        <x:v>Median RGB from official PDF swatch (screen reference only)</x:v>
      </x:c>
      <x:c r="AW556" t="str">
        <x:v>https://www.carandache.com/content_files/uploaded_doc/product/10595/Colour_Chart_NeoPastel.pdf</x:v>
      </x:c>
      <x:c r="AX556" t="n">
        <x:v>1</x:v>
      </x:c>
      <x:c r="AY556" t="str">
        <x:v>Official</x:v>
      </x:c>
      <x:c r="AZ556" t="str">
        <x:v>Official where available; curated Traditional Chinese/Japanese otherwise</x:v>
      </x:c>
      <x:c r="BA556" t="str">
        <x:v>Verified from official chart; digital HEX is approximate</x:v>
      </x:c>
      <x:c r="BB556" t="str">
        <x:v>Physical media appearance varies by paper, pressure, layering, water and scan/display profile.</x:v>
      </x:c>
    </x:row>
    <x:row r="557">
      <x:c r="A557" t="str">
        <x:f>G557&amp;"|"&amp;L557</x:f>
        <x:v>NEO|015</x:v>
      </x:c>
      <x:c r="B557" t="str">
        <x:v>bfa77b9b-9cbf-5bea-96ab-eefbcde0dd39</x:v>
      </x:c>
      <x:c r="C557" t="str">
        <x:v>CDA-NEO-015</x:v>
      </x:c>
      <x:c r="D557" t="str">
        <x:v>f8bcbda9-5354-53c7-b875-44dc8d27a8ac</x:v>
      </x:c>
      <x:c r="E557" t="str">
        <x:v>CDA-CODE-015</x:v>
      </x:c>
      <x:c r="F557" t="str">
        <x:v>Caran d’Ache</x:v>
      </x:c>
      <x:c r="G557" t="str">
        <x:v>NEO</x:v>
      </x:c>
      <x:c r="H557" t="str">
        <x:v>NEOPASTEL</x:v>
      </x:c>
      <x:c r="I557" t="str">
        <x:v>Extra-fine oil pastel</x:v>
      </x:c>
      <x:c r="J557" t="str">
        <x:v>Professional</x:v>
      </x:c>
      <x:c r="K557" s="30" t="n">
        <x:v>56</x:v>
      </x:c>
      <x:c r="L557" s="30" t="str">
        <x:v>015</x:v>
      </x:c>
      <x:c r="M557" t="str">
        <x:v>Olive yellow</x:v>
      </x:c>
      <x:c r="N557" t="str">
        <x:v>橄欖黃</x:v>
      </x:c>
      <x:c r="O557" t="str">
        <x:v>オリーブイエロー</x:v>
      </x:c>
      <x:c r="P557" t="str"/>
      <x:c r="Q557" t="str">
        <x:v>Jaune olive</x:v>
      </x:c>
      <x:c r="R557" t="str">
        <x:v>Gelboliv</x:v>
      </x:c>
      <x:c r="S557" t="str">
        <x:v>Giallo oliva</x:v>
      </x:c>
      <x:c r="T557" t="str"/>
      <x:c r="U557" t="str">
        <x:v>Azeitona amarelado</x:v>
      </x:c>
      <x:c r="V557" t="str">
        <x:v>올리브 옐로우</x:v>
      </x:c>
      <x:c r="W557" t="str">
        <x:v>PY1/PBk6/PY13/PY3</x:v>
      </x:c>
      <x:c r="X557" t="n">
        <x:f>IF(W557="",0,LEN(W557)-LEN(SUBSTITUTE(W557,"/",""))+1)</x:f>
        <x:v>4</x:v>
      </x:c>
      <x:c r="Y557" t="str">
        <x:v>H</x:v>
      </x:c>
      <x:c r="Z557" s="32" t="n">
        <x:v>1.67</x:v>
      </x:c>
      <x:c r="AA557" s="32" t="n">
        <x:v>3</x:v>
      </x:c>
      <x:c r="AB557" s="32" t="str">
        <x:v>Blue Wool Scale / UV 150h</x:v>
      </x:c>
      <x:c r="AC557" t="str">
        <x:v>#ACAC2B</x:v>
      </x:c>
      <x:c r="AD557" s="34" t="n">
        <x:v>172</x:v>
      </x:c>
      <x:c r="AE557" s="34" t="n">
        <x:v>172</x:v>
      </x:c>
      <x:c r="AF557" s="34" t="n">
        <x:v>43</x:v>
      </x:c>
      <x:c r="AG557" s="32" t="n">
        <x:v>60</x:v>
      </x:c>
      <x:c r="AH557" s="32" t="n">
        <x:v>60</x:v>
      </x:c>
      <x:c r="AI557" s="32" t="n">
        <x:v>42.16</x:v>
      </x:c>
      <x:c r="AJ557" s="32" t="n">
        <x:v>68.35</x:v>
      </x:c>
      <x:c r="AK557" s="32" t="n">
        <x:v>-15.02</x:v>
      </x:c>
      <x:c r="AL557" s="32" t="n">
        <x:v>61.63</x:v>
      </x:c>
      <x:c r="AM557" s="32" t="str">
        <x:v>#000000</x:v>
      </x:c>
      <x:c r="AN557" s="32" t="str">
        <x:v>Black</x:v>
      </x:c>
      <x:c r="AO557" s="32" t="n">
        <x:v>8.69</x:v>
      </x:c>
      <x:c r="AP557" s="32" t="n">
        <x:v>8.69</x:v>
      </x:c>
      <x:c r="AQ557" s="32" t="n">
        <x:v>2.42</x:v>
      </x:c>
      <x:c r="AR557" s="32" t="n">
        <x:v>0.384501</x:v>
      </x:c>
      <x:c r="AS557" t="str">
        <x:v>PASS</x:v>
      </x:c>
      <x:c r="AT557" t="str">
        <x:v>--cda-neo-015</x:v>
      </x:c>
      <x:c r="AU557" t="str">
        <x:v>var(--cda-neo-015)</x:v>
      </x:c>
      <x:c r="AV557" t="str">
        <x:v>Median RGB from official PDF swatch (screen reference only)</x:v>
      </x:c>
      <x:c r="AW557" t="str">
        <x:v>https://www.carandache.com/content_files/uploaded_doc/product/10595/Colour_Chart_NeoPastel.pdf</x:v>
      </x:c>
      <x:c r="AX557" t="n">
        <x:v>1</x:v>
      </x:c>
      <x:c r="AY557" t="str">
        <x:v>Official</x:v>
      </x:c>
      <x:c r="AZ557" t="str">
        <x:v>Official where available; curated Traditional Chinese/Japanese otherwise</x:v>
      </x:c>
      <x:c r="BA557" t="str">
        <x:v>Verified from official chart; digital HEX is approximate</x:v>
      </x:c>
      <x:c r="BB557" t="str">
        <x:v>Physical media appearance varies by paper, pressure, layering, water and scan/display profile.</x:v>
      </x:c>
    </x:row>
    <x:row r="558">
      <x:c r="A558" t="str">
        <x:f>G558&amp;"|"&amp;L558</x:f>
        <x:v>NEO|245</x:v>
      </x:c>
      <x:c r="B558" t="str">
        <x:v>1ac8f8fc-6e86-5ff1-b123-429f9058c937</x:v>
      </x:c>
      <x:c r="C558" t="str">
        <x:v>CDA-NEO-245</x:v>
      </x:c>
      <x:c r="D558" t="str">
        <x:v>592280bd-2cc9-5bea-bb70-ba5d26898542</x:v>
      </x:c>
      <x:c r="E558" t="str">
        <x:v>CDA-CODE-245</x:v>
      </x:c>
      <x:c r="F558" t="str">
        <x:v>Caran d’Ache</x:v>
      </x:c>
      <x:c r="G558" t="str">
        <x:v>NEO</x:v>
      </x:c>
      <x:c r="H558" t="str">
        <x:v>NEOPASTEL</x:v>
      </x:c>
      <x:c r="I558" t="str">
        <x:v>Extra-fine oil pastel</x:v>
      </x:c>
      <x:c r="J558" t="str">
        <x:v>Professional</x:v>
      </x:c>
      <x:c r="K558" s="30" t="n">
        <x:v>57</x:v>
      </x:c>
      <x:c r="L558" s="30" t="str">
        <x:v>245</x:v>
      </x:c>
      <x:c r="M558" t="str">
        <x:v>Light olive</x:v>
      </x:c>
      <x:c r="N558" t="str">
        <x:v>淺橄欖色</x:v>
      </x:c>
      <x:c r="O558" t="str">
        <x:v>ライトオリーブ</x:v>
      </x:c>
      <x:c r="P558" t="str"/>
      <x:c r="Q558" t="str">
        <x:v>Olive clair</x:v>
      </x:c>
      <x:c r="R558" t="str">
        <x:v>Helloliv</x:v>
      </x:c>
      <x:c r="S558" t="str">
        <x:v>Oliva chiaro</x:v>
      </x:c>
      <x:c r="T558" t="str"/>
      <x:c r="U558" t="str">
        <x:v>Azeitona claro</x:v>
      </x:c>
      <x:c r="V558" t="str">
        <x:v>밝은 올리브색</x:v>
      </x:c>
      <x:c r="W558" t="str">
        <x:v>PO13/PY13/PG7/PY3/PO61</x:v>
      </x:c>
      <x:c r="X558" t="n">
        <x:f>IF(W558="",0,LEN(W558)-LEN(SUBSTITUTE(W558,"/",""))+1)</x:f>
        <x:v>5</x:v>
      </x:c>
      <x:c r="Y558" t="str">
        <x:v>HH</x:v>
      </x:c>
      <x:c r="Z558" s="32" t="n">
        <x:v>3.33</x:v>
      </x:c>
      <x:c r="AA558" s="32" t="n">
        <x:v>3</x:v>
      </x:c>
      <x:c r="AB558" s="32" t="str">
        <x:v>Blue Wool Scale / UV 150h</x:v>
      </x:c>
      <x:c r="AC558" t="str">
        <x:v>#94A237</x:v>
      </x:c>
      <x:c r="AD558" s="34" t="n">
        <x:v>148</x:v>
      </x:c>
      <x:c r="AE558" s="34" t="n">
        <x:v>162</x:v>
      </x:c>
      <x:c r="AF558" s="34" t="n">
        <x:v>55</x:v>
      </x:c>
      <x:c r="AG558" s="32" t="n">
        <x:v>67.85</x:v>
      </x:c>
      <x:c r="AH558" s="32" t="n">
        <x:v>49.31</x:v>
      </x:c>
      <x:c r="AI558" s="32" t="n">
        <x:v>42.55</x:v>
      </x:c>
      <x:c r="AJ558" s="32" t="n">
        <x:v>63.68</x:v>
      </x:c>
      <x:c r="AK558" s="32" t="n">
        <x:v>-19.62</x:v>
      </x:c>
      <x:c r="AL558" s="32" t="n">
        <x:v>51.87</x:v>
      </x:c>
      <x:c r="AM558" s="32" t="str">
        <x:v>#000000</x:v>
      </x:c>
      <x:c r="AN558" s="32" t="str">
        <x:v>Black</x:v>
      </x:c>
      <x:c r="AO558" s="32" t="n">
        <x:v>7.48</x:v>
      </x:c>
      <x:c r="AP558" s="32" t="n">
        <x:v>7.48</x:v>
      </x:c>
      <x:c r="AQ558" s="32" t="n">
        <x:v>2.81</x:v>
      </x:c>
      <x:c r="AR558" s="32" t="n">
        <x:v>0.324124</x:v>
      </x:c>
      <x:c r="AS558" t="str">
        <x:v>PASS</x:v>
      </x:c>
      <x:c r="AT558" t="str">
        <x:v>--cda-neo-245</x:v>
      </x:c>
      <x:c r="AU558" t="str">
        <x:v>var(--cda-neo-245)</x:v>
      </x:c>
      <x:c r="AV558" t="str">
        <x:v>Median RGB from official PDF swatch (screen reference only)</x:v>
      </x:c>
      <x:c r="AW558" t="str">
        <x:v>https://www.carandache.com/content_files/uploaded_doc/product/10595/Colour_Chart_NeoPastel.pdf</x:v>
      </x:c>
      <x:c r="AX558" t="n">
        <x:v>1</x:v>
      </x:c>
      <x:c r="AY558" t="str">
        <x:v>Official</x:v>
      </x:c>
      <x:c r="AZ558" t="str">
        <x:v>Official where available; curated Traditional Chinese/Japanese otherwise</x:v>
      </x:c>
      <x:c r="BA558" t="str">
        <x:v>Verified from official chart; digital HEX is approximate</x:v>
      </x:c>
      <x:c r="BB558" t="str">
        <x:v>Physical media appearance varies by paper, pressure, layering, water and scan/display profile.</x:v>
      </x:c>
    </x:row>
    <x:row r="559">
      <x:c r="A559" t="str">
        <x:f>G559&amp;"|"&amp;L559</x:f>
        <x:v>NEO|016</x:v>
      </x:c>
      <x:c r="B559" t="str">
        <x:v>42aa094d-5d25-50eb-80ea-772a632fd5b9</x:v>
      </x:c>
      <x:c r="C559" t="str">
        <x:v>CDA-NEO-016</x:v>
      </x:c>
      <x:c r="D559" t="str">
        <x:v>142b8587-6f76-59f4-b9e7-6d449f85360f</x:v>
      </x:c>
      <x:c r="E559" t="str">
        <x:v>CDA-CODE-016</x:v>
      </x:c>
      <x:c r="F559" t="str">
        <x:v>Caran d’Ache</x:v>
      </x:c>
      <x:c r="G559" t="str">
        <x:v>NEO</x:v>
      </x:c>
      <x:c r="H559" t="str">
        <x:v>NEOPASTEL</x:v>
      </x:c>
      <x:c r="I559" t="str">
        <x:v>Extra-fine oil pastel</x:v>
      </x:c>
      <x:c r="J559" t="str">
        <x:v>Professional</x:v>
      </x:c>
      <x:c r="K559" s="30" t="n">
        <x:v>58</x:v>
      </x:c>
      <x:c r="L559" s="30" t="str">
        <x:v>016</x:v>
      </x:c>
      <x:c r="M559" t="str">
        <x:v>Khaki green</x:v>
      </x:c>
      <x:c r="N559" t="str">
        <x:v>卡其綠</x:v>
      </x:c>
      <x:c r="O559" t="str">
        <x:v>カーキグリーン</x:v>
      </x:c>
      <x:c r="P559" t="str"/>
      <x:c r="Q559" t="str">
        <x:v>Vert kaki</x:v>
      </x:c>
      <x:c r="R559" t="str">
        <x:v>Khakigrün</x:v>
      </x:c>
      <x:c r="S559" t="str">
        <x:v>Verde cachi</x:v>
      </x:c>
      <x:c r="T559" t="str"/>
      <x:c r="U559" t="str">
        <x:v>Verde caqui</x:v>
      </x:c>
      <x:c r="V559" t="str">
        <x:v>카키 그린</x:v>
      </x:c>
      <x:c r="W559" t="str">
        <x:v>PY3/PBk7</x:v>
      </x:c>
      <x:c r="X559" t="n">
        <x:f>IF(W559="",0,LEN(W559)-LEN(SUBSTITUTE(W559,"/",""))+1)</x:f>
        <x:v>2</x:v>
      </x:c>
      <x:c r="Y559" t="str">
        <x:v>H</x:v>
      </x:c>
      <x:c r="Z559" s="32" t="n">
        <x:v>1.67</x:v>
      </x:c>
      <x:c r="AA559" s="32" t="n">
        <x:v>3</x:v>
      </x:c>
      <x:c r="AB559" s="32" t="str">
        <x:v>Blue Wool Scale / UV 150h</x:v>
      </x:c>
      <x:c r="AC559" t="str">
        <x:v>#768547</x:v>
      </x:c>
      <x:c r="AD559" s="34" t="n">
        <x:v>118</x:v>
      </x:c>
      <x:c r="AE559" s="34" t="n">
        <x:v>133</x:v>
      </x:c>
      <x:c r="AF559" s="34" t="n">
        <x:v>71</x:v>
      </x:c>
      <x:c r="AG559" s="32" t="n">
        <x:v>74.52</x:v>
      </x:c>
      <x:c r="AH559" s="32" t="n">
        <x:v>30.39</x:v>
      </x:c>
      <x:c r="AI559" s="32" t="n">
        <x:v>40</x:v>
      </x:c>
      <x:c r="AJ559" s="32" t="n">
        <x:v>53.04</x:v>
      </x:c>
      <x:c r="AK559" s="32" t="n">
        <x:v>-15.89</x:v>
      </x:c>
      <x:c r="AL559" s="32" t="n">
        <x:v>31.48</x:v>
      </x:c>
      <x:c r="AM559" s="32" t="str">
        <x:v>#000000</x:v>
      </x:c>
      <x:c r="AN559" s="32" t="str">
        <x:v>Black</x:v>
      </x:c>
      <x:c r="AO559" s="32" t="n">
        <x:v>5.22</x:v>
      </x:c>
      <x:c r="AP559" s="32" t="n">
        <x:v>5.22</x:v>
      </x:c>
      <x:c r="AQ559" s="32" t="n">
        <x:v>4.03</x:v>
      </x:c>
      <x:c r="AR559" s="32" t="n">
        <x:v>0.210815</x:v>
      </x:c>
      <x:c r="AS559" t="str">
        <x:v>PASS</x:v>
      </x:c>
      <x:c r="AT559" t="str">
        <x:v>--cda-neo-016</x:v>
      </x:c>
      <x:c r="AU559" t="str">
        <x:v>var(--cda-neo-016)</x:v>
      </x:c>
      <x:c r="AV559" t="str">
        <x:v>Median RGB from official PDF swatch (screen reference only)</x:v>
      </x:c>
      <x:c r="AW559" t="str">
        <x:v>https://www.carandache.com/content_files/uploaded_doc/product/10595/Colour_Chart_NeoPastel.pdf</x:v>
      </x:c>
      <x:c r="AX559" t="n">
        <x:v>1</x:v>
      </x:c>
      <x:c r="AY559" t="str">
        <x:v>Official</x:v>
      </x:c>
      <x:c r="AZ559" t="str">
        <x:v>Official where available; curated Traditional Chinese/Japanese otherwise</x:v>
      </x:c>
      <x:c r="BA559" t="str">
        <x:v>Verified from official chart; digital HEX is approximate</x:v>
      </x:c>
      <x:c r="BB559" t="str">
        <x:v>Physical media appearance varies by paper, pressure, layering, water and scan/display profile.</x:v>
      </x:c>
    </x:row>
    <x:row r="560">
      <x:c r="A560" t="str">
        <x:f>G560&amp;"|"&amp;L560</x:f>
        <x:v>NEO|249</x:v>
      </x:c>
      <x:c r="B560" t="str">
        <x:v>7582c858-55f1-55a8-a0a4-8ea1835864df</x:v>
      </x:c>
      <x:c r="C560" t="str">
        <x:v>CDA-NEO-249</x:v>
      </x:c>
      <x:c r="D560" t="str">
        <x:v>e6c72f87-8dc4-5cb7-90a2-d6b44c12faf7</x:v>
      </x:c>
      <x:c r="E560" t="str">
        <x:v>CDA-CODE-249</x:v>
      </x:c>
      <x:c r="F560" t="str">
        <x:v>Caran d’Ache</x:v>
      </x:c>
      <x:c r="G560" t="str">
        <x:v>NEO</x:v>
      </x:c>
      <x:c r="H560" t="str">
        <x:v>NEOPASTEL</x:v>
      </x:c>
      <x:c r="I560" t="str">
        <x:v>Extra-fine oil pastel</x:v>
      </x:c>
      <x:c r="J560" t="str">
        <x:v>Professional</x:v>
      </x:c>
      <x:c r="K560" s="30" t="n">
        <x:v>59</x:v>
      </x:c>
      <x:c r="L560" s="30" t="str">
        <x:v>249</x:v>
      </x:c>
      <x:c r="M560" t="str">
        <x:v>Olive</x:v>
      </x:c>
      <x:c r="N560" t="str">
        <x:v>深橄欖色</x:v>
      </x:c>
      <x:c r="O560" t="str">
        <x:v>ダークオリーブ</x:v>
      </x:c>
      <x:c r="P560" t="str"/>
      <x:c r="Q560" t="str">
        <x:v>Olive foncé</x:v>
      </x:c>
      <x:c r="R560" t="str">
        <x:v>Dunkeloliv</x:v>
      </x:c>
      <x:c r="S560" t="str">
        <x:v>Oliva scuro</x:v>
      </x:c>
      <x:c r="T560" t="str"/>
      <x:c r="U560" t="str">
        <x:v>Azeitona escuro</x:v>
      </x:c>
      <x:c r="V560" t="str">
        <x:v>올리브색</x:v>
      </x:c>
      <x:c r="W560" t="str">
        <x:v>PY13/PY1/PO62/PBk6</x:v>
      </x:c>
      <x:c r="X560" t="n">
        <x:f>IF(W560="",0,LEN(W560)-LEN(SUBSTITUTE(W560,"/",""))+1)</x:f>
        <x:v>4</x:v>
      </x:c>
      <x:c r="Y560" t="str">
        <x:v>H</x:v>
      </x:c>
      <x:c r="Z560" s="32" t="n">
        <x:v>1.67</x:v>
      </x:c>
      <x:c r="AA560" s="32" t="n">
        <x:v>3</x:v>
      </x:c>
      <x:c r="AB560" s="32" t="str">
        <x:v>Blue Wool Scale / UV 150h</x:v>
      </x:c>
      <x:c r="AC560" t="str">
        <x:v>#A99126</x:v>
      </x:c>
      <x:c r="AD560" s="34" t="n">
        <x:v>169</x:v>
      </x:c>
      <x:c r="AE560" s="34" t="n">
        <x:v>145</x:v>
      </x:c>
      <x:c r="AF560" s="34" t="n">
        <x:v>38</x:v>
      </x:c>
      <x:c r="AG560" s="32" t="n">
        <x:v>49.01</x:v>
      </x:c>
      <x:c r="AH560" s="32" t="n">
        <x:v>63.29</x:v>
      </x:c>
      <x:c r="AI560" s="32" t="n">
        <x:v>40.59</x:v>
      </x:c>
      <x:c r="AJ560" s="32" t="n">
        <x:v>60.63</x:v>
      </x:c>
      <x:c r="AK560" s="32" t="n">
        <x:v>-2.27</x:v>
      </x:c>
      <x:c r="AL560" s="32" t="n">
        <x:v>56.08</x:v>
      </x:c>
      <x:c r="AM560" s="32" t="str">
        <x:v>#000000</x:v>
      </x:c>
      <x:c r="AN560" s="32" t="str">
        <x:v>Black</x:v>
      </x:c>
      <x:c r="AO560" s="32" t="n">
        <x:v>6.77</x:v>
      </x:c>
      <x:c r="AP560" s="32" t="n">
        <x:v>6.77</x:v>
      </x:c>
      <x:c r="AQ560" s="32" t="n">
        <x:v>3.1</x:v>
      </x:c>
      <x:c r="AR560" s="32" t="n">
        <x:v>0.288258</x:v>
      </x:c>
      <x:c r="AS560" t="str">
        <x:v>PASS</x:v>
      </x:c>
      <x:c r="AT560" t="str">
        <x:v>--cda-neo-249</x:v>
      </x:c>
      <x:c r="AU560" t="str">
        <x:v>var(--cda-neo-249)</x:v>
      </x:c>
      <x:c r="AV560" t="str">
        <x:v>Median RGB from official PDF swatch (screen reference only)</x:v>
      </x:c>
      <x:c r="AW560" t="str">
        <x:v>https://www.carandache.com/content_files/uploaded_doc/product/10595/Colour_Chart_NeoPastel.pdf</x:v>
      </x:c>
      <x:c r="AX560" t="n">
        <x:v>1</x:v>
      </x:c>
      <x:c r="AY560" t="str">
        <x:v>Official</x:v>
      </x:c>
      <x:c r="AZ560" t="str">
        <x:v>Official where available; curated Traditional Chinese/Japanese otherwise</x:v>
      </x:c>
      <x:c r="BA560" t="str">
        <x:v>Verified from official chart; digital HEX is approximate</x:v>
      </x:c>
      <x:c r="BB560" t="str">
        <x:v>Physical media appearance varies by paper, pressure, layering, water and scan/display profile.</x:v>
      </x:c>
    </x:row>
    <x:row r="561">
      <x:c r="A561" t="str">
        <x:f>G561&amp;"|"&amp;L561</x:f>
        <x:v>NEO|225</x:v>
      </x:c>
      <x:c r="B561" t="str">
        <x:v>0912cb87-c65a-5a64-9ee9-10262e543da6</x:v>
      </x:c>
      <x:c r="C561" t="str">
        <x:v>CDA-NEO-225</x:v>
      </x:c>
      <x:c r="D561" t="str">
        <x:v>d67f22eb-8649-5739-bafd-f445d45c47b5</x:v>
      </x:c>
      <x:c r="E561" t="str">
        <x:v>CDA-CODE-225</x:v>
      </x:c>
      <x:c r="F561" t="str">
        <x:v>Caran d’Ache</x:v>
      </x:c>
      <x:c r="G561" t="str">
        <x:v>NEO</x:v>
      </x:c>
      <x:c r="H561" t="str">
        <x:v>NEOPASTEL</x:v>
      </x:c>
      <x:c r="I561" t="str">
        <x:v>Extra-fine oil pastel</x:v>
      </x:c>
      <x:c r="J561" t="str">
        <x:v>Professional</x:v>
      </x:c>
      <x:c r="K561" s="30" t="n">
        <x:v>60</x:v>
      </x:c>
      <x:c r="L561" s="30" t="str">
        <x:v>225</x:v>
      </x:c>
      <x:c r="M561" t="str">
        <x:v>Moss green</x:v>
      </x:c>
      <x:c r="N561" t="str">
        <x:v>苔綠色</x:v>
      </x:c>
      <x:c r="O561" t="str">
        <x:v>モスグリーン</x:v>
      </x:c>
      <x:c r="P561" t="str"/>
      <x:c r="Q561" t="str">
        <x:v>Vert mousse</x:v>
      </x:c>
      <x:c r="R561" t="str">
        <x:v>Moosgrün</x:v>
      </x:c>
      <x:c r="S561" t="str">
        <x:v>Verde muschio</x:v>
      </x:c>
      <x:c r="T561" t="str"/>
      <x:c r="U561" t="str">
        <x:v>Verde musgo</x:v>
      </x:c>
      <x:c r="V561" t="str">
        <x:v>황녹색</x:v>
      </x:c>
      <x:c r="W561" t="str">
        <x:v>PY1/PY3/PG7/PO61/PBk6</x:v>
      </x:c>
      <x:c r="X561" t="n">
        <x:f>IF(W561="",0,LEN(W561)-LEN(SUBSTITUTE(W561,"/",""))+1)</x:f>
        <x:v>5</x:v>
      </x:c>
      <x:c r="Y561" t="str">
        <x:v>H</x:v>
      </x:c>
      <x:c r="Z561" s="32" t="n">
        <x:v>1.67</x:v>
      </x:c>
      <x:c r="AA561" s="32" t="n">
        <x:v>3</x:v>
      </x:c>
      <x:c r="AB561" s="32" t="str">
        <x:v>Blue Wool Scale / UV 150h</x:v>
      </x:c>
      <x:c r="AC561" t="str">
        <x:v>#306530</x:v>
      </x:c>
      <x:c r="AD561" s="34" t="n">
        <x:v>48</x:v>
      </x:c>
      <x:c r="AE561" s="34" t="n">
        <x:v>101</x:v>
      </x:c>
      <x:c r="AF561" s="34" t="n">
        <x:v>48</x:v>
      </x:c>
      <x:c r="AG561" s="32" t="n">
        <x:v>120</x:v>
      </x:c>
      <x:c r="AH561" s="32" t="n">
        <x:v>35.57</x:v>
      </x:c>
      <x:c r="AI561" s="32" t="n">
        <x:v>29.22</x:v>
      </x:c>
      <x:c r="AJ561" s="32" t="n">
        <x:v>38.11</x:v>
      </x:c>
      <x:c r="AK561" s="32" t="n">
        <x:v>-29.75</x:v>
      </x:c>
      <x:c r="AL561" s="32" t="n">
        <x:v>24.57</x:v>
      </x:c>
      <x:c r="AM561" s="32" t="str">
        <x:v>#FFFFFF</x:v>
      </x:c>
      <x:c r="AN561" s="32" t="str">
        <x:v>White</x:v>
      </x:c>
      <x:c r="AO561" s="32" t="n">
        <x:v>6.93</x:v>
      </x:c>
      <x:c r="AP561" s="32" t="n">
        <x:v>3.03</x:v>
      </x:c>
      <x:c r="AQ561" s="32" t="n">
        <x:v>6.93</x:v>
      </x:c>
      <x:c r="AR561" s="32" t="n">
        <x:v>0.101491</x:v>
      </x:c>
      <x:c r="AS561" t="str">
        <x:v>PASS</x:v>
      </x:c>
      <x:c r="AT561" t="str">
        <x:v>--cda-neo-225</x:v>
      </x:c>
      <x:c r="AU561" t="str">
        <x:v>var(--cda-neo-225)</x:v>
      </x:c>
      <x:c r="AV561" t="str">
        <x:v>Median RGB from official PDF swatch (screen reference only)</x:v>
      </x:c>
      <x:c r="AW561" t="str">
        <x:v>https://www.carandache.com/content_files/uploaded_doc/product/10595/Colour_Chart_NeoPastel.pdf</x:v>
      </x:c>
      <x:c r="AX561" t="n">
        <x:v>1</x:v>
      </x:c>
      <x:c r="AY561" t="str">
        <x:v>Official</x:v>
      </x:c>
      <x:c r="AZ561" t="str">
        <x:v>Official where available; curated Traditional Chinese/Japanese otherwise</x:v>
      </x:c>
      <x:c r="BA561" t="str">
        <x:v>Verified from official chart; digital HEX is approximate</x:v>
      </x:c>
      <x:c r="BB561" t="str">
        <x:v>Physical media appearance varies by paper, pressure, layering, water and scan/display profile.</x:v>
      </x:c>
    </x:row>
    <x:row r="562">
      <x:c r="A562" t="str">
        <x:f>G562&amp;"|"&amp;L562</x:f>
        <x:v>NEO|019</x:v>
      </x:c>
      <x:c r="B562" t="str">
        <x:v>cf7c089e-18a4-585e-80f0-aa13922ea338</x:v>
      </x:c>
      <x:c r="C562" t="str">
        <x:v>CDA-NEO-019</x:v>
      </x:c>
      <x:c r="D562" t="str">
        <x:v>60fd1bcf-552b-5ea1-aa22-e7584fbae52e</x:v>
      </x:c>
      <x:c r="E562" t="str">
        <x:v>CDA-CODE-019</x:v>
      </x:c>
      <x:c r="F562" t="str">
        <x:v>Caran d’Ache</x:v>
      </x:c>
      <x:c r="G562" t="str">
        <x:v>NEO</x:v>
      </x:c>
      <x:c r="H562" t="str">
        <x:v>NEOPASTEL</x:v>
      </x:c>
      <x:c r="I562" t="str">
        <x:v>Extra-fine oil pastel</x:v>
      </x:c>
      <x:c r="J562" t="str">
        <x:v>Professional</x:v>
      </x:c>
      <x:c r="K562" s="30" t="n">
        <x:v>61</x:v>
      </x:c>
      <x:c r="L562" s="30" t="str">
        <x:v>019</x:v>
      </x:c>
      <x:c r="M562" t="str">
        <x:v>Olive black</x:v>
      </x:c>
      <x:c r="N562" t="str">
        <x:v>橄欖黑</x:v>
      </x:c>
      <x:c r="O562" t="str">
        <x:v>オリーブブラック</x:v>
      </x:c>
      <x:c r="P562" t="str"/>
      <x:c r="Q562" t="str">
        <x:v>Olive noir</x:v>
      </x:c>
      <x:c r="R562" t="str">
        <x:v>Olivschwarz</x:v>
      </x:c>
      <x:c r="S562" t="str">
        <x:v>Oliva nero</x:v>
      </x:c>
      <x:c r="T562" t="str"/>
      <x:c r="U562" t="str">
        <x:v>Azeitona preto</x:v>
      </x:c>
      <x:c r="V562" t="str">
        <x:v>올리브 블랙</x:v>
      </x:c>
      <x:c r="W562" t="str">
        <x:v>PY3/PBk7</x:v>
      </x:c>
      <x:c r="X562" t="n">
        <x:f>IF(W562="",0,LEN(W562)-LEN(SUBSTITUTE(W562,"/",""))+1)</x:f>
        <x:v>2</x:v>
      </x:c>
      <x:c r="Y562" t="str">
        <x:v>H</x:v>
      </x:c>
      <x:c r="Z562" s="32" t="n">
        <x:v>1.67</x:v>
      </x:c>
      <x:c r="AA562" s="32" t="n">
        <x:v>3</x:v>
      </x:c>
      <x:c r="AB562" s="32" t="str">
        <x:v>Blue Wool Scale / UV 150h</x:v>
      </x:c>
      <x:c r="AC562" t="str">
        <x:v>#333836</x:v>
      </x:c>
      <x:c r="AD562" s="34" t="n">
        <x:v>51</x:v>
      </x:c>
      <x:c r="AE562" s="34" t="n">
        <x:v>56</x:v>
      </x:c>
      <x:c r="AF562" s="34" t="n">
        <x:v>54</x:v>
      </x:c>
      <x:c r="AG562" s="32" t="n">
        <x:v>156</x:v>
      </x:c>
      <x:c r="AH562" s="32" t="n">
        <x:v>4.67</x:v>
      </x:c>
      <x:c r="AI562" s="32" t="n">
        <x:v>20.98</x:v>
      </x:c>
      <x:c r="AJ562" s="32" t="n">
        <x:v>22.99</x:v>
      </x:c>
      <x:c r="AK562" s="32" t="n">
        <x:v>-2.6</x:v>
      </x:c>
      <x:c r="AL562" s="32" t="n">
        <x:v>0.52</x:v>
      </x:c>
      <x:c r="AM562" s="32" t="str">
        <x:v>#FFFFFF</x:v>
      </x:c>
      <x:c r="AN562" s="32" t="str">
        <x:v>White</x:v>
      </x:c>
      <x:c r="AO562" s="32" t="n">
        <x:v>11.93</x:v>
      </x:c>
      <x:c r="AP562" s="32" t="n">
        <x:v>1.76</x:v>
      </x:c>
      <x:c r="AQ562" s="32" t="n">
        <x:v>11.93</x:v>
      </x:c>
      <x:c r="AR562" s="32" t="n">
        <x:v>0.037985</x:v>
      </x:c>
      <x:c r="AS562" t="str">
        <x:v>PASS</x:v>
      </x:c>
      <x:c r="AT562" t="str">
        <x:v>--cda-neo-019</x:v>
      </x:c>
      <x:c r="AU562" t="str">
        <x:v>var(--cda-neo-019)</x:v>
      </x:c>
      <x:c r="AV562" t="str">
        <x:v>Median RGB from official PDF swatch (screen reference only)</x:v>
      </x:c>
      <x:c r="AW562" t="str">
        <x:v>https://www.carandache.com/content_files/uploaded_doc/product/10595/Colour_Chart_NeoPastel.pdf</x:v>
      </x:c>
      <x:c r="AX562" t="n">
        <x:v>1</x:v>
      </x:c>
      <x:c r="AY562" t="str">
        <x:v>Official</x:v>
      </x:c>
      <x:c r="AZ562" t="str">
        <x:v>Official where available; curated Traditional Chinese/Japanese otherwise</x:v>
      </x:c>
      <x:c r="BA562" t="str">
        <x:v>Verified from official chart; digital HEX is approximate</x:v>
      </x:c>
      <x:c r="BB562" t="str">
        <x:v>Physical media appearance varies by paper, pressure, layering, water and scan/display profile.</x:v>
      </x:c>
    </x:row>
    <x:row r="563">
      <x:c r="A563" t="str">
        <x:f>G563&amp;"|"&amp;L563</x:f>
        <x:v>NEO|018</x:v>
      </x:c>
      <x:c r="B563" t="str">
        <x:v>644446e9-34da-5291-a4ef-af64a45456f8</x:v>
      </x:c>
      <x:c r="C563" t="str">
        <x:v>CDA-NEO-018</x:v>
      </x:c>
      <x:c r="D563" t="str">
        <x:v>2fcef08d-52c1-537b-831a-404f336bc88a</x:v>
      </x:c>
      <x:c r="E563" t="str">
        <x:v>CDA-CODE-018</x:v>
      </x:c>
      <x:c r="F563" t="str">
        <x:v>Caran d’Ache</x:v>
      </x:c>
      <x:c r="G563" t="str">
        <x:v>NEO</x:v>
      </x:c>
      <x:c r="H563" t="str">
        <x:v>NEOPASTEL</x:v>
      </x:c>
      <x:c r="I563" t="str">
        <x:v>Extra-fine oil pastel</x:v>
      </x:c>
      <x:c r="J563" t="str">
        <x:v>Professional</x:v>
      </x:c>
      <x:c r="K563" s="30" t="n">
        <x:v>62</x:v>
      </x:c>
      <x:c r="L563" s="30" t="str">
        <x:v>018</x:v>
      </x:c>
      <x:c r="M563" t="str">
        <x:v>Olive grey</x:v>
      </x:c>
      <x:c r="N563" t="str">
        <x:v>橄欖灰</x:v>
      </x:c>
      <x:c r="O563" t="str">
        <x:v>オリーブグレー</x:v>
      </x:c>
      <x:c r="P563" t="str"/>
      <x:c r="Q563" t="str">
        <x:v>Vert réséda</x:v>
      </x:c>
      <x:c r="R563" t="str">
        <x:v>Resedagrün</x:v>
      </x:c>
      <x:c r="S563" t="str">
        <x:v>Oliva grigiastro</x:v>
      </x:c>
      <x:c r="T563" t="str"/>
      <x:c r="U563" t="str">
        <x:v>Verde azeitona</x:v>
      </x:c>
      <x:c r="V563" t="str">
        <x:v>올리브 그레이</x:v>
      </x:c>
      <x:c r="W563" t="str">
        <x:v>PY3/PBk7</x:v>
      </x:c>
      <x:c r="X563" t="n">
        <x:f>IF(W563="",0,LEN(W563)-LEN(SUBSTITUTE(W563,"/",""))+1)</x:f>
        <x:v>2</x:v>
      </x:c>
      <x:c r="Y563" t="str">
        <x:v>H</x:v>
      </x:c>
      <x:c r="Z563" s="32" t="n">
        <x:v>1.67</x:v>
      </x:c>
      <x:c r="AA563" s="32" t="n">
        <x:v>3</x:v>
      </x:c>
      <x:c r="AB563" s="32" t="str">
        <x:v>Blue Wool Scale / UV 150h</x:v>
      </x:c>
      <x:c r="AC563" t="str">
        <x:v>#4F6549</x:v>
      </x:c>
      <x:c r="AD563" s="34" t="n">
        <x:v>79</x:v>
      </x:c>
      <x:c r="AE563" s="34" t="n">
        <x:v>101</x:v>
      </x:c>
      <x:c r="AF563" s="34" t="n">
        <x:v>73</x:v>
      </x:c>
      <x:c r="AG563" s="32" t="n">
        <x:v>107.14</x:v>
      </x:c>
      <x:c r="AH563" s="32" t="n">
        <x:v>16.09</x:v>
      </x:c>
      <x:c r="AI563" s="32" t="n">
        <x:v>34.12</x:v>
      </x:c>
      <x:c r="AJ563" s="32" t="n">
        <x:v>40.33</x:v>
      </x:c>
      <x:c r="AK563" s="32" t="n">
        <x:v>-14.22</x:v>
      </x:c>
      <x:c r="AL563" s="32" t="n">
        <x:v>13.23</x:v>
      </x:c>
      <x:c r="AM563" s="32" t="str">
        <x:v>#FFFFFF</x:v>
      </x:c>
      <x:c r="AN563" s="32" t="str">
        <x:v>White</x:v>
      </x:c>
      <x:c r="AO563" s="32" t="n">
        <x:v>6.38</x:v>
      </x:c>
      <x:c r="AP563" s="32" t="n">
        <x:v>3.29</x:v>
      </x:c>
      <x:c r="AQ563" s="32" t="n">
        <x:v>6.38</x:v>
      </x:c>
      <x:c r="AR563" s="32" t="n">
        <x:v>0.114507</x:v>
      </x:c>
      <x:c r="AS563" t="str">
        <x:v>PASS</x:v>
      </x:c>
      <x:c r="AT563" t="str">
        <x:v>--cda-neo-018</x:v>
      </x:c>
      <x:c r="AU563" t="str">
        <x:v>var(--cda-neo-018)</x:v>
      </x:c>
      <x:c r="AV563" t="str">
        <x:v>Median RGB from official PDF swatch (screen reference only)</x:v>
      </x:c>
      <x:c r="AW563" t="str">
        <x:v>https://www.carandache.com/content_files/uploaded_doc/product/10595/Colour_Chart_NeoPastel.pdf</x:v>
      </x:c>
      <x:c r="AX563" t="n">
        <x:v>1</x:v>
      </x:c>
      <x:c r="AY563" t="str">
        <x:v>Official</x:v>
      </x:c>
      <x:c r="AZ563" t="str">
        <x:v>Official where available; curated Traditional Chinese/Japanese otherwise</x:v>
      </x:c>
      <x:c r="BA563" t="str">
        <x:v>Verified from official chart; digital HEX is approximate</x:v>
      </x:c>
      <x:c r="BB563" t="str">
        <x:v>Physical media appearance varies by paper, pressure, layering, water and scan/display profile.</x:v>
      </x:c>
    </x:row>
    <x:row r="564">
      <x:c r="A564" t="str">
        <x:f>G564&amp;"|"&amp;L564</x:f>
        <x:v>NEO|039</x:v>
      </x:c>
      <x:c r="B564" t="str">
        <x:v>65682f36-d6c6-58f4-b693-a398a717c347</x:v>
      </x:c>
      <x:c r="C564" t="str">
        <x:v>CDA-NEO-039</x:v>
      </x:c>
      <x:c r="D564" t="str">
        <x:v>f03df3aa-e67d-56c5-88be-9f28d0654f47</x:v>
      </x:c>
      <x:c r="E564" t="str">
        <x:v>CDA-CODE-039</x:v>
      </x:c>
      <x:c r="F564" t="str">
        <x:v>Caran d’Ache</x:v>
      </x:c>
      <x:c r="G564" t="str">
        <x:v>NEO</x:v>
      </x:c>
      <x:c r="H564" t="str">
        <x:v>NEOPASTEL</x:v>
      </x:c>
      <x:c r="I564" t="str">
        <x:v>Extra-fine oil pastel</x:v>
      </x:c>
      <x:c r="J564" t="str">
        <x:v>Professional</x:v>
      </x:c>
      <x:c r="K564" s="30" t="n">
        <x:v>63</x:v>
      </x:c>
      <x:c r="L564" s="30" t="str">
        <x:v>039</x:v>
      </x:c>
      <x:c r="M564" t="str">
        <x:v>Olive brown</x:v>
      </x:c>
      <x:c r="N564" t="str">
        <x:v>橄欖棕</x:v>
      </x:c>
      <x:c r="O564" t="str">
        <x:v>オリーブブラウン</x:v>
      </x:c>
      <x:c r="P564" t="str"/>
      <x:c r="Q564" t="str">
        <x:v>Olive brunâtre</x:v>
      </x:c>
      <x:c r="R564" t="str">
        <x:v>Olivbraun</x:v>
      </x:c>
      <x:c r="S564" t="str">
        <x:v>Oliva bruna</x:v>
      </x:c>
      <x:c r="T564" t="str"/>
      <x:c r="U564" t="str">
        <x:v>Castanho esverdeado</x:v>
      </x:c>
      <x:c r="V564" t="str">
        <x:v>올리브 브라운</x:v>
      </x:c>
      <x:c r="W564" t="str">
        <x:v>PBk6/PY42</x:v>
      </x:c>
      <x:c r="X564" t="n">
        <x:f>IF(W564="",0,LEN(W564)-LEN(SUBSTITUTE(W564,"/",""))+1)</x:f>
        <x:v>2</x:v>
      </x:c>
      <x:c r="Y564" t="str">
        <x:v>H</x:v>
      </x:c>
      <x:c r="Z564" s="32" t="n">
        <x:v>1.67</x:v>
      </x:c>
      <x:c r="AA564" s="32" t="n">
        <x:v>3</x:v>
      </x:c>
      <x:c r="AB564" s="32" t="str">
        <x:v>Blue Wool Scale / UV 150h</x:v>
      </x:c>
      <x:c r="AC564" t="str">
        <x:v>#746237</x:v>
      </x:c>
      <x:c r="AD564" s="34" t="n">
        <x:v>116</x:v>
      </x:c>
      <x:c r="AE564" s="34" t="n">
        <x:v>98</x:v>
      </x:c>
      <x:c r="AF564" s="34" t="n">
        <x:v>55</x:v>
      </x:c>
      <x:c r="AG564" s="32" t="n">
        <x:v>42.3</x:v>
      </x:c>
      <x:c r="AH564" s="32" t="n">
        <x:v>35.67</x:v>
      </x:c>
      <x:c r="AI564" s="32" t="n">
        <x:v>33.53</x:v>
      </x:c>
      <x:c r="AJ564" s="32" t="n">
        <x:v>42.35</x:v>
      </x:c>
      <x:c r="AK564" s="32" t="n">
        <x:v>1.14</x:v>
      </x:c>
      <x:c r="AL564" s="32" t="n">
        <x:v>27.01</x:v>
      </x:c>
      <x:c r="AM564" s="32" t="str">
        <x:v>#FFFFFF</x:v>
      </x:c>
      <x:c r="AN564" s="32" t="str">
        <x:v>White</x:v>
      </x:c>
      <x:c r="AO564" s="32" t="n">
        <x:v>5.92</x:v>
      </x:c>
      <x:c r="AP564" s="32" t="n">
        <x:v>3.54</x:v>
      </x:c>
      <x:c r="AQ564" s="32" t="n">
        <x:v>5.92</x:v>
      </x:c>
      <x:c r="AR564" s="32" t="n">
        <x:v>0.127242</x:v>
      </x:c>
      <x:c r="AS564" t="str">
        <x:v>PASS</x:v>
      </x:c>
      <x:c r="AT564" t="str">
        <x:v>--cda-neo-039</x:v>
      </x:c>
      <x:c r="AU564" t="str">
        <x:v>var(--cda-neo-039)</x:v>
      </x:c>
      <x:c r="AV564" t="str">
        <x:v>Median RGB from official PDF swatch (screen reference only)</x:v>
      </x:c>
      <x:c r="AW564" t="str">
        <x:v>https://www.carandache.com/content_files/uploaded_doc/product/10595/Colour_Chart_NeoPastel.pdf</x:v>
      </x:c>
      <x:c r="AX564" t="n">
        <x:v>1</x:v>
      </x:c>
      <x:c r="AY564" t="str">
        <x:v>Official</x:v>
      </x:c>
      <x:c r="AZ564" t="str">
        <x:v>Official where available; curated Traditional Chinese/Japanese otherwise</x:v>
      </x:c>
      <x:c r="BA564" t="str">
        <x:v>Verified from official chart; digital HEX is approximate</x:v>
      </x:c>
      <x:c r="BB564" t="str">
        <x:v>Physical media appearance varies by paper, pressure, layering, water and scan/display profile.</x:v>
      </x:c>
    </x:row>
    <x:row r="565">
      <x:c r="A565" t="str">
        <x:f>G565&amp;"|"&amp;L565</x:f>
        <x:v>NEO|037</x:v>
      </x:c>
      <x:c r="B565" t="str">
        <x:v>5e494123-dabc-516c-bee2-bcad6543c7a6</x:v>
      </x:c>
      <x:c r="C565" t="str">
        <x:v>CDA-NEO-037</x:v>
      </x:c>
      <x:c r="D565" t="str">
        <x:v>59b41d64-1bde-519b-97de-9680e20c652e</x:v>
      </x:c>
      <x:c r="E565" t="str">
        <x:v>CDA-CODE-037</x:v>
      </x:c>
      <x:c r="F565" t="str">
        <x:v>Caran d’Ache</x:v>
      </x:c>
      <x:c r="G565" t="str">
        <x:v>NEO</x:v>
      </x:c>
      <x:c r="H565" t="str">
        <x:v>NEOPASTEL</x:v>
      </x:c>
      <x:c r="I565" t="str">
        <x:v>Extra-fine oil pastel</x:v>
      </x:c>
      <x:c r="J565" t="str">
        <x:v>Professional</x:v>
      </x:c>
      <x:c r="K565" s="30" t="n">
        <x:v>64</x:v>
      </x:c>
      <x:c r="L565" s="30" t="str">
        <x:v>037</x:v>
      </x:c>
      <x:c r="M565" t="str">
        <x:v>Brown ochre</x:v>
      </x:c>
      <x:c r="N565" t="str">
        <x:v>棕赭色</x:v>
      </x:c>
      <x:c r="O565" t="str">
        <x:v>ブラウンオーカー</x:v>
      </x:c>
      <x:c r="P565" t="str"/>
      <x:c r="Q565" t="str">
        <x:v>Ocre brun</x:v>
      </x:c>
      <x:c r="R565" t="str">
        <x:v>Braunocker</x:v>
      </x:c>
      <x:c r="S565" t="str">
        <x:v>Ocra bruna</x:v>
      </x:c>
      <x:c r="T565" t="str"/>
      <x:c r="U565" t="str">
        <x:v>Ocre acastanhado</x:v>
      </x:c>
      <x:c r="V565" t="str">
        <x:v>갈색빛 황토색</x:v>
      </x:c>
      <x:c r="W565" t="str">
        <x:v>PR101/PBk6/PY42</x:v>
      </x:c>
      <x:c r="X565" t="n">
        <x:f>IF(W565="",0,LEN(W565)-LEN(SUBSTITUTE(W565,"/",""))+1)</x:f>
        <x:v>3</x:v>
      </x:c>
      <x:c r="Y565" t="str">
        <x:v>H</x:v>
      </x:c>
      <x:c r="Z565" s="32" t="n">
        <x:v>1.67</x:v>
      </x:c>
      <x:c r="AA565" s="32" t="n">
        <x:v>3</x:v>
      </x:c>
      <x:c r="AB565" s="32" t="str">
        <x:v>Blue Wool Scale / UV 150h</x:v>
      </x:c>
      <x:c r="AC565" t="str">
        <x:v>#876538</x:v>
      </x:c>
      <x:c r="AD565" s="34" t="n">
        <x:v>135</x:v>
      </x:c>
      <x:c r="AE565" s="34" t="n">
        <x:v>101</x:v>
      </x:c>
      <x:c r="AF565" s="34" t="n">
        <x:v>56</x:v>
      </x:c>
      <x:c r="AG565" s="32" t="n">
        <x:v>34.18</x:v>
      </x:c>
      <x:c r="AH565" s="32" t="n">
        <x:v>41.36</x:v>
      </x:c>
      <x:c r="AI565" s="32" t="n">
        <x:v>37.45</x:v>
      </x:c>
      <x:c r="AJ565" s="32" t="n">
        <x:v>45.28</x:v>
      </x:c>
      <x:c r="AK565" s="32" t="n">
        <x:v>8.2</x:v>
      </x:c>
      <x:c r="AL565" s="32" t="n">
        <x:v>30.5</x:v>
      </x:c>
      <x:c r="AM565" s="32" t="str">
        <x:v>#FFFFFF</x:v>
      </x:c>
      <x:c r="AN565" s="32" t="str">
        <x:v>White</x:v>
      </x:c>
      <x:c r="AO565" s="32" t="n">
        <x:v>5.32</x:v>
      </x:c>
      <x:c r="AP565" s="32" t="n">
        <x:v>3.95</x:v>
      </x:c>
      <x:c r="AQ565" s="32" t="n">
        <x:v>5.32</x:v>
      </x:c>
      <x:c r="AR565" s="32" t="n">
        <x:v>0.147438</x:v>
      </x:c>
      <x:c r="AS565" t="str">
        <x:v>PASS</x:v>
      </x:c>
      <x:c r="AT565" t="str">
        <x:v>--cda-neo-037</x:v>
      </x:c>
      <x:c r="AU565" t="str">
        <x:v>var(--cda-neo-037)</x:v>
      </x:c>
      <x:c r="AV565" t="str">
        <x:v>Median RGB from official PDF swatch (screen reference only)</x:v>
      </x:c>
      <x:c r="AW565" t="str">
        <x:v>https://www.carandache.com/content_files/uploaded_doc/product/10595/Colour_Chart_NeoPastel.pdf</x:v>
      </x:c>
      <x:c r="AX565" t="n">
        <x:v>1</x:v>
      </x:c>
      <x:c r="AY565" t="str">
        <x:v>Official</x:v>
      </x:c>
      <x:c r="AZ565" t="str">
        <x:v>Official where available; curated Traditional Chinese/Japanese otherwise</x:v>
      </x:c>
      <x:c r="BA565" t="str">
        <x:v>Verified from official chart; digital HEX is approximate</x:v>
      </x:c>
      <x:c r="BB565" t="str">
        <x:v>Physical media appearance varies by paper, pressure, layering, water and scan/display profile.</x:v>
      </x:c>
    </x:row>
    <x:row r="566">
      <x:c r="A566" t="str">
        <x:f>G566&amp;"|"&amp;L566</x:f>
        <x:v>NEO|035</x:v>
      </x:c>
      <x:c r="B566" t="str">
        <x:v>bd9d61fb-d419-5529-88b7-1cce5576212a</x:v>
      </x:c>
      <x:c r="C566" t="str">
        <x:v>CDA-NEO-035</x:v>
      </x:c>
      <x:c r="D566" t="str">
        <x:v>e6cc537a-bb6e-50c6-99e9-ab46db58910a</x:v>
      </x:c>
      <x:c r="E566" t="str">
        <x:v>CDA-CODE-035</x:v>
      </x:c>
      <x:c r="F566" t="str">
        <x:v>Caran d’Ache</x:v>
      </x:c>
      <x:c r="G566" t="str">
        <x:v>NEO</x:v>
      </x:c>
      <x:c r="H566" t="str">
        <x:v>NEOPASTEL</x:v>
      </x:c>
      <x:c r="I566" t="str">
        <x:v>Extra-fine oil pastel</x:v>
      </x:c>
      <x:c r="J566" t="str">
        <x:v>Professional</x:v>
      </x:c>
      <x:c r="K566" s="30" t="n">
        <x:v>65</x:v>
      </x:c>
      <x:c r="L566" s="30" t="str">
        <x:v>035</x:v>
      </x:c>
      <x:c r="M566" t="str">
        <x:v>Ochre</x:v>
      </x:c>
      <x:c r="N566" t="str">
        <x:v>赭色</x:v>
      </x:c>
      <x:c r="O566" t="str">
        <x:v>オーカー</x:v>
      </x:c>
      <x:c r="P566" t="str"/>
      <x:c r="Q566" t="str">
        <x:v>Ocre</x:v>
      </x:c>
      <x:c r="R566" t="str">
        <x:v>Ocker</x:v>
      </x:c>
      <x:c r="S566" t="str">
        <x:v>Ocra</x:v>
      </x:c>
      <x:c r="T566" t="str"/>
      <x:c r="U566" t="str">
        <x:v>Ocre</x:v>
      </x:c>
      <x:c r="V566" t="str">
        <x:v>황토색</x:v>
      </x:c>
      <x:c r="W566" t="str">
        <x:v>PY42</x:v>
      </x:c>
      <x:c r="X566" t="n">
        <x:f>IF(W566="",0,LEN(W566)-LEN(SUBSTITUTE(W566,"/",""))+1)</x:f>
        <x:v>1</x:v>
      </x:c>
      <x:c r="Y566" t="str">
        <x:v>H</x:v>
      </x:c>
      <x:c r="Z566" s="32" t="n">
        <x:v>1.67</x:v>
      </x:c>
      <x:c r="AA566" s="32" t="n">
        <x:v>3</x:v>
      </x:c>
      <x:c r="AB566" s="32" t="str">
        <x:v>Blue Wool Scale / UV 150h</x:v>
      </x:c>
      <x:c r="AC566" t="str">
        <x:v>#AB7817</x:v>
      </x:c>
      <x:c r="AD566" s="34" t="n">
        <x:v>171</x:v>
      </x:c>
      <x:c r="AE566" s="34" t="n">
        <x:v>120</x:v>
      </x:c>
      <x:c r="AF566" s="34" t="n">
        <x:v>23</x:v>
      </x:c>
      <x:c r="AG566" s="32" t="n">
        <x:v>39.32</x:v>
      </x:c>
      <x:c r="AH566" s="32" t="n">
        <x:v>76.29</x:v>
      </x:c>
      <x:c r="AI566" s="32" t="n">
        <x:v>38.04</x:v>
      </x:c>
      <x:c r="AJ566" s="32" t="n">
        <x:v>54.19</x:v>
      </x:c>
      <x:c r="AK566" s="32" t="n">
        <x:v>12.02</x:v>
      </x:c>
      <x:c r="AL566" s="32" t="n">
        <x:v>55.43</x:v>
      </x:c>
      <x:c r="AM566" s="32" t="str">
        <x:v>#000000</x:v>
      </x:c>
      <x:c r="AN566" s="32" t="str">
        <x:v>Black</x:v>
      </x:c>
      <x:c r="AO566" s="32" t="n">
        <x:v>5.43</x:v>
      </x:c>
      <x:c r="AP566" s="32" t="n">
        <x:v>5.43</x:v>
      </x:c>
      <x:c r="AQ566" s="32" t="n">
        <x:v>3.87</x:v>
      </x:c>
      <x:c r="AR566" s="32" t="n">
        <x:v>0.221527</x:v>
      </x:c>
      <x:c r="AS566" t="str">
        <x:v>PASS</x:v>
      </x:c>
      <x:c r="AT566" t="str">
        <x:v>--cda-neo-035</x:v>
      </x:c>
      <x:c r="AU566" t="str">
        <x:v>var(--cda-neo-035)</x:v>
      </x:c>
      <x:c r="AV566" t="str">
        <x:v>Median RGB from official PDF swatch (screen reference only)</x:v>
      </x:c>
      <x:c r="AW566" t="str">
        <x:v>https://www.carandache.com/content_files/uploaded_doc/product/10595/Colour_Chart_NeoPastel.pdf</x:v>
      </x:c>
      <x:c r="AX566" t="n">
        <x:v>1</x:v>
      </x:c>
      <x:c r="AY566" t="str">
        <x:v>Official</x:v>
      </x:c>
      <x:c r="AZ566" t="str">
        <x:v>Official where available; curated Traditional Chinese/Japanese otherwise</x:v>
      </x:c>
      <x:c r="BA566" t="str">
        <x:v>Verified from official chart; digital HEX is approximate</x:v>
      </x:c>
      <x:c r="BB566" t="str">
        <x:v>Physical media appearance varies by paper, pressure, layering, water and scan/display profile.</x:v>
      </x:c>
    </x:row>
    <x:row r="567">
      <x:c r="A567" t="str">
        <x:f>G567&amp;"|"&amp;L567</x:f>
        <x:v>NEO|033</x:v>
      </x:c>
      <x:c r="B567" t="str">
        <x:v>5144f1cc-1950-5452-9b07-52916c5bc55d</x:v>
      </x:c>
      <x:c r="C567" t="str">
        <x:v>CDA-NEO-033</x:v>
      </x:c>
      <x:c r="D567" t="str">
        <x:v>167a875a-a8c7-5497-a065-fd7076f6139c</x:v>
      </x:c>
      <x:c r="E567" t="str">
        <x:v>CDA-CODE-033</x:v>
      </x:c>
      <x:c r="F567" t="str">
        <x:v>Caran d’Ache</x:v>
      </x:c>
      <x:c r="G567" t="str">
        <x:v>NEO</x:v>
      </x:c>
      <x:c r="H567" t="str">
        <x:v>NEOPASTEL</x:v>
      </x:c>
      <x:c r="I567" t="str">
        <x:v>Extra-fine oil pastel</x:v>
      </x:c>
      <x:c r="J567" t="str">
        <x:v>Professional</x:v>
      </x:c>
      <x:c r="K567" s="30" t="n">
        <x:v>66</x:v>
      </x:c>
      <x:c r="L567" s="30" t="str">
        <x:v>033</x:v>
      </x:c>
      <x:c r="M567" t="str">
        <x:v>Golden ochre</x:v>
      </x:c>
      <x:c r="N567" t="str">
        <x:v>金赭色</x:v>
      </x:c>
      <x:c r="O567" t="str">
        <x:v>ゴールデンオーカー</x:v>
      </x:c>
      <x:c r="P567" t="str"/>
      <x:c r="Q567" t="str">
        <x:v>Ocre d’or</x:v>
      </x:c>
      <x:c r="R567" t="str">
        <x:v>Goldocker</x:v>
      </x:c>
      <x:c r="S567" t="str">
        <x:v>Ocra d’oro</x:v>
      </x:c>
      <x:c r="T567" t="str"/>
      <x:c r="U567" t="str">
        <x:v>Ocre dourado</x:v>
      </x:c>
      <x:c r="V567" t="str">
        <x:v>금빛 황토색</x:v>
      </x:c>
      <x:c r="W567" t="str">
        <x:v>PY184/PY42</x:v>
      </x:c>
      <x:c r="X567" t="n">
        <x:f>IF(W567="",0,LEN(W567)-LEN(SUBSTITUTE(W567,"/",""))+1)</x:f>
        <x:v>2</x:v>
      </x:c>
      <x:c r="Y567" t="str">
        <x:v>H</x:v>
      </x:c>
      <x:c r="Z567" s="32" t="n">
        <x:v>1.67</x:v>
      </x:c>
      <x:c r="AA567" s="32" t="n">
        <x:v>3</x:v>
      </x:c>
      <x:c r="AB567" s="32" t="str">
        <x:v>Blue Wool Scale / UV 150h</x:v>
      </x:c>
      <x:c r="AC567" t="str">
        <x:v>#D09014</x:v>
      </x:c>
      <x:c r="AD567" s="34" t="n">
        <x:v>208</x:v>
      </x:c>
      <x:c r="AE567" s="34" t="n">
        <x:v>144</x:v>
      </x:c>
      <x:c r="AF567" s="34" t="n">
        <x:v>20</x:v>
      </x:c>
      <x:c r="AG567" s="32" t="n">
        <x:v>39.57</x:v>
      </x:c>
      <x:c r="AH567" s="32" t="n">
        <x:v>82.46</x:v>
      </x:c>
      <x:c r="AI567" s="32" t="n">
        <x:v>44.71</x:v>
      </x:c>
      <x:c r="AJ567" s="32" t="n">
        <x:v>64.49</x:v>
      </x:c>
      <x:c r="AK567" s="32" t="n">
        <x:v>15.2</x:v>
      </x:c>
      <x:c r="AL567" s="32" t="n">
        <x:v>66.18</x:v>
      </x:c>
      <x:c r="AM567" s="32" t="str">
        <x:v>#000000</x:v>
      </x:c>
      <x:c r="AN567" s="32" t="str">
        <x:v>Black</x:v>
      </x:c>
      <x:c r="AO567" s="32" t="n">
        <x:v>7.68</x:v>
      </x:c>
      <x:c r="AP567" s="32" t="n">
        <x:v>7.68</x:v>
      </x:c>
      <x:c r="AQ567" s="32" t="n">
        <x:v>2.73</x:v>
      </x:c>
      <x:c r="AR567" s="32" t="n">
        <x:v>0.334069</x:v>
      </x:c>
      <x:c r="AS567" t="str">
        <x:v>PASS</x:v>
      </x:c>
      <x:c r="AT567" t="str">
        <x:v>--cda-neo-033</x:v>
      </x:c>
      <x:c r="AU567" t="str">
        <x:v>var(--cda-neo-033)</x:v>
      </x:c>
      <x:c r="AV567" t="str">
        <x:v>Median RGB from official PDF swatch (screen reference only)</x:v>
      </x:c>
      <x:c r="AW567" t="str">
        <x:v>https://www.carandache.com/content_files/uploaded_doc/product/10595/Colour_Chart_NeoPastel.pdf</x:v>
      </x:c>
      <x:c r="AX567" t="n">
        <x:v>1</x:v>
      </x:c>
      <x:c r="AY567" t="str">
        <x:v>Official</x:v>
      </x:c>
      <x:c r="AZ567" t="str">
        <x:v>Official where available; curated Traditional Chinese/Japanese otherwise</x:v>
      </x:c>
      <x:c r="BA567" t="str">
        <x:v>Verified from official chart; digital HEX is approximate</x:v>
      </x:c>
      <x:c r="BB567" t="str">
        <x:v>Physical media appearance varies by paper, pressure, layering, water and scan/display profile.</x:v>
      </x:c>
    </x:row>
    <x:row r="568">
      <x:c r="A568" t="str">
        <x:f>G568&amp;"|"&amp;L568</x:f>
        <x:v>NEO|065</x:v>
      </x:c>
      <x:c r="B568" t="str">
        <x:v>966c1df2-c30d-5770-9d6e-58b95ac423cf</x:v>
      </x:c>
      <x:c r="C568" t="str">
        <x:v>CDA-NEO-065</x:v>
      </x:c>
      <x:c r="D568" t="str">
        <x:v>91a3d2cf-6d79-536f-9dd3-6acea80af176</x:v>
      </x:c>
      <x:c r="E568" t="str">
        <x:v>CDA-CODE-065</x:v>
      </x:c>
      <x:c r="F568" t="str">
        <x:v>Caran d’Ache</x:v>
      </x:c>
      <x:c r="G568" t="str">
        <x:v>NEO</x:v>
      </x:c>
      <x:c r="H568" t="str">
        <x:v>NEOPASTEL</x:v>
      </x:c>
      <x:c r="I568" t="str">
        <x:v>Extra-fine oil pastel</x:v>
      </x:c>
      <x:c r="J568" t="str">
        <x:v>Professional</x:v>
      </x:c>
      <x:c r="K568" s="30" t="n">
        <x:v>67</x:v>
      </x:c>
      <x:c r="L568" s="30" t="str">
        <x:v>065</x:v>
      </x:c>
      <x:c r="M568" t="str">
        <x:v>Russet</x:v>
      </x:c>
      <x:c r="N568" t="str">
        <x:v>赤褐色</x:v>
      </x:c>
      <x:c r="O568" t="str">
        <x:v>ラセット</x:v>
      </x:c>
      <x:c r="P568" t="str"/>
      <x:c r="Q568" t="str">
        <x:v>Sanguine</x:v>
      </x:c>
      <x:c r="R568" t="str">
        <x:v>Rotbraun</x:v>
      </x:c>
      <x:c r="S568" t="str">
        <x:v>Sanguigna</x:v>
      </x:c>
      <x:c r="T568" t="str"/>
      <x:c r="U568" t="str">
        <x:v>Sanguínea</x:v>
      </x:c>
      <x:c r="V568" t="str">
        <x:v>루셋</x:v>
      </x:c>
      <x:c r="W568" t="str">
        <x:v>PB15/PO13/PY1/PR3</x:v>
      </x:c>
      <x:c r="X568" t="n">
        <x:f>IF(W568="",0,LEN(W568)-LEN(SUBSTITUTE(W568,"/",""))+1)</x:f>
        <x:v>4</x:v>
      </x:c>
      <x:c r="Y568" t="str">
        <x:v>H</x:v>
      </x:c>
      <x:c r="Z568" s="32" t="n">
        <x:v>1.67</x:v>
      </x:c>
      <x:c r="AA568" s="32" t="n">
        <x:v>3</x:v>
      </x:c>
      <x:c r="AB568" s="32" t="str">
        <x:v>Blue Wool Scale / UV 150h</x:v>
      </x:c>
      <x:c r="AC568" t="str">
        <x:v>#893D1A</x:v>
      </x:c>
      <x:c r="AD568" s="34" t="n">
        <x:v>137</x:v>
      </x:c>
      <x:c r="AE568" s="34" t="n">
        <x:v>61</x:v>
      </x:c>
      <x:c r="AF568" s="34" t="n">
        <x:v>26</x:v>
      </x:c>
      <x:c r="AG568" s="32" t="n">
        <x:v>18.92</x:v>
      </x:c>
      <x:c r="AH568" s="32" t="n">
        <x:v>68.1</x:v>
      </x:c>
      <x:c r="AI568" s="32" t="n">
        <x:v>31.96</x:v>
      </x:c>
      <x:c r="AJ568" s="32" t="n">
        <x:v>35.46</x:v>
      </x:c>
      <x:c r="AK568" s="32" t="n">
        <x:v>30.21</x:v>
      </x:c>
      <x:c r="AL568" s="32" t="n">
        <x:v>35.77</x:v>
      </x:c>
      <x:c r="AM568" s="32" t="str">
        <x:v>#FFFFFF</x:v>
      </x:c>
      <x:c r="AN568" s="32" t="str">
        <x:v>White</x:v>
      </x:c>
      <x:c r="AO568" s="32" t="n">
        <x:v>7.65</x:v>
      </x:c>
      <x:c r="AP568" s="32" t="n">
        <x:v>2.75</x:v>
      </x:c>
      <x:c r="AQ568" s="32" t="n">
        <x:v>7.65</x:v>
      </x:c>
      <x:c r="AR568" s="32" t="n">
        <x:v>0.087304</x:v>
      </x:c>
      <x:c r="AS568" t="str">
        <x:v>PASS</x:v>
      </x:c>
      <x:c r="AT568" t="str">
        <x:v>--cda-neo-065</x:v>
      </x:c>
      <x:c r="AU568" t="str">
        <x:v>var(--cda-neo-065)</x:v>
      </x:c>
      <x:c r="AV568" t="str">
        <x:v>Median RGB from official PDF swatch (screen reference only)</x:v>
      </x:c>
      <x:c r="AW568" t="str">
        <x:v>https://www.carandache.com/content_files/uploaded_doc/product/10595/Colour_Chart_NeoPastel.pdf</x:v>
      </x:c>
      <x:c r="AX568" t="n">
        <x:v>1</x:v>
      </x:c>
      <x:c r="AY568" t="str">
        <x:v>Official</x:v>
      </x:c>
      <x:c r="AZ568" t="str">
        <x:v>Official where available; curated Traditional Chinese/Japanese otherwise</x:v>
      </x:c>
      <x:c r="BA568" t="str">
        <x:v>Verified from official chart; digital HEX is approximate</x:v>
      </x:c>
      <x:c r="BB568" t="str">
        <x:v>Physical media appearance varies by paper, pressure, layering, water and scan/display profile.</x:v>
      </x:c>
    </x:row>
    <x:row r="569">
      <x:c r="A569" t="str">
        <x:f>G569&amp;"|"&amp;L569</x:f>
        <x:v>NEO|063</x:v>
      </x:c>
      <x:c r="B569" t="str">
        <x:v>3e8d38dc-8fab-56aa-9bf8-e49963119b04</x:v>
      </x:c>
      <x:c r="C569" t="str">
        <x:v>CDA-NEO-063</x:v>
      </x:c>
      <x:c r="D569" t="str">
        <x:v>b4ecc4a2-7b75-5baf-8139-3a399957d6ec</x:v>
      </x:c>
      <x:c r="E569" t="str">
        <x:v>CDA-CODE-063</x:v>
      </x:c>
      <x:c r="F569" t="str">
        <x:v>Caran d’Ache</x:v>
      </x:c>
      <x:c r="G569" t="str">
        <x:v>NEO</x:v>
      </x:c>
      <x:c r="H569" t="str">
        <x:v>NEOPASTEL</x:v>
      </x:c>
      <x:c r="I569" t="str">
        <x:v>Extra-fine oil pastel</x:v>
      </x:c>
      <x:c r="J569" t="str">
        <x:v>Professional</x:v>
      </x:c>
      <x:c r="K569" s="30" t="n">
        <x:v>68</x:v>
      </x:c>
      <x:c r="L569" s="30" t="str">
        <x:v>063</x:v>
      </x:c>
      <x:c r="M569" t="str">
        <x:v>English red</x:v>
      </x:c>
      <x:c r="N569" t="str">
        <x:v>英國紅</x:v>
      </x:c>
      <x:c r="O569" t="str">
        <x:v>イングリッシュレッド</x:v>
      </x:c>
      <x:c r="P569" t="str"/>
      <x:c r="Q569" t="str">
        <x:v>Rouge anglais</x:v>
      </x:c>
      <x:c r="R569" t="str">
        <x:v>Englischrot</x:v>
      </x:c>
      <x:c r="S569" t="str">
        <x:v>Rosso inglese</x:v>
      </x:c>
      <x:c r="T569" t="str"/>
      <x:c r="U569" t="str">
        <x:v>Vermelho inglês</x:v>
      </x:c>
      <x:c r="V569" t="str">
        <x:v>잉그리쉬레드</x:v>
      </x:c>
      <x:c r="W569" t="str">
        <x:v>PR101/PY42</x:v>
      </x:c>
      <x:c r="X569" t="n">
        <x:f>IF(W569="",0,LEN(W569)-LEN(SUBSTITUTE(W569,"/",""))+1)</x:f>
        <x:v>2</x:v>
      </x:c>
      <x:c r="Y569" t="str">
        <x:v>H</x:v>
      </x:c>
      <x:c r="Z569" s="32" t="n">
        <x:v>1.67</x:v>
      </x:c>
      <x:c r="AA569" s="32" t="n">
        <x:v>3</x:v>
      </x:c>
      <x:c r="AB569" s="32" t="str">
        <x:v>Blue Wool Scale / UV 150h</x:v>
      </x:c>
      <x:c r="AC569" t="str">
        <x:v>#8F4838</x:v>
      </x:c>
      <x:c r="AD569" s="34" t="n">
        <x:v>143</x:v>
      </x:c>
      <x:c r="AE569" s="34" t="n">
        <x:v>72</x:v>
      </x:c>
      <x:c r="AF569" s="34" t="n">
        <x:v>56</x:v>
      </x:c>
      <x:c r="AG569" s="32" t="n">
        <x:v>11.03</x:v>
      </x:c>
      <x:c r="AH569" s="32" t="n">
        <x:v>43.72</x:v>
      </x:c>
      <x:c r="AI569" s="32" t="n">
        <x:v>39.02</x:v>
      </x:c>
      <x:c r="AJ569" s="32" t="n">
        <x:v>39.18</x:v>
      </x:c>
      <x:c r="AK569" s="32" t="n">
        <x:v>28.48</x:v>
      </x:c>
      <x:c r="AL569" s="32" t="n">
        <x:v>23.22</x:v>
      </x:c>
      <x:c r="AM569" s="32" t="str">
        <x:v>#FFFFFF</x:v>
      </x:c>
      <x:c r="AN569" s="32" t="str">
        <x:v>White</x:v>
      </x:c>
      <x:c r="AO569" s="32" t="n">
        <x:v>6.66</x:v>
      </x:c>
      <x:c r="AP569" s="32" t="n">
        <x:v>3.15</x:v>
      </x:c>
      <x:c r="AQ569" s="32" t="n">
        <x:v>6.66</x:v>
      </x:c>
      <x:c r="AR569" s="32" t="n">
        <x:v>0.107599</x:v>
      </x:c>
      <x:c r="AS569" t="str">
        <x:v>PASS</x:v>
      </x:c>
      <x:c r="AT569" t="str">
        <x:v>--cda-neo-063</x:v>
      </x:c>
      <x:c r="AU569" t="str">
        <x:v>var(--cda-neo-063)</x:v>
      </x:c>
      <x:c r="AV569" t="str">
        <x:v>Median RGB from official PDF swatch (screen reference only)</x:v>
      </x:c>
      <x:c r="AW569" t="str">
        <x:v>https://www.carandache.com/content_files/uploaded_doc/product/10595/Colour_Chart_NeoPastel.pdf</x:v>
      </x:c>
      <x:c r="AX569" t="n">
        <x:v>1</x:v>
      </x:c>
      <x:c r="AY569" t="str">
        <x:v>Official</x:v>
      </x:c>
      <x:c r="AZ569" t="str">
        <x:v>Official where available; curated Traditional Chinese/Japanese otherwise</x:v>
      </x:c>
      <x:c r="BA569" t="str">
        <x:v>Verified from official chart; digital HEX is approximate</x:v>
      </x:c>
      <x:c r="BB569" t="str">
        <x:v>Physical media appearance varies by paper, pressure, layering, water and scan/display profile.</x:v>
      </x:c>
    </x:row>
    <x:row r="570">
      <x:c r="A570" t="str">
        <x:f>G570&amp;"|"&amp;L570</x:f>
        <x:v>NEO|055</x:v>
      </x:c>
      <x:c r="B570" t="str">
        <x:v>aeb5e30b-5183-5c12-8b16-14793e1ef2e9</x:v>
      </x:c>
      <x:c r="C570" t="str">
        <x:v>CDA-NEO-055</x:v>
      </x:c>
      <x:c r="D570" t="str">
        <x:v>658096e9-f9b4-5937-8e83-5eee039511f9</x:v>
      </x:c>
      <x:c r="E570" t="str">
        <x:v>CDA-CODE-055</x:v>
      </x:c>
      <x:c r="F570" t="str">
        <x:v>Caran d’Ache</x:v>
      </x:c>
      <x:c r="G570" t="str">
        <x:v>NEO</x:v>
      </x:c>
      <x:c r="H570" t="str">
        <x:v>NEOPASTEL</x:v>
      </x:c>
      <x:c r="I570" t="str">
        <x:v>Extra-fine oil pastel</x:v>
      </x:c>
      <x:c r="J570" t="str">
        <x:v>Professional</x:v>
      </x:c>
      <x:c r="K570" s="30" t="n">
        <x:v>69</x:v>
      </x:c>
      <x:c r="L570" s="30" t="str">
        <x:v>055</x:v>
      </x:c>
      <x:c r="M570" t="str">
        <x:v>Cinnamon</x:v>
      </x:c>
      <x:c r="N570" t="str">
        <x:v>肉桂色</x:v>
      </x:c>
      <x:c r="O570" t="str">
        <x:v>シナモン</x:v>
      </x:c>
      <x:c r="P570" t="str"/>
      <x:c r="Q570" t="str">
        <x:v>Cannelle</x:v>
      </x:c>
      <x:c r="R570" t="str">
        <x:v>Zimtbraun</x:v>
      </x:c>
      <x:c r="S570" t="str">
        <x:v>Cannella</x:v>
      </x:c>
      <x:c r="T570" t="str"/>
      <x:c r="U570" t="str">
        <x:v>Canela</x:v>
      </x:c>
      <x:c r="V570" t="str">
        <x:v>계피색</x:v>
      </x:c>
      <x:c r="W570" t="str">
        <x:v>PR101/PY42/PBk6</x:v>
      </x:c>
      <x:c r="X570" t="n">
        <x:f>IF(W570="",0,LEN(W570)-LEN(SUBSTITUTE(W570,"/",""))+1)</x:f>
        <x:v>3</x:v>
      </x:c>
      <x:c r="Y570" t="str">
        <x:v>H</x:v>
      </x:c>
      <x:c r="Z570" s="32" t="n">
        <x:v>1.67</x:v>
      </x:c>
      <x:c r="AA570" s="32" t="n">
        <x:v>3</x:v>
      </x:c>
      <x:c r="AB570" s="32" t="str">
        <x:v>Blue Wool Scale / UV 150h</x:v>
      </x:c>
      <x:c r="AC570" t="str">
        <x:v>#83583C</x:v>
      </x:c>
      <x:c r="AD570" s="34" t="n">
        <x:v>131</x:v>
      </x:c>
      <x:c r="AE570" s="34" t="n">
        <x:v>88</x:v>
      </x:c>
      <x:c r="AF570" s="34" t="n">
        <x:v>60</x:v>
      </x:c>
      <x:c r="AG570" s="32" t="n">
        <x:v>23.66</x:v>
      </x:c>
      <x:c r="AH570" s="32" t="n">
        <x:v>37.17</x:v>
      </x:c>
      <x:c r="AI570" s="32" t="n">
        <x:v>37.45</x:v>
      </x:c>
      <x:c r="AJ570" s="32" t="n">
        <x:v>41.43</x:v>
      </x:c>
      <x:c r="AK570" s="32" t="n">
        <x:v>14.42</x:v>
      </x:c>
      <x:c r="AL570" s="32" t="n">
        <x:v>23.34</x:v>
      </x:c>
      <x:c r="AM570" s="32" t="str">
        <x:v>#FFFFFF</x:v>
      </x:c>
      <x:c r="AN570" s="32" t="str">
        <x:v>White</x:v>
      </x:c>
      <x:c r="AO570" s="32" t="n">
        <x:v>6.13</x:v>
      </x:c>
      <x:c r="AP570" s="32" t="n">
        <x:v>3.43</x:v>
      </x:c>
      <x:c r="AQ570" s="32" t="n">
        <x:v>6.13</x:v>
      </x:c>
      <x:c r="AR570" s="32" t="n">
        <x:v>0.12131</x:v>
      </x:c>
      <x:c r="AS570" t="str">
        <x:v>PASS</x:v>
      </x:c>
      <x:c r="AT570" t="str">
        <x:v>--cda-neo-055</x:v>
      </x:c>
      <x:c r="AU570" t="str">
        <x:v>var(--cda-neo-055)</x:v>
      </x:c>
      <x:c r="AV570" t="str">
        <x:v>Median RGB from official PDF swatch (screen reference only)</x:v>
      </x:c>
      <x:c r="AW570" t="str">
        <x:v>https://www.carandache.com/content_files/uploaded_doc/product/10595/Colour_Chart_NeoPastel.pdf</x:v>
      </x:c>
      <x:c r="AX570" t="n">
        <x:v>1</x:v>
      </x:c>
      <x:c r="AY570" t="str">
        <x:v>Official</x:v>
      </x:c>
      <x:c r="AZ570" t="str">
        <x:v>Official where available; curated Traditional Chinese/Japanese otherwise</x:v>
      </x:c>
      <x:c r="BA570" t="str">
        <x:v>Verified from official chart; digital HEX is approximate</x:v>
      </x:c>
      <x:c r="BB570" t="str">
        <x:v>Physical media appearance varies by paper, pressure, layering, water and scan/display profile.</x:v>
      </x:c>
    </x:row>
    <x:row r="571">
      <x:c r="A571" t="str">
        <x:f>G571&amp;"|"&amp;L571</x:f>
        <x:v>NEO|057</x:v>
      </x:c>
      <x:c r="B571" t="str">
        <x:v>bbdd5f5d-1a33-5ee1-85d5-f1300ba2d539</x:v>
      </x:c>
      <x:c r="C571" t="str">
        <x:v>CDA-NEO-057</x:v>
      </x:c>
      <x:c r="D571" t="str">
        <x:v>ea39b452-023c-5e72-a7d0-684cd549a60a</x:v>
      </x:c>
      <x:c r="E571" t="str">
        <x:v>CDA-CODE-057</x:v>
      </x:c>
      <x:c r="F571" t="str">
        <x:v>Caran d’Ache</x:v>
      </x:c>
      <x:c r="G571" t="str">
        <x:v>NEO</x:v>
      </x:c>
      <x:c r="H571" t="str">
        <x:v>NEOPASTEL</x:v>
      </x:c>
      <x:c r="I571" t="str">
        <x:v>Extra-fine oil pastel</x:v>
      </x:c>
      <x:c r="J571" t="str">
        <x:v>Professional</x:v>
      </x:c>
      <x:c r="K571" s="30" t="n">
        <x:v>70</x:v>
      </x:c>
      <x:c r="L571" s="30" t="str">
        <x:v>057</x:v>
      </x:c>
      <x:c r="M571" t="str">
        <x:v>Chestnut</x:v>
      </x:c>
      <x:c r="N571" t="str">
        <x:v>栗棕色</x:v>
      </x:c>
      <x:c r="O571" t="str">
        <x:v>チェスナット</x:v>
      </x:c>
      <x:c r="P571" t="str"/>
      <x:c r="Q571" t="str">
        <x:v>Brun châtaigne</x:v>
      </x:c>
      <x:c r="R571" t="str">
        <x:v>Kastanienbraun</x:v>
      </x:c>
      <x:c r="S571" t="str">
        <x:v>Castano</x:v>
      </x:c>
      <x:c r="T571" t="str"/>
      <x:c r="U571" t="str">
        <x:v>Castanho claro</x:v>
      </x:c>
      <x:c r="V571" t="str">
        <x:v>밤색</x:v>
      </x:c>
      <x:c r="W571" t="str">
        <x:v>PR101/PBk6/PY42</x:v>
      </x:c>
      <x:c r="X571" t="n">
        <x:f>IF(W571="",0,LEN(W571)-LEN(SUBSTITUTE(W571,"/",""))+1)</x:f>
        <x:v>3</x:v>
      </x:c>
      <x:c r="Y571" t="str">
        <x:v>H</x:v>
      </x:c>
      <x:c r="Z571" s="32" t="n">
        <x:v>1.67</x:v>
      </x:c>
      <x:c r="AA571" s="32" t="n">
        <x:v>3</x:v>
      </x:c>
      <x:c r="AB571" s="32" t="str">
        <x:v>Blue Wool Scale / UV 150h</x:v>
      </x:c>
      <x:c r="AC571" t="str">
        <x:v>#5E3633</x:v>
      </x:c>
      <x:c r="AD571" s="34" t="n">
        <x:v>94</x:v>
      </x:c>
      <x:c r="AE571" s="34" t="n">
        <x:v>54</x:v>
      </x:c>
      <x:c r="AF571" s="34" t="n">
        <x:v>51</x:v>
      </x:c>
      <x:c r="AG571" s="32" t="n">
        <x:v>4.19</x:v>
      </x:c>
      <x:c r="AH571" s="32" t="n">
        <x:v>29.66</x:v>
      </x:c>
      <x:c r="AI571" s="32" t="n">
        <x:v>28.43</x:v>
      </x:c>
      <x:c r="AJ571" s="32" t="n">
        <x:v>27.46</x:v>
      </x:c>
      <x:c r="AK571" s="32" t="n">
        <x:v>17.5</x:v>
      </x:c>
      <x:c r="AL571" s="32" t="n">
        <x:v>9.55</x:v>
      </x:c>
      <x:c r="AM571" s="32" t="str">
        <x:v>#FFFFFF</x:v>
      </x:c>
      <x:c r="AN571" s="32" t="str">
        <x:v>White</x:v>
      </x:c>
      <x:c r="AO571" s="32" t="n">
        <x:v>10.24</x:v>
      </x:c>
      <x:c r="AP571" s="32" t="n">
        <x:v>2.05</x:v>
      </x:c>
      <x:c r="AQ571" s="32" t="n">
        <x:v>10.24</x:v>
      </x:c>
      <x:c r="AR571" s="32" t="n">
        <x:v>0.05257</x:v>
      </x:c>
      <x:c r="AS571" t="str">
        <x:v>PASS</x:v>
      </x:c>
      <x:c r="AT571" t="str">
        <x:v>--cda-neo-057</x:v>
      </x:c>
      <x:c r="AU571" t="str">
        <x:v>var(--cda-neo-057)</x:v>
      </x:c>
      <x:c r="AV571" t="str">
        <x:v>Median RGB from official PDF swatch (screen reference only)</x:v>
      </x:c>
      <x:c r="AW571" t="str">
        <x:v>https://www.carandache.com/content_files/uploaded_doc/product/10595/Colour_Chart_NeoPastel.pdf</x:v>
      </x:c>
      <x:c r="AX571" t="n">
        <x:v>1</x:v>
      </x:c>
      <x:c r="AY571" t="str">
        <x:v>Official</x:v>
      </x:c>
      <x:c r="AZ571" t="str">
        <x:v>Official where available; curated Traditional Chinese/Japanese otherwise</x:v>
      </x:c>
      <x:c r="BA571" t="str">
        <x:v>Verified from official chart; digital HEX is approximate</x:v>
      </x:c>
      <x:c r="BB571" t="str">
        <x:v>Physical media appearance varies by paper, pressure, layering, water and scan/display profile.</x:v>
      </x:c>
    </x:row>
    <x:row r="572">
      <x:c r="A572" t="str">
        <x:f>G572&amp;"|"&amp;L572</x:f>
        <x:v>NEO|069</x:v>
      </x:c>
      <x:c r="B572" t="str">
        <x:v>08e0a8f2-a92a-5ce7-9743-3ebc5938badc</x:v>
      </x:c>
      <x:c r="C572" t="str">
        <x:v>CDA-NEO-069</x:v>
      </x:c>
      <x:c r="D572" t="str">
        <x:v>cc93e1eb-34d0-5610-9562-5e234935f63d</x:v>
      </x:c>
      <x:c r="E572" t="str">
        <x:v>CDA-CODE-069</x:v>
      </x:c>
      <x:c r="F572" t="str">
        <x:v>Caran d’Ache</x:v>
      </x:c>
      <x:c r="G572" t="str">
        <x:v>NEO</x:v>
      </x:c>
      <x:c r="H572" t="str">
        <x:v>NEOPASTEL</x:v>
      </x:c>
      <x:c r="I572" t="str">
        <x:v>Extra-fine oil pastel</x:v>
      </x:c>
      <x:c r="J572" t="str">
        <x:v>Professional</x:v>
      </x:c>
      <x:c r="K572" s="30" t="n">
        <x:v>71</x:v>
      </x:c>
      <x:c r="L572" s="30" t="str">
        <x:v>069</x:v>
      </x:c>
      <x:c r="M572" t="str">
        <x:v>Burnt sienna</x:v>
      </x:c>
      <x:c r="N572" t="str">
        <x:v>熟赭紅</x:v>
      </x:c>
      <x:c r="O572" t="str">
        <x:v>バーントシェンナ</x:v>
      </x:c>
      <x:c r="P572" t="str"/>
      <x:c r="Q572" t="str">
        <x:v>Sienne brûlée</x:v>
      </x:c>
      <x:c r="R572" t="str">
        <x:v>Siena gebrannt</x:v>
      </x:c>
      <x:c r="S572" t="str">
        <x:v>Siena bruciata</x:v>
      </x:c>
      <x:c r="T572" t="str"/>
      <x:c r="U572" t="str">
        <x:v>Siena queimado</x:v>
      </x:c>
      <x:c r="V572" t="str">
        <x:v>번트시너</x:v>
      </x:c>
      <x:c r="W572" t="str">
        <x:v>PR101</x:v>
      </x:c>
      <x:c r="X572" t="n">
        <x:f>IF(W572="",0,LEN(W572)-LEN(SUBSTITUTE(W572,"/",""))+1)</x:f>
        <x:v>1</x:v>
      </x:c>
      <x:c r="Y572" t="str">
        <x:v>H</x:v>
      </x:c>
      <x:c r="Z572" s="32" t="n">
        <x:v>1.67</x:v>
      </x:c>
      <x:c r="AA572" s="32" t="n">
        <x:v>3</x:v>
      </x:c>
      <x:c r="AB572" s="32" t="str">
        <x:v>Blue Wool Scale / UV 150h</x:v>
      </x:c>
      <x:c r="AC572" t="str">
        <x:v>#7E4843</x:v>
      </x:c>
      <x:c r="AD572" s="34" t="n">
        <x:v>126</x:v>
      </x:c>
      <x:c r="AE572" s="34" t="n">
        <x:v>72</x:v>
      </x:c>
      <x:c r="AF572" s="34" t="n">
        <x:v>67</x:v>
      </x:c>
      <x:c r="AG572" s="32" t="n">
        <x:v>5.08</x:v>
      </x:c>
      <x:c r="AH572" s="32" t="n">
        <x:v>30.57</x:v>
      </x:c>
      <x:c r="AI572" s="32" t="n">
        <x:v>37.84</x:v>
      </x:c>
      <x:c r="AJ572" s="32" t="n">
        <x:v>36.89</x:v>
      </x:c>
      <x:c r="AK572" s="32" t="n">
        <x:v>22.42</x:v>
      </x:c>
      <x:c r="AL572" s="32" t="n">
        <x:v>12.98</x:v>
      </x:c>
      <x:c r="AM572" s="32" t="str">
        <x:v>#FFFFFF</x:v>
      </x:c>
      <x:c r="AN572" s="32" t="str">
        <x:v>White</x:v>
      </x:c>
      <x:c r="AO572" s="32" t="n">
        <x:v>7.25</x:v>
      </x:c>
      <x:c r="AP572" s="32" t="n">
        <x:v>2.9</x:v>
      </x:c>
      <x:c r="AQ572" s="32" t="n">
        <x:v>7.25</x:v>
      </x:c>
      <x:c r="AR572" s="32" t="n">
        <x:v>0.094756</x:v>
      </x:c>
      <x:c r="AS572" t="str">
        <x:v>PASS</x:v>
      </x:c>
      <x:c r="AT572" t="str">
        <x:v>--cda-neo-069</x:v>
      </x:c>
      <x:c r="AU572" t="str">
        <x:v>var(--cda-neo-069)</x:v>
      </x:c>
      <x:c r="AV572" t="str">
        <x:v>Median RGB from official PDF swatch (screen reference only)</x:v>
      </x:c>
      <x:c r="AW572" t="str">
        <x:v>https://www.carandache.com/content_files/uploaded_doc/product/10595/Colour_Chart_NeoPastel.pdf</x:v>
      </x:c>
      <x:c r="AX572" t="n">
        <x:v>1</x:v>
      </x:c>
      <x:c r="AY572" t="str">
        <x:v>Official</x:v>
      </x:c>
      <x:c r="AZ572" t="str">
        <x:v>Official where available; curated Traditional Chinese/Japanese otherwise</x:v>
      </x:c>
      <x:c r="BA572" t="str">
        <x:v>Verified from official chart; digital HEX is approximate</x:v>
      </x:c>
      <x:c r="BB572" t="str">
        <x:v>Physical media appearance varies by paper, pressure, layering, water and scan/display profile.</x:v>
      </x:c>
    </x:row>
    <x:row r="573">
      <x:c r="A573" t="str">
        <x:f>G573&amp;"|"&amp;L573</x:f>
        <x:v>NEO|059</x:v>
      </x:c>
      <x:c r="B573" t="str">
        <x:v>01729b1b-10fd-50e6-aeb9-b65676db92cd</x:v>
      </x:c>
      <x:c r="C573" t="str">
        <x:v>CDA-NEO-059</x:v>
      </x:c>
      <x:c r="D573" t="str">
        <x:v>82af754c-0796-57d3-b910-c32329865240</x:v>
      </x:c>
      <x:c r="E573" t="str">
        <x:v>CDA-CODE-059</x:v>
      </x:c>
      <x:c r="F573" t="str">
        <x:v>Caran d’Ache</x:v>
      </x:c>
      <x:c r="G573" t="str">
        <x:v>NEO</x:v>
      </x:c>
      <x:c r="H573" t="str">
        <x:v>NEOPASTEL</x:v>
      </x:c>
      <x:c r="I573" t="str">
        <x:v>Extra-fine oil pastel</x:v>
      </x:c>
      <x:c r="J573" t="str">
        <x:v>Professional</x:v>
      </x:c>
      <x:c r="K573" s="30" t="n">
        <x:v>72</x:v>
      </x:c>
      <x:c r="L573" s="30" t="str">
        <x:v>059</x:v>
      </x:c>
      <x:c r="M573" t="str">
        <x:v>Brown</x:v>
      </x:c>
      <x:c r="N573" t="str">
        <x:v>棕色</x:v>
      </x:c>
      <x:c r="O573" t="str">
        <x:v>ブラウン</x:v>
      </x:c>
      <x:c r="P573" t="str"/>
      <x:c r="Q573" t="str">
        <x:v>Brun</x:v>
      </x:c>
      <x:c r="R573" t="str">
        <x:v>Braun</x:v>
      </x:c>
      <x:c r="S573" t="str">
        <x:v>Marrone</x:v>
      </x:c>
      <x:c r="T573" t="str"/>
      <x:c r="U573" t="str">
        <x:v>Castanho</x:v>
      </x:c>
      <x:c r="V573" t="str">
        <x:v>갈색</x:v>
      </x:c>
      <x:c r="W573" t="str">
        <x:v>PO62/PR112/PB15/PY3/PY42</x:v>
      </x:c>
      <x:c r="X573" t="n">
        <x:f>IF(W573="",0,LEN(W573)-LEN(SUBSTITUTE(W573,"/",""))+1)</x:f>
        <x:v>5</x:v>
      </x:c>
      <x:c r="Y573" t="str">
        <x:v>H</x:v>
      </x:c>
      <x:c r="Z573" s="32" t="n">
        <x:v>1.67</x:v>
      </x:c>
      <x:c r="AA573" s="32" t="n">
        <x:v>3</x:v>
      </x:c>
      <x:c r="AB573" s="32" t="str">
        <x:v>Blue Wool Scale / UV 150h</x:v>
      </x:c>
      <x:c r="AC573" t="str">
        <x:v>#634537</x:v>
      </x:c>
      <x:c r="AD573" s="34" t="n">
        <x:v>99</x:v>
      </x:c>
      <x:c r="AE573" s="34" t="n">
        <x:v>69</x:v>
      </x:c>
      <x:c r="AF573" s="34" t="n">
        <x:v>55</x:v>
      </x:c>
      <x:c r="AG573" s="32" t="n">
        <x:v>19.09</x:v>
      </x:c>
      <x:c r="AH573" s="32" t="n">
        <x:v>28.57</x:v>
      </x:c>
      <x:c r="AI573" s="32" t="n">
        <x:v>30.2</x:v>
      </x:c>
      <x:c r="AJ573" s="32" t="n">
        <x:v>32.22</x:v>
      </x:c>
      <x:c r="AK573" s="32" t="n">
        <x:v>10.92</x:v>
      </x:c>
      <x:c r="AL573" s="32" t="n">
        <x:v>13.59</x:v>
      </x:c>
      <x:c r="AM573" s="32" t="str">
        <x:v>#FFFFFF</x:v>
      </x:c>
      <x:c r="AN573" s="32" t="str">
        <x:v>White</x:v>
      </x:c>
      <x:c r="AO573" s="32" t="n">
        <x:v>8.62</x:v>
      </x:c>
      <x:c r="AP573" s="32" t="n">
        <x:v>2.44</x:v>
      </x:c>
      <x:c r="AQ573" s="32" t="n">
        <x:v>8.62</x:v>
      </x:c>
      <x:c r="AR573" s="32" t="n">
        <x:v>0.071847</x:v>
      </x:c>
      <x:c r="AS573" t="str">
        <x:v>PASS</x:v>
      </x:c>
      <x:c r="AT573" t="str">
        <x:v>--cda-neo-059</x:v>
      </x:c>
      <x:c r="AU573" t="str">
        <x:v>var(--cda-neo-059)</x:v>
      </x:c>
      <x:c r="AV573" t="str">
        <x:v>Median RGB from official PDF swatch (screen reference only)</x:v>
      </x:c>
      <x:c r="AW573" t="str">
        <x:v>https://www.carandache.com/content_files/uploaded_doc/product/10595/Colour_Chart_NeoPastel.pdf</x:v>
      </x:c>
      <x:c r="AX573" t="n">
        <x:v>1</x:v>
      </x:c>
      <x:c r="AY573" t="str">
        <x:v>Official</x:v>
      </x:c>
      <x:c r="AZ573" t="str">
        <x:v>Official where available; curated Traditional Chinese/Japanese otherwise</x:v>
      </x:c>
      <x:c r="BA573" t="str">
        <x:v>Verified from official chart; digital HEX is approximate</x:v>
      </x:c>
      <x:c r="BB573" t="str">
        <x:v>Physical media appearance varies by paper, pressure, layering, water and scan/display profile.</x:v>
      </x:c>
    </x:row>
    <x:row r="574">
      <x:c r="A574" t="str">
        <x:f>G574&amp;"|"&amp;L574</x:f>
        <x:v>NEO|496</x:v>
      </x:c>
      <x:c r="B574" t="str">
        <x:v>05009805-9556-5c53-a795-bdd1a0dd2bb4</x:v>
      </x:c>
      <x:c r="C574" t="str">
        <x:v>CDA-NEO-496</x:v>
      </x:c>
      <x:c r="D574" t="str">
        <x:v>91d57ab5-52d4-5164-8f15-564f1470e385</x:v>
      </x:c>
      <x:c r="E574" t="str">
        <x:v>CDA-CODE-496</x:v>
      </x:c>
      <x:c r="F574" t="str">
        <x:v>Caran d’Ache</x:v>
      </x:c>
      <x:c r="G574" t="str">
        <x:v>NEO</x:v>
      </x:c>
      <x:c r="H574" t="str">
        <x:v>NEOPASTEL</x:v>
      </x:c>
      <x:c r="I574" t="str">
        <x:v>Extra-fine oil pastel</x:v>
      </x:c>
      <x:c r="J574" t="str">
        <x:v>Professional</x:v>
      </x:c>
      <x:c r="K574" s="30" t="n">
        <x:v>73</x:v>
      </x:c>
      <x:c r="L574" s="30" t="str">
        <x:v>496</x:v>
      </x:c>
      <x:c r="M574" t="str">
        <x:v>Ivory Black</x:v>
      </x:c>
      <x:c r="N574" t="str">
        <x:v>象牙黑</x:v>
      </x:c>
      <x:c r="O574" t="str">
        <x:v>アイボリーブラック</x:v>
      </x:c>
      <x:c r="P574" t="str"/>
      <x:c r="Q574" t="str">
        <x:v>Noir d’Ivoire</x:v>
      </x:c>
      <x:c r="R574" t="str">
        <x:v>Elfenbeinschwarz</x:v>
      </x:c>
      <x:c r="S574" t="str">
        <x:v>Nero d’avorio</x:v>
      </x:c>
      <x:c r="T574" t="str"/>
      <x:c r="U574" t="str">
        <x:v>Preto marfim</x:v>
      </x:c>
      <x:c r="V574" t="str">
        <x:v>아이보리 블랙</x:v>
      </x:c>
      <x:c r="W574" t="str">
        <x:v>PBk7/PY42/PR101</x:v>
      </x:c>
      <x:c r="X574" t="n">
        <x:f>IF(W574="",0,LEN(W574)-LEN(SUBSTITUTE(W574,"/",""))+1)</x:f>
        <x:v>3</x:v>
      </x:c>
      <x:c r="Y574" t="str">
        <x:v>H</x:v>
      </x:c>
      <x:c r="Z574" s="32" t="n">
        <x:v>1.67</x:v>
      </x:c>
      <x:c r="AA574" s="32" t="n">
        <x:v>3</x:v>
      </x:c>
      <x:c r="AB574" s="32" t="str">
        <x:v>Blue Wool Scale / UV 150h</x:v>
      </x:c>
      <x:c r="AC574" t="str">
        <x:v>#323436</x:v>
      </x:c>
      <x:c r="AD574" s="34" t="n">
        <x:v>50</x:v>
      </x:c>
      <x:c r="AE574" s="34" t="n">
        <x:v>52</x:v>
      </x:c>
      <x:c r="AF574" s="34" t="n">
        <x:v>54</x:v>
      </x:c>
      <x:c r="AG574" s="32" t="n">
        <x:v>210</x:v>
      </x:c>
      <x:c r="AH574" s="32" t="n">
        <x:v>3.85</x:v>
      </x:c>
      <x:c r="AI574" s="32" t="n">
        <x:v>20.39</x:v>
      </x:c>
      <x:c r="AJ574" s="32" t="n">
        <x:v>21.58</x:v>
      </x:c>
      <x:c r="AK574" s="32" t="n">
        <x:v>-0.38</x:v>
      </x:c>
      <x:c r="AL574" s="32" t="n">
        <x:v>-1.56</x:v>
      </x:c>
      <x:c r="AM574" s="32" t="str">
        <x:v>#FFFFFF</x:v>
      </x:c>
      <x:c r="AN574" s="32" t="str">
        <x:v>White</x:v>
      </x:c>
      <x:c r="AO574" s="32" t="n">
        <x:v>12.5</x:v>
      </x:c>
      <x:c r="AP574" s="32" t="n">
        <x:v>1.68</x:v>
      </x:c>
      <x:c r="AQ574" s="32" t="n">
        <x:v>12.5</x:v>
      </x:c>
      <x:c r="AR574" s="32" t="n">
        <x:v>0.034004</x:v>
      </x:c>
      <x:c r="AS574" t="str">
        <x:v>PASS</x:v>
      </x:c>
      <x:c r="AT574" t="str">
        <x:v>--cda-neo-496</x:v>
      </x:c>
      <x:c r="AU574" t="str">
        <x:v>var(--cda-neo-496)</x:v>
      </x:c>
      <x:c r="AV574" t="str">
        <x:v>Median RGB from official PDF swatch (screen reference only)</x:v>
      </x:c>
      <x:c r="AW574" t="str">
        <x:v>https://www.carandache.com/content_files/uploaded_doc/product/10595/Colour_Chart_NeoPastel.pdf</x:v>
      </x:c>
      <x:c r="AX574" t="n">
        <x:v>1</x:v>
      </x:c>
      <x:c r="AY574" t="str">
        <x:v>Official</x:v>
      </x:c>
      <x:c r="AZ574" t="str">
        <x:v>Official where available; curated Traditional Chinese/Japanese otherwise</x:v>
      </x:c>
      <x:c r="BA574" t="str">
        <x:v>Verified from official chart; digital HEX is approximate</x:v>
      </x:c>
      <x:c r="BB574" t="str">
        <x:v>Physical media appearance varies by paper, pressure, layering, water and scan/display profile.</x:v>
      </x:c>
    </x:row>
    <x:row r="575">
      <x:c r="A575" t="str">
        <x:f>G575&amp;"|"&amp;L575</x:f>
        <x:v>NEO|495</x:v>
      </x:c>
      <x:c r="B575" t="str">
        <x:v>a1ddb0ca-6d8c-5da6-b368-29b8854bd625</x:v>
      </x:c>
      <x:c r="C575" t="str">
        <x:v>CDA-NEO-495</x:v>
      </x:c>
      <x:c r="D575" t="str">
        <x:v>2389d9d0-ecac-5dc3-922c-5004968271df</x:v>
      </x:c>
      <x:c r="E575" t="str">
        <x:v>CDA-CODE-495</x:v>
      </x:c>
      <x:c r="F575" t="str">
        <x:v>Caran d’Ache</x:v>
      </x:c>
      <x:c r="G575" t="str">
        <x:v>NEO</x:v>
      </x:c>
      <x:c r="H575" t="str">
        <x:v>NEOPASTEL</x:v>
      </x:c>
      <x:c r="I575" t="str">
        <x:v>Extra-fine oil pastel</x:v>
      </x:c>
      <x:c r="J575" t="str">
        <x:v>Professional</x:v>
      </x:c>
      <x:c r="K575" s="30" t="n">
        <x:v>74</x:v>
      </x:c>
      <x:c r="L575" s="30" t="str">
        <x:v>495</x:v>
      </x:c>
      <x:c r="M575" t="str">
        <x:v>Slate grey</x:v>
      </x:c>
      <x:c r="N575" t="str">
        <x:v>板岩灰</x:v>
      </x:c>
      <x:c r="O575" t="str">
        <x:v>スレートグレー</x:v>
      </x:c>
      <x:c r="P575" t="str"/>
      <x:c r="Q575" t="str">
        <x:v>Gris ardoise</x:v>
      </x:c>
      <x:c r="R575" t="str">
        <x:v>Schiefergrau</x:v>
      </x:c>
      <x:c r="S575" t="str">
        <x:v>Grigio ardesia</x:v>
      </x:c>
      <x:c r="T575" t="str"/>
      <x:c r="U575" t="str">
        <x:v>Cinzento ardósia</x:v>
      </x:c>
      <x:c r="V575" t="str">
        <x:v>스레이트 그레이</x:v>
      </x:c>
      <x:c r="W575" t="str">
        <x:v>Graphite</x:v>
      </x:c>
      <x:c r="X575" t="n">
        <x:f>IF(W575="",0,LEN(W575)-LEN(SUBSTITUTE(W575,"/",""))+1)</x:f>
        <x:v>1</x:v>
      </x:c>
      <x:c r="Y575" t="str">
        <x:v>H</x:v>
      </x:c>
      <x:c r="Z575" s="32" t="n">
        <x:v>1.67</x:v>
      </x:c>
      <x:c r="AA575" s="32" t="n">
        <x:v>3</x:v>
      </x:c>
      <x:c r="AB575" s="32" t="str">
        <x:v>Blue Wool Scale / UV 150h</x:v>
      </x:c>
      <x:c r="AC575" t="str">
        <x:v>#4D504F</x:v>
      </x:c>
      <x:c r="AD575" s="34" t="n">
        <x:v>77</x:v>
      </x:c>
      <x:c r="AE575" s="34" t="n">
        <x:v>80</x:v>
      </x:c>
      <x:c r="AF575" s="34" t="n">
        <x:v>79</x:v>
      </x:c>
      <x:c r="AG575" s="32" t="n">
        <x:v>160</x:v>
      </x:c>
      <x:c r="AH575" s="32" t="n">
        <x:v>1.91</x:v>
      </x:c>
      <x:c r="AI575" s="32" t="n">
        <x:v>30.78</x:v>
      </x:c>
      <x:c r="AJ575" s="32" t="n">
        <x:v>33.73</x:v>
      </x:c>
      <x:c r="AK575" s="32" t="n">
        <x:v>-1.43</x:v>
      </x:c>
      <x:c r="AL575" s="32" t="n">
        <x:v>0.17</x:v>
      </x:c>
      <x:c r="AM575" s="32" t="str">
        <x:v>#FFFFFF</x:v>
      </x:c>
      <x:c r="AN575" s="32" t="str">
        <x:v>White</x:v>
      </x:c>
      <x:c r="AO575" s="32" t="n">
        <x:v>8.15</x:v>
      </x:c>
      <x:c r="AP575" s="32" t="n">
        <x:v>2.58</x:v>
      </x:c>
      <x:c r="AQ575" s="32" t="n">
        <x:v>8.15</x:v>
      </x:c>
      <x:c r="AR575" s="32" t="n">
        <x:v>0.078796</x:v>
      </x:c>
      <x:c r="AS575" t="str">
        <x:v>PASS</x:v>
      </x:c>
      <x:c r="AT575" t="str">
        <x:v>--cda-neo-495</x:v>
      </x:c>
      <x:c r="AU575" t="str">
        <x:v>var(--cda-neo-495)</x:v>
      </x:c>
      <x:c r="AV575" t="str">
        <x:v>Median RGB from official PDF swatch (screen reference only)</x:v>
      </x:c>
      <x:c r="AW575" t="str">
        <x:v>https://www.carandache.com/content_files/uploaded_doc/product/10595/Colour_Chart_NeoPastel.pdf</x:v>
      </x:c>
      <x:c r="AX575" t="n">
        <x:v>1</x:v>
      </x:c>
      <x:c r="AY575" t="str">
        <x:v>Official</x:v>
      </x:c>
      <x:c r="AZ575" t="str">
        <x:v>Official where available; curated Traditional Chinese/Japanese otherwise</x:v>
      </x:c>
      <x:c r="BA575" t="str">
        <x:v>Verified from official chart; digital HEX is approximate</x:v>
      </x:c>
      <x:c r="BB575" t="str">
        <x:v>Physical media appearance varies by paper, pressure, layering, water and scan/display profile.</x:v>
      </x:c>
    </x:row>
    <x:row r="576">
      <x:c r="A576" t="str">
        <x:f>G576&amp;"|"&amp;L576</x:f>
        <x:v>NEO|049</x:v>
      </x:c>
      <x:c r="B576" t="str">
        <x:v>6306665b-49d6-59af-acb6-239df7872eb2</x:v>
      </x:c>
      <x:c r="C576" t="str">
        <x:v>CDA-NEO-049</x:v>
      </x:c>
      <x:c r="D576" t="str">
        <x:v>66f5918f-2d51-598e-b3d7-bb4f1b3fc4b4</x:v>
      </x:c>
      <x:c r="E576" t="str">
        <x:v>CDA-CODE-049</x:v>
      </x:c>
      <x:c r="F576" t="str">
        <x:v>Caran d’Ache</x:v>
      </x:c>
      <x:c r="G576" t="str">
        <x:v>NEO</x:v>
      </x:c>
      <x:c r="H576" t="str">
        <x:v>NEOPASTEL</x:v>
      </x:c>
      <x:c r="I576" t="str">
        <x:v>Extra-fine oil pastel</x:v>
      </x:c>
      <x:c r="J576" t="str">
        <x:v>Professional</x:v>
      </x:c>
      <x:c r="K576" s="30" t="n">
        <x:v>75</x:v>
      </x:c>
      <x:c r="L576" s="30" t="str">
        <x:v>049</x:v>
      </x:c>
      <x:c r="M576" t="str">
        <x:v>Raw Umber</x:v>
      </x:c>
      <x:c r="N576" t="str">
        <x:v>生褐色</x:v>
      </x:c>
      <x:c r="O576" t="str">
        <x:v>ローアンバー</x:v>
      </x:c>
      <x:c r="P576" t="str"/>
      <x:c r="Q576" t="str">
        <x:v>Terre d’ombre</x:v>
      </x:c>
      <x:c r="R576" t="str">
        <x:v>Umbra Natur</x:v>
      </x:c>
      <x:c r="S576" t="str">
        <x:v>Ombra naturale</x:v>
      </x:c>
      <x:c r="T576" t="str"/>
      <x:c r="U576" t="str">
        <x:v>Sombra natural</x:v>
      </x:c>
      <x:c r="V576" t="str">
        <x:v>황갈색</x:v>
      </x:c>
      <x:c r="W576" t="str">
        <x:v>PO61/PG7/PR166/PY3/PBk6</x:v>
      </x:c>
      <x:c r="X576" t="n">
        <x:f>IF(W576="",0,LEN(W576)-LEN(SUBSTITUTE(W576,"/",""))+1)</x:f>
        <x:v>5</x:v>
      </x:c>
      <x:c r="Y576" t="str">
        <x:v>H</x:v>
      </x:c>
      <x:c r="Z576" s="32" t="n">
        <x:v>1.67</x:v>
      </x:c>
      <x:c r="AA576" s="32" t="n">
        <x:v>3</x:v>
      </x:c>
      <x:c r="AB576" s="32" t="str">
        <x:v>Blue Wool Scale / UV 150h</x:v>
      </x:c>
      <x:c r="AC576" t="str">
        <x:v>#554841</x:v>
      </x:c>
      <x:c r="AD576" s="34" t="n">
        <x:v>85</x:v>
      </x:c>
      <x:c r="AE576" s="34" t="n">
        <x:v>72</x:v>
      </x:c>
      <x:c r="AF576" s="34" t="n">
        <x:v>65</x:v>
      </x:c>
      <x:c r="AG576" s="32" t="n">
        <x:v>21</x:v>
      </x:c>
      <x:c r="AH576" s="32" t="n">
        <x:v>13.33</x:v>
      </x:c>
      <x:c r="AI576" s="32" t="n">
        <x:v>29.41</x:v>
      </x:c>
      <x:c r="AJ576" s="32" t="n">
        <x:v>31.69</x:v>
      </x:c>
      <x:c r="AK576" s="32" t="n">
        <x:v>4.21</x:v>
      </x:c>
      <x:c r="AL576" s="32" t="n">
        <x:v>6.23</x:v>
      </x:c>
      <x:c r="AM576" s="32" t="str">
        <x:v>#FFFFFF</x:v>
      </x:c>
      <x:c r="AN576" s="32" t="str">
        <x:v>White</x:v>
      </x:c>
      <x:c r="AO576" s="32" t="n">
        <x:v>8.79</x:v>
      </x:c>
      <x:c r="AP576" s="32" t="n">
        <x:v>2.39</x:v>
      </x:c>
      <x:c r="AQ576" s="32" t="n">
        <x:v>8.79</x:v>
      </x:c>
      <x:c r="AR576" s="32" t="n">
        <x:v>0.069477</x:v>
      </x:c>
      <x:c r="AS576" t="str">
        <x:v>PASS</x:v>
      </x:c>
      <x:c r="AT576" t="str">
        <x:v>--cda-neo-049</x:v>
      </x:c>
      <x:c r="AU576" t="str">
        <x:v>var(--cda-neo-049)</x:v>
      </x:c>
      <x:c r="AV576" t="str">
        <x:v>Median RGB from official PDF swatch (screen reference only)</x:v>
      </x:c>
      <x:c r="AW576" t="str">
        <x:v>https://www.carandache.com/content_files/uploaded_doc/product/10595/Colour_Chart_NeoPastel.pdf</x:v>
      </x:c>
      <x:c r="AX576" t="n">
        <x:v>1</x:v>
      </x:c>
      <x:c r="AY576" t="str">
        <x:v>Official</x:v>
      </x:c>
      <x:c r="AZ576" t="str">
        <x:v>Official where available; curated Traditional Chinese/Japanese otherwise</x:v>
      </x:c>
      <x:c r="BA576" t="str">
        <x:v>Verified from official chart; digital HEX is approximate</x:v>
      </x:c>
      <x:c r="BB576" t="str">
        <x:v>Physical media appearance varies by paper, pressure, layering, water and scan/display profile.</x:v>
      </x:c>
    </x:row>
    <x:row r="577">
      <x:c r="A577" t="str">
        <x:f>G577&amp;"|"&amp;L577</x:f>
        <x:v>NEO|045</x:v>
      </x:c>
      <x:c r="B577" t="str">
        <x:v>d4fa7724-9cd1-59c9-96e2-7e62ed4aebdf</x:v>
      </x:c>
      <x:c r="C577" t="str">
        <x:v>CDA-NEO-045</x:v>
      </x:c>
      <x:c r="D577" t="str">
        <x:v>4fb0e78b-85fd-5dee-bae2-c1796e299660</x:v>
      </x:c>
      <x:c r="E577" t="str">
        <x:v>CDA-CODE-045</x:v>
      </x:c>
      <x:c r="F577" t="str">
        <x:v>Caran d’Ache</x:v>
      </x:c>
      <x:c r="G577" t="str">
        <x:v>NEO</x:v>
      </x:c>
      <x:c r="H577" t="str">
        <x:v>NEOPASTEL</x:v>
      </x:c>
      <x:c r="I577" t="str">
        <x:v>Extra-fine oil pastel</x:v>
      </x:c>
      <x:c r="J577" t="str">
        <x:v>Professional</x:v>
      </x:c>
      <x:c r="K577" s="30" t="n">
        <x:v>76</x:v>
      </x:c>
      <x:c r="L577" s="30" t="str">
        <x:v>045</x:v>
      </x:c>
      <x:c r="M577" t="str">
        <x:v>Vandycke brown</x:v>
      </x:c>
      <x:c r="N577" t="str">
        <x:v>凡戴克棕</x:v>
      </x:c>
      <x:c r="O577" t="str">
        <x:v>ヴァンダイクブラウン</x:v>
      </x:c>
      <x:c r="P577" t="str"/>
      <x:c r="Q577" t="str">
        <x:v>Brun vandyck</x:v>
      </x:c>
      <x:c r="R577" t="str">
        <x:v>Vandyckbraun</x:v>
      </x:c>
      <x:c r="S577" t="str">
        <x:v>Bruno Vandyck</x:v>
      </x:c>
      <x:c r="T577" t="str"/>
      <x:c r="U577" t="str">
        <x:v>Castanho Vandyck</x:v>
      </x:c>
      <x:c r="V577" t="str">
        <x:v>밴딕브라운</x:v>
      </x:c>
      <x:c r="W577" t="str">
        <x:v>PBk7/PY42/PR101</x:v>
      </x:c>
      <x:c r="X577" t="n">
        <x:f>IF(W577="",0,LEN(W577)-LEN(SUBSTITUTE(W577,"/",""))+1)</x:f>
        <x:v>3</x:v>
      </x:c>
      <x:c r="Y577" t="str">
        <x:v>H</x:v>
      </x:c>
      <x:c r="Z577" s="32" t="n">
        <x:v>1.67</x:v>
      </x:c>
      <x:c r="AA577" s="32" t="n">
        <x:v>3</x:v>
      </x:c>
      <x:c r="AB577" s="32" t="str">
        <x:v>Blue Wool Scale / UV 150h</x:v>
      </x:c>
      <x:c r="AC577" t="str">
        <x:v>#635650</x:v>
      </x:c>
      <x:c r="AD577" s="34" t="n">
        <x:v>99</x:v>
      </x:c>
      <x:c r="AE577" s="34" t="n">
        <x:v>86</x:v>
      </x:c>
      <x:c r="AF577" s="34" t="n">
        <x:v>80</x:v>
      </x:c>
      <x:c r="AG577" s="32" t="n">
        <x:v>18.95</x:v>
      </x:c>
      <x:c r="AH577" s="32" t="n">
        <x:v>10.61</x:v>
      </x:c>
      <x:c r="AI577" s="32" t="n">
        <x:v>35.1</x:v>
      </x:c>
      <x:c r="AJ577" s="32" t="n">
        <x:v>37.64</x:v>
      </x:c>
      <x:c r="AK577" s="32" t="n">
        <x:v>4.21</x:v>
      </x:c>
      <x:c r="AL577" s="32" t="n">
        <x:v>5.45</x:v>
      </x:c>
      <x:c r="AM577" s="32" t="str">
        <x:v>#FFFFFF</x:v>
      </x:c>
      <x:c r="AN577" s="32" t="str">
        <x:v>White</x:v>
      </x:c>
      <x:c r="AO577" s="32" t="n">
        <x:v>7.05</x:v>
      </x:c>
      <x:c r="AP577" s="32" t="n">
        <x:v>2.98</x:v>
      </x:c>
      <x:c r="AQ577" s="32" t="n">
        <x:v>7.05</x:v>
      </x:c>
      <x:c r="AR577" s="32" t="n">
        <x:v>0.098874</x:v>
      </x:c>
      <x:c r="AS577" t="str">
        <x:v>PASS</x:v>
      </x:c>
      <x:c r="AT577" t="str">
        <x:v>--cda-neo-045</x:v>
      </x:c>
      <x:c r="AU577" t="str">
        <x:v>var(--cda-neo-045)</x:v>
      </x:c>
      <x:c r="AV577" t="str">
        <x:v>Median RGB from official PDF swatch (screen reference only)</x:v>
      </x:c>
      <x:c r="AW577" t="str">
        <x:v>https://www.carandache.com/content_files/uploaded_doc/product/10595/Colour_Chart_NeoPastel.pdf</x:v>
      </x:c>
      <x:c r="AX577" t="n">
        <x:v>1</x:v>
      </x:c>
      <x:c r="AY577" t="str">
        <x:v>Official</x:v>
      </x:c>
      <x:c r="AZ577" t="str">
        <x:v>Official where available; curated Traditional Chinese/Japanese otherwise</x:v>
      </x:c>
      <x:c r="BA577" t="str">
        <x:v>Verified from official chart; digital HEX is approximate</x:v>
      </x:c>
      <x:c r="BB577" t="str">
        <x:v>Physical media appearance varies by paper, pressure, layering, water and scan/display profile.</x:v>
      </x:c>
    </x:row>
    <x:row r="578">
      <x:c r="A578" t="str">
        <x:f>G578&amp;"|"&amp;L578</x:f>
        <x:v>NEO|407</x:v>
      </x:c>
      <x:c r="B578" t="str">
        <x:v>beb011f4-6c19-5c50-8767-29df95983c36</x:v>
      </x:c>
      <x:c r="C578" t="str">
        <x:v>CDA-NEO-407</x:v>
      </x:c>
      <x:c r="D578" t="str">
        <x:v>031b6d1b-99f0-5097-97b4-5f2daeaf1a50</x:v>
      </x:c>
      <x:c r="E578" t="str">
        <x:v>CDA-CODE-407</x:v>
      </x:c>
      <x:c r="F578" t="str">
        <x:v>Caran d’Ache</x:v>
      </x:c>
      <x:c r="G578" t="str">
        <x:v>NEO</x:v>
      </x:c>
      <x:c r="H578" t="str">
        <x:v>NEOPASTEL</x:v>
      </x:c>
      <x:c r="I578" t="str">
        <x:v>Extra-fine oil pastel</x:v>
      </x:c>
      <x:c r="J578" t="str">
        <x:v>Professional</x:v>
      </x:c>
      <x:c r="K578" s="30" t="n">
        <x:v>77</x:v>
      </x:c>
      <x:c r="L578" s="30" t="str">
        <x:v>407</x:v>
      </x:c>
      <x:c r="M578" t="str">
        <x:v>Sepia</x:v>
      </x:c>
      <x:c r="N578" t="str">
        <x:v>深褐色</x:v>
      </x:c>
      <x:c r="O578" t="str">
        <x:v>セピア</x:v>
      </x:c>
      <x:c r="P578" t="str"/>
      <x:c r="Q578" t="str">
        <x:v>Sépia</x:v>
      </x:c>
      <x:c r="R578" t="str">
        <x:v>Sepia</x:v>
      </x:c>
      <x:c r="S578" t="str">
        <x:v>Seppia</x:v>
      </x:c>
      <x:c r="T578" t="str"/>
      <x:c r="U578" t="str">
        <x:v>Sépia</x:v>
      </x:c>
      <x:c r="V578" t="str">
        <x:v>세피아</x:v>
      </x:c>
      <x:c r="W578" t="str">
        <x:v>PBk7/PY42/PR101</x:v>
      </x:c>
      <x:c r="X578" t="n">
        <x:f>IF(W578="",0,LEN(W578)-LEN(SUBSTITUTE(W578,"/",""))+1)</x:f>
        <x:v>3</x:v>
      </x:c>
      <x:c r="Y578" t="str">
        <x:v>H</x:v>
      </x:c>
      <x:c r="Z578" s="32" t="n">
        <x:v>1.67</x:v>
      </x:c>
      <x:c r="AA578" s="32" t="n">
        <x:v>3</x:v>
      </x:c>
      <x:c r="AB578" s="32" t="str">
        <x:v>Blue Wool Scale / UV 150h</x:v>
      </x:c>
      <x:c r="AC578" t="str">
        <x:v>#363737</x:v>
      </x:c>
      <x:c r="AD578" s="34" t="n">
        <x:v>54</x:v>
      </x:c>
      <x:c r="AE578" s="34" t="n">
        <x:v>55</x:v>
      </x:c>
      <x:c r="AF578" s="34" t="n">
        <x:v>55</x:v>
      </x:c>
      <x:c r="AG578" s="32" t="n">
        <x:v>180</x:v>
      </x:c>
      <x:c r="AH578" s="32" t="n">
        <x:v>0.92</x:v>
      </x:c>
      <x:c r="AI578" s="32" t="n">
        <x:v>21.37</x:v>
      </x:c>
      <x:c r="AJ578" s="32" t="n">
        <x:v>22.97</x:v>
      </x:c>
      <x:c r="AK578" s="32" t="n">
        <x:v>-0.43</x:v>
      </x:c>
      <x:c r="AL578" s="32" t="n">
        <x:v>-0.15</x:v>
      </x:c>
      <x:c r="AM578" s="32" t="str">
        <x:v>#FFFFFF</x:v>
      </x:c>
      <x:c r="AN578" s="32" t="str">
        <x:v>White</x:v>
      </x:c>
      <x:c r="AO578" s="32" t="n">
        <x:v>11.94</x:v>
      </x:c>
      <x:c r="AP578" s="32" t="n">
        <x:v>1.76</x:v>
      </x:c>
      <x:c r="AQ578" s="32" t="n">
        <x:v>11.94</x:v>
      </x:c>
      <x:c r="AR578" s="32" t="n">
        <x:v>0.037925</x:v>
      </x:c>
      <x:c r="AS578" t="str">
        <x:v>PASS</x:v>
      </x:c>
      <x:c r="AT578" t="str">
        <x:v>--cda-neo-407</x:v>
      </x:c>
      <x:c r="AU578" t="str">
        <x:v>var(--cda-neo-407)</x:v>
      </x:c>
      <x:c r="AV578" t="str">
        <x:v>Median RGB from official PDF swatch (screen reference only)</x:v>
      </x:c>
      <x:c r="AW578" t="str">
        <x:v>https://www.carandache.com/content_files/uploaded_doc/product/10595/Colour_Chart_NeoPastel.pdf</x:v>
      </x:c>
      <x:c r="AX578" t="n">
        <x:v>1</x:v>
      </x:c>
      <x:c r="AY578" t="str">
        <x:v>Official</x:v>
      </x:c>
      <x:c r="AZ578" t="str">
        <x:v>Official where available; curated Traditional Chinese/Japanese otherwise</x:v>
      </x:c>
      <x:c r="BA578" t="str">
        <x:v>Verified from official chart; digital HEX is approximate</x:v>
      </x:c>
      <x:c r="BB578" t="str">
        <x:v>Physical media appearance varies by paper, pressure, layering, water and scan/display profile.</x:v>
      </x:c>
    </x:row>
    <x:row r="579">
      <x:c r="A579" t="str">
        <x:f>G579&amp;"|"&amp;L579</x:f>
        <x:v>NEO|047</x:v>
      </x:c>
      <x:c r="B579" t="str">
        <x:v>97086df3-3723-583a-a844-3fad365aa2fb</x:v>
      </x:c>
      <x:c r="C579" t="str">
        <x:v>CDA-NEO-047</x:v>
      </x:c>
      <x:c r="D579" t="str">
        <x:v>6cac1bff-68a3-5a47-a94c-682a0339a8d5</x:v>
      </x:c>
      <x:c r="E579" t="str">
        <x:v>CDA-CODE-047</x:v>
      </x:c>
      <x:c r="F579" t="str">
        <x:v>Caran d’Ache</x:v>
      </x:c>
      <x:c r="G579" t="str">
        <x:v>NEO</x:v>
      </x:c>
      <x:c r="H579" t="str">
        <x:v>NEOPASTEL</x:v>
      </x:c>
      <x:c r="I579" t="str">
        <x:v>Extra-fine oil pastel</x:v>
      </x:c>
      <x:c r="J579" t="str">
        <x:v>Professional</x:v>
      </x:c>
      <x:c r="K579" s="30" t="n">
        <x:v>78</x:v>
      </x:c>
      <x:c r="L579" s="30" t="str">
        <x:v>047</x:v>
      </x:c>
      <x:c r="M579" t="str">
        <x:v>Bistre</x:v>
      </x:c>
      <x:c r="N579" t="str">
        <x:v>煙褐色</x:v>
      </x:c>
      <x:c r="O579" t="str">
        <x:v>ビスター</x:v>
      </x:c>
      <x:c r="P579" t="str"/>
      <x:c r="Q579" t="str">
        <x:v>Bistre</x:v>
      </x:c>
      <x:c r="R579" t="str">
        <x:v>Bister</x:v>
      </x:c>
      <x:c r="S579" t="str">
        <x:v>Bistro</x:v>
      </x:c>
      <x:c r="T579" t="str"/>
      <x:c r="U579" t="str">
        <x:v>Bistre</x:v>
      </x:c>
      <x:c r="V579" t="str">
        <x:v>고동색</x:v>
      </x:c>
      <x:c r="W579" t="str">
        <x:v>PR101/PBk6/PY42</x:v>
      </x:c>
      <x:c r="X579" t="n">
        <x:f>IF(W579="",0,LEN(W579)-LEN(SUBSTITUTE(W579,"/",""))+1)</x:f>
        <x:v>3</x:v>
      </x:c>
      <x:c r="Y579" t="str">
        <x:v>H</x:v>
      </x:c>
      <x:c r="Z579" s="32" t="n">
        <x:v>1.67</x:v>
      </x:c>
      <x:c r="AA579" s="32" t="n">
        <x:v>3</x:v>
      </x:c>
      <x:c r="AB579" s="32" t="str">
        <x:v>Blue Wool Scale / UV 150h</x:v>
      </x:c>
      <x:c r="AC579" t="str">
        <x:v>#755337</x:v>
      </x:c>
      <x:c r="AD579" s="34" t="n">
        <x:v>117</x:v>
      </x:c>
      <x:c r="AE579" s="34" t="n">
        <x:v>83</x:v>
      </x:c>
      <x:c r="AF579" s="34" t="n">
        <x:v>55</x:v>
      </x:c>
      <x:c r="AG579" s="32" t="n">
        <x:v>27.1</x:v>
      </x:c>
      <x:c r="AH579" s="32" t="n">
        <x:v>36.05</x:v>
      </x:c>
      <x:c r="AI579" s="32" t="n">
        <x:v>33.73</x:v>
      </x:c>
      <x:c r="AJ579" s="32" t="n">
        <x:v>38.28</x:v>
      </x:c>
      <x:c r="AK579" s="32" t="n">
        <x:v>10.58</x:v>
      </x:c>
      <x:c r="AL579" s="32" t="n">
        <x:v>21.94</x:v>
      </x:c>
      <x:c r="AM579" s="32" t="str">
        <x:v>#FFFFFF</x:v>
      </x:c>
      <x:c r="AN579" s="32" t="str">
        <x:v>White</x:v>
      </x:c>
      <x:c r="AO579" s="32" t="n">
        <x:v>6.89</x:v>
      </x:c>
      <x:c r="AP579" s="32" t="n">
        <x:v>3.05</x:v>
      </x:c>
      <x:c r="AQ579" s="32" t="n">
        <x:v>6.89</x:v>
      </x:c>
      <x:c r="AR579" s="32" t="n">
        <x:v>0.102443</x:v>
      </x:c>
      <x:c r="AS579" t="str">
        <x:v>PASS</x:v>
      </x:c>
      <x:c r="AT579" t="str">
        <x:v>--cda-neo-047</x:v>
      </x:c>
      <x:c r="AU579" t="str">
        <x:v>var(--cda-neo-047)</x:v>
      </x:c>
      <x:c r="AV579" t="str">
        <x:v>Median RGB from official PDF swatch (screen reference only)</x:v>
      </x:c>
      <x:c r="AW579" t="str">
        <x:v>https://www.carandache.com/content_files/uploaded_doc/product/10595/Colour_Chart_NeoPastel.pdf</x:v>
      </x:c>
      <x:c r="AX579" t="n">
        <x:v>1</x:v>
      </x:c>
      <x:c r="AY579" t="str">
        <x:v>Official</x:v>
      </x:c>
      <x:c r="AZ579" t="str">
        <x:v>Official where available; curated Traditional Chinese/Japanese otherwise</x:v>
      </x:c>
      <x:c r="BA579" t="str">
        <x:v>Verified from official chart; digital HEX is approximate</x:v>
      </x:c>
      <x:c r="BB579" t="str">
        <x:v>Physical media appearance varies by paper, pressure, layering, water and scan/display profile.</x:v>
      </x:c>
    </x:row>
    <x:row r="580">
      <x:c r="A580" t="str">
        <x:f>G580&amp;"|"&amp;L580</x:f>
        <x:v>NEO|067</x:v>
      </x:c>
      <x:c r="B580" t="str">
        <x:v>32b68076-5acd-5b2b-a99f-0b799938a06b</x:v>
      </x:c>
      <x:c r="C580" t="str">
        <x:v>CDA-NEO-067</x:v>
      </x:c>
      <x:c r="D580" t="str">
        <x:v>d24180a2-6c7d-56a5-a306-b47946913f2d</x:v>
      </x:c>
      <x:c r="E580" t="str">
        <x:v>CDA-CODE-067</x:v>
      </x:c>
      <x:c r="F580" t="str">
        <x:v>Caran d’Ache</x:v>
      </x:c>
      <x:c r="G580" t="str">
        <x:v>NEO</x:v>
      </x:c>
      <x:c r="H580" t="str">
        <x:v>NEOPASTEL</x:v>
      </x:c>
      <x:c r="I580" t="str">
        <x:v>Extra-fine oil pastel</x:v>
      </x:c>
      <x:c r="J580" t="str">
        <x:v>Professional</x:v>
      </x:c>
      <x:c r="K580" s="30" t="n">
        <x:v>79</x:v>
      </x:c>
      <x:c r="L580" s="30" t="str">
        <x:v>067</x:v>
      </x:c>
      <x:c r="M580" t="str">
        <x:v>Mahogany</x:v>
      </x:c>
      <x:c r="N580" t="str">
        <x:v>桃花心木色</x:v>
      </x:c>
      <x:c r="O580" t="str">
        <x:v>マホガニー</x:v>
      </x:c>
      <x:c r="P580" t="str"/>
      <x:c r="Q580" t="str">
        <x:v>Acajou</x:v>
      </x:c>
      <x:c r="R580" t="str">
        <x:v>Mahagonibraun</x:v>
      </x:c>
      <x:c r="S580" t="str">
        <x:v>Mogano</x:v>
      </x:c>
      <x:c r="T580" t="str"/>
      <x:c r="U580" t="str">
        <x:v>Mogno</x:v>
      </x:c>
      <x:c r="V580" t="str">
        <x:v>적갈색</x:v>
      </x:c>
      <x:c r="W580" t="str">
        <x:v>PY42/PR101/PBk7</x:v>
      </x:c>
      <x:c r="X580" t="n">
        <x:f>IF(W580="",0,LEN(W580)-LEN(SUBSTITUTE(W580,"/",""))+1)</x:f>
        <x:v>3</x:v>
      </x:c>
      <x:c r="Y580" t="str">
        <x:v>H</x:v>
      </x:c>
      <x:c r="Z580" s="32" t="n">
        <x:v>1.67</x:v>
      </x:c>
      <x:c r="AA580" s="32" t="n">
        <x:v>3</x:v>
      </x:c>
      <x:c r="AB580" s="32" t="str">
        <x:v>Blue Wool Scale / UV 150h</x:v>
      </x:c>
      <x:c r="AC580" t="str">
        <x:v>#614B43</x:v>
      </x:c>
      <x:c r="AD580" s="34" t="n">
        <x:v>97</x:v>
      </x:c>
      <x:c r="AE580" s="34" t="n">
        <x:v>75</x:v>
      </x:c>
      <x:c r="AF580" s="34" t="n">
        <x:v>67</x:v>
      </x:c>
      <x:c r="AG580" s="32" t="n">
        <x:v>16</x:v>
      </x:c>
      <x:c r="AH580" s="32" t="n">
        <x:v>18.29</x:v>
      </x:c>
      <x:c r="AI580" s="32" t="n">
        <x:v>32.16</x:v>
      </x:c>
      <x:c r="AJ580" s="32" t="n">
        <x:v>33.94</x:v>
      </x:c>
      <x:c r="AK580" s="32" t="n">
        <x:v>7.98</x:v>
      </x:c>
      <x:c r="AL580" s="32" t="n">
        <x:v>8.33</x:v>
      </x:c>
      <x:c r="AM580" s="32" t="str">
        <x:v>#FFFFFF</x:v>
      </x:c>
      <x:c r="AN580" s="32" t="str">
        <x:v>White</x:v>
      </x:c>
      <x:c r="AO580" s="32" t="n">
        <x:v>8.09</x:v>
      </x:c>
      <x:c r="AP580" s="32" t="n">
        <x:v>2.6</x:v>
      </x:c>
      <x:c r="AQ580" s="32" t="n">
        <x:v>8.09</x:v>
      </x:c>
      <x:c r="AR580" s="32" t="n">
        <x:v>0.079788</x:v>
      </x:c>
      <x:c r="AS580" t="str">
        <x:v>PASS</x:v>
      </x:c>
      <x:c r="AT580" t="str">
        <x:v>--cda-neo-067</x:v>
      </x:c>
      <x:c r="AU580" t="str">
        <x:v>var(--cda-neo-067)</x:v>
      </x:c>
      <x:c r="AV580" t="str">
        <x:v>Median RGB from official PDF swatch (screen reference only)</x:v>
      </x:c>
      <x:c r="AW580" t="str">
        <x:v>https://www.carandache.com/content_files/uploaded_doc/product/10595/Colour_Chart_NeoPastel.pdf</x:v>
      </x:c>
      <x:c r="AX580" t="n">
        <x:v>1</x:v>
      </x:c>
      <x:c r="AY580" t="str">
        <x:v>Official</x:v>
      </x:c>
      <x:c r="AZ580" t="str">
        <x:v>Official where available; curated Traditional Chinese/Japanese otherwise</x:v>
      </x:c>
      <x:c r="BA580" t="str">
        <x:v>Verified from official chart; digital HEX is approximate</x:v>
      </x:c>
      <x:c r="BB580" t="str">
        <x:v>Physical media appearance varies by paper, pressure, layering, water and scan/display profile.</x:v>
      </x:c>
    </x:row>
    <x:row r="581">
      <x:c r="A581" t="str">
        <x:f>G581&amp;"|"&amp;L581</x:f>
        <x:v>NEO|405</x:v>
      </x:c>
      <x:c r="B581" t="str">
        <x:v>115368bd-543e-5bf7-a6a3-fbeac78a3328</x:v>
      </x:c>
      <x:c r="C581" t="str">
        <x:v>CDA-NEO-405</x:v>
      </x:c>
      <x:c r="D581" t="str">
        <x:v>6e05dd60-a9ff-5683-a982-bbf95922269e</x:v>
      </x:c>
      <x:c r="E581" t="str">
        <x:v>CDA-CODE-405</x:v>
      </x:c>
      <x:c r="F581" t="str">
        <x:v>Caran d’Ache</x:v>
      </x:c>
      <x:c r="G581" t="str">
        <x:v>NEO</x:v>
      </x:c>
      <x:c r="H581" t="str">
        <x:v>NEOPASTEL</x:v>
      </x:c>
      <x:c r="I581" t="str">
        <x:v>Extra-fine oil pastel</x:v>
      </x:c>
      <x:c r="J581" t="str">
        <x:v>Professional</x:v>
      </x:c>
      <x:c r="K581" s="30" t="n">
        <x:v>80</x:v>
      </x:c>
      <x:c r="L581" s="30" t="str">
        <x:v>405</x:v>
      </x:c>
      <x:c r="M581" t="str">
        <x:v>Cocoa</x:v>
      </x:c>
      <x:c r="N581" t="str">
        <x:v>可可棕</x:v>
      </x:c>
      <x:c r="O581" t="str">
        <x:v>ココア</x:v>
      </x:c>
      <x:c r="P581" t="str"/>
      <x:c r="Q581" t="str">
        <x:v>Beige foncé</x:v>
      </x:c>
      <x:c r="R581" t="str">
        <x:v>Dunkelbeige</x:v>
      </x:c>
      <x:c r="S581" t="str">
        <x:v>Beige scuro</x:v>
      </x:c>
      <x:c r="T581" t="str"/>
      <x:c r="U581" t="str">
        <x:v>Beije escuro</x:v>
      </x:c>
      <x:c r="V581" t="str">
        <x:v>코코아색</x:v>
      </x:c>
      <x:c r="W581" t="str">
        <x:v>PBk6/PY42/PR101</x:v>
      </x:c>
      <x:c r="X581" t="n">
        <x:f>IF(W581="",0,LEN(W581)-LEN(SUBSTITUTE(W581,"/",""))+1)</x:f>
        <x:v>3</x:v>
      </x:c>
      <x:c r="Y581" t="str">
        <x:v>H</x:v>
      </x:c>
      <x:c r="Z581" s="32" t="n">
        <x:v>1.67</x:v>
      </x:c>
      <x:c r="AA581" s="32" t="n">
        <x:v>3</x:v>
      </x:c>
      <x:c r="AB581" s="32" t="str">
        <x:v>Blue Wool Scale / UV 150h</x:v>
      </x:c>
      <x:c r="AC581" t="str">
        <x:v>#6B6163</x:v>
      </x:c>
      <x:c r="AD581" s="34" t="n">
        <x:v>107</x:v>
      </x:c>
      <x:c r="AE581" s="34" t="n">
        <x:v>97</x:v>
      </x:c>
      <x:c r="AF581" s="34" t="n">
        <x:v>99</x:v>
      </x:c>
      <x:c r="AG581" s="32" t="n">
        <x:v>348</x:v>
      </x:c>
      <x:c r="AH581" s="32" t="n">
        <x:v>4.9</x:v>
      </x:c>
      <x:c r="AI581" s="32" t="n">
        <x:v>40</x:v>
      </x:c>
      <x:c r="AJ581" s="32" t="n">
        <x:v>42.12</x:v>
      </x:c>
      <x:c r="AK581" s="32" t="n">
        <x:v>4.37</x:v>
      </x:c>
      <x:c r="AL581" s="32" t="n">
        <x:v>0.31</x:v>
      </x:c>
      <x:c r="AM581" s="32" t="str">
        <x:v>#FFFFFF</x:v>
      </x:c>
      <x:c r="AN581" s="32" t="str">
        <x:v>White</x:v>
      </x:c>
      <x:c r="AO581" s="32" t="n">
        <x:v>5.97</x:v>
      </x:c>
      <x:c r="AP581" s="32" t="n">
        <x:v>3.52</x:v>
      </x:c>
      <x:c r="AQ581" s="32" t="n">
        <x:v>5.97</x:v>
      </x:c>
      <x:c r="AR581" s="32" t="n">
        <x:v>0.12576</x:v>
      </x:c>
      <x:c r="AS581" t="str">
        <x:v>PASS</x:v>
      </x:c>
      <x:c r="AT581" t="str">
        <x:v>--cda-neo-405</x:v>
      </x:c>
      <x:c r="AU581" t="str">
        <x:v>var(--cda-neo-405)</x:v>
      </x:c>
      <x:c r="AV581" t="str">
        <x:v>Median RGB from official PDF swatch (screen reference only)</x:v>
      </x:c>
      <x:c r="AW581" t="str">
        <x:v>https://www.carandache.com/content_files/uploaded_doc/product/10595/Colour_Chart_NeoPastel.pdf</x:v>
      </x:c>
      <x:c r="AX581" t="n">
        <x:v>1</x:v>
      </x:c>
      <x:c r="AY581" t="str">
        <x:v>Official</x:v>
      </x:c>
      <x:c r="AZ581" t="str">
        <x:v>Official where available; curated Traditional Chinese/Japanese otherwise</x:v>
      </x:c>
      <x:c r="BA581" t="str">
        <x:v>Verified from official chart; digital HEX is approximate</x:v>
      </x:c>
      <x:c r="BB581" t="str">
        <x:v>Physical media appearance varies by paper, pressure, layering, water and scan/display profile.</x:v>
      </x:c>
    </x:row>
    <x:row r="582">
      <x:c r="A582" t="str">
        <x:f>G582&amp;"|"&amp;L582</x:f>
        <x:v>NEO|403</x:v>
      </x:c>
      <x:c r="B582" t="str">
        <x:v>42d42808-3d0d-5ddc-b192-a1a7de75a288</x:v>
      </x:c>
      <x:c r="C582" t="str">
        <x:v>CDA-NEO-403</x:v>
      </x:c>
      <x:c r="D582" t="str">
        <x:v>a0fc0aee-2321-5612-af14-a6e399efdb96</x:v>
      </x:c>
      <x:c r="E582" t="str">
        <x:v>CDA-CODE-403</x:v>
      </x:c>
      <x:c r="F582" t="str">
        <x:v>Caran d’Ache</x:v>
      </x:c>
      <x:c r="G582" t="str">
        <x:v>NEO</x:v>
      </x:c>
      <x:c r="H582" t="str">
        <x:v>NEOPASTEL</x:v>
      </x:c>
      <x:c r="I582" t="str">
        <x:v>Extra-fine oil pastel</x:v>
      </x:c>
      <x:c r="J582" t="str">
        <x:v>Professional</x:v>
      </x:c>
      <x:c r="K582" s="30" t="n">
        <x:v>81</x:v>
      </x:c>
      <x:c r="L582" s="30" t="str">
        <x:v>403</x:v>
      </x:c>
      <x:c r="M582" t="str">
        <x:v>Beige</x:v>
      </x:c>
      <x:c r="N582" t="str">
        <x:v>米色</x:v>
      </x:c>
      <x:c r="O582" t="str">
        <x:v>ベージュ</x:v>
      </x:c>
      <x:c r="P582" t="str"/>
      <x:c r="Q582" t="str">
        <x:v>Beige</x:v>
      </x:c>
      <x:c r="R582" t="str">
        <x:v>Beige</x:v>
      </x:c>
      <x:c r="S582" t="str">
        <x:v>Beige</x:v>
      </x:c>
      <x:c r="T582" t="str"/>
      <x:c r="U582" t="str">
        <x:v>Beije</x:v>
      </x:c>
      <x:c r="V582" t="str">
        <x:v>베이지색</x:v>
      </x:c>
      <x:c r="W582" t="str">
        <x:v>PBk6/PY42/PR101</x:v>
      </x:c>
      <x:c r="X582" t="n">
        <x:f>IF(W582="",0,LEN(W582)-LEN(SUBSTITUTE(W582,"/",""))+1)</x:f>
        <x:v>3</x:v>
      </x:c>
      <x:c r="Y582" t="str">
        <x:v>H</x:v>
      </x:c>
      <x:c r="Z582" s="32" t="n">
        <x:v>1.67</x:v>
      </x:c>
      <x:c r="AA582" s="32" t="n">
        <x:v>3</x:v>
      </x:c>
      <x:c r="AB582" s="32" t="str">
        <x:v>Blue Wool Scale / UV 150h</x:v>
      </x:c>
      <x:c r="AC582" t="str">
        <x:v>#9C9190</x:v>
      </x:c>
      <x:c r="AD582" s="34" t="n">
        <x:v>156</x:v>
      </x:c>
      <x:c r="AE582" s="34" t="n">
        <x:v>145</x:v>
      </x:c>
      <x:c r="AF582" s="34" t="n">
        <x:v>144</x:v>
      </x:c>
      <x:c r="AG582" s="32" t="n">
        <x:v>5</x:v>
      </x:c>
      <x:c r="AH582" s="32" t="n">
        <x:v>5.71</x:v>
      </x:c>
      <x:c r="AI582" s="32" t="n">
        <x:v>58.82</x:v>
      </x:c>
      <x:c r="AJ582" s="32" t="n">
        <x:v>61.07</x:v>
      </x:c>
      <x:c r="AK582" s="32" t="n">
        <x:v>3.88</x:v>
      </x:c>
      <x:c r="AL582" s="32" t="n">
        <x:v>2</x:v>
      </x:c>
      <x:c r="AM582" s="32" t="str">
        <x:v>#000000</x:v>
      </x:c>
      <x:c r="AN582" s="32" t="str">
        <x:v>Black</x:v>
      </x:c>
      <x:c r="AO582" s="32" t="n">
        <x:v>6.87</x:v>
      </x:c>
      <x:c r="AP582" s="32" t="n">
        <x:v>6.87</x:v>
      </x:c>
      <x:c r="AQ582" s="32" t="n">
        <x:v>3.06</x:v>
      </x:c>
      <x:c r="AR582" s="32" t="n">
        <x:v>0.293323</x:v>
      </x:c>
      <x:c r="AS582" t="str">
        <x:v>PASS</x:v>
      </x:c>
      <x:c r="AT582" t="str">
        <x:v>--cda-neo-403</x:v>
      </x:c>
      <x:c r="AU582" t="str">
        <x:v>var(--cda-neo-403)</x:v>
      </x:c>
      <x:c r="AV582" t="str">
        <x:v>Median RGB from official PDF swatch (screen reference only)</x:v>
      </x:c>
      <x:c r="AW582" t="str">
        <x:v>https://www.carandache.com/content_files/uploaded_doc/product/10595/Colour_Chart_NeoPastel.pdf</x:v>
      </x:c>
      <x:c r="AX582" t="n">
        <x:v>1</x:v>
      </x:c>
      <x:c r="AY582" t="str">
        <x:v>Official</x:v>
      </x:c>
      <x:c r="AZ582" t="str">
        <x:v>Official where available; curated Traditional Chinese/Japanese otherwise</x:v>
      </x:c>
      <x:c r="BA582" t="str">
        <x:v>Verified from official chart; digital HEX is approximate</x:v>
      </x:c>
      <x:c r="BB582" t="str">
        <x:v>Physical media appearance varies by paper, pressure, layering, water and scan/display profile.</x:v>
      </x:c>
    </x:row>
    <x:row r="583">
      <x:c r="A583" t="str">
        <x:f>G583&amp;"|"&amp;L583</x:f>
        <x:v>NEO|402</x:v>
      </x:c>
      <x:c r="B583" t="str">
        <x:v>53c6b515-47d4-569b-9ddb-d3e051c88a84</x:v>
      </x:c>
      <x:c r="C583" t="str">
        <x:v>CDA-NEO-402</x:v>
      </x:c>
      <x:c r="D583" t="str">
        <x:v>ff5f9226-afd3-51de-841e-1af120ed7973</x:v>
      </x:c>
      <x:c r="E583" t="str">
        <x:v>CDA-CODE-402</x:v>
      </x:c>
      <x:c r="F583" t="str">
        <x:v>Caran d’Ache</x:v>
      </x:c>
      <x:c r="G583" t="str">
        <x:v>NEO</x:v>
      </x:c>
      <x:c r="H583" t="str">
        <x:v>NEOPASTEL</x:v>
      </x:c>
      <x:c r="I583" t="str">
        <x:v>Extra-fine oil pastel</x:v>
      </x:c>
      <x:c r="J583" t="str">
        <x:v>Professional</x:v>
      </x:c>
      <x:c r="K583" s="30" t="n">
        <x:v>82</x:v>
      </x:c>
      <x:c r="L583" s="30" t="str">
        <x:v>402</x:v>
      </x:c>
      <x:c r="M583" t="str">
        <x:v>Light beige</x:v>
      </x:c>
      <x:c r="N583" t="str">
        <x:v>淺米色</x:v>
      </x:c>
      <x:c r="O583" t="str">
        <x:v>ライトベージュ</x:v>
      </x:c>
      <x:c r="P583" t="str"/>
      <x:c r="Q583" t="str">
        <x:v>Beige clair</x:v>
      </x:c>
      <x:c r="R583" t="str">
        <x:v>Hellbeige</x:v>
      </x:c>
      <x:c r="S583" t="str">
        <x:v>Beige chiaro</x:v>
      </x:c>
      <x:c r="T583" t="str"/>
      <x:c r="U583" t="str">
        <x:v>Beije claro</x:v>
      </x:c>
      <x:c r="V583" t="str">
        <x:v>밝은베이지색</x:v>
      </x:c>
      <x:c r="W583" t="str">
        <x:v>PR101/PY42</x:v>
      </x:c>
      <x:c r="X583" t="n">
        <x:f>IF(W583="",0,LEN(W583)-LEN(SUBSTITUTE(W583,"/",""))+1)</x:f>
        <x:v>2</x:v>
      </x:c>
      <x:c r="Y583" t="str">
        <x:v>H</x:v>
      </x:c>
      <x:c r="Z583" s="32" t="n">
        <x:v>1.67</x:v>
      </x:c>
      <x:c r="AA583" s="32" t="n">
        <x:v>3</x:v>
      </x:c>
      <x:c r="AB583" s="32" t="str">
        <x:v>Blue Wool Scale / UV 150h</x:v>
      </x:c>
      <x:c r="AC583" t="str">
        <x:v>#C2BABC</x:v>
      </x:c>
      <x:c r="AD583" s="34" t="n">
        <x:v>194</x:v>
      </x:c>
      <x:c r="AE583" s="34" t="n">
        <x:v>186</x:v>
      </x:c>
      <x:c r="AF583" s="34" t="n">
        <x:v>188</x:v>
      </x:c>
      <x:c r="AG583" s="32" t="n">
        <x:v>345</x:v>
      </x:c>
      <x:c r="AH583" s="32" t="n">
        <x:v>6.15</x:v>
      </x:c>
      <x:c r="AI583" s="32" t="n">
        <x:v>74.51</x:v>
      </x:c>
      <x:c r="AJ583" s="32" t="n">
        <x:v>76.2</x:v>
      </x:c>
      <x:c r="AK583" s="32" t="n">
        <x:v>3.17</x:v>
      </x:c>
      <x:c r="AL583" s="32" t="n">
        <x:v>-0.01</x:v>
      </x:c>
      <x:c r="AM583" s="32" t="str">
        <x:v>#000000</x:v>
      </x:c>
      <x:c r="AN583" s="32" t="str">
        <x:v>Black</x:v>
      </x:c>
      <x:c r="AO583" s="32" t="n">
        <x:v>11.04</x:v>
      </x:c>
      <x:c r="AP583" s="32" t="n">
        <x:v>11.04</x:v>
      </x:c>
      <x:c r="AQ583" s="32" t="n">
        <x:v>1.9</x:v>
      </x:c>
      <x:c r="AR583" s="32" t="n">
        <x:v>0.50218</x:v>
      </x:c>
      <x:c r="AS583" t="str">
        <x:v>PASS</x:v>
      </x:c>
      <x:c r="AT583" t="str">
        <x:v>--cda-neo-402</x:v>
      </x:c>
      <x:c r="AU583" t="str">
        <x:v>var(--cda-neo-402)</x:v>
      </x:c>
      <x:c r="AV583" t="str">
        <x:v>Median RGB from official PDF swatch (screen reference only)</x:v>
      </x:c>
      <x:c r="AW583" t="str">
        <x:v>https://www.carandache.com/content_files/uploaded_doc/product/10595/Colour_Chart_NeoPastel.pdf</x:v>
      </x:c>
      <x:c r="AX583" t="n">
        <x:v>1</x:v>
      </x:c>
      <x:c r="AY583" t="str">
        <x:v>Official</x:v>
      </x:c>
      <x:c r="AZ583" t="str">
        <x:v>Official where available; curated Traditional Chinese/Japanese otherwise</x:v>
      </x:c>
      <x:c r="BA583" t="str">
        <x:v>Verified from official chart; digital HEX is approximate</x:v>
      </x:c>
      <x:c r="BB583" t="str">
        <x:v>Physical media appearance varies by paper, pressure, layering, water and scan/display profile.</x:v>
      </x:c>
    </x:row>
    <x:row r="584">
      <x:c r="A584" t="str">
        <x:f>G584&amp;"|"&amp;L584</x:f>
        <x:v>NEO|401</x:v>
      </x:c>
      <x:c r="B584" t="str">
        <x:v>c7de9ac7-60eb-54a8-b3ab-e3892d653ef6</x:v>
      </x:c>
      <x:c r="C584" t="str">
        <x:v>CDA-NEO-401</x:v>
      </x:c>
      <x:c r="D584" t="str">
        <x:v>041ab24f-ad59-5075-a15a-4afb1abf3da3</x:v>
      </x:c>
      <x:c r="E584" t="str">
        <x:v>CDA-CODE-401</x:v>
      </x:c>
      <x:c r="F584" t="str">
        <x:v>Caran d’Ache</x:v>
      </x:c>
      <x:c r="G584" t="str">
        <x:v>NEO</x:v>
      </x:c>
      <x:c r="H584" t="str">
        <x:v>NEOPASTEL</x:v>
      </x:c>
      <x:c r="I584" t="str">
        <x:v>Extra-fine oil pastel</x:v>
      </x:c>
      <x:c r="J584" t="str">
        <x:v>Professional</x:v>
      </x:c>
      <x:c r="K584" s="30" t="n">
        <x:v>83</x:v>
      </x:c>
      <x:c r="L584" s="30" t="str">
        <x:v>401</x:v>
      </x:c>
      <x:c r="M584" t="str">
        <x:v>Ash grey</x:v>
      </x:c>
      <x:c r="N584" t="str">
        <x:v>灰燼灰</x:v>
      </x:c>
      <x:c r="O584" t="str">
        <x:v>アッシュグレー</x:v>
      </x:c>
      <x:c r="P584" t="str"/>
      <x:c r="Q584" t="str">
        <x:v>Gris cendre</x:v>
      </x:c>
      <x:c r="R584" t="str">
        <x:v>Aschgrau</x:v>
      </x:c>
      <x:c r="S584" t="str">
        <x:v>Grigio cenere</x:v>
      </x:c>
      <x:c r="T584" t="str"/>
      <x:c r="U584" t="str">
        <x:v>Cinzento cinza</x:v>
      </x:c>
      <x:c r="V584" t="str">
        <x:v>잿빛회색</x:v>
      </x:c>
      <x:c r="W584" t="str">
        <x:v>PBk6/PY42</x:v>
      </x:c>
      <x:c r="X584" t="n">
        <x:f>IF(W584="",0,LEN(W584)-LEN(SUBSTITUTE(W584,"/",""))+1)</x:f>
        <x:v>2</x:v>
      </x:c>
      <x:c r="Y584" t="str">
        <x:v>H</x:v>
      </x:c>
      <x:c r="Z584" s="32" t="n">
        <x:v>1.67</x:v>
      </x:c>
      <x:c r="AA584" s="32" t="n">
        <x:v>3</x:v>
      </x:c>
      <x:c r="AB584" s="32" t="str">
        <x:v>Blue Wool Scale / UV 150h</x:v>
      </x:c>
      <x:c r="AC584" t="str">
        <x:v>#C9CFBA</x:v>
      </x:c>
      <x:c r="AD584" s="34" t="n">
        <x:v>201</x:v>
      </x:c>
      <x:c r="AE584" s="34" t="n">
        <x:v>207</x:v>
      </x:c>
      <x:c r="AF584" s="34" t="n">
        <x:v>186</x:v>
      </x:c>
      <x:c r="AG584" s="32" t="n">
        <x:v>77.14</x:v>
      </x:c>
      <x:c r="AH584" s="32" t="n">
        <x:v>17.95</x:v>
      </x:c>
      <x:c r="AI584" s="32" t="n">
        <x:v>77.06</x:v>
      </x:c>
      <x:c r="AJ584" s="32" t="n">
        <x:v>82.16</x:v>
      </x:c>
      <x:c r="AK584" s="32" t="n">
        <x:v>-5.77</x:v>
      </x:c>
      <x:c r="AL584" s="32" t="n">
        <x:v>9.73</x:v>
      </x:c>
      <x:c r="AM584" s="32" t="str">
        <x:v>#000000</x:v>
      </x:c>
      <x:c r="AN584" s="32" t="str">
        <x:v>Black</x:v>
      </x:c>
      <x:c r="AO584" s="32" t="n">
        <x:v>13.12</x:v>
      </x:c>
      <x:c r="AP584" s="32" t="n">
        <x:v>13.12</x:v>
      </x:c>
      <x:c r="AQ584" s="32" t="n">
        <x:v>1.6</x:v>
      </x:c>
      <x:c r="AR584" s="32" t="n">
        <x:v>0.605883</x:v>
      </x:c>
      <x:c r="AS584" t="str">
        <x:v>PASS</x:v>
      </x:c>
      <x:c r="AT584" t="str">
        <x:v>--cda-neo-401</x:v>
      </x:c>
      <x:c r="AU584" t="str">
        <x:v>var(--cda-neo-401)</x:v>
      </x:c>
      <x:c r="AV584" t="str">
        <x:v>Median RGB from official PDF swatch (screen reference only)</x:v>
      </x:c>
      <x:c r="AW584" t="str">
        <x:v>https://www.carandache.com/content_files/uploaded_doc/product/10595/Colour_Chart_NeoPastel.pdf</x:v>
      </x:c>
      <x:c r="AX584" t="n">
        <x:v>1</x:v>
      </x:c>
      <x:c r="AY584" t="str">
        <x:v>Official</x:v>
      </x:c>
      <x:c r="AZ584" t="str">
        <x:v>Official where available; curated Traditional Chinese/Japanese otherwise</x:v>
      </x:c>
      <x:c r="BA584" t="str">
        <x:v>Verified from official chart; digital HEX is approximate</x:v>
      </x:c>
      <x:c r="BB584" t="str">
        <x:v>Physical media appearance varies by paper, pressure, layering, water and scan/display profile.</x:v>
      </x:c>
    </x:row>
    <x:row r="585">
      <x:c r="A585" t="str">
        <x:f>G585&amp;"|"&amp;L585</x:f>
        <x:v>NEO|491</x:v>
      </x:c>
      <x:c r="B585" t="str">
        <x:v>cd14697b-e864-5d1e-866b-b256f5274fc2</x:v>
      </x:c>
      <x:c r="C585" t="str">
        <x:v>CDA-NEO-491</x:v>
      </x:c>
      <x:c r="D585" t="str">
        <x:v>2677a322-c649-5014-8cdd-4123960858a3</x:v>
      </x:c>
      <x:c r="E585" t="str">
        <x:v>CDA-CODE-491</x:v>
      </x:c>
      <x:c r="F585" t="str">
        <x:v>Caran d’Ache</x:v>
      </x:c>
      <x:c r="G585" t="str">
        <x:v>NEO</x:v>
      </x:c>
      <x:c r="H585" t="str">
        <x:v>NEOPASTEL</x:v>
      </x:c>
      <x:c r="I585" t="str">
        <x:v>Extra-fine oil pastel</x:v>
      </x:c>
      <x:c r="J585" t="str">
        <x:v>Professional</x:v>
      </x:c>
      <x:c r="K585" s="30" t="n">
        <x:v>84</x:v>
      </x:c>
      <x:c r="L585" s="30" t="str">
        <x:v>491</x:v>
      </x:c>
      <x:c r="M585" t="str">
        <x:v>Cream</x:v>
      </x:c>
      <x:c r="N585" t="str">
        <x:v>奶油色</x:v>
      </x:c>
      <x:c r="O585" t="str">
        <x:v>クリーム</x:v>
      </x:c>
      <x:c r="P585" t="str"/>
      <x:c r="Q585" t="str">
        <x:v>Crème</x:v>
      </x:c>
      <x:c r="R585" t="str">
        <x:v>Creme</x:v>
      </x:c>
      <x:c r="S585" t="str">
        <x:v>Crema</x:v>
      </x:c>
      <x:c r="T585" t="str"/>
      <x:c r="U585" t="str">
        <x:v>Creme</x:v>
      </x:c>
      <x:c r="V585" t="str">
        <x:v>크림색</x:v>
      </x:c>
      <x:c r="W585" t="str">
        <x:v>PY42</x:v>
      </x:c>
      <x:c r="X585" t="n">
        <x:f>IF(W585="",0,LEN(W585)-LEN(SUBSTITUTE(W585,"/",""))+1)</x:f>
        <x:v>1</x:v>
      </x:c>
      <x:c r="Y585" t="str">
        <x:v>H</x:v>
      </x:c>
      <x:c r="Z585" s="32" t="n">
        <x:v>1.67</x:v>
      </x:c>
      <x:c r="AA585" s="32" t="n">
        <x:v>3</x:v>
      </x:c>
      <x:c r="AB585" s="32" t="str">
        <x:v>Blue Wool Scale / UV 150h</x:v>
      </x:c>
      <x:c r="AC585" t="str">
        <x:v>#F2DCCC</x:v>
      </x:c>
      <x:c r="AD585" s="34" t="n">
        <x:v>242</x:v>
      </x:c>
      <x:c r="AE585" s="34" t="n">
        <x:v>220</x:v>
      </x:c>
      <x:c r="AF585" s="34" t="n">
        <x:v>204</x:v>
      </x:c>
      <x:c r="AG585" s="32" t="n">
        <x:v>25.26</x:v>
      </x:c>
      <x:c r="AH585" s="32" t="n">
        <x:v>59.37</x:v>
      </x:c>
      <x:c r="AI585" s="32" t="n">
        <x:v>87.45</x:v>
      </x:c>
      <x:c r="AJ585" s="32" t="n">
        <x:v>89.12</x:v>
      </x:c>
      <x:c r="AK585" s="32" t="n">
        <x:v>5.01</x:v>
      </x:c>
      <x:c r="AL585" s="32" t="n">
        <x:v>10.6</x:v>
      </x:c>
      <x:c r="AM585" s="32" t="str">
        <x:v>#000000</x:v>
      </x:c>
      <x:c r="AN585" s="32" t="str">
        <x:v>Black</x:v>
      </x:c>
      <x:c r="AO585" s="32" t="n">
        <x:v>15.88</x:v>
      </x:c>
      <x:c r="AP585" s="32" t="n">
        <x:v>15.88</x:v>
      </x:c>
      <x:c r="AQ585" s="32" t="n">
        <x:v>1.32</x:v>
      </x:c>
      <x:c r="AR585" s="32" t="n">
        <x:v>0.744233</x:v>
      </x:c>
      <x:c r="AS585" t="str">
        <x:v>PASS</x:v>
      </x:c>
      <x:c r="AT585" t="str">
        <x:v>--cda-neo-491</x:v>
      </x:c>
      <x:c r="AU585" t="str">
        <x:v>var(--cda-neo-491)</x:v>
      </x:c>
      <x:c r="AV585" t="str">
        <x:v>Median RGB from official PDF swatch (screen reference only)</x:v>
      </x:c>
      <x:c r="AW585" t="str">
        <x:v>https://www.carandache.com/content_files/uploaded_doc/product/10595/Colour_Chart_NeoPastel.pdf</x:v>
      </x:c>
      <x:c r="AX585" t="n">
        <x:v>1</x:v>
      </x:c>
      <x:c r="AY585" t="str">
        <x:v>Official</x:v>
      </x:c>
      <x:c r="AZ585" t="str">
        <x:v>Official where available; curated Traditional Chinese/Japanese otherwise</x:v>
      </x:c>
      <x:c r="BA585" t="str">
        <x:v>Verified from official chart; digital HEX is approximate</x:v>
      </x:c>
      <x:c r="BB585" t="str">
        <x:v>Physical media appearance varies by paper, pressure, layering, water and scan/display profile.</x:v>
      </x:c>
    </x:row>
    <x:row r="586">
      <x:c r="A586" t="str">
        <x:f>G586&amp;"|"&amp;L586</x:f>
        <x:v>NEO|001</x:v>
      </x:c>
      <x:c r="B586" t="str">
        <x:v>070c1f45-d3fb-5ea9-948f-191efc799fd6</x:v>
      </x:c>
      <x:c r="C586" t="str">
        <x:v>CDA-NEO-001</x:v>
      </x:c>
      <x:c r="D586" t="str">
        <x:v>1fdf2a25-f600-5523-bc97-56cadaedc26c</x:v>
      </x:c>
      <x:c r="E586" t="str">
        <x:v>CDA-CODE-001</x:v>
      </x:c>
      <x:c r="F586" t="str">
        <x:v>Caran d’Ache</x:v>
      </x:c>
      <x:c r="G586" t="str">
        <x:v>NEO</x:v>
      </x:c>
      <x:c r="H586" t="str">
        <x:v>NEOPASTEL</x:v>
      </x:c>
      <x:c r="I586" t="str">
        <x:v>Extra-fine oil pastel</x:v>
      </x:c>
      <x:c r="J586" t="str">
        <x:v>Professional</x:v>
      </x:c>
      <x:c r="K586" s="30" t="n">
        <x:v>85</x:v>
      </x:c>
      <x:c r="L586" s="30" t="str">
        <x:v>001</x:v>
      </x:c>
      <x:c r="M586" t="str">
        <x:v>White</x:v>
      </x:c>
      <x:c r="N586" t="str">
        <x:v>白色</x:v>
      </x:c>
      <x:c r="O586" t="str">
        <x:v>ホワイト</x:v>
      </x:c>
      <x:c r="P586" t="str"/>
      <x:c r="Q586" t="str">
        <x:v>Blanc</x:v>
      </x:c>
      <x:c r="R586" t="str">
        <x:v>Weiss</x:v>
      </x:c>
      <x:c r="S586" t="str">
        <x:v>Bianco</x:v>
      </x:c>
      <x:c r="T586" t="str"/>
      <x:c r="U586" t="str">
        <x:v>Branco</x:v>
      </x:c>
      <x:c r="V586" t="str">
        <x:v>흰색</x:v>
      </x:c>
      <x:c r="W586" t="str">
        <x:v>PW6</x:v>
      </x:c>
      <x:c r="X586" t="n">
        <x:f>IF(W586="",0,LEN(W586)-LEN(SUBSTITUTE(W586,"/",""))+1)</x:f>
        <x:v>1</x:v>
      </x:c>
      <x:c r="Y586" t="str">
        <x:v>H</x:v>
      </x:c>
      <x:c r="Z586" s="32" t="n">
        <x:v>1.67</x:v>
      </x:c>
      <x:c r="AA586" s="32" t="n">
        <x:v>3</x:v>
      </x:c>
      <x:c r="AB586" s="32" t="str">
        <x:v>Blue Wool Scale / UV 150h</x:v>
      </x:c>
      <x:c r="AC586" t="str">
        <x:v>#F0ECED</x:v>
      </x:c>
      <x:c r="AD586" s="34" t="n">
        <x:v>240</x:v>
      </x:c>
      <x:c r="AE586" s="34" t="n">
        <x:v>236</x:v>
      </x:c>
      <x:c r="AF586" s="34" t="n">
        <x:v>237</x:v>
      </x:c>
      <x:c r="AG586" s="32" t="n">
        <x:v>345</x:v>
      </x:c>
      <x:c r="AH586" s="32" t="n">
        <x:v>11.76</x:v>
      </x:c>
      <x:c r="AI586" s="32" t="n">
        <x:v>93.33</x:v>
      </x:c>
      <x:c r="AJ586" s="32" t="n">
        <x:v>93.72</x:v>
      </x:c>
      <x:c r="AK586" s="32" t="n">
        <x:v>1.51</x:v>
      </x:c>
      <x:c r="AL586" s="32" t="n">
        <x:v>-0.01</x:v>
      </x:c>
      <x:c r="AM586" s="32" t="str">
        <x:v>#000000</x:v>
      </x:c>
      <x:c r="AN586" s="32" t="str">
        <x:v>Black</x:v>
      </x:c>
      <x:c r="AO586" s="32" t="n">
        <x:v>17.93</x:v>
      </x:c>
      <x:c r="AP586" s="32" t="n">
        <x:v>17.93</x:v>
      </x:c>
      <x:c r="AQ586" s="32" t="n">
        <x:v>1.17</x:v>
      </x:c>
      <x:c r="AR586" s="32" t="n">
        <x:v>0.846306</x:v>
      </x:c>
      <x:c r="AS586" t="str">
        <x:v>PASS</x:v>
      </x:c>
      <x:c r="AT586" t="str">
        <x:v>--cda-neo-001</x:v>
      </x:c>
      <x:c r="AU586" t="str">
        <x:v>var(--cda-neo-001)</x:v>
      </x:c>
      <x:c r="AV586" t="str">
        <x:v>Median RGB from official PDF swatch (screen reference only)</x:v>
      </x:c>
      <x:c r="AW586" t="str">
        <x:v>https://www.carandache.com/content_files/uploaded_doc/product/10595/Colour_Chart_NeoPastel.pdf</x:v>
      </x:c>
      <x:c r="AX586" t="n">
        <x:v>1</x:v>
      </x:c>
      <x:c r="AY586" t="str">
        <x:v>Official</x:v>
      </x:c>
      <x:c r="AZ586" t="str">
        <x:v>Official where available; curated Traditional Chinese/Japanese otherwise</x:v>
      </x:c>
      <x:c r="BA586" t="str">
        <x:v>Verified from official chart; digital HEX is approximate</x:v>
      </x:c>
      <x:c r="BB586" t="str">
        <x:v>Physical media appearance varies by paper, pressure, layering, water and scan/display profile.</x:v>
      </x:c>
    </x:row>
    <x:row r="587">
      <x:c r="A587" t="str">
        <x:f>G587&amp;"|"&amp;L587</x:f>
        <x:v>NEO|002</x:v>
      </x:c>
      <x:c r="B587" t="str">
        <x:v>0795d11b-2bbd-5f57-ad93-1489e337776c</x:v>
      </x:c>
      <x:c r="C587" t="str">
        <x:v>CDA-NEO-002</x:v>
      </x:c>
      <x:c r="D587" t="str">
        <x:v>5bb6a1fa-d374-5bae-b129-520775dd165f</x:v>
      </x:c>
      <x:c r="E587" t="str">
        <x:v>CDA-CODE-002</x:v>
      </x:c>
      <x:c r="F587" t="str">
        <x:v>Caran d’Ache</x:v>
      </x:c>
      <x:c r="G587" t="str">
        <x:v>NEO</x:v>
      </x:c>
      <x:c r="H587" t="str">
        <x:v>NEOPASTEL</x:v>
      </x:c>
      <x:c r="I587" t="str">
        <x:v>Extra-fine oil pastel</x:v>
      </x:c>
      <x:c r="J587" t="str">
        <x:v>Professional</x:v>
      </x:c>
      <x:c r="K587" s="30" t="n">
        <x:v>86</x:v>
      </x:c>
      <x:c r="L587" s="30" t="str">
        <x:v>002</x:v>
      </x:c>
      <x:c r="M587" t="str">
        <x:v>Silver grey</x:v>
      </x:c>
      <x:c r="N587" t="str">
        <x:v>銀灰色</x:v>
      </x:c>
      <x:c r="O587" t="str">
        <x:v>シルバーグレー</x:v>
      </x:c>
      <x:c r="P587" t="str"/>
      <x:c r="Q587" t="str">
        <x:v>Gris argenté</x:v>
      </x:c>
      <x:c r="R587" t="str">
        <x:v>Silbergrau</x:v>
      </x:c>
      <x:c r="S587" t="str">
        <x:v>Grigio argento</x:v>
      </x:c>
      <x:c r="T587" t="str"/>
      <x:c r="U587" t="str">
        <x:v>Cinzento prateado</x:v>
      </x:c>
      <x:c r="V587" t="str">
        <x:v>은회색</x:v>
      </x:c>
      <x:c r="W587" t="str">
        <x:v>PBk6/PB15</x:v>
      </x:c>
      <x:c r="X587" t="n">
        <x:f>IF(W587="",0,LEN(W587)-LEN(SUBSTITUTE(W587,"/",""))+1)</x:f>
        <x:v>2</x:v>
      </x:c>
      <x:c r="Y587" t="str">
        <x:v>H</x:v>
      </x:c>
      <x:c r="Z587" s="32" t="n">
        <x:v>1.67</x:v>
      </x:c>
      <x:c r="AA587" s="32" t="n">
        <x:v>3</x:v>
      </x:c>
      <x:c r="AB587" s="32" t="str">
        <x:v>Blue Wool Scale / UV 150h</x:v>
      </x:c>
      <x:c r="AC587" t="str">
        <x:v>#BFD3DA</x:v>
      </x:c>
      <x:c r="AD587" s="34" t="n">
        <x:v>191</x:v>
      </x:c>
      <x:c r="AE587" s="34" t="n">
        <x:v>211</x:v>
      </x:c>
      <x:c r="AF587" s="34" t="n">
        <x:v>218</x:v>
      </x:c>
      <x:c r="AG587" s="32" t="n">
        <x:v>195.56</x:v>
      </x:c>
      <x:c r="AH587" s="32" t="n">
        <x:v>26.73</x:v>
      </x:c>
      <x:c r="AI587" s="32" t="n">
        <x:v>80.2</x:v>
      </x:c>
      <x:c r="AJ587" s="32" t="n">
        <x:v>83.3</x:v>
      </x:c>
      <x:c r="AK587" s="32" t="n">
        <x:v>-5.3</x:v>
      </x:c>
      <x:c r="AL587" s="32" t="n">
        <x:v>-5.74</x:v>
      </x:c>
      <x:c r="AM587" s="32" t="str">
        <x:v>#000000</x:v>
      </x:c>
      <x:c r="AN587" s="32" t="str">
        <x:v>Black</x:v>
      </x:c>
      <x:c r="AO587" s="32" t="n">
        <x:v>13.55</x:v>
      </x:c>
      <x:c r="AP587" s="32" t="n">
        <x:v>13.55</x:v>
      </x:c>
      <x:c r="AQ587" s="32" t="n">
        <x:v>1.55</x:v>
      </x:c>
      <x:c r="AR587" s="32" t="n">
        <x:v>0.627269</x:v>
      </x:c>
      <x:c r="AS587" t="str">
        <x:v>PASS</x:v>
      </x:c>
      <x:c r="AT587" t="str">
        <x:v>--cda-neo-002</x:v>
      </x:c>
      <x:c r="AU587" t="str">
        <x:v>var(--cda-neo-002)</x:v>
      </x:c>
      <x:c r="AV587" t="str">
        <x:v>Median RGB from official PDF swatch (screen reference only)</x:v>
      </x:c>
      <x:c r="AW587" t="str">
        <x:v>https://www.carandache.com/content_files/uploaded_doc/product/10595/Colour_Chart_NeoPastel.pdf</x:v>
      </x:c>
      <x:c r="AX587" t="n">
        <x:v>1</x:v>
      </x:c>
      <x:c r="AY587" t="str">
        <x:v>Official</x:v>
      </x:c>
      <x:c r="AZ587" t="str">
        <x:v>Official where available; curated Traditional Chinese/Japanese otherwise</x:v>
      </x:c>
      <x:c r="BA587" t="str">
        <x:v>Verified from official chart; digital HEX is approximate</x:v>
      </x:c>
      <x:c r="BB587" t="str">
        <x:v>Physical media appearance varies by paper, pressure, layering, water and scan/display profile.</x:v>
      </x:c>
    </x:row>
    <x:row r="588">
      <x:c r="A588" t="str">
        <x:f>G588&amp;"|"&amp;L588</x:f>
        <x:v>NEO|003</x:v>
      </x:c>
      <x:c r="B588" t="str">
        <x:v>f90c3242-3c94-5dc3-8b61-9c63b3690c23</x:v>
      </x:c>
      <x:c r="C588" t="str">
        <x:v>CDA-NEO-003</x:v>
      </x:c>
      <x:c r="D588" t="str">
        <x:v>0babc0cb-de09-5293-abe4-84adda5ee171</x:v>
      </x:c>
      <x:c r="E588" t="str">
        <x:v>CDA-CODE-003</x:v>
      </x:c>
      <x:c r="F588" t="str">
        <x:v>Caran d’Ache</x:v>
      </x:c>
      <x:c r="G588" t="str">
        <x:v>NEO</x:v>
      </x:c>
      <x:c r="H588" t="str">
        <x:v>NEOPASTEL</x:v>
      </x:c>
      <x:c r="I588" t="str">
        <x:v>Extra-fine oil pastel</x:v>
      </x:c>
      <x:c r="J588" t="str">
        <x:v>Professional</x:v>
      </x:c>
      <x:c r="K588" s="30" t="n">
        <x:v>87</x:v>
      </x:c>
      <x:c r="L588" s="30" t="str">
        <x:v>003</x:v>
      </x:c>
      <x:c r="M588" t="str">
        <x:v>Light grey</x:v>
      </x:c>
      <x:c r="N588" t="str">
        <x:v>淺灰色</x:v>
      </x:c>
      <x:c r="O588" t="str">
        <x:v>ライトグレー</x:v>
      </x:c>
      <x:c r="P588" t="str"/>
      <x:c r="Q588" t="str">
        <x:v>Gris clair</x:v>
      </x:c>
      <x:c r="R588" t="str">
        <x:v>Hellgrau</x:v>
      </x:c>
      <x:c r="S588" t="str">
        <x:v>Grigio chiaro</x:v>
      </x:c>
      <x:c r="T588" t="str"/>
      <x:c r="U588" t="str">
        <x:v>Cinzento claro</x:v>
      </x:c>
      <x:c r="V588" t="str">
        <x:v>밝은 회색</x:v>
      </x:c>
      <x:c r="W588" t="str">
        <x:v>PBk6/PB15</x:v>
      </x:c>
      <x:c r="X588" t="n">
        <x:f>IF(W588="",0,LEN(W588)-LEN(SUBSTITUTE(W588,"/",""))+1)</x:f>
        <x:v>2</x:v>
      </x:c>
      <x:c r="Y588" t="str">
        <x:v>H</x:v>
      </x:c>
      <x:c r="Z588" s="32" t="n">
        <x:v>1.67</x:v>
      </x:c>
      <x:c r="AA588" s="32" t="n">
        <x:v>3</x:v>
      </x:c>
      <x:c r="AB588" s="32" t="str">
        <x:v>Blue Wool Scale / UV 150h</x:v>
      </x:c>
      <x:c r="AC588" t="str">
        <x:v>#94A8B1</x:v>
      </x:c>
      <x:c r="AD588" s="34" t="n">
        <x:v>148</x:v>
      </x:c>
      <x:c r="AE588" s="34" t="n">
        <x:v>168</x:v>
      </x:c>
      <x:c r="AF588" s="34" t="n">
        <x:v>177</x:v>
      </x:c>
      <x:c r="AG588" s="32" t="n">
        <x:v>198.62</x:v>
      </x:c>
      <x:c r="AH588" s="32" t="n">
        <x:v>15.68</x:v>
      </x:c>
      <x:c r="AI588" s="32" t="n">
        <x:v>63.73</x:v>
      </x:c>
      <x:c r="AJ588" s="32" t="n">
        <x:v>67.63</x:v>
      </x:c>
      <x:c r="AK588" s="32" t="n">
        <x:v>-5.03</x:v>
      </x:c>
      <x:c r="AL588" s="32" t="n">
        <x:v>-6.98</x:v>
      </x:c>
      <x:c r="AM588" s="32" t="str">
        <x:v>#000000</x:v>
      </x:c>
      <x:c r="AN588" s="32" t="str">
        <x:v>Black</x:v>
      </x:c>
      <x:c r="AO588" s="32" t="n">
        <x:v>8.5</x:v>
      </x:c>
      <x:c r="AP588" s="32" t="n">
        <x:v>8.5</x:v>
      </x:c>
      <x:c r="AQ588" s="32" t="n">
        <x:v>2.47</x:v>
      </x:c>
      <x:c r="AR588" s="32" t="n">
        <x:v>0.374755</x:v>
      </x:c>
      <x:c r="AS588" t="str">
        <x:v>PASS</x:v>
      </x:c>
      <x:c r="AT588" t="str">
        <x:v>--cda-neo-003</x:v>
      </x:c>
      <x:c r="AU588" t="str">
        <x:v>var(--cda-neo-003)</x:v>
      </x:c>
      <x:c r="AV588" t="str">
        <x:v>Median RGB from official PDF swatch (screen reference only)</x:v>
      </x:c>
      <x:c r="AW588" t="str">
        <x:v>https://www.carandache.com/content_files/uploaded_doc/product/10595/Colour_Chart_NeoPastel.pdf</x:v>
      </x:c>
      <x:c r="AX588" t="n">
        <x:v>1</x:v>
      </x:c>
      <x:c r="AY588" t="str">
        <x:v>Official</x:v>
      </x:c>
      <x:c r="AZ588" t="str">
        <x:v>Official where available; curated Traditional Chinese/Japanese otherwise</x:v>
      </x:c>
      <x:c r="BA588" t="str">
        <x:v>Verified from official chart; digital HEX is approximate</x:v>
      </x:c>
      <x:c r="BB588" t="str">
        <x:v>Physical media appearance varies by paper, pressure, layering, water and scan/display profile.</x:v>
      </x:c>
    </x:row>
    <x:row r="589">
      <x:c r="A589" t="str">
        <x:f>G589&amp;"|"&amp;L589</x:f>
        <x:v>NEO|004</x:v>
      </x:c>
      <x:c r="B589" t="str">
        <x:v>cfeb7afb-49b6-5b2f-ae7c-dd2c43062c90</x:v>
      </x:c>
      <x:c r="C589" t="str">
        <x:v>CDA-NEO-004</x:v>
      </x:c>
      <x:c r="D589" t="str">
        <x:v>de4df521-dec4-520d-ab19-51053b9c58ea</x:v>
      </x:c>
      <x:c r="E589" t="str">
        <x:v>CDA-CODE-004</x:v>
      </x:c>
      <x:c r="F589" t="str">
        <x:v>Caran d’Ache</x:v>
      </x:c>
      <x:c r="G589" t="str">
        <x:v>NEO</x:v>
      </x:c>
      <x:c r="H589" t="str">
        <x:v>NEOPASTEL</x:v>
      </x:c>
      <x:c r="I589" t="str">
        <x:v>Extra-fine oil pastel</x:v>
      </x:c>
      <x:c r="J589" t="str">
        <x:v>Professional</x:v>
      </x:c>
      <x:c r="K589" s="30" t="n">
        <x:v>88</x:v>
      </x:c>
      <x:c r="L589" s="30" t="str">
        <x:v>004</x:v>
      </x:c>
      <x:c r="M589" t="str">
        <x:v>Steel grey</x:v>
      </x:c>
      <x:c r="N589" t="str">
        <x:v>鋼灰色</x:v>
      </x:c>
      <x:c r="O589" t="str">
        <x:v>スチールグレー</x:v>
      </x:c>
      <x:c r="P589" t="str"/>
      <x:c r="Q589" t="str">
        <x:v>Gris acier</x:v>
      </x:c>
      <x:c r="R589" t="str">
        <x:v>Stahlgrau</x:v>
      </x:c>
      <x:c r="S589" t="str">
        <x:v>Grigio acciaio</x:v>
      </x:c>
      <x:c r="T589" t="str"/>
      <x:c r="U589" t="str">
        <x:v>Cinzento aço</x:v>
      </x:c>
      <x:c r="V589" t="str">
        <x:v>스틸 그레이</x:v>
      </x:c>
      <x:c r="W589" t="str">
        <x:v>PY184/PBk6/PB15</x:v>
      </x:c>
      <x:c r="X589" t="n">
        <x:f>IF(W589="",0,LEN(W589)-LEN(SUBSTITUTE(W589,"/",""))+1)</x:f>
        <x:v>3</x:v>
      </x:c>
      <x:c r="Y589" t="str">
        <x:v>H</x:v>
      </x:c>
      <x:c r="Z589" s="32" t="n">
        <x:v>1.67</x:v>
      </x:c>
      <x:c r="AA589" s="32" t="n">
        <x:v>3</x:v>
      </x:c>
      <x:c r="AB589" s="32" t="str">
        <x:v>Blue Wool Scale / UV 150h</x:v>
      </x:c>
      <x:c r="AC589" t="str">
        <x:v>#778D9A</x:v>
      </x:c>
      <x:c r="AD589" s="34" t="n">
        <x:v>119</x:v>
      </x:c>
      <x:c r="AE589" s="34" t="n">
        <x:v>141</x:v>
      </x:c>
      <x:c r="AF589" s="34" t="n">
        <x:v>154</x:v>
      </x:c>
      <x:c r="AG589" s="32" t="n">
        <x:v>202.29</x:v>
      </x:c>
      <x:c r="AH589" s="32" t="n">
        <x:v>14.77</x:v>
      </x:c>
      <x:c r="AI589" s="32" t="n">
        <x:v>53.53</x:v>
      </x:c>
      <x:c r="AJ589" s="32" t="n">
        <x:v>57.37</x:v>
      </x:c>
      <x:c r="AK589" s="32" t="n">
        <x:v>-4.84</x:v>
      </x:c>
      <x:c r="AL589" s="32" t="n">
        <x:v>-9.5</x:v>
      </x:c>
      <x:c r="AM589" s="32" t="str">
        <x:v>#000000</x:v>
      </x:c>
      <x:c r="AN589" s="32" t="str">
        <x:v>Black</x:v>
      </x:c>
      <x:c r="AO589" s="32" t="n">
        <x:v>6.06</x:v>
      </x:c>
      <x:c r="AP589" s="32" t="n">
        <x:v>6.06</x:v>
      </x:c>
      <x:c r="AQ589" s="32" t="n">
        <x:v>3.46</x:v>
      </x:c>
      <x:c r="AR589" s="32" t="n">
        <x:v>0.253048</x:v>
      </x:c>
      <x:c r="AS589" t="str">
        <x:v>PASS</x:v>
      </x:c>
      <x:c r="AT589" t="str">
        <x:v>--cda-neo-004</x:v>
      </x:c>
      <x:c r="AU589" t="str">
        <x:v>var(--cda-neo-004)</x:v>
      </x:c>
      <x:c r="AV589" t="str">
        <x:v>Median RGB from official PDF swatch (screen reference only)</x:v>
      </x:c>
      <x:c r="AW589" t="str">
        <x:v>https://www.carandache.com/content_files/uploaded_doc/product/10595/Colour_Chart_NeoPastel.pdf</x:v>
      </x:c>
      <x:c r="AX589" t="n">
        <x:v>1</x:v>
      </x:c>
      <x:c r="AY589" t="str">
        <x:v>Official</x:v>
      </x:c>
      <x:c r="AZ589" t="str">
        <x:v>Official where available; curated Traditional Chinese/Japanese otherwise</x:v>
      </x:c>
      <x:c r="BA589" t="str">
        <x:v>Verified from official chart; digital HEX is approximate</x:v>
      </x:c>
      <x:c r="BB589" t="str">
        <x:v>Physical media appearance varies by paper, pressure, layering, water and scan/display profile.</x:v>
      </x:c>
    </x:row>
    <x:row r="590">
      <x:c r="A590" t="str">
        <x:f>G590&amp;"|"&amp;L590</x:f>
        <x:v>NEO|005</x:v>
      </x:c>
      <x:c r="B590" t="str">
        <x:v>b04b6070-d9f5-5be4-8caf-f65bd3941df2</x:v>
      </x:c>
      <x:c r="C590" t="str">
        <x:v>CDA-NEO-005</x:v>
      </x:c>
      <x:c r="D590" t="str">
        <x:v>5e94186d-04b3-5522-b27d-8725960264c8</x:v>
      </x:c>
      <x:c r="E590" t="str">
        <x:v>CDA-CODE-005</x:v>
      </x:c>
      <x:c r="F590" t="str">
        <x:v>Caran d’Ache</x:v>
      </x:c>
      <x:c r="G590" t="str">
        <x:v>NEO</x:v>
      </x:c>
      <x:c r="H590" t="str">
        <x:v>NEOPASTEL</x:v>
      </x:c>
      <x:c r="I590" t="str">
        <x:v>Extra-fine oil pastel</x:v>
      </x:c>
      <x:c r="J590" t="str">
        <x:v>Professional</x:v>
      </x:c>
      <x:c r="K590" s="30" t="n">
        <x:v>89</x:v>
      </x:c>
      <x:c r="L590" s="30" t="str">
        <x:v>005</x:v>
      </x:c>
      <x:c r="M590" t="str">
        <x:v>Grey</x:v>
      </x:c>
      <x:c r="N590" t="str">
        <x:v>灰色</x:v>
      </x:c>
      <x:c r="O590" t="str">
        <x:v>グレー</x:v>
      </x:c>
      <x:c r="P590" t="str"/>
      <x:c r="Q590" t="str">
        <x:v>Gris</x:v>
      </x:c>
      <x:c r="R590" t="str">
        <x:v>Grau</x:v>
      </x:c>
      <x:c r="S590" t="str">
        <x:v>Grigio</x:v>
      </x:c>
      <x:c r="T590" t="str"/>
      <x:c r="U590" t="str">
        <x:v>Cinzento</x:v>
      </x:c>
      <x:c r="V590" t="str">
        <x:v>회색</x:v>
      </x:c>
      <x:c r="W590" t="str">
        <x:v>PBk6/PB15/PY1</x:v>
      </x:c>
      <x:c r="X590" t="n">
        <x:f>IF(W590="",0,LEN(W590)-LEN(SUBSTITUTE(W590,"/",""))+1)</x:f>
        <x:v>3</x:v>
      </x:c>
      <x:c r="Y590" t="str">
        <x:v>H</x:v>
      </x:c>
      <x:c r="Z590" s="32" t="n">
        <x:v>1.67</x:v>
      </x:c>
      <x:c r="AA590" s="32" t="n">
        <x:v>3</x:v>
      </x:c>
      <x:c r="AB590" s="32" t="str">
        <x:v>Blue Wool Scale / UV 150h</x:v>
      </x:c>
      <x:c r="AC590" t="str">
        <x:v>#6C7989</x:v>
      </x:c>
      <x:c r="AD590" s="34" t="n">
        <x:v>108</x:v>
      </x:c>
      <x:c r="AE590" s="34" t="n">
        <x:v>121</x:v>
      </x:c>
      <x:c r="AF590" s="34" t="n">
        <x:v>137</x:v>
      </x:c>
      <x:c r="AG590" s="32" t="n">
        <x:v>213.1</x:v>
      </x:c>
      <x:c r="AH590" s="32" t="n">
        <x:v>11.84</x:v>
      </x:c>
      <x:c r="AI590" s="32" t="n">
        <x:v>48.04</x:v>
      </x:c>
      <x:c r="AJ590" s="32" t="n">
        <x:v>50.3</x:v>
      </x:c>
      <x:c r="AK590" s="32" t="n">
        <x:v>-1.12</x:v>
      </x:c>
      <x:c r="AL590" s="32" t="n">
        <x:v>-10.32</x:v>
      </x:c>
      <x:c r="AM590" s="32" t="str">
        <x:v>#000000</x:v>
      </x:c>
      <x:c r="AN590" s="32" t="str">
        <x:v>Black</x:v>
      </x:c>
      <x:c r="AO590" s="32" t="n">
        <x:v>4.73</x:v>
      </x:c>
      <x:c r="AP590" s="32" t="n">
        <x:v>4.73</x:v>
      </x:c>
      <x:c r="AQ590" s="32" t="n">
        <x:v>4.44</x:v>
      </x:c>
      <x:c r="AR590" s="32" t="n">
        <x:v>0.18669</x:v>
      </x:c>
      <x:c r="AS590" t="str">
        <x:v>PASS</x:v>
      </x:c>
      <x:c r="AT590" t="str">
        <x:v>--cda-neo-005</x:v>
      </x:c>
      <x:c r="AU590" t="str">
        <x:v>var(--cda-neo-005)</x:v>
      </x:c>
      <x:c r="AV590" t="str">
        <x:v>Median RGB from official PDF swatch (screen reference only)</x:v>
      </x:c>
      <x:c r="AW590" t="str">
        <x:v>https://www.carandache.com/content_files/uploaded_doc/product/10595/Colour_Chart_NeoPastel.pdf</x:v>
      </x:c>
      <x:c r="AX590" t="n">
        <x:v>1</x:v>
      </x:c>
      <x:c r="AY590" t="str">
        <x:v>Official</x:v>
      </x:c>
      <x:c r="AZ590" t="str">
        <x:v>Official where available; curated Traditional Chinese/Japanese otherwise</x:v>
      </x:c>
      <x:c r="BA590" t="str">
        <x:v>Verified from official chart; digital HEX is approximate</x:v>
      </x:c>
      <x:c r="BB590" t="str">
        <x:v>Physical media appearance varies by paper, pressure, layering, water and scan/display profile.</x:v>
      </x:c>
    </x:row>
    <x:row r="591">
      <x:c r="A591" t="str">
        <x:f>G591&amp;"|"&amp;L591</x:f>
        <x:v>NEO|006</x:v>
      </x:c>
      <x:c r="B591" t="str">
        <x:v>6c56e060-7d10-5bf8-9d80-ed91108e6c66</x:v>
      </x:c>
      <x:c r="C591" t="str">
        <x:v>CDA-NEO-006</x:v>
      </x:c>
      <x:c r="D591" t="str">
        <x:v>e1914c16-2ec2-5172-90dc-7bb50574eff7</x:v>
      </x:c>
      <x:c r="E591" t="str">
        <x:v>CDA-CODE-006</x:v>
      </x:c>
      <x:c r="F591" t="str">
        <x:v>Caran d’Ache</x:v>
      </x:c>
      <x:c r="G591" t="str">
        <x:v>NEO</x:v>
      </x:c>
      <x:c r="H591" t="str">
        <x:v>NEOPASTEL</x:v>
      </x:c>
      <x:c r="I591" t="str">
        <x:v>Extra-fine oil pastel</x:v>
      </x:c>
      <x:c r="J591" t="str">
        <x:v>Professional</x:v>
      </x:c>
      <x:c r="K591" s="30" t="n">
        <x:v>90</x:v>
      </x:c>
      <x:c r="L591" s="30" t="str">
        <x:v>006</x:v>
      </x:c>
      <x:c r="M591" t="str">
        <x:v>Mouse grey</x:v>
      </x:c>
      <x:c r="N591" t="str">
        <x:v>鼠灰色</x:v>
      </x:c>
      <x:c r="O591" t="str">
        <x:v>マウスグレー</x:v>
      </x:c>
      <x:c r="P591" t="str"/>
      <x:c r="Q591" t="str">
        <x:v>Gris souris</x:v>
      </x:c>
      <x:c r="R591" t="str">
        <x:v>Mausgrau</x:v>
      </x:c>
      <x:c r="S591" t="str">
        <x:v>Grigio topo</x:v>
      </x:c>
      <x:c r="T591" t="str"/>
      <x:c r="U591" t="str">
        <x:v>Cinzento rato</x:v>
      </x:c>
      <x:c r="V591" t="str">
        <x:v>쥐색</x:v>
      </x:c>
      <x:c r="W591" t="str">
        <x:v>PY184/PBk6/PB15</x:v>
      </x:c>
      <x:c r="X591" t="n">
        <x:f>IF(W591="",0,LEN(W591)-LEN(SUBSTITUTE(W591,"/",""))+1)</x:f>
        <x:v>3</x:v>
      </x:c>
      <x:c r="Y591" t="str">
        <x:v>H</x:v>
      </x:c>
      <x:c r="Z591" s="32" t="n">
        <x:v>1.67</x:v>
      </x:c>
      <x:c r="AA591" s="32" t="n">
        <x:v>3</x:v>
      </x:c>
      <x:c r="AB591" s="32" t="str">
        <x:v>Blue Wool Scale / UV 150h</x:v>
      </x:c>
      <x:c r="AC591" t="str">
        <x:v>#547B8F</x:v>
      </x:c>
      <x:c r="AD591" s="34" t="n">
        <x:v>84</x:v>
      </x:c>
      <x:c r="AE591" s="34" t="n">
        <x:v>123</x:v>
      </x:c>
      <x:c r="AF591" s="34" t="n">
        <x:v>143</x:v>
      </x:c>
      <x:c r="AG591" s="32" t="n">
        <x:v>200.34</x:v>
      </x:c>
      <x:c r="AH591" s="32" t="n">
        <x:v>25.99</x:v>
      </x:c>
      <x:c r="AI591" s="32" t="n">
        <x:v>44.51</x:v>
      </x:c>
      <x:c r="AJ591" s="32" t="n">
        <x:v>49.54</x:v>
      </x:c>
      <x:c r="AK591" s="32" t="n">
        <x:v>-8.17</x:v>
      </x:c>
      <x:c r="AL591" s="32" t="n">
        <x:v>-15.14</x:v>
      </x:c>
      <x:c r="AM591" s="32" t="str">
        <x:v>#000000</x:v>
      </x:c>
      <x:c r="AN591" s="32" t="str">
        <x:v>Black</x:v>
      </x:c>
      <x:c r="AO591" s="32" t="n">
        <x:v>4.61</x:v>
      </x:c>
      <x:c r="AP591" s="32" t="n">
        <x:v>4.61</x:v>
      </x:c>
      <x:c r="AQ591" s="32" t="n">
        <x:v>4.56</x:v>
      </x:c>
      <x:c r="AR591" s="32" t="n">
        <x:v>0.180339</x:v>
      </x:c>
      <x:c r="AS591" t="str">
        <x:v>PASS</x:v>
      </x:c>
      <x:c r="AT591" t="str">
        <x:v>--cda-neo-006</x:v>
      </x:c>
      <x:c r="AU591" t="str">
        <x:v>var(--cda-neo-006)</x:v>
      </x:c>
      <x:c r="AV591" t="str">
        <x:v>Median RGB from official PDF swatch (screen reference only)</x:v>
      </x:c>
      <x:c r="AW591" t="str">
        <x:v>https://www.carandache.com/content_files/uploaded_doc/product/10595/Colour_Chart_NeoPastel.pdf</x:v>
      </x:c>
      <x:c r="AX591" t="n">
        <x:v>1</x:v>
      </x:c>
      <x:c r="AY591" t="str">
        <x:v>Official</x:v>
      </x:c>
      <x:c r="AZ591" t="str">
        <x:v>Official where available; curated Traditional Chinese/Japanese otherwise</x:v>
      </x:c>
      <x:c r="BA591" t="str">
        <x:v>Verified from official chart; digital HEX is approximate</x:v>
      </x:c>
      <x:c r="BB591" t="str">
        <x:v>Physical media appearance varies by paper, pressure, layering, water and scan/display profile.</x:v>
      </x:c>
    </x:row>
    <x:row r="592">
      <x:c r="A592" t="str">
        <x:f>G592&amp;"|"&amp;L592</x:f>
        <x:v>NEO|007</x:v>
      </x:c>
      <x:c r="B592" t="str">
        <x:v>f4d2a547-d11e-5482-ac17-60384896c173</x:v>
      </x:c>
      <x:c r="C592" t="str">
        <x:v>CDA-NEO-007</x:v>
      </x:c>
      <x:c r="D592" t="str">
        <x:v>1dcc31e4-efb4-58e7-87c9-bfd669318b14</x:v>
      </x:c>
      <x:c r="E592" t="str">
        <x:v>CDA-CODE-007</x:v>
      </x:c>
      <x:c r="F592" t="str">
        <x:v>Caran d’Ache</x:v>
      </x:c>
      <x:c r="G592" t="str">
        <x:v>NEO</x:v>
      </x:c>
      <x:c r="H592" t="str">
        <x:v>NEOPASTEL</x:v>
      </x:c>
      <x:c r="I592" t="str">
        <x:v>Extra-fine oil pastel</x:v>
      </x:c>
      <x:c r="J592" t="str">
        <x:v>Professional</x:v>
      </x:c>
      <x:c r="K592" s="30" t="n">
        <x:v>91</x:v>
      </x:c>
      <x:c r="L592" s="30" t="str">
        <x:v>007</x:v>
      </x:c>
      <x:c r="M592" t="str">
        <x:v>Dark grey</x:v>
      </x:c>
      <x:c r="N592" t="str">
        <x:v>深灰色</x:v>
      </x:c>
      <x:c r="O592" t="str">
        <x:v>ダークグレー</x:v>
      </x:c>
      <x:c r="P592" t="str"/>
      <x:c r="Q592" t="str">
        <x:v>Gris foncé</x:v>
      </x:c>
      <x:c r="R592" t="str">
        <x:v>Dunkelgrau</x:v>
      </x:c>
      <x:c r="S592" t="str">
        <x:v>Grigio scuro</x:v>
      </x:c>
      <x:c r="T592" t="str"/>
      <x:c r="U592" t="str">
        <x:v>Cinzento escuro</x:v>
      </x:c>
      <x:c r="V592" t="str">
        <x:v>암회색</x:v>
      </x:c>
      <x:c r="W592" t="str">
        <x:v>PY3/PBk6/PB15</x:v>
      </x:c>
      <x:c r="X592" t="n">
        <x:f>IF(W592="",0,LEN(W592)-LEN(SUBSTITUTE(W592,"/",""))+1)</x:f>
        <x:v>3</x:v>
      </x:c>
      <x:c r="Y592" t="str">
        <x:v>H</x:v>
      </x:c>
      <x:c r="Z592" s="32" t="n">
        <x:v>1.67</x:v>
      </x:c>
      <x:c r="AA592" s="32" t="n">
        <x:v>3</x:v>
      </x:c>
      <x:c r="AB592" s="32" t="str">
        <x:v>Blue Wool Scale / UV 150h</x:v>
      </x:c>
      <x:c r="AC592" t="str">
        <x:v>#666F83</x:v>
      </x:c>
      <x:c r="AD592" s="34" t="n">
        <x:v>102</x:v>
      </x:c>
      <x:c r="AE592" s="34" t="n">
        <x:v>111</x:v>
      </x:c>
      <x:c r="AF592" s="34" t="n">
        <x:v>131</x:v>
      </x:c>
      <x:c r="AG592" s="32" t="n">
        <x:v>221.38</x:v>
      </x:c>
      <x:c r="AH592" s="32" t="n">
        <x:v>12.45</x:v>
      </x:c>
      <x:c r="AI592" s="32" t="n">
        <x:v>45.69</x:v>
      </x:c>
      <x:c r="AJ592" s="32" t="n">
        <x:v>46.75</x:v>
      </x:c>
      <x:c r="AK592" s="32" t="n">
        <x:v>1.26</x:v>
      </x:c>
      <x:c r="AL592" s="32" t="n">
        <x:v>-12.15</x:v>
      </x:c>
      <x:c r="AM592" s="32" t="str">
        <x:v>#FFFFFF</x:v>
      </x:c>
      <x:c r="AN592" s="32" t="str">
        <x:v>White</x:v>
      </x:c>
      <x:c r="AO592" s="32" t="n">
        <x:v>5.04</x:v>
      </x:c>
      <x:c r="AP592" s="32" t="n">
        <x:v>4.17</x:v>
      </x:c>
      <x:c r="AQ592" s="32" t="n">
        <x:v>5.04</x:v>
      </x:c>
      <x:c r="AR592" s="32" t="n">
        <x:v>0.158324</x:v>
      </x:c>
      <x:c r="AS592" t="str">
        <x:v>PASS</x:v>
      </x:c>
      <x:c r="AT592" t="str">
        <x:v>--cda-neo-007</x:v>
      </x:c>
      <x:c r="AU592" t="str">
        <x:v>var(--cda-neo-007)</x:v>
      </x:c>
      <x:c r="AV592" t="str">
        <x:v>Median RGB from official PDF swatch (screen reference only)</x:v>
      </x:c>
      <x:c r="AW592" t="str">
        <x:v>https://www.carandache.com/content_files/uploaded_doc/product/10595/Colour_Chart_NeoPastel.pdf</x:v>
      </x:c>
      <x:c r="AX592" t="n">
        <x:v>1</x:v>
      </x:c>
      <x:c r="AY592" t="str">
        <x:v>Official</x:v>
      </x:c>
      <x:c r="AZ592" t="str">
        <x:v>Official where available; curated Traditional Chinese/Japanese otherwise</x:v>
      </x:c>
      <x:c r="BA592" t="str">
        <x:v>Verified from official chart; digital HEX is approximate</x:v>
      </x:c>
      <x:c r="BB592" t="str">
        <x:v>Physical media appearance varies by paper, pressure, layering, water and scan/display profile.</x:v>
      </x:c>
    </x:row>
    <x:row r="593">
      <x:c r="A593" t="str">
        <x:f>G593&amp;"|"&amp;L593</x:f>
        <x:v>NEO|008</x:v>
      </x:c>
      <x:c r="B593" t="str">
        <x:v>426687c6-02e3-5557-9d38-7d88c20d4a8a</x:v>
      </x:c>
      <x:c r="C593" t="str">
        <x:v>CDA-NEO-008</x:v>
      </x:c>
      <x:c r="D593" t="str">
        <x:v>062a6ddd-d99c-52e4-9ee7-c99c9dc90fe3</x:v>
      </x:c>
      <x:c r="E593" t="str">
        <x:v>CDA-CODE-008</x:v>
      </x:c>
      <x:c r="F593" t="str">
        <x:v>Caran d’Ache</x:v>
      </x:c>
      <x:c r="G593" t="str">
        <x:v>NEO</x:v>
      </x:c>
      <x:c r="H593" t="str">
        <x:v>NEOPASTEL</x:v>
      </x:c>
      <x:c r="I593" t="str">
        <x:v>Extra-fine oil pastel</x:v>
      </x:c>
      <x:c r="J593" t="str">
        <x:v>Professional</x:v>
      </x:c>
      <x:c r="K593" s="30" t="n">
        <x:v>92</x:v>
      </x:c>
      <x:c r="L593" s="30" t="str">
        <x:v>008</x:v>
      </x:c>
      <x:c r="M593" t="str">
        <x:v>Greyish black</x:v>
      </x:c>
      <x:c r="N593" t="str">
        <x:v>灰黑色</x:v>
      </x:c>
      <x:c r="O593" t="str">
        <x:v>グレイッシュブラック</x:v>
      </x:c>
      <x:c r="P593" t="str"/>
      <x:c r="Q593" t="str">
        <x:v>Gris noir</x:v>
      </x:c>
      <x:c r="R593" t="str">
        <x:v>Grauschwarz</x:v>
      </x:c>
      <x:c r="S593" t="str">
        <x:v>Grigio nero</x:v>
      </x:c>
      <x:c r="T593" t="str"/>
      <x:c r="U593" t="str">
        <x:v>Cinzento preto</x:v>
      </x:c>
      <x:c r="V593" t="str">
        <x:v>검은 회색</x:v>
      </x:c>
      <x:c r="W593" t="str">
        <x:v>PY184/PBk6/PB15</x:v>
      </x:c>
      <x:c r="X593" t="n">
        <x:f>IF(W593="",0,LEN(W593)-LEN(SUBSTITUTE(W593,"/",""))+1)</x:f>
        <x:v>3</x:v>
      </x:c>
      <x:c r="Y593" t="str">
        <x:v>H</x:v>
      </x:c>
      <x:c r="Z593" s="32" t="n">
        <x:v>1.67</x:v>
      </x:c>
      <x:c r="AA593" s="32" t="n">
        <x:v>3</x:v>
      </x:c>
      <x:c r="AB593" s="32" t="str">
        <x:v>Blue Wool Scale / UV 150h</x:v>
      </x:c>
      <x:c r="AC593" t="str">
        <x:v>#354650</x:v>
      </x:c>
      <x:c r="AD593" s="34" t="n">
        <x:v>53</x:v>
      </x:c>
      <x:c r="AE593" s="34" t="n">
        <x:v>70</x:v>
      </x:c>
      <x:c r="AF593" s="34" t="n">
        <x:v>80</x:v>
      </x:c>
      <x:c r="AG593" s="32" t="n">
        <x:v>202.22</x:v>
      </x:c>
      <x:c r="AH593" s="32" t="n">
        <x:v>20.3</x:v>
      </x:c>
      <x:c r="AI593" s="32" t="n">
        <x:v>26.08</x:v>
      </x:c>
      <x:c r="AJ593" s="32" t="n">
        <x:v>28.68</x:v>
      </x:c>
      <x:c r="AK593" s="32" t="n">
        <x:v>-3.95</x:v>
      </x:c>
      <x:c r="AL593" s="32" t="n">
        <x:v>-8.17</x:v>
      </x:c>
      <x:c r="AM593" s="32" t="str">
        <x:v>#FFFFFF</x:v>
      </x:c>
      <x:c r="AN593" s="32" t="str">
        <x:v>White</x:v>
      </x:c>
      <x:c r="AO593" s="32" t="n">
        <x:v>9.8</x:v>
      </x:c>
      <x:c r="AP593" s="32" t="n">
        <x:v>2.14</x:v>
      </x:c>
      <x:c r="AQ593" s="32" t="n">
        <x:v>9.8</x:v>
      </x:c>
      <x:c r="AR593" s="32" t="n">
        <x:v>0.057164</x:v>
      </x:c>
      <x:c r="AS593" t="str">
        <x:v>PASS</x:v>
      </x:c>
      <x:c r="AT593" t="str">
        <x:v>--cda-neo-008</x:v>
      </x:c>
      <x:c r="AU593" t="str">
        <x:v>var(--cda-neo-008)</x:v>
      </x:c>
      <x:c r="AV593" t="str">
        <x:v>Median RGB from official PDF swatch (screen reference only)</x:v>
      </x:c>
      <x:c r="AW593" t="str">
        <x:v>https://www.carandache.com/content_files/uploaded_doc/product/10595/Colour_Chart_NeoPastel.pdf</x:v>
      </x:c>
      <x:c r="AX593" t="n">
        <x:v>1</x:v>
      </x:c>
      <x:c r="AY593" t="str">
        <x:v>Official</x:v>
      </x:c>
      <x:c r="AZ593" t="str">
        <x:v>Official where available; curated Traditional Chinese/Japanese otherwise</x:v>
      </x:c>
      <x:c r="BA593" t="str">
        <x:v>Verified from official chart; digital HEX is approximate</x:v>
      </x:c>
      <x:c r="BB593" t="str">
        <x:v>Physical media appearance varies by paper, pressure, layering, water and scan/display profile.</x:v>
      </x:c>
    </x:row>
    <x:row r="594">
      <x:c r="A594" t="str">
        <x:f>G594&amp;"|"&amp;L594</x:f>
        <x:v>NEO|009</x:v>
      </x:c>
      <x:c r="B594" t="str">
        <x:v>5787c241-fc72-5145-8d8e-1fc3003e0f30</x:v>
      </x:c>
      <x:c r="C594" t="str">
        <x:v>CDA-NEO-009</x:v>
      </x:c>
      <x:c r="D594" t="str">
        <x:v>2d957d29-ed22-5cec-97bd-83295e45a493</x:v>
      </x:c>
      <x:c r="E594" t="str">
        <x:v>CDA-CODE-009</x:v>
      </x:c>
      <x:c r="F594" t="str">
        <x:v>Caran d’Ache</x:v>
      </x:c>
      <x:c r="G594" t="str">
        <x:v>NEO</x:v>
      </x:c>
      <x:c r="H594" t="str">
        <x:v>NEOPASTEL</x:v>
      </x:c>
      <x:c r="I594" t="str">
        <x:v>Extra-fine oil pastel</x:v>
      </x:c>
      <x:c r="J594" t="str">
        <x:v>Professional</x:v>
      </x:c>
      <x:c r="K594" s="30" t="n">
        <x:v>93</x:v>
      </x:c>
      <x:c r="L594" s="30" t="str">
        <x:v>009</x:v>
      </x:c>
      <x:c r="M594" t="str">
        <x:v>Black</x:v>
      </x:c>
      <x:c r="N594" t="str">
        <x:v>黑色</x:v>
      </x:c>
      <x:c r="O594" t="str">
        <x:v>ブラック</x:v>
      </x:c>
      <x:c r="P594" t="str"/>
      <x:c r="Q594" t="str">
        <x:v>Noir</x:v>
      </x:c>
      <x:c r="R594" t="str">
        <x:v>Schwarz</x:v>
      </x:c>
      <x:c r="S594" t="str">
        <x:v>Nero</x:v>
      </x:c>
      <x:c r="T594" t="str"/>
      <x:c r="U594" t="str">
        <x:v>Preto</x:v>
      </x:c>
      <x:c r="V594" t="str">
        <x:v>검정색</x:v>
      </x:c>
      <x:c r="W594" t="str">
        <x:v>PBk6</x:v>
      </x:c>
      <x:c r="X594" t="n">
        <x:f>IF(W594="",0,LEN(W594)-LEN(SUBSTITUTE(W594,"/",""))+1)</x:f>
        <x:v>1</x:v>
      </x:c>
      <x:c r="Y594" t="str">
        <x:v>HH</x:v>
      </x:c>
      <x:c r="Z594" s="32" t="n">
        <x:v>3.33</x:v>
      </x:c>
      <x:c r="AA594" s="32" t="n">
        <x:v>3</x:v>
      </x:c>
      <x:c r="AB594" s="32" t="str">
        <x:v>Blue Wool Scale / UV 150h</x:v>
      </x:c>
      <x:c r="AC594" t="str">
        <x:v>#323437</x:v>
      </x:c>
      <x:c r="AD594" s="34" t="n">
        <x:v>50</x:v>
      </x:c>
      <x:c r="AE594" s="34" t="n">
        <x:v>52</x:v>
      </x:c>
      <x:c r="AF594" s="34" t="n">
        <x:v>55</x:v>
      </x:c>
      <x:c r="AG594" s="32" t="n">
        <x:v>216</x:v>
      </x:c>
      <x:c r="AH594" s="32" t="n">
        <x:v>4.76</x:v>
      </x:c>
      <x:c r="AI594" s="32" t="n">
        <x:v>20.59</x:v>
      </x:c>
      <x:c r="AJ594" s="32" t="n">
        <x:v>21.62</x:v>
      </x:c>
      <x:c r="AK594" s="32" t="n">
        <x:v>-0.14</x:v>
      </x:c>
      <x:c r="AL594" s="32" t="n">
        <x:v>-2.19</x:v>
      </x:c>
      <x:c r="AM594" s="32" t="str">
        <x:v>#FFFFFF</x:v>
      </x:c>
      <x:c r="AN594" s="32" t="str">
        <x:v>White</x:v>
      </x:c>
      <x:c r="AO594" s="32" t="n">
        <x:v>12.49</x:v>
      </x:c>
      <x:c r="AP594" s="32" t="n">
        <x:v>1.68</x:v>
      </x:c>
      <x:c r="AQ594" s="32" t="n">
        <x:v>12.49</x:v>
      </x:c>
      <x:c r="AR594" s="32" t="n">
        <x:v>0.034099</x:v>
      </x:c>
      <x:c r="AS594" t="str">
        <x:v>PASS</x:v>
      </x:c>
      <x:c r="AT594" t="str">
        <x:v>--cda-neo-009</x:v>
      </x:c>
      <x:c r="AU594" t="str">
        <x:v>var(--cda-neo-009)</x:v>
      </x:c>
      <x:c r="AV594" t="str">
        <x:v>Median RGB from official PDF swatch (screen reference only)</x:v>
      </x:c>
      <x:c r="AW594" t="str">
        <x:v>https://www.carandache.com/content_files/uploaded_doc/product/10595/Colour_Chart_NeoPastel.pdf</x:v>
      </x:c>
      <x:c r="AX594" t="n">
        <x:v>1</x:v>
      </x:c>
      <x:c r="AY594" t="str">
        <x:v>Official</x:v>
      </x:c>
      <x:c r="AZ594" t="str">
        <x:v>Official where available; curated Traditional Chinese/Japanese otherwise</x:v>
      </x:c>
      <x:c r="BA594" t="str">
        <x:v>Verified from official chart; digital HEX is approximate</x:v>
      </x:c>
      <x:c r="BB594" t="str">
        <x:v>Physical media appearance varies by paper, pressure, layering, water and scan/display profile.</x:v>
      </x:c>
    </x:row>
    <x:row r="595">
      <x:c r="A595" t="str">
        <x:f>G595&amp;"|"&amp;L595</x:f>
        <x:v>NEO|498</x:v>
      </x:c>
      <x:c r="B595" t="str">
        <x:v>27f39a9a-4eac-5041-af8e-f2c6b4ed77c6</x:v>
      </x:c>
      <x:c r="C595" t="str">
        <x:v>CDA-NEO-498</x:v>
      </x:c>
      <x:c r="D595" t="str">
        <x:v>03989b1a-4440-5f14-a358-38a260b8270e</x:v>
      </x:c>
      <x:c r="E595" t="str">
        <x:v>CDA-CODE-498</x:v>
      </x:c>
      <x:c r="F595" t="str">
        <x:v>Caran d’Ache</x:v>
      </x:c>
      <x:c r="G595" t="str">
        <x:v>NEO</x:v>
      </x:c>
      <x:c r="H595" t="str">
        <x:v>NEOPASTEL</x:v>
      </x:c>
      <x:c r="I595" t="str">
        <x:v>Extra-fine oil pastel</x:v>
      </x:c>
      <x:c r="J595" t="str">
        <x:v>Professional</x:v>
      </x:c>
      <x:c r="K595" s="30" t="n">
        <x:v>94</x:v>
      </x:c>
      <x:c r="L595" s="30" t="str">
        <x:v>498</x:v>
      </x:c>
      <x:c r="M595" t="str">
        <x:v>Silver</x:v>
      </x:c>
      <x:c r="N595" t="str">
        <x:v>銀色</x:v>
      </x:c>
      <x:c r="O595" t="str">
        <x:v>シルバー</x:v>
      </x:c>
      <x:c r="P595" t="str"/>
      <x:c r="Q595" t="str">
        <x:v>Argent</x:v>
      </x:c>
      <x:c r="R595" t="str">
        <x:v>Silber</x:v>
      </x:c>
      <x:c r="S595" t="str">
        <x:v>Argento</x:v>
      </x:c>
      <x:c r="T595" t="str"/>
      <x:c r="U595" t="str">
        <x:v>Prata</x:v>
      </x:c>
      <x:c r="V595" t="str">
        <x:v>은색</x:v>
      </x:c>
      <x:c r="W595" t="str">
        <x:v>Aluminium powder</x:v>
      </x:c>
      <x:c r="X595" t="n">
        <x:f>IF(W595="",0,LEN(W595)-LEN(SUBSTITUTE(W595,"/",""))+1)</x:f>
        <x:v>1</x:v>
      </x:c>
      <x:c r="Y595" t="str">
        <x:v>H</x:v>
      </x:c>
      <x:c r="Z595" s="32" t="n">
        <x:v>1.67</x:v>
      </x:c>
      <x:c r="AA595" s="32" t="n">
        <x:v>3</x:v>
      </x:c>
      <x:c r="AB595" s="32" t="str">
        <x:v>Blue Wool Scale / UV 150h</x:v>
      </x:c>
      <x:c r="AC595" t="str">
        <x:v>#9DA39D</x:v>
      </x:c>
      <x:c r="AD595" s="34" t="n">
        <x:v>157</x:v>
      </x:c>
      <x:c r="AE595" s="34" t="n">
        <x:v>163</x:v>
      </x:c>
      <x:c r="AF595" s="34" t="n">
        <x:v>157</x:v>
      </x:c>
      <x:c r="AG595" s="32" t="n">
        <x:v>120</x:v>
      </x:c>
      <x:c r="AH595" s="32" t="n">
        <x:v>3.16</x:v>
      </x:c>
      <x:c r="AI595" s="32" t="n">
        <x:v>62.75</x:v>
      </x:c>
      <x:c r="AJ595" s="32" t="n">
        <x:v>66.36</x:v>
      </x:c>
      <x:c r="AK595" s="32" t="n">
        <x:v>-3.29</x:v>
      </x:c>
      <x:c r="AL595" s="32" t="n">
        <x:v>2.37</x:v>
      </x:c>
      <x:c r="AM595" s="32" t="str">
        <x:v>#000000</x:v>
      </x:c>
      <x:c r="AN595" s="32" t="str">
        <x:v>Black</x:v>
      </x:c>
      <x:c r="AO595" s="32" t="n">
        <x:v>8.16</x:v>
      </x:c>
      <x:c r="AP595" s="32" t="n">
        <x:v>8.16</x:v>
      </x:c>
      <x:c r="AQ595" s="32" t="n">
        <x:v>2.57</x:v>
      </x:c>
      <x:c r="AR595" s="32" t="n">
        <x:v>0.357968</x:v>
      </x:c>
      <x:c r="AS595" t="str">
        <x:v>PASS</x:v>
      </x:c>
      <x:c r="AT595" t="str">
        <x:v>--cda-neo-498</x:v>
      </x:c>
      <x:c r="AU595" t="str">
        <x:v>var(--cda-neo-498)</x:v>
      </x:c>
      <x:c r="AV595" t="str">
        <x:v>Median RGB from official PDF swatch (screen reference only)</x:v>
      </x:c>
      <x:c r="AW595" t="str">
        <x:v>https://www.carandache.com/content_files/uploaded_doc/product/10595/Colour_Chart_NeoPastel.pdf</x:v>
      </x:c>
      <x:c r="AX595" t="n">
        <x:v>1</x:v>
      </x:c>
      <x:c r="AY595" t="str">
        <x:v>Official</x:v>
      </x:c>
      <x:c r="AZ595" t="str">
        <x:v>Official where available; curated Traditional Chinese/Japanese otherwise</x:v>
      </x:c>
      <x:c r="BA595" t="str">
        <x:v>Verified from official chart; digital HEX is approximate</x:v>
      </x:c>
      <x:c r="BB595" t="str">
        <x:v>Physical media appearance varies by paper, pressure, layering, water and scan/display profile.</x:v>
      </x:c>
    </x:row>
    <x:row r="596">
      <x:c r="A596" t="str">
        <x:f>G596&amp;"|"&amp;L596</x:f>
        <x:v>NEO|497</x:v>
      </x:c>
      <x:c r="B596" t="str">
        <x:v>64ef827f-4835-5cee-85c1-336d674fac24</x:v>
      </x:c>
      <x:c r="C596" t="str">
        <x:v>CDA-NEO-497</x:v>
      </x:c>
      <x:c r="D596" t="str">
        <x:v>626a6f45-e626-566f-8eee-647ee5477aa2</x:v>
      </x:c>
      <x:c r="E596" t="str">
        <x:v>CDA-CODE-497</x:v>
      </x:c>
      <x:c r="F596" t="str">
        <x:v>Caran d’Ache</x:v>
      </x:c>
      <x:c r="G596" t="str">
        <x:v>NEO</x:v>
      </x:c>
      <x:c r="H596" t="str">
        <x:v>NEOPASTEL</x:v>
      </x:c>
      <x:c r="I596" t="str">
        <x:v>Extra-fine oil pastel</x:v>
      </x:c>
      <x:c r="J596" t="str">
        <x:v>Professional</x:v>
      </x:c>
      <x:c r="K596" s="30" t="n">
        <x:v>95</x:v>
      </x:c>
      <x:c r="L596" s="30" t="str">
        <x:v>497</x:v>
      </x:c>
      <x:c r="M596" t="str">
        <x:v>Bronze</x:v>
      </x:c>
      <x:c r="N596" t="str">
        <x:v>青銅色</x:v>
      </x:c>
      <x:c r="O596" t="str">
        <x:v>ブロンズ</x:v>
      </x:c>
      <x:c r="P596" t="str"/>
      <x:c r="Q596" t="str">
        <x:v>Bronze</x:v>
      </x:c>
      <x:c r="R596" t="str">
        <x:v>Bronze</x:v>
      </x:c>
      <x:c r="S596" t="str">
        <x:v>Bronzo</x:v>
      </x:c>
      <x:c r="T596" t="str"/>
      <x:c r="U596" t="str">
        <x:v>Bronze</x:v>
      </x:c>
      <x:c r="V596" t="str">
        <x:v>동색</x:v>
      </x:c>
      <x:c r="W596" t="str">
        <x:v>Aluminium powder/PO34/PR188/PY3</x:v>
      </x:c>
      <x:c r="X596" t="n">
        <x:f>IF(W596="",0,LEN(W596)-LEN(SUBSTITUTE(W596,"/",""))+1)</x:f>
        <x:v>4</x:v>
      </x:c>
      <x:c r="Y596" t="str">
        <x:v>H</x:v>
      </x:c>
      <x:c r="Z596" s="32" t="n">
        <x:v>1.67</x:v>
      </x:c>
      <x:c r="AA596" s="32" t="n">
        <x:v>3</x:v>
      </x:c>
      <x:c r="AB596" s="32" t="str">
        <x:v>Blue Wool Scale / UV 150h</x:v>
      </x:c>
      <x:c r="AC596" t="str">
        <x:v>#98614C</x:v>
      </x:c>
      <x:c r="AD596" s="34" t="n">
        <x:v>152</x:v>
      </x:c>
      <x:c r="AE596" s="34" t="n">
        <x:v>97</x:v>
      </x:c>
      <x:c r="AF596" s="34" t="n">
        <x:v>76</x:v>
      </x:c>
      <x:c r="AG596" s="32" t="n">
        <x:v>16.58</x:v>
      </x:c>
      <x:c r="AH596" s="32" t="n">
        <x:v>33.33</x:v>
      </x:c>
      <x:c r="AI596" s="32" t="n">
        <x:v>44.71</x:v>
      </x:c>
      <x:c r="AJ596" s="32" t="n">
        <x:v>46.64</x:v>
      </x:c>
      <x:c r="AK596" s="32" t="n">
        <x:v>19.91</x:v>
      </x:c>
      <x:c r="AL596" s="32" t="n">
        <x:v>21.21</x:v>
      </x:c>
      <x:c r="AM596" s="32" t="str">
        <x:v>#FFFFFF</x:v>
      </x:c>
      <x:c r="AN596" s="32" t="str">
        <x:v>White</x:v>
      </x:c>
      <x:c r="AO596" s="32" t="n">
        <x:v>5.06</x:v>
      </x:c>
      <x:c r="AP596" s="32" t="n">
        <x:v>4.15</x:v>
      </x:c>
      <x:c r="AQ596" s="32" t="n">
        <x:v>5.06</x:v>
      </x:c>
      <x:c r="AR596" s="32" t="n">
        <x:v>0.157466</x:v>
      </x:c>
      <x:c r="AS596" t="str">
        <x:v>PASS</x:v>
      </x:c>
      <x:c r="AT596" t="str">
        <x:v>--cda-neo-497</x:v>
      </x:c>
      <x:c r="AU596" t="str">
        <x:v>var(--cda-neo-497)</x:v>
      </x:c>
      <x:c r="AV596" t="str">
        <x:v>Median RGB from official PDF swatch (screen reference only)</x:v>
      </x:c>
      <x:c r="AW596" t="str">
        <x:v>https://www.carandache.com/content_files/uploaded_doc/product/10595/Colour_Chart_NeoPastel.pdf</x:v>
      </x:c>
      <x:c r="AX596" t="n">
        <x:v>1</x:v>
      </x:c>
      <x:c r="AY596" t="str">
        <x:v>Official</x:v>
      </x:c>
      <x:c r="AZ596" t="str">
        <x:v>Official where available; curated Traditional Chinese/Japanese otherwise</x:v>
      </x:c>
      <x:c r="BA596" t="str">
        <x:v>Verified from official chart; digital HEX is approximate</x:v>
      </x:c>
      <x:c r="BB596" t="str">
        <x:v>Physical media appearance varies by paper, pressure, layering, water and scan/display profile.</x:v>
      </x:c>
    </x:row>
    <x:row r="597">
      <x:c r="A597" t="str">
        <x:f>G597&amp;"|"&amp;L597</x:f>
        <x:v>NEO|499</x:v>
      </x:c>
      <x:c r="B597" t="str">
        <x:v>1abde7b4-08ad-5f07-8916-4c1d7644325f</x:v>
      </x:c>
      <x:c r="C597" t="str">
        <x:v>CDA-NEO-499</x:v>
      </x:c>
      <x:c r="D597" t="str">
        <x:v>28c12bd9-5252-5aa7-b4d7-b871d20e5a42</x:v>
      </x:c>
      <x:c r="E597" t="str">
        <x:v>CDA-CODE-499</x:v>
      </x:c>
      <x:c r="F597" t="str">
        <x:v>Caran d’Ache</x:v>
      </x:c>
      <x:c r="G597" t="str">
        <x:v>NEO</x:v>
      </x:c>
      <x:c r="H597" t="str">
        <x:v>NEOPASTEL</x:v>
      </x:c>
      <x:c r="I597" t="str">
        <x:v>Extra-fine oil pastel</x:v>
      </x:c>
      <x:c r="J597" t="str">
        <x:v>Professional</x:v>
      </x:c>
      <x:c r="K597" s="30" t="n">
        <x:v>96</x:v>
      </x:c>
      <x:c r="L597" s="30" t="str">
        <x:v>499</x:v>
      </x:c>
      <x:c r="M597" t="str">
        <x:v>Gold</x:v>
      </x:c>
      <x:c r="N597" t="str">
        <x:v>金色</x:v>
      </x:c>
      <x:c r="O597" t="str">
        <x:v>ゴールド</x:v>
      </x:c>
      <x:c r="P597" t="str"/>
      <x:c r="Q597" t="str">
        <x:v>Or</x:v>
      </x:c>
      <x:c r="R597" t="str">
        <x:v>Gold</x:v>
      </x:c>
      <x:c r="S597" t="str">
        <x:v>Oro</x:v>
      </x:c>
      <x:c r="T597" t="str"/>
      <x:c r="U597" t="str">
        <x:v>Ouro</x:v>
      </x:c>
      <x:c r="V597" t="str">
        <x:v>금색</x:v>
      </x:c>
      <x:c r="W597" t="str">
        <x:v>Aluminium powder/PY13/PO61/PR112</x:v>
      </x:c>
      <x:c r="X597" t="n">
        <x:f>IF(W597="",0,LEN(W597)-LEN(SUBSTITUTE(W597,"/",""))+1)</x:f>
        <x:v>4</x:v>
      </x:c>
      <x:c r="Y597" t="str">
        <x:v>H</x:v>
      </x:c>
      <x:c r="Z597" s="32" t="n">
        <x:v>1.67</x:v>
      </x:c>
      <x:c r="AA597" s="32" t="n">
        <x:v>3</x:v>
      </x:c>
      <x:c r="AB597" s="32" t="str">
        <x:v>Blue Wool Scale / UV 150h</x:v>
      </x:c>
      <x:c r="AC597" t="str">
        <x:v>#9E9042</x:v>
      </x:c>
      <x:c r="AD597" s="34" t="n">
        <x:v>158</x:v>
      </x:c>
      <x:c r="AE597" s="34" t="n">
        <x:v>144</x:v>
      </x:c>
      <x:c r="AF597" s="34" t="n">
        <x:v>66</x:v>
      </x:c>
      <x:c r="AG597" s="32" t="n">
        <x:v>50.87</x:v>
      </x:c>
      <x:c r="AH597" s="32" t="n">
        <x:v>41.07</x:v>
      </x:c>
      <x:c r="AI597" s="32" t="n">
        <x:v>43.92</x:v>
      </x:c>
      <x:c r="AJ597" s="32" t="n">
        <x:v>59.53</x:v>
      </x:c>
      <x:c r="AK597" s="32" t="n">
        <x:v>-4.97</x:v>
      </x:c>
      <x:c r="AL597" s="32" t="n">
        <x:v>42.59</x:v>
      </x:c>
      <x:c r="AM597" s="32" t="str">
        <x:v>#000000</x:v>
      </x:c>
      <x:c r="AN597" s="32" t="str">
        <x:v>Black</x:v>
      </x:c>
      <x:c r="AO597" s="32" t="n">
        <x:v>6.52</x:v>
      </x:c>
      <x:c r="AP597" s="32" t="n">
        <x:v>6.52</x:v>
      </x:c>
      <x:c r="AQ597" s="32" t="n">
        <x:v>3.22</x:v>
      </x:c>
      <x:c r="AR597" s="32" t="n">
        <x:v>0.27609</x:v>
      </x:c>
      <x:c r="AS597" t="str">
        <x:v>PASS</x:v>
      </x:c>
      <x:c r="AT597" t="str">
        <x:v>--cda-neo-499</x:v>
      </x:c>
      <x:c r="AU597" t="str">
        <x:v>var(--cda-neo-499)</x:v>
      </x:c>
      <x:c r="AV597" t="str">
        <x:v>Median RGB from official PDF swatch (screen reference only)</x:v>
      </x:c>
      <x:c r="AW597" t="str">
        <x:v>https://www.carandache.com/content_files/uploaded_doc/product/10595/Colour_Chart_NeoPastel.pdf</x:v>
      </x:c>
      <x:c r="AX597" t="n">
        <x:v>1</x:v>
      </x:c>
      <x:c r="AY597" t="str">
        <x:v>Official</x:v>
      </x:c>
      <x:c r="AZ597" t="str">
        <x:v>Official where available; curated Traditional Chinese/Japanese otherwise</x:v>
      </x:c>
      <x:c r="BA597" t="str">
        <x:v>Verified from official chart; digital HEX is approximate</x:v>
      </x:c>
      <x:c r="BB597" t="str">
        <x:v>Physical media appearance varies by paper, pressure, layering, water and scan/display profile.</x:v>
      </x:c>
    </x:row>
    <x:row r="598">
      <x:c r="A598" t="str">
        <x:f>G598&amp;"|"&amp;L598</x:f>
        <x:v>PSTP|901</x:v>
      </x:c>
      <x:c r="B598" t="str">
        <x:v>cd3755aa-9057-5e62-ae07-092ad9204fff</x:v>
      </x:c>
      <x:c r="C598" t="str">
        <x:v>CDA-PSTP-901</x:v>
      </x:c>
      <x:c r="D598" t="str">
        <x:v>6b457299-3ab3-5f84-8ba0-62aedfe48c61</x:v>
      </x:c>
      <x:c r="E598" t="str">
        <x:v>CDA-CODE-901</x:v>
      </x:c>
      <x:c r="F598" t="str">
        <x:v>Caran d’Ache</x:v>
      </x:c>
      <x:c r="G598" t="str">
        <x:v>PSTP</x:v>
      </x:c>
      <x:c r="H598" t="str">
        <x:v>PASTEL PENCILS</x:v>
      </x:c>
      <x:c r="I598" t="str">
        <x:v>Extra-fine dry pastel pencil</x:v>
      </x:c>
      <x:c r="J598" t="str">
        <x:v>Professional</x:v>
      </x:c>
      <x:c r="K598" s="30" t="n">
        <x:v>1</x:v>
      </x:c>
      <x:c r="L598" s="30" t="str">
        <x:v>901</x:v>
      </x:c>
      <x:c r="M598" t="str">
        <x:v>Chinese White</x:v>
      </x:c>
      <x:c r="N598" t="str">
        <x:v>中國白</x:v>
      </x:c>
      <x:c r="O598" t="str">
        <x:v>チャイニーズホワイト</x:v>
      </x:c>
      <x:c r="P598" t="str"/>
      <x:c r="Q598" t="str">
        <x:v>Blanc de Chine</x:v>
      </x:c>
      <x:c r="R598" t="str">
        <x:v>Chinaweiss</x:v>
      </x:c>
      <x:c r="S598" t="str">
        <x:v>Bianco di cina</x:v>
      </x:c>
      <x:c r="T598" t="str">
        <x:v>Blanco de China</x:v>
      </x:c>
      <x:c r="U598" t="str">
        <x:v>Branco permanente</x:v>
      </x:c>
      <x:c r="V598" t="str"/>
      <x:c r="W598" t="str">
        <x:v>PW6</x:v>
      </x:c>
      <x:c r="X598" t="n">
        <x:f>IF(W598="",0,LEN(W598)-LEN(SUBSTITUTE(W598,"/",""))+1)</x:f>
        <x:v>1</x:v>
      </x:c>
      <x:c r="Y598" t="str">
        <x:v>HHH</x:v>
      </x:c>
      <x:c r="Z598" s="32" t="n">
        <x:v>3</x:v>
      </x:c>
      <x:c r="AA598" s="32" t="n">
        <x:v>5</x:v>
      </x:c>
      <x:c r="AB598" s="32" t="str">
        <x:v>Blue Wool Scale / UV 150h</x:v>
      </x:c>
      <x:c r="AC598" t="str">
        <x:v>#EEEDEE</x:v>
      </x:c>
      <x:c r="AD598" s="34" t="n">
        <x:v>238</x:v>
      </x:c>
      <x:c r="AE598" s="34" t="n">
        <x:v>237</x:v>
      </x:c>
      <x:c r="AF598" s="34" t="n">
        <x:v>238</x:v>
      </x:c>
      <x:c r="AG598" s="32" t="n">
        <x:v>300</x:v>
      </x:c>
      <x:c r="AH598" s="32" t="n">
        <x:v>2.86</x:v>
      </x:c>
      <x:c r="AI598" s="32" t="n">
        <x:v>93.14</x:v>
      </x:c>
      <x:c r="AJ598" s="32" t="n">
        <x:v>93.85</x:v>
      </x:c>
      <x:c r="AK598" s="32" t="n">
        <x:v>0.51</x:v>
      </x:c>
      <x:c r="AL598" s="32" t="n">
        <x:v>-0.36</x:v>
      </x:c>
      <x:c r="AM598" s="32" t="str">
        <x:v>#000000</x:v>
      </x:c>
      <x:c r="AN598" s="32" t="str">
        <x:v>Black</x:v>
      </x:c>
      <x:c r="AO598" s="32" t="n">
        <x:v>17.98</x:v>
      </x:c>
      <x:c r="AP598" s="32" t="n">
        <x:v>17.98</x:v>
      </x:c>
      <x:c r="AQ598" s="32" t="n">
        <x:v>1.17</x:v>
      </x:c>
      <x:c r="AR598" s="32" t="n">
        <x:v>0.849186</x:v>
      </x:c>
      <x:c r="AS598" t="str">
        <x:v>PASS</x:v>
      </x:c>
      <x:c r="AT598" t="str">
        <x:v>--cda-pstp-901</x:v>
      </x:c>
      <x:c r="AU598" t="str">
        <x:v>var(--cda-pstp-901)</x:v>
      </x:c>
      <x:c r="AV598" t="str">
        <x:v>Median RGB from official PDF swatch (screen reference only)</x:v>
      </x:c>
      <x:c r="AW598" t="str">
        <x:v>https://www.carandache.com/content_files/uploaded_doc/product/10985/Colour_Chart_Pastel_Pencil.pdf</x:v>
      </x:c>
      <x:c r="AX598" t="n">
        <x:v>1</x:v>
      </x:c>
      <x:c r="AY598" t="str">
        <x:v>Official</x:v>
      </x:c>
      <x:c r="AZ598" t="str">
        <x:v>Official where available; curated Traditional Chinese/Japanese otherwise</x:v>
      </x:c>
      <x:c r="BA598" t="str">
        <x:v>Verified from official chart; digital HEX is approximate</x:v>
      </x:c>
      <x:c r="BB598" t="str">
        <x:v>Physical media appearance varies by paper, pressure, layering, water and scan/display profile.</x:v>
      </x:c>
    </x:row>
    <x:row r="599">
      <x:c r="A599" t="str">
        <x:f>G599&amp;"|"&amp;L599</x:f>
        <x:v>PSTP|811</x:v>
      </x:c>
      <x:c r="B599" t="str">
        <x:v>e1ff85b9-96c3-53de-a0f3-9b27ab1c6e1e</x:v>
      </x:c>
      <x:c r="C599" t="str">
        <x:v>CDA-PSTP-811</x:v>
      </x:c>
      <x:c r="D599" t="str">
        <x:v>68b3f090-65b0-5df9-a1a2-1a0d6c86c9d3</x:v>
      </x:c>
      <x:c r="E599" t="str">
        <x:v>CDA-CODE-811</x:v>
      </x:c>
      <x:c r="F599" t="str">
        <x:v>Caran d’Ache</x:v>
      </x:c>
      <x:c r="G599" t="str">
        <x:v>PSTP</x:v>
      </x:c>
      <x:c r="H599" t="str">
        <x:v>PASTEL PENCILS</x:v>
      </x:c>
      <x:c r="I599" t="str">
        <x:v>Extra-fine dry pastel pencil</x:v>
      </x:c>
      <x:c r="J599" t="str">
        <x:v>Professional</x:v>
      </x:c>
      <x:c r="K599" s="30" t="n">
        <x:v>2</x:v>
      </x:c>
      <x:c r="L599" s="30" t="str">
        <x:v>811</x:v>
      </x:c>
      <x:c r="M599" t="str">
        <x:v>Bismuth white</x:v>
      </x:c>
      <x:c r="N599" t="str">
        <x:v>鉍白</x:v>
      </x:c>
      <x:c r="O599" t="str">
        <x:v>ビスマスホワイト</x:v>
      </x:c>
      <x:c r="P599" t="str"/>
      <x:c r="Q599" t="str">
        <x:v>Blanc bismuthé</x:v>
      </x:c>
      <x:c r="R599" t="str">
        <x:v>Bismuthweiss</x:v>
      </x:c>
      <x:c r="S599" t="str">
        <x:v>Bianco Bismuth</x:v>
      </x:c>
      <x:c r="T599" t="str">
        <x:v>Blanco Bismuth</x:v>
      </x:c>
      <x:c r="U599" t="str">
        <x:v>Branco Bismuth</x:v>
      </x:c>
      <x:c r="V599" t="str"/>
      <x:c r="W599" t="str">
        <x:v>PW6/PY184</x:v>
      </x:c>
      <x:c r="X599" t="n">
        <x:f>IF(W599="",0,LEN(W599)-LEN(SUBSTITUTE(W599,"/",""))+1)</x:f>
        <x:v>2</x:v>
      </x:c>
      <x:c r="Y599" t="str">
        <x:v>HHH</x:v>
      </x:c>
      <x:c r="Z599" s="32" t="n">
        <x:v>3</x:v>
      </x:c>
      <x:c r="AA599" s="32" t="n">
        <x:v>5</x:v>
      </x:c>
      <x:c r="AB599" s="32" t="str">
        <x:v>Blue Wool Scale / UV 150h</x:v>
      </x:c>
      <x:c r="AC599" t="str">
        <x:v>#D9D6CB</x:v>
      </x:c>
      <x:c r="AD599" s="34" t="n">
        <x:v>217</x:v>
      </x:c>
      <x:c r="AE599" s="34" t="n">
        <x:v>214</x:v>
      </x:c>
      <x:c r="AF599" s="34" t="n">
        <x:v>203</x:v>
      </x:c>
      <x:c r="AG599" s="32" t="n">
        <x:v>47.14</x:v>
      </x:c>
      <x:c r="AH599" s="32" t="n">
        <x:v>15.56</x:v>
      </x:c>
      <x:c r="AI599" s="32" t="n">
        <x:v>82.35</x:v>
      </x:c>
      <x:c r="AJ599" s="32" t="n">
        <x:v>85.58</x:v>
      </x:c>
      <x:c r="AK599" s="32" t="n">
        <x:v>-0.9</x:v>
      </x:c>
      <x:c r="AL599" s="32" t="n">
        <x:v>5.79</x:v>
      </x:c>
      <x:c r="AM599" s="32" t="str">
        <x:v>#000000</x:v>
      </x:c>
      <x:c r="AN599" s="32" t="str">
        <x:v>Black</x:v>
      </x:c>
      <x:c r="AO599" s="32" t="n">
        <x:v>14.43</x:v>
      </x:c>
      <x:c r="AP599" s="32" t="n">
        <x:v>14.43</x:v>
      </x:c>
      <x:c r="AQ599" s="32" t="n">
        <x:v>1.46</x:v>
      </x:c>
      <x:c r="AR599" s="32" t="n">
        <x:v>0.671566</x:v>
      </x:c>
      <x:c r="AS599" t="str">
        <x:v>PASS</x:v>
      </x:c>
      <x:c r="AT599" t="str">
        <x:v>--cda-pstp-811</x:v>
      </x:c>
      <x:c r="AU599" t="str">
        <x:v>var(--cda-pstp-811)</x:v>
      </x:c>
      <x:c r="AV599" t="str">
        <x:v>Median RGB from official PDF swatch (screen reference only)</x:v>
      </x:c>
      <x:c r="AW599" t="str">
        <x:v>https://www.carandache.com/content_files/uploaded_doc/product/10985/Colour_Chart_Pastel_Pencil.pdf</x:v>
      </x:c>
      <x:c r="AX599" t="n">
        <x:v>1</x:v>
      </x:c>
      <x:c r="AY599" t="str">
        <x:v>Official</x:v>
      </x:c>
      <x:c r="AZ599" t="str">
        <x:v>Official where available; curated Traditional Chinese/Japanese otherwise</x:v>
      </x:c>
      <x:c r="BA599" t="str">
        <x:v>Verified from official chart; digital HEX is approximate</x:v>
      </x:c>
      <x:c r="BB599" t="str">
        <x:v>Physical media appearance varies by paper, pressure, layering, water and scan/display profile.</x:v>
      </x:c>
    </x:row>
    <x:row r="600">
      <x:c r="A600" t="str">
        <x:f>G600&amp;"|"&amp;L600</x:f>
        <x:v>PSTP|011</x:v>
      </x:c>
      <x:c r="B600" t="str">
        <x:v>df5bba86-6eab-53cd-848b-e297f1d3a06d</x:v>
      </x:c>
      <x:c r="C600" t="str">
        <x:v>CDA-PSTP-011</x:v>
      </x:c>
      <x:c r="D600" t="str">
        <x:v>43a8d005-d4eb-5d75-b7e7-67ed5cabd5f4</x:v>
      </x:c>
      <x:c r="E600" t="str">
        <x:v>CDA-CODE-011</x:v>
      </x:c>
      <x:c r="F600" t="str">
        <x:v>Caran d’Ache</x:v>
      </x:c>
      <x:c r="G600" t="str">
        <x:v>PSTP</x:v>
      </x:c>
      <x:c r="H600" t="str">
        <x:v>PASTEL PENCILS</x:v>
      </x:c>
      <x:c r="I600" t="str">
        <x:v>Extra-fine dry pastel pencil</x:v>
      </x:c>
      <x:c r="J600" t="str">
        <x:v>Professional</x:v>
      </x:c>
      <x:c r="K600" s="30" t="n">
        <x:v>3</x:v>
      </x:c>
      <x:c r="L600" s="30" t="str">
        <x:v>011</x:v>
      </x:c>
      <x:c r="M600" t="str">
        <x:v>Pale yellow</x:v>
      </x:c>
      <x:c r="N600" t="str">
        <x:v>淡黃色</x:v>
      </x:c>
      <x:c r="O600" t="str">
        <x:v>ペールイエロー</x:v>
      </x:c>
      <x:c r="P600" t="str"/>
      <x:c r="Q600" t="str">
        <x:v>Jaune lumière</x:v>
      </x:c>
      <x:c r="R600" t="str">
        <x:v>Lichtgelb</x:v>
      </x:c>
      <x:c r="S600" t="str">
        <x:v>Giallo Chiaro</x:v>
      </x:c>
      <x:c r="T600" t="str">
        <x:v>Amarillo luminoso</x:v>
      </x:c>
      <x:c r="U600" t="str">
        <x:v>Amarelo luminoso</x:v>
      </x:c>
      <x:c r="V600" t="str"/>
      <x:c r="W600" t="str">
        <x:v>PY151/PY42</x:v>
      </x:c>
      <x:c r="X600" t="n">
        <x:f>IF(W600="",0,LEN(W600)-LEN(SUBSTITUTE(W600,"/",""))+1)</x:f>
        <x:v>2</x:v>
      </x:c>
      <x:c r="Y600" t="str">
        <x:v>H</x:v>
      </x:c>
      <x:c r="Z600" s="32" t="n">
        <x:v>1</x:v>
      </x:c>
      <x:c r="AA600" s="32" t="n">
        <x:v>5</x:v>
      </x:c>
      <x:c r="AB600" s="32" t="str">
        <x:v>Blue Wool Scale / UV 150h</x:v>
      </x:c>
      <x:c r="AC600" t="str">
        <x:v>#F4ECC7</x:v>
      </x:c>
      <x:c r="AD600" s="34" t="n">
        <x:v>244</x:v>
      </x:c>
      <x:c r="AE600" s="34" t="n">
        <x:v>236</x:v>
      </x:c>
      <x:c r="AF600" s="34" t="n">
        <x:v>199</x:v>
      </x:c>
      <x:c r="AG600" s="32" t="n">
        <x:v>49.33</x:v>
      </x:c>
      <x:c r="AH600" s="32" t="n">
        <x:v>67.16</x:v>
      </x:c>
      <x:c r="AI600" s="32" t="n">
        <x:v>86.86</x:v>
      </x:c>
      <x:c r="AJ600" s="32" t="n">
        <x:v>93.17</x:v>
      </x:c>
      <x:c r="AK600" s="32" t="n">
        <x:v>-3.21</x:v>
      </x:c>
      <x:c r="AL600" s="32" t="n">
        <x:v>18.94</x:v>
      </x:c>
      <x:c r="AM600" s="32" t="str">
        <x:v>#000000</x:v>
      </x:c>
      <x:c r="AN600" s="32" t="str">
        <x:v>Black</x:v>
      </x:c>
      <x:c r="AO600" s="32" t="n">
        <x:v>17.67</x:v>
      </x:c>
      <x:c r="AP600" s="32" t="n">
        <x:v>17.67</x:v>
      </x:c>
      <x:c r="AQ600" s="32" t="n">
        <x:v>1.19</x:v>
      </x:c>
      <x:c r="AR600" s="32" t="n">
        <x:v>0.833475</x:v>
      </x:c>
      <x:c r="AS600" t="str">
        <x:v>PASS</x:v>
      </x:c>
      <x:c r="AT600" t="str">
        <x:v>--cda-pstp-011</x:v>
      </x:c>
      <x:c r="AU600" t="str">
        <x:v>var(--cda-pstp-011)</x:v>
      </x:c>
      <x:c r="AV600" t="str">
        <x:v>Median RGB from official PDF swatch (screen reference only)</x:v>
      </x:c>
      <x:c r="AW600" t="str">
        <x:v>https://www.carandache.com/content_files/uploaded_doc/product/10985/Colour_Chart_Pastel_Pencil.pdf</x:v>
      </x:c>
      <x:c r="AX600" t="n">
        <x:v>1</x:v>
      </x:c>
      <x:c r="AY600" t="str">
        <x:v>Official</x:v>
      </x:c>
      <x:c r="AZ600" t="str">
        <x:v>Official where available; curated Traditional Chinese/Japanese otherwise</x:v>
      </x:c>
      <x:c r="BA600" t="str">
        <x:v>Verified from official chart; digital HEX is approximate</x:v>
      </x:c>
      <x:c r="BB600" t="str">
        <x:v>Physical media appearance varies by paper, pressure, layering, water and scan/display profile.</x:v>
      </x:c>
    </x:row>
    <x:row r="601">
      <x:c r="A601" t="str">
        <x:f>G601&amp;"|"&amp;L601</x:f>
        <x:v>PSTP|241</x:v>
      </x:c>
      <x:c r="B601" t="str">
        <x:v>bdfa925b-e164-5302-90f9-e8fbee80d6d0</x:v>
      </x:c>
      <x:c r="C601" t="str">
        <x:v>CDA-PSTP-241</x:v>
      </x:c>
      <x:c r="D601" t="str">
        <x:v>1c68f8d1-8f6d-5e99-9049-4955fb2973de</x:v>
      </x:c>
      <x:c r="E601" t="str">
        <x:v>CDA-CODE-241</x:v>
      </x:c>
      <x:c r="F601" t="str">
        <x:v>Caran d’Ache</x:v>
      </x:c>
      <x:c r="G601" t="str">
        <x:v>PSTP</x:v>
      </x:c>
      <x:c r="H601" t="str">
        <x:v>PASTEL PENCILS</x:v>
      </x:c>
      <x:c r="I601" t="str">
        <x:v>Extra-fine dry pastel pencil</x:v>
      </x:c>
      <x:c r="J601" t="str">
        <x:v>Professional</x:v>
      </x:c>
      <x:c r="K601" s="30" t="n">
        <x:v>4</x:v>
      </x:c>
      <x:c r="L601" s="30" t="str">
        <x:v>241</x:v>
      </x:c>
      <x:c r="M601" t="str">
        <x:v>Light lemon yellow</x:v>
      </x:c>
      <x:c r="N601" t="str">
        <x:v>淺檸檬黃</x:v>
      </x:c>
      <x:c r="O601" t="str">
        <x:v>ライトレモンイエロー</x:v>
      </x:c>
      <x:c r="P601" t="str"/>
      <x:c r="Q601" t="str">
        <x:v>Jaune citron clair</x:v>
      </x:c>
      <x:c r="R601" t="str">
        <x:v>Hellzitronengelb</x:v>
      </x:c>
      <x:c r="S601" t="str">
        <x:v>Giallo limone chiaro</x:v>
      </x:c>
      <x:c r="T601" t="str">
        <x:v>Amarilo limón claro</x:v>
      </x:c>
      <x:c r="U601" t="str">
        <x:v>Amarelo limão claro</x:v>
      </x:c>
      <x:c r="V601" t="str"/>
      <x:c r="W601" t="str">
        <x:v>PY53</x:v>
      </x:c>
      <x:c r="X601" t="n">
        <x:f>IF(W601="",0,LEN(W601)-LEN(SUBSTITUTE(W601,"/",""))+1)</x:f>
        <x:v>1</x:v>
      </x:c>
      <x:c r="Y601" t="str">
        <x:v>HHH</x:v>
      </x:c>
      <x:c r="Z601" s="32" t="n">
        <x:v>3</x:v>
      </x:c>
      <x:c r="AA601" s="32" t="n">
        <x:v>5</x:v>
      </x:c>
      <x:c r="AB601" s="32" t="str">
        <x:v>Blue Wool Scale / UV 150h</x:v>
      </x:c>
      <x:c r="AC601" t="str">
        <x:v>#E2DF9C</x:v>
      </x:c>
      <x:c r="AD601" s="34" t="n">
        <x:v>226</x:v>
      </x:c>
      <x:c r="AE601" s="34" t="n">
        <x:v>223</x:v>
      </x:c>
      <x:c r="AF601" s="34" t="n">
        <x:v>156</x:v>
      </x:c>
      <x:c r="AG601" s="32" t="n">
        <x:v>57.43</x:v>
      </x:c>
      <x:c r="AH601" s="32" t="n">
        <x:v>54.69</x:v>
      </x:c>
      <x:c r="AI601" s="32" t="n">
        <x:v>74.9</x:v>
      </x:c>
      <x:c r="AJ601" s="32" t="n">
        <x:v>87.65</x:v>
      </x:c>
      <x:c r="AK601" s="32" t="n">
        <x:v>-9.1</x:v>
      </x:c>
      <x:c r="AL601" s="32" t="n">
        <x:v>33.29</x:v>
      </x:c>
      <x:c r="AM601" s="32" t="str">
        <x:v>#000000</x:v>
      </x:c>
      <x:c r="AN601" s="32" t="str">
        <x:v>Black</x:v>
      </x:c>
      <x:c r="AO601" s="32" t="n">
        <x:v>15.27</x:v>
      </x:c>
      <x:c r="AP601" s="32" t="n">
        <x:v>15.27</x:v>
      </x:c>
      <x:c r="AQ601" s="32" t="n">
        <x:v>1.38</x:v>
      </x:c>
      <x:c r="AR601" s="32" t="n">
        <x:v>0.713444</x:v>
      </x:c>
      <x:c r="AS601" t="str">
        <x:v>PASS</x:v>
      </x:c>
      <x:c r="AT601" t="str">
        <x:v>--cda-pstp-241</x:v>
      </x:c>
      <x:c r="AU601" t="str">
        <x:v>var(--cda-pstp-241)</x:v>
      </x:c>
      <x:c r="AV601" t="str">
        <x:v>Median RGB from official PDF swatch (screen reference only)</x:v>
      </x:c>
      <x:c r="AW601" t="str">
        <x:v>https://www.carandache.com/content_files/uploaded_doc/product/10985/Colour_Chart_Pastel_Pencil.pdf</x:v>
      </x:c>
      <x:c r="AX601" t="n">
        <x:v>1</x:v>
      </x:c>
      <x:c r="AY601" t="str">
        <x:v>Official</x:v>
      </x:c>
      <x:c r="AZ601" t="str">
        <x:v>Official where available; curated Traditional Chinese/Japanese otherwise</x:v>
      </x:c>
      <x:c r="BA601" t="str">
        <x:v>Verified from official chart; digital HEX is approximate</x:v>
      </x:c>
      <x:c r="BB601" t="str">
        <x:v>Physical media appearance varies by paper, pressure, layering, water and scan/display profile.</x:v>
      </x:c>
    </x:row>
    <x:row r="602">
      <x:c r="A602" t="str">
        <x:f>G602&amp;"|"&amp;L602</x:f>
        <x:v>PSTP|821</x:v>
      </x:c>
      <x:c r="B602" t="str">
        <x:v>e3a2ab34-364b-59ea-bf03-909fb1da5988</x:v>
      </x:c>
      <x:c r="C602" t="str">
        <x:v>CDA-PSTP-821</x:v>
      </x:c>
      <x:c r="D602" t="str">
        <x:v>8f496119-5511-5a03-a0f0-fa98ae1f777b</x:v>
      </x:c>
      <x:c r="E602" t="str">
        <x:v>CDA-CODE-821</x:v>
      </x:c>
      <x:c r="F602" t="str">
        <x:v>Caran d’Ache</x:v>
      </x:c>
      <x:c r="G602" t="str">
        <x:v>PSTP</x:v>
      </x:c>
      <x:c r="H602" t="str">
        <x:v>PASTEL PENCILS</x:v>
      </x:c>
      <x:c r="I602" t="str">
        <x:v>Extra-fine dry pastel pencil</x:v>
      </x:c>
      <x:c r="J602" t="str">
        <x:v>Professional</x:v>
      </x:c>
      <x:c r="K602" s="30" t="n">
        <x:v>5</x:v>
      </x:c>
      <x:c r="L602" s="30" t="str">
        <x:v>821</x:v>
      </x:c>
      <x:c r="M602" t="str">
        <x:v>Naples ochre</x:v>
      </x:c>
      <x:c r="N602" t="str">
        <x:v>那不勒斯赭黃</x:v>
      </x:c>
      <x:c r="O602" t="str">
        <x:v>ネープルスオーカー</x:v>
      </x:c>
      <x:c r="P602" t="str"/>
      <x:c r="Q602" t="str">
        <x:v>Ocre de Naples</x:v>
      </x:c>
      <x:c r="R602" t="str">
        <x:v>Neapelocker</x:v>
      </x:c>
      <x:c r="S602" t="str">
        <x:v>Ocra di napoli</x:v>
      </x:c>
      <x:c r="T602" t="str">
        <x:v>Ocre de Nápoles</x:v>
      </x:c>
      <x:c r="U602" t="str">
        <x:v>Ocre Napoles</x:v>
      </x:c>
      <x:c r="V602" t="str"/>
      <x:c r="W602" t="str">
        <x:v>PY184/PY42/PY3</x:v>
      </x:c>
      <x:c r="X602" t="n">
        <x:f>IF(W602="",0,LEN(W602)-LEN(SUBSTITUTE(W602,"/",""))+1)</x:f>
        <x:v>3</x:v>
      </x:c>
      <x:c r="Y602" t="str">
        <x:v>HHH</x:v>
      </x:c>
      <x:c r="Z602" s="32" t="n">
        <x:v>3</x:v>
      </x:c>
      <x:c r="AA602" s="32" t="n">
        <x:v>5</x:v>
      </x:c>
      <x:c r="AB602" s="32" t="str">
        <x:v>Blue Wool Scale / UV 150h</x:v>
      </x:c>
      <x:c r="AC602" t="str">
        <x:v>#E9D48F</x:v>
      </x:c>
      <x:c r="AD602" s="34" t="n">
        <x:v>233</x:v>
      </x:c>
      <x:c r="AE602" s="34" t="n">
        <x:v>212</x:v>
      </x:c>
      <x:c r="AF602" s="34" t="n">
        <x:v>143</x:v>
      </x:c>
      <x:c r="AG602" s="32" t="n">
        <x:v>46</x:v>
      </x:c>
      <x:c r="AH602" s="32" t="n">
        <x:v>67.16</x:v>
      </x:c>
      <x:c r="AI602" s="32" t="n">
        <x:v>73.73</x:v>
      </x:c>
      <x:c r="AJ602" s="32" t="n">
        <x:v>85.2</x:v>
      </x:c>
      <x:c r="AK602" s="32" t="n">
        <x:v>-2.32</x:v>
      </x:c>
      <x:c r="AL602" s="32" t="n">
        <x:v>36.79</x:v>
      </x:c>
      <x:c r="AM602" s="32" t="str">
        <x:v>#000000</x:v>
      </x:c>
      <x:c r="AN602" s="32" t="str">
        <x:v>Black</x:v>
      </x:c>
      <x:c r="AO602" s="32" t="n">
        <x:v>14.28</x:v>
      </x:c>
      <x:c r="AP602" s="32" t="n">
        <x:v>14.28</x:v>
      </x:c>
      <x:c r="AQ602" s="32" t="n">
        <x:v>1.47</x:v>
      </x:c>
      <x:c r="AR602" s="32" t="n">
        <x:v>0.663938</x:v>
      </x:c>
      <x:c r="AS602" t="str">
        <x:v>PASS</x:v>
      </x:c>
      <x:c r="AT602" t="str">
        <x:v>--cda-pstp-821</x:v>
      </x:c>
      <x:c r="AU602" t="str">
        <x:v>var(--cda-pstp-821)</x:v>
      </x:c>
      <x:c r="AV602" t="str">
        <x:v>Median RGB from official PDF swatch (screen reference only)</x:v>
      </x:c>
      <x:c r="AW602" t="str">
        <x:v>https://www.carandache.com/content_files/uploaded_doc/product/10985/Colour_Chart_Pastel_Pencil.pdf</x:v>
      </x:c>
      <x:c r="AX602" t="n">
        <x:v>1</x:v>
      </x:c>
      <x:c r="AY602" t="str">
        <x:v>Official</x:v>
      </x:c>
      <x:c r="AZ602" t="str">
        <x:v>Official where available; curated Traditional Chinese/Japanese otherwise</x:v>
      </x:c>
      <x:c r="BA602" t="str">
        <x:v>Verified from official chart; digital HEX is approximate</x:v>
      </x:c>
      <x:c r="BB602" t="str">
        <x:v>Physical media appearance varies by paper, pressure, layering, water and scan/display profile.</x:v>
      </x:c>
    </x:row>
    <x:row r="603">
      <x:c r="A603" t="str">
        <x:f>G603&amp;"|"&amp;L603</x:f>
        <x:v>PSTP|240</x:v>
      </x:c>
      <x:c r="B603" t="str">
        <x:v>1ca6d884-1adb-5af2-98f2-06b5b1051e1b</x:v>
      </x:c>
      <x:c r="C603" t="str">
        <x:v>CDA-PSTP-240</x:v>
      </x:c>
      <x:c r="D603" t="str">
        <x:v>e71849e5-e37c-518f-99a0-9189b6af2b63</x:v>
      </x:c>
      <x:c r="E603" t="str">
        <x:v>CDA-CODE-240</x:v>
      </x:c>
      <x:c r="F603" t="str">
        <x:v>Caran d’Ache</x:v>
      </x:c>
      <x:c r="G603" t="str">
        <x:v>PSTP</x:v>
      </x:c>
      <x:c r="H603" t="str">
        <x:v>PASTEL PENCILS</x:v>
      </x:c>
      <x:c r="I603" t="str">
        <x:v>Extra-fine dry pastel pencil</x:v>
      </x:c>
      <x:c r="J603" t="str">
        <x:v>Professional</x:v>
      </x:c>
      <x:c r="K603" s="30" t="n">
        <x:v>6</x:v>
      </x:c>
      <x:c r="L603" s="30" t="str">
        <x:v>240</x:v>
      </x:c>
      <x:c r="M603" t="str">
        <x:v>Lemon Yellow</x:v>
      </x:c>
      <x:c r="N603" t="str">
        <x:v>檸檬黃</x:v>
      </x:c>
      <x:c r="O603" t="str">
        <x:v>レモンイエロー</x:v>
      </x:c>
      <x:c r="P603" t="str"/>
      <x:c r="Q603" t="str">
        <x:v>Jaune Citron</x:v>
      </x:c>
      <x:c r="R603" t="str">
        <x:v>Zitronengelb</x:v>
      </x:c>
      <x:c r="S603" t="str">
        <x:v>Giallo limone</x:v>
      </x:c>
      <x:c r="T603" t="str">
        <x:v>Amarillo limón</x:v>
      </x:c>
      <x:c r="U603" t="str">
        <x:v>Amarelo limão</x:v>
      </x:c>
      <x:c r="V603" t="str"/>
      <x:c r="W603" t="str">
        <x:v>PY3</x:v>
      </x:c>
      <x:c r="X603" t="n">
        <x:f>IF(W603="",0,LEN(W603)-LEN(SUBSTITUTE(W603,"/",""))+1)</x:f>
        <x:v>1</x:v>
      </x:c>
      <x:c r="Y603" t="str">
        <x:v>HH</x:v>
      </x:c>
      <x:c r="Z603" s="32" t="n">
        <x:v>2</x:v>
      </x:c>
      <x:c r="AA603" s="32" t="n">
        <x:v>5</x:v>
      </x:c>
      <x:c r="AB603" s="32" t="str">
        <x:v>Blue Wool Scale / UV 150h</x:v>
      </x:c>
      <x:c r="AC603" t="str">
        <x:v>#E3D35B</x:v>
      </x:c>
      <x:c r="AD603" s="34" t="n">
        <x:v>227</x:v>
      </x:c>
      <x:c r="AE603" s="34" t="n">
        <x:v>211</x:v>
      </x:c>
      <x:c r="AF603" s="34" t="n">
        <x:v>91</x:v>
      </x:c>
      <x:c r="AG603" s="32" t="n">
        <x:v>52.94</x:v>
      </x:c>
      <x:c r="AH603" s="32" t="n">
        <x:v>70.83</x:v>
      </x:c>
      <x:c r="AI603" s="32" t="n">
        <x:v>62.35</x:v>
      </x:c>
      <x:c r="AJ603" s="32" t="n">
        <x:v>83.8</x:v>
      </x:c>
      <x:c r="AK603" s="32" t="n">
        <x:v>-8.85</x:v>
      </x:c>
      <x:c r="AL603" s="32" t="n">
        <x:v>59.93</x:v>
      </x:c>
      <x:c r="AM603" s="32" t="str">
        <x:v>#000000</x:v>
      </x:c>
      <x:c r="AN603" s="32" t="str">
        <x:v>Black</x:v>
      </x:c>
      <x:c r="AO603" s="32" t="n">
        <x:v>13.73</x:v>
      </x:c>
      <x:c r="AP603" s="32" t="n">
        <x:v>13.73</x:v>
      </x:c>
      <x:c r="AQ603" s="32" t="n">
        <x:v>1.53</x:v>
      </x:c>
      <x:c r="AR603" s="32" t="n">
        <x:v>0.636748</x:v>
      </x:c>
      <x:c r="AS603" t="str">
        <x:v>PASS</x:v>
      </x:c>
      <x:c r="AT603" t="str">
        <x:v>--cda-pstp-240</x:v>
      </x:c>
      <x:c r="AU603" t="str">
        <x:v>var(--cda-pstp-240)</x:v>
      </x:c>
      <x:c r="AV603" t="str">
        <x:v>Median RGB from official PDF swatch (screen reference only)</x:v>
      </x:c>
      <x:c r="AW603" t="str">
        <x:v>https://www.carandache.com/content_files/uploaded_doc/product/10985/Colour_Chart_Pastel_Pencil.pdf</x:v>
      </x:c>
      <x:c r="AX603" t="n">
        <x:v>1</x:v>
      </x:c>
      <x:c r="AY603" t="str">
        <x:v>Official</x:v>
      </x:c>
      <x:c r="AZ603" t="str">
        <x:v>Official where available; curated Traditional Chinese/Japanese otherwise</x:v>
      </x:c>
      <x:c r="BA603" t="str">
        <x:v>Verified from official chart; digital HEX is approximate</x:v>
      </x:c>
      <x:c r="BB603" t="str">
        <x:v>Physical media appearance varies by paper, pressure, layering, water and scan/display profile.</x:v>
      </x:c>
    </x:row>
    <x:row r="604">
      <x:c r="A604" t="str">
        <x:f>G604&amp;"|"&amp;L604</x:f>
        <x:v>PSTP|820</x:v>
      </x:c>
      <x:c r="B604" t="str">
        <x:v>0055e1db-fe2a-5b08-856c-5afaa6f002da</x:v>
      </x:c>
      <x:c r="C604" t="str">
        <x:v>CDA-PSTP-820</x:v>
      </x:c>
      <x:c r="D604" t="str">
        <x:v>e522fab8-c1e9-5474-a9fa-56c1771de26c</x:v>
      </x:c>
      <x:c r="E604" t="str">
        <x:v>CDA-CODE-820</x:v>
      </x:c>
      <x:c r="F604" t="str">
        <x:v>Caran d’Ache</x:v>
      </x:c>
      <x:c r="G604" t="str">
        <x:v>PSTP</x:v>
      </x:c>
      <x:c r="H604" t="str">
        <x:v>PASTEL PENCILS</x:v>
      </x:c>
      <x:c r="I604" t="str">
        <x:v>Extra-fine dry pastel pencil</x:v>
      </x:c>
      <x:c r="J604" t="str">
        <x:v>Professional</x:v>
      </x:c>
      <x:c r="K604" s="30" t="n">
        <x:v>7</x:v>
      </x:c>
      <x:c r="L604" s="30" t="str">
        <x:v>820</x:v>
      </x:c>
      <x:c r="M604" t="str">
        <x:v>Golden Bismuth yellow</x:v>
      </x:c>
      <x:c r="N604" t="str">
        <x:v>金鉍黃</x:v>
      </x:c>
      <x:c r="O604" t="str">
        <x:v>ゴールデンビスマスイエロー</x:v>
      </x:c>
      <x:c r="P604" t="str"/>
      <x:c r="Q604" t="str">
        <x:v>Jaune Bismuth doré</x:v>
      </x:c>
      <x:c r="R604" t="str">
        <x:v>Gold Bismuthgelb</x:v>
      </x:c>
      <x:c r="S604" t="str">
        <x:v>Giallo bismuth dorato</x:v>
      </x:c>
      <x:c r="T604" t="str">
        <x:v>Amarillo Bismuth dorado</x:v>
      </x:c>
      <x:c r="U604" t="str">
        <x:v>Amarelo Bismuto dourado</x:v>
      </x:c>
      <x:c r="V604" t="str"/>
      <x:c r="W604" t="str">
        <x:v>PY184</x:v>
      </x:c>
      <x:c r="X604" t="n">
        <x:f>IF(W604="",0,LEN(W604)-LEN(SUBSTITUTE(W604,"/",""))+1)</x:f>
        <x:v>1</x:v>
      </x:c>
      <x:c r="Y604" t="str">
        <x:v>HHH</x:v>
      </x:c>
      <x:c r="Z604" s="32" t="n">
        <x:v>3</x:v>
      </x:c>
      <x:c r="AA604" s="32" t="n">
        <x:v>5</x:v>
      </x:c>
      <x:c r="AB604" s="32" t="str">
        <x:v>Blue Wool Scale / UV 150h</x:v>
      </x:c>
      <x:c r="AC604" t="str">
        <x:v>#DFBE50</x:v>
      </x:c>
      <x:c r="AD604" s="34" t="n">
        <x:v>223</x:v>
      </x:c>
      <x:c r="AE604" s="34" t="n">
        <x:v>190</x:v>
      </x:c>
      <x:c r="AF604" s="34" t="n">
        <x:v>80</x:v>
      </x:c>
      <x:c r="AG604" s="32" t="n">
        <x:v>46.15</x:v>
      </x:c>
      <x:c r="AH604" s="32" t="n">
        <x:v>69.08</x:v>
      </x:c>
      <x:c r="AI604" s="32" t="n">
        <x:v>59.41</x:v>
      </x:c>
      <x:c r="AJ604" s="32" t="n">
        <x:v>77.93</x:v>
      </x:c>
      <x:c r="AK604" s="32" t="n">
        <x:v>-0.46</x:v>
      </x:c>
      <x:c r="AL604" s="32" t="n">
        <x:v>58.23</x:v>
      </x:c>
      <x:c r="AM604" s="32" t="str">
        <x:v>#000000</x:v>
      </x:c>
      <x:c r="AN604" s="32" t="str">
        <x:v>Black</x:v>
      </x:c>
      <x:c r="AO604" s="32" t="n">
        <x:v>11.62</x:v>
      </x:c>
      <x:c r="AP604" s="32" t="n">
        <x:v>11.62</x:v>
      </x:c>
      <x:c r="AQ604" s="32" t="n">
        <x:v>1.81</x:v>
      </x:c>
      <x:c r="AR604" s="32" t="n">
        <x:v>0.530941</x:v>
      </x:c>
      <x:c r="AS604" t="str">
        <x:v>PASS</x:v>
      </x:c>
      <x:c r="AT604" t="str">
        <x:v>--cda-pstp-820</x:v>
      </x:c>
      <x:c r="AU604" t="str">
        <x:v>var(--cda-pstp-820)</x:v>
      </x:c>
      <x:c r="AV604" t="str">
        <x:v>Median RGB from official PDF swatch (screen reference only)</x:v>
      </x:c>
      <x:c r="AW604" t="str">
        <x:v>https://www.carandache.com/content_files/uploaded_doc/product/10985/Colour_Chart_Pastel_Pencil.pdf</x:v>
      </x:c>
      <x:c r="AX604" t="n">
        <x:v>1</x:v>
      </x:c>
      <x:c r="AY604" t="str">
        <x:v>Official</x:v>
      </x:c>
      <x:c r="AZ604" t="str">
        <x:v>Official where available; curated Traditional Chinese/Japanese otherwise</x:v>
      </x:c>
      <x:c r="BA604" t="str">
        <x:v>Verified from official chart; digital HEX is approximate</x:v>
      </x:c>
      <x:c r="BB604" t="str">
        <x:v>Physical media appearance varies by paper, pressure, layering, water and scan/display profile.</x:v>
      </x:c>
    </x:row>
    <x:row r="605">
      <x:c r="A605" t="str">
        <x:f>G605&amp;"|"&amp;L605</x:f>
        <x:v>PSTP|512</x:v>
      </x:c>
      <x:c r="B605" t="str">
        <x:v>5bd1a0b5-b0d0-5ec8-ae73-355fe1116669</x:v>
      </x:c>
      <x:c r="C605" t="str">
        <x:v>CDA-PSTP-512</x:v>
      </x:c>
      <x:c r="D605" t="str">
        <x:v>ef3f1cf0-2053-5807-97ac-68a6bafc21e7</x:v>
      </x:c>
      <x:c r="E605" t="str">
        <x:v>CDA-CODE-512</x:v>
      </x:c>
      <x:c r="F605" t="str">
        <x:v>Caran d’Ache</x:v>
      </x:c>
      <x:c r="G605" t="str">
        <x:v>PSTP</x:v>
      </x:c>
      <x:c r="H605" t="str">
        <x:v>PASTEL PENCILS</x:v>
      </x:c>
      <x:c r="I605" t="str">
        <x:v>Extra-fine dry pastel pencil</x:v>
      </x:c>
      <x:c r="J605" t="str">
        <x:v>Professional</x:v>
      </x:c>
      <x:c r="K605" s="30" t="n">
        <x:v>8</x:v>
      </x:c>
      <x:c r="L605" s="30" t="str">
        <x:v>512</x:v>
      </x:c>
      <x:c r="M605" t="str">
        <x:v>Light cadmium yellow</x:v>
      </x:c>
      <x:c r="N605" t="str">
        <x:v>淺鎘黃</x:v>
      </x:c>
      <x:c r="O605" t="str">
        <x:v>ライトカドミウムイエロー</x:v>
      </x:c>
      <x:c r="P605" t="str"/>
      <x:c r="Q605" t="str">
        <x:v>Jaune de cadmium clair</x:v>
      </x:c>
      <x:c r="R605" t="str">
        <x:v>Kadmiumgelb hell</x:v>
      </x:c>
      <x:c r="S605" t="str">
        <x:v>Giallo di cadmio chiaro</x:v>
      </x:c>
      <x:c r="T605" t="str">
        <x:v>Amarillo cadmio claro</x:v>
      </x:c>
      <x:c r="U605" t="str">
        <x:v>Amarelo cádmio claro</x:v>
      </x:c>
      <x:c r="V605" t="str"/>
      <x:c r="W605" t="str">
        <x:v>PY3/PY74</x:v>
      </x:c>
      <x:c r="X605" t="n">
        <x:f>IF(W605="",0,LEN(W605)-LEN(SUBSTITUTE(W605,"/",""))+1)</x:f>
        <x:v>2</x:v>
      </x:c>
      <x:c r="Y605" t="str">
        <x:v>HH</x:v>
      </x:c>
      <x:c r="Z605" s="32" t="n">
        <x:v>2</x:v>
      </x:c>
      <x:c r="AA605" s="32" t="n">
        <x:v>5</x:v>
      </x:c>
      <x:c r="AB605" s="32" t="str">
        <x:v>Blue Wool Scale / UV 150h</x:v>
      </x:c>
      <x:c r="AC605" t="str">
        <x:v>#CFB930</x:v>
      </x:c>
      <x:c r="AD605" s="34" t="n">
        <x:v>207</x:v>
      </x:c>
      <x:c r="AE605" s="34" t="n">
        <x:v>185</x:v>
      </x:c>
      <x:c r="AF605" s="34" t="n">
        <x:v>48</x:v>
      </x:c>
      <x:c r="AG605" s="32" t="n">
        <x:v>51.7</x:v>
      </x:c>
      <x:c r="AH605" s="32" t="n">
        <x:v>62.35</x:v>
      </x:c>
      <x:c r="AI605" s="32" t="n">
        <x:v>50</x:v>
      </x:c>
      <x:c r="AJ605" s="32" t="n">
        <x:v>74.94</x:v>
      </x:c>
      <x:c r="AK605" s="32" t="n">
        <x:v>-6.31</x:v>
      </x:c>
      <x:c r="AL605" s="32" t="n">
        <x:v>67.17</x:v>
      </x:c>
      <x:c r="AM605" s="32" t="str">
        <x:v>#000000</x:v>
      </x:c>
      <x:c r="AN605" s="32" t="str">
        <x:v>Black</x:v>
      </x:c>
      <x:c r="AO605" s="32" t="n">
        <x:v>10.64</x:v>
      </x:c>
      <x:c r="AP605" s="32" t="n">
        <x:v>10.64</x:v>
      </x:c>
      <x:c r="AQ605" s="32" t="n">
        <x:v>1.97</x:v>
      </x:c>
      <x:c r="AR605" s="32" t="n">
        <x:v>0.481767</x:v>
      </x:c>
      <x:c r="AS605" t="str">
        <x:v>PASS</x:v>
      </x:c>
      <x:c r="AT605" t="str">
        <x:v>--cda-pstp-512</x:v>
      </x:c>
      <x:c r="AU605" t="str">
        <x:v>var(--cda-pstp-512)</x:v>
      </x:c>
      <x:c r="AV605" t="str">
        <x:v>Median RGB from official PDF swatch (screen reference only)</x:v>
      </x:c>
      <x:c r="AW605" t="str">
        <x:v>https://www.carandache.com/content_files/uploaded_doc/product/10985/Colour_Chart_Pastel_Pencil.pdf</x:v>
      </x:c>
      <x:c r="AX605" t="n">
        <x:v>1</x:v>
      </x:c>
      <x:c r="AY605" t="str">
        <x:v>Official</x:v>
      </x:c>
      <x:c r="AZ605" t="str">
        <x:v>Official where available; curated Traditional Chinese/Japanese otherwise</x:v>
      </x:c>
      <x:c r="BA605" t="str">
        <x:v>Verified from official chart; digital HEX is approximate</x:v>
      </x:c>
      <x:c r="BB605" t="str">
        <x:v>Physical media appearance varies by paper, pressure, layering, water and scan/display profile.</x:v>
      </x:c>
    </x:row>
    <x:row r="606">
      <x:c r="A606" t="str">
        <x:f>G606&amp;"|"&amp;L606</x:f>
        <x:v>PSTP|530</x:v>
      </x:c>
      <x:c r="B606" t="str">
        <x:v>a840a1ad-73a9-57cd-8d93-5eee34b832fb</x:v>
      </x:c>
      <x:c r="C606" t="str">
        <x:v>CDA-PSTP-530</x:v>
      </x:c>
      <x:c r="D606" t="str">
        <x:v>10923d99-7757-55a9-b1f4-db9c8bd7d6be</x:v>
      </x:c>
      <x:c r="E606" t="str">
        <x:v>CDA-CODE-530</x:v>
      </x:c>
      <x:c r="F606" t="str">
        <x:v>Caran d’Ache</x:v>
      </x:c>
      <x:c r="G606" t="str">
        <x:v>PSTP</x:v>
      </x:c>
      <x:c r="H606" t="str">
        <x:v>PASTEL PENCILS</x:v>
      </x:c>
      <x:c r="I606" t="str">
        <x:v>Extra-fine dry pastel pencil</x:v>
      </x:c>
      <x:c r="J606" t="str">
        <x:v>Professional</x:v>
      </x:c>
      <x:c r="K606" s="30" t="n">
        <x:v>9</x:v>
      </x:c>
      <x:c r="L606" s="30" t="str">
        <x:v>530</x:v>
      </x:c>
      <x:c r="M606" t="str">
        <x:v>Gold Cadmium Yellow</x:v>
      </x:c>
      <x:c r="N606" t="str">
        <x:v>金鎘黃</x:v>
      </x:c>
      <x:c r="O606" t="str">
        <x:v>ゴールドカドミウムイエロー</x:v>
      </x:c>
      <x:c r="P606" t="str"/>
      <x:c r="Q606" t="str">
        <x:v>Jaune cadmium doré</x:v>
      </x:c>
      <x:c r="R606" t="str">
        <x:v>Gold Kadmiumgelb</x:v>
      </x:c>
      <x:c r="S606" t="str">
        <x:v>Giallo di cadmio dorato</x:v>
      </x:c>
      <x:c r="T606" t="str">
        <x:v>Amarillo cadmio dorado</x:v>
      </x:c>
      <x:c r="U606" t="str">
        <x:v>Amarelo cádmio dourado</x:v>
      </x:c>
      <x:c r="V606" t="str"/>
      <x:c r="W606" t="str">
        <x:v>PY3/PY74/PO62</x:v>
      </x:c>
      <x:c r="X606" t="n">
        <x:f>IF(W606="",0,LEN(W606)-LEN(SUBSTITUTE(W606,"/",""))+1)</x:f>
        <x:v>3</x:v>
      </x:c>
      <x:c r="Y606" t="str">
        <x:v>HH</x:v>
      </x:c>
      <x:c r="Z606" s="32" t="n">
        <x:v>2</x:v>
      </x:c>
      <x:c r="AA606" s="32" t="n">
        <x:v>5</x:v>
      </x:c>
      <x:c r="AB606" s="32" t="str">
        <x:v>Blue Wool Scale / UV 150h</x:v>
      </x:c>
      <x:c r="AC606" t="str">
        <x:v>#DCB61F</x:v>
      </x:c>
      <x:c r="AD606" s="34" t="n">
        <x:v>220</x:v>
      </x:c>
      <x:c r="AE606" s="34" t="n">
        <x:v>182</x:v>
      </x:c>
      <x:c r="AF606" s="34" t="n">
        <x:v>31</x:v>
      </x:c>
      <x:c r="AG606" s="32" t="n">
        <x:v>47.94</x:v>
      </x:c>
      <x:c r="AH606" s="32" t="n">
        <x:v>75.3</x:v>
      </x:c>
      <x:c r="AI606" s="32" t="n">
        <x:v>49.22</x:v>
      </x:c>
      <x:c r="AJ606" s="32" t="n">
        <x:v>75.31</x:v>
      </x:c>
      <x:c r="AK606" s="32" t="n">
        <x:v>0.38</x:v>
      </x:c>
      <x:c r="AL606" s="32" t="n">
        <x:v>72.76</x:v>
      </x:c>
      <x:c r="AM606" s="32" t="str">
        <x:v>#000000</x:v>
      </x:c>
      <x:c r="AN606" s="32" t="str">
        <x:v>Black</x:v>
      </x:c>
      <x:c r="AO606" s="32" t="n">
        <x:v>10.75</x:v>
      </x:c>
      <x:c r="AP606" s="32" t="n">
        <x:v>10.75</x:v>
      </x:c>
      <x:c r="AQ606" s="32" t="n">
        <x:v>1.95</x:v>
      </x:c>
      <x:c r="AR606" s="32" t="n">
        <x:v>0.487705</x:v>
      </x:c>
      <x:c r="AS606" t="str">
        <x:v>PASS</x:v>
      </x:c>
      <x:c r="AT606" t="str">
        <x:v>--cda-pstp-530</x:v>
      </x:c>
      <x:c r="AU606" t="str">
        <x:v>var(--cda-pstp-530)</x:v>
      </x:c>
      <x:c r="AV606" t="str">
        <x:v>Median RGB from official PDF swatch (screen reference only)</x:v>
      </x:c>
      <x:c r="AW606" t="str">
        <x:v>https://www.carandache.com/content_files/uploaded_doc/product/10985/Colour_Chart_Pastel_Pencil.pdf</x:v>
      </x:c>
      <x:c r="AX606" t="n">
        <x:v>1</x:v>
      </x:c>
      <x:c r="AY606" t="str">
        <x:v>Official</x:v>
      </x:c>
      <x:c r="AZ606" t="str">
        <x:v>Official where available; curated Traditional Chinese/Japanese otherwise</x:v>
      </x:c>
      <x:c r="BA606" t="str">
        <x:v>Verified from official chart; digital HEX is approximate</x:v>
      </x:c>
      <x:c r="BB606" t="str">
        <x:v>Physical media appearance varies by paper, pressure, layering, water and scan/display profile.</x:v>
      </x:c>
    </x:row>
    <x:row r="607">
      <x:c r="A607" t="str">
        <x:f>G607&amp;"|"&amp;L607</x:f>
        <x:v>PSTP|300</x:v>
      </x:c>
      <x:c r="B607" t="str">
        <x:v>eb04c803-3dbf-52d0-8c39-d3bfc34f3bdb</x:v>
      </x:c>
      <x:c r="C607" t="str">
        <x:v>CDA-PSTP-300</x:v>
      </x:c>
      <x:c r="D607" t="str">
        <x:v>a0ce686f-7535-53f8-b53e-5ecadedba3d5</x:v>
      </x:c>
      <x:c r="E607" t="str">
        <x:v>CDA-CODE-300</x:v>
      </x:c>
      <x:c r="F607" t="str">
        <x:v>Caran d’Ache</x:v>
      </x:c>
      <x:c r="G607" t="str">
        <x:v>PSTP</x:v>
      </x:c>
      <x:c r="H607" t="str">
        <x:v>PASTEL PENCILS</x:v>
      </x:c>
      <x:c r="I607" t="str">
        <x:v>Extra-fine dry pastel pencil</x:v>
      </x:c>
      <x:c r="J607" t="str">
        <x:v>Professional</x:v>
      </x:c>
      <x:c r="K607" s="30" t="n">
        <x:v>10</x:v>
      </x:c>
      <x:c r="L607" s="30" t="str">
        <x:v>300</x:v>
      </x:c>
      <x:c r="M607" t="str">
        <x:v>Fast orange</x:v>
      </x:c>
      <x:c r="N607" t="str">
        <x:v>耐久橙</x:v>
      </x:c>
      <x:c r="O607" t="str">
        <x:v>ファストオレンジ</x:v>
      </x:c>
      <x:c r="P607" t="str"/>
      <x:c r="Q607" t="str">
        <x:v>Orange solide</x:v>
      </x:c>
      <x:c r="R607" t="str">
        <x:v>Echtorange</x:v>
      </x:c>
      <x:c r="S607" t="str">
        <x:v>Arancio permanente</x:v>
      </x:c>
      <x:c r="T607" t="str">
        <x:v>Naranja sólido</x:v>
      </x:c>
      <x:c r="U607" t="str">
        <x:v>Laranja permanente</x:v>
      </x:c>
      <x:c r="V607" t="str"/>
      <x:c r="W607" t="str">
        <x:v>PO62</x:v>
      </x:c>
      <x:c r="X607" t="n">
        <x:f>IF(W607="",0,LEN(W607)-LEN(SUBSTITUTE(W607,"/",""))+1)</x:f>
        <x:v>1</x:v>
      </x:c>
      <x:c r="Y607" t="str">
        <x:v>HHH</x:v>
      </x:c>
      <x:c r="Z607" s="32" t="n">
        <x:v>3</x:v>
      </x:c>
      <x:c r="AA607" s="32" t="n">
        <x:v>5</x:v>
      </x:c>
      <x:c r="AB607" s="32" t="str">
        <x:v>Blue Wool Scale / UV 150h</x:v>
      </x:c>
      <x:c r="AC607" t="str">
        <x:v>#D9951C</x:v>
      </x:c>
      <x:c r="AD607" s="34" t="n">
        <x:v>217</x:v>
      </x:c>
      <x:c r="AE607" s="34" t="n">
        <x:v>149</x:v>
      </x:c>
      <x:c r="AF607" s="34" t="n">
        <x:v>28</x:v>
      </x:c>
      <x:c r="AG607" s="32" t="n">
        <x:v>38.41</x:v>
      </x:c>
      <x:c r="AH607" s="32" t="n">
        <x:v>77.14</x:v>
      </x:c>
      <x:c r="AI607" s="32" t="n">
        <x:v>48.04</x:v>
      </x:c>
      <x:c r="AJ607" s="32" t="n">
        <x:v>66.77</x:v>
      </x:c>
      <x:c r="AK607" s="32" t="n">
        <x:v>16.58</x:v>
      </x:c>
      <x:c r="AL607" s="32" t="n">
        <x:v>66.49</x:v>
      </x:c>
      <x:c r="AM607" s="32" t="str">
        <x:v>#000000</x:v>
      </x:c>
      <x:c r="AN607" s="32" t="str">
        <x:v>Black</x:v>
      </x:c>
      <x:c r="AO607" s="32" t="n">
        <x:v>8.27</x:v>
      </x:c>
      <x:c r="AP607" s="32" t="n">
        <x:v>8.27</x:v>
      </x:c>
      <x:c r="AQ607" s="32" t="n">
        <x:v>2.54</x:v>
      </x:c>
      <x:c r="AR607" s="32" t="n">
        <x:v>0.363304</x:v>
      </x:c>
      <x:c r="AS607" t="str">
        <x:v>PASS</x:v>
      </x:c>
      <x:c r="AT607" t="str">
        <x:v>--cda-pstp-300</x:v>
      </x:c>
      <x:c r="AU607" t="str">
        <x:v>var(--cda-pstp-300)</x:v>
      </x:c>
      <x:c r="AV607" t="str">
        <x:v>Median RGB from official PDF swatch (screen reference only)</x:v>
      </x:c>
      <x:c r="AW607" t="str">
        <x:v>https://www.carandache.com/content_files/uploaded_doc/product/10985/Colour_Chart_Pastel_Pencil.pdf</x:v>
      </x:c>
      <x:c r="AX607" t="n">
        <x:v>1</x:v>
      </x:c>
      <x:c r="AY607" t="str">
        <x:v>Official</x:v>
      </x:c>
      <x:c r="AZ607" t="str">
        <x:v>Official where available; curated Traditional Chinese/Japanese otherwise</x:v>
      </x:c>
      <x:c r="BA607" t="str">
        <x:v>Verified from official chart; digital HEX is approximate</x:v>
      </x:c>
      <x:c r="BB607" t="str">
        <x:v>Physical media appearance varies by paper, pressure, layering, water and scan/display profile.</x:v>
      </x:c>
    </x:row>
    <x:row r="608">
      <x:c r="A608" t="str">
        <x:f>G608&amp;"|"&amp;L608</x:f>
        <x:v>PSTP|050</x:v>
      </x:c>
      <x:c r="B608" t="str">
        <x:v>bacf0c88-255a-5a41-8a67-6ae897f2d2df</x:v>
      </x:c>
      <x:c r="C608" t="str">
        <x:v>CDA-PSTP-050</x:v>
      </x:c>
      <x:c r="D608" t="str">
        <x:v>b1fdf016-f65e-52a7-837f-bacfacf86acf</x:v>
      </x:c>
      <x:c r="E608" t="str">
        <x:v>CDA-CODE-050</x:v>
      </x:c>
      <x:c r="F608" t="str">
        <x:v>Caran d’Ache</x:v>
      </x:c>
      <x:c r="G608" t="str">
        <x:v>PSTP</x:v>
      </x:c>
      <x:c r="H608" t="str">
        <x:v>PASTEL PENCILS</x:v>
      </x:c>
      <x:c r="I608" t="str">
        <x:v>Extra-fine dry pastel pencil</x:v>
      </x:c>
      <x:c r="J608" t="str">
        <x:v>Professional</x:v>
      </x:c>
      <x:c r="K608" s="30" t="n">
        <x:v>11</x:v>
      </x:c>
      <x:c r="L608" s="30" t="str">
        <x:v>050</x:v>
      </x:c>
      <x:c r="M608" t="str">
        <x:v>Flame red</x:v>
      </x:c>
      <x:c r="N608" t="str">
        <x:v>火焰紅</x:v>
      </x:c>
      <x:c r="O608" t="str">
        <x:v>フレームレッド</x:v>
      </x:c>
      <x:c r="P608" t="str"/>
      <x:c r="Q608" t="str">
        <x:v>Rouge orangé</x:v>
      </x:c>
      <x:c r="R608" t="str">
        <x:v>Rotorange</x:v>
      </x:c>
      <x:c r="S608" t="str">
        <x:v>Rosso arancio</x:v>
      </x:c>
      <x:c r="T608" t="str">
        <x:v>Rojo anaranjado</x:v>
      </x:c>
      <x:c r="U608" t="str">
        <x:v>Vermelho alaranjado</x:v>
      </x:c>
      <x:c r="V608" t="str"/>
      <x:c r="W608" t="str">
        <x:v>PO67</x:v>
      </x:c>
      <x:c r="X608" t="n">
        <x:f>IF(W608="",0,LEN(W608)-LEN(SUBSTITUTE(W608,"/",""))+1)</x:f>
        <x:v>1</x:v>
      </x:c>
      <x:c r="Y608" t="str">
        <x:v>HHH</x:v>
      </x:c>
      <x:c r="Z608" s="32" t="n">
        <x:v>3</x:v>
      </x:c>
      <x:c r="AA608" s="32" t="n">
        <x:v>5</x:v>
      </x:c>
      <x:c r="AB608" s="32" t="str">
        <x:v>Blue Wool Scale / UV 150h</x:v>
      </x:c>
      <x:c r="AC608" t="str">
        <x:v>#D36234</x:v>
      </x:c>
      <x:c r="AD608" s="34" t="n">
        <x:v>211</x:v>
      </x:c>
      <x:c r="AE608" s="34" t="n">
        <x:v>98</x:v>
      </x:c>
      <x:c r="AF608" s="34" t="n">
        <x:v>52</x:v>
      </x:c>
      <x:c r="AG608" s="32" t="n">
        <x:v>17.36</x:v>
      </x:c>
      <x:c r="AH608" s="32" t="n">
        <x:v>64.37</x:v>
      </x:c>
      <x:c r="AI608" s="32" t="n">
        <x:v>51.57</x:v>
      </x:c>
      <x:c r="AJ608" s="32" t="n">
        <x:v>54.9</x:v>
      </x:c>
      <x:c r="AK608" s="32" t="n">
        <x:v>41.69</x:v>
      </x:c>
      <x:c r="AL608" s="32" t="n">
        <x:v>46.23</x:v>
      </x:c>
      <x:c r="AM608" s="32" t="str">
        <x:v>#000000</x:v>
      </x:c>
      <x:c r="AN608" s="32" t="str">
        <x:v>Black</x:v>
      </x:c>
      <x:c r="AO608" s="32" t="n">
        <x:v>5.57</x:v>
      </x:c>
      <x:c r="AP608" s="32" t="n">
        <x:v>5.57</x:v>
      </x:c>
      <x:c r="AQ608" s="32" t="n">
        <x:v>3.77</x:v>
      </x:c>
      <x:c r="AR608" s="32" t="n">
        <x:v>0.228322</x:v>
      </x:c>
      <x:c r="AS608" t="str">
        <x:v>PASS</x:v>
      </x:c>
      <x:c r="AT608" t="str">
        <x:v>--cda-pstp-050</x:v>
      </x:c>
      <x:c r="AU608" t="str">
        <x:v>var(--cda-pstp-050)</x:v>
      </x:c>
      <x:c r="AV608" t="str">
        <x:v>Median RGB from official PDF swatch (screen reference only)</x:v>
      </x:c>
      <x:c r="AW608" t="str">
        <x:v>https://www.carandache.com/content_files/uploaded_doc/product/10985/Colour_Chart_Pastel_Pencil.pdf</x:v>
      </x:c>
      <x:c r="AX608" t="n">
        <x:v>1</x:v>
      </x:c>
      <x:c r="AY608" t="str">
        <x:v>Official</x:v>
      </x:c>
      <x:c r="AZ608" t="str">
        <x:v>Official where available; curated Traditional Chinese/Japanese otherwise</x:v>
      </x:c>
      <x:c r="BA608" t="str">
        <x:v>Verified from official chart; digital HEX is approximate</x:v>
      </x:c>
      <x:c r="BB608" t="str">
        <x:v>Physical media appearance varies by paper, pressure, layering, water and scan/display profile.</x:v>
      </x:c>
    </x:row>
    <x:row r="609">
      <x:c r="A609" t="str">
        <x:f>G609&amp;"|"&amp;L609</x:f>
        <x:v>PSTP|060</x:v>
      </x:c>
      <x:c r="B609" t="str">
        <x:v>a7f8edd6-5dbb-5c3e-b7fe-88bdab26fa37</x:v>
      </x:c>
      <x:c r="C609" t="str">
        <x:v>CDA-PSTP-060</x:v>
      </x:c>
      <x:c r="D609" t="str">
        <x:v>332db2c4-d0e9-5445-b3ee-924c107cece4</x:v>
      </x:c>
      <x:c r="E609" t="str">
        <x:v>CDA-CODE-060</x:v>
      </x:c>
      <x:c r="F609" t="str">
        <x:v>Caran d’Ache</x:v>
      </x:c>
      <x:c r="G609" t="str">
        <x:v>PSTP</x:v>
      </x:c>
      <x:c r="H609" t="str">
        <x:v>PASTEL PENCILS</x:v>
      </x:c>
      <x:c r="I609" t="str">
        <x:v>Extra-fine dry pastel pencil</x:v>
      </x:c>
      <x:c r="J609" t="str">
        <x:v>Professional</x:v>
      </x:c>
      <x:c r="K609" s="30" t="n">
        <x:v>12</x:v>
      </x:c>
      <x:c r="L609" s="30" t="str">
        <x:v>060</x:v>
      </x:c>
      <x:c r="M609" t="str">
        <x:v>Vermilion</x:v>
      </x:c>
      <x:c r="N609" t="str">
        <x:v>朱紅</x:v>
      </x:c>
      <x:c r="O609" t="str">
        <x:v>バーミリオン</x:v>
      </x:c>
      <x:c r="P609" t="str"/>
      <x:c r="Q609" t="str">
        <x:v>Vermillon</x:v>
      </x:c>
      <x:c r="R609" t="str">
        <x:v>Zinnoberrot</x:v>
      </x:c>
      <x:c r="S609" t="str">
        <x:v>Vermiglione</x:v>
      </x:c>
      <x:c r="T609" t="str">
        <x:v>Bermellón</x:v>
      </x:c>
      <x:c r="U609" t="str">
        <x:v>Vermelhão</x:v>
      </x:c>
      <x:c r="V609" t="str"/>
      <x:c r="W609" t="str">
        <x:v>PR254/PO82/PY3</x:v>
      </x:c>
      <x:c r="X609" t="n">
        <x:f>IF(W609="",0,LEN(W609)-LEN(SUBSTITUTE(W609,"/",""))+1)</x:f>
        <x:v>3</x:v>
      </x:c>
      <x:c r="Y609" t="str">
        <x:v>H</x:v>
      </x:c>
      <x:c r="Z609" s="32" t="n">
        <x:v>1</x:v>
      </x:c>
      <x:c r="AA609" s="32" t="n">
        <x:v>5</x:v>
      </x:c>
      <x:c r="AB609" s="32" t="str">
        <x:v>Blue Wool Scale / UV 150h</x:v>
      </x:c>
      <x:c r="AC609" t="str">
        <x:v>#D34733</x:v>
      </x:c>
      <x:c r="AD609" s="34" t="n">
        <x:v>211</x:v>
      </x:c>
      <x:c r="AE609" s="34" t="n">
        <x:v>71</x:v>
      </x:c>
      <x:c r="AF609" s="34" t="n">
        <x:v>51</x:v>
      </x:c>
      <x:c r="AG609" s="32" t="n">
        <x:v>7.5</x:v>
      </x:c>
      <x:c r="AH609" s="32" t="n">
        <x:v>64.52</x:v>
      </x:c>
      <x:c r="AI609" s="32" t="n">
        <x:v>51.37</x:v>
      </x:c>
      <x:c r="AJ609" s="32" t="n">
        <x:v>50.21</x:v>
      </x:c>
      <x:c r="AK609" s="32" t="n">
        <x:v>53.96</x:v>
      </x:c>
      <x:c r="AL609" s="32" t="n">
        <x:v>41.8</x:v>
      </x:c>
      <x:c r="AM609" s="32" t="str">
        <x:v>#000000</x:v>
      </x:c>
      <x:c r="AN609" s="32" t="str">
        <x:v>Black</x:v>
      </x:c>
      <x:c r="AO609" s="32" t="n">
        <x:v>4.72</x:v>
      </x:c>
      <x:c r="AP609" s="32" t="n">
        <x:v>4.72</x:v>
      </x:c>
      <x:c r="AQ609" s="32" t="n">
        <x:v>4.45</x:v>
      </x:c>
      <x:c r="AR609" s="32" t="n">
        <x:v>0.185944</x:v>
      </x:c>
      <x:c r="AS609" t="str">
        <x:v>PASS</x:v>
      </x:c>
      <x:c r="AT609" t="str">
        <x:v>--cda-pstp-060</x:v>
      </x:c>
      <x:c r="AU609" t="str">
        <x:v>var(--cda-pstp-060)</x:v>
      </x:c>
      <x:c r="AV609" t="str">
        <x:v>Median RGB from official PDF swatch (screen reference only)</x:v>
      </x:c>
      <x:c r="AW609" t="str">
        <x:v>https://www.carandache.com/content_files/uploaded_doc/product/10985/Colour_Chart_Pastel_Pencil.pdf</x:v>
      </x:c>
      <x:c r="AX609" t="n">
        <x:v>1</x:v>
      </x:c>
      <x:c r="AY609" t="str">
        <x:v>Official</x:v>
      </x:c>
      <x:c r="AZ609" t="str">
        <x:v>Official where available; curated Traditional Chinese/Japanese otherwise</x:v>
      </x:c>
      <x:c r="BA609" t="str">
        <x:v>Verified from official chart; digital HEX is approximate</x:v>
      </x:c>
      <x:c r="BB609" t="str">
        <x:v>Physical media appearance varies by paper, pressure, layering, water and scan/display profile.</x:v>
      </x:c>
    </x:row>
    <x:row r="610">
      <x:c r="A610" t="str">
        <x:f>G610&amp;"|"&amp;L610</x:f>
        <x:v>PSTP|581</x:v>
      </x:c>
      <x:c r="B610" t="str">
        <x:v>1f5ad5d8-2986-586c-9e72-bd0b744ffcc4</x:v>
      </x:c>
      <x:c r="C610" t="str">
        <x:v>CDA-PSTP-581</x:v>
      </x:c>
      <x:c r="D610" t="str">
        <x:v>d612d7ac-3f3b-585f-921d-ba2432829883</x:v>
      </x:c>
      <x:c r="E610" t="str">
        <x:v>CDA-CODE-581</x:v>
      </x:c>
      <x:c r="F610" t="str">
        <x:v>Caran d’Ache</x:v>
      </x:c>
      <x:c r="G610" t="str">
        <x:v>PSTP</x:v>
      </x:c>
      <x:c r="H610" t="str">
        <x:v>PASTEL PENCILS</x:v>
      </x:c>
      <x:c r="I610" t="str">
        <x:v>Extra-fine dry pastel pencil</x:v>
      </x:c>
      <x:c r="J610" t="str">
        <x:v>Professional</x:v>
      </x:c>
      <x:c r="K610" s="30" t="n">
        <x:v>13</x:v>
      </x:c>
      <x:c r="L610" s="30" t="str">
        <x:v>581</x:v>
      </x:c>
      <x:c r="M610" t="str">
        <x:v>Pink white</x:v>
      </x:c>
      <x:c r="N610" t="str">
        <x:v>粉白色</x:v>
      </x:c>
      <x:c r="O610" t="str">
        <x:v>ピンクホワイト</x:v>
      </x:c>
      <x:c r="P610" t="str"/>
      <x:c r="Q610" t="str">
        <x:v>Blanc rosé</x:v>
      </x:c>
      <x:c r="R610" t="str">
        <x:v>Rosaweiss</x:v>
      </x:c>
      <x:c r="S610" t="str">
        <x:v>Bianco rosa</x:v>
      </x:c>
      <x:c r="T610" t="str">
        <x:v>Blanco rosa</x:v>
      </x:c>
      <x:c r="U610" t="str">
        <x:v>Branco rosa</x:v>
      </x:c>
      <x:c r="V610" t="str"/>
      <x:c r="W610" t="str">
        <x:v>PW6/PR101</x:v>
      </x:c>
      <x:c r="X610" t="n">
        <x:f>IF(W610="",0,LEN(W610)-LEN(SUBSTITUTE(W610,"/",""))+1)</x:f>
        <x:v>2</x:v>
      </x:c>
      <x:c r="Y610" t="str">
        <x:v>HHH</x:v>
      </x:c>
      <x:c r="Z610" s="32" t="n">
        <x:v>3</x:v>
      </x:c>
      <x:c r="AA610" s="32" t="n">
        <x:v>5</x:v>
      </x:c>
      <x:c r="AB610" s="32" t="str">
        <x:v>Blue Wool Scale / UV 150h</x:v>
      </x:c>
      <x:c r="AC610" t="str">
        <x:v>#C2B9B3</x:v>
      </x:c>
      <x:c r="AD610" s="34" t="n">
        <x:v>194</x:v>
      </x:c>
      <x:c r="AE610" s="34" t="n">
        <x:v>185</x:v>
      </x:c>
      <x:c r="AF610" s="34" t="n">
        <x:v>179</x:v>
      </x:c>
      <x:c r="AG610" s="32" t="n">
        <x:v>24</x:v>
      </x:c>
      <x:c r="AH610" s="32" t="n">
        <x:v>10.95</x:v>
      </x:c>
      <x:c r="AI610" s="32" t="n">
        <x:v>73.14</x:v>
      </x:c>
      <x:c r="AJ610" s="32" t="n">
        <x:v>75.71</x:v>
      </x:c>
      <x:c r="AK610" s="32" t="n">
        <x:v>2.12</x:v>
      </x:c>
      <x:c r="AL610" s="32" t="n">
        <x:v>4.17</x:v>
      </x:c>
      <x:c r="AM610" s="32" t="str">
        <x:v>#000000</x:v>
      </x:c>
      <x:c r="AN610" s="32" t="str">
        <x:v>Black</x:v>
      </x:c>
      <x:c r="AO610" s="32" t="n">
        <x:v>10.88</x:v>
      </x:c>
      <x:c r="AP610" s="32" t="n">
        <x:v>10.88</x:v>
      </x:c>
      <x:c r="AQ610" s="32" t="n">
        <x:v>1.93</x:v>
      </x:c>
      <x:c r="AR610" s="32" t="n">
        <x:v>0.494219</x:v>
      </x:c>
      <x:c r="AS610" t="str">
        <x:v>PASS</x:v>
      </x:c>
      <x:c r="AT610" t="str">
        <x:v>--cda-pstp-581</x:v>
      </x:c>
      <x:c r="AU610" t="str">
        <x:v>var(--cda-pstp-581)</x:v>
      </x:c>
      <x:c r="AV610" t="str">
        <x:v>Median RGB from official PDF swatch (screen reference only)</x:v>
      </x:c>
      <x:c r="AW610" t="str">
        <x:v>https://www.carandache.com/content_files/uploaded_doc/product/10985/Colour_Chart_Pastel_Pencil.pdf</x:v>
      </x:c>
      <x:c r="AX610" t="n">
        <x:v>1</x:v>
      </x:c>
      <x:c r="AY610" t="str">
        <x:v>Official</x:v>
      </x:c>
      <x:c r="AZ610" t="str">
        <x:v>Official where available; curated Traditional Chinese/Japanese otherwise</x:v>
      </x:c>
      <x:c r="BA610" t="str">
        <x:v>Verified from official chart; digital HEX is approximate</x:v>
      </x:c>
      <x:c r="BB610" t="str">
        <x:v>Physical media appearance varies by paper, pressure, layering, water and scan/display profile.</x:v>
      </x:c>
    </x:row>
    <x:row r="611">
      <x:c r="A611" t="str">
        <x:f>G611&amp;"|"&amp;L611</x:f>
        <x:v>PSTP|583</x:v>
      </x:c>
      <x:c r="B611" t="str">
        <x:v>f9657d6f-ff38-53c1-8224-d6ce1bd64d2a</x:v>
      </x:c>
      <x:c r="C611" t="str">
        <x:v>CDA-PSTP-583</x:v>
      </x:c>
      <x:c r="D611" t="str">
        <x:v>5780f78b-af0e-59ae-80af-4c20afd80775</x:v>
      </x:c>
      <x:c r="E611" t="str">
        <x:v>CDA-CODE-583</x:v>
      </x:c>
      <x:c r="F611" t="str">
        <x:v>Caran d’Ache</x:v>
      </x:c>
      <x:c r="G611" t="str">
        <x:v>PSTP</x:v>
      </x:c>
      <x:c r="H611" t="str">
        <x:v>PASTEL PENCILS</x:v>
      </x:c>
      <x:c r="I611" t="str">
        <x:v>Extra-fine dry pastel pencil</x:v>
      </x:c>
      <x:c r="J611" t="str">
        <x:v>Professional</x:v>
      </x:c>
      <x:c r="K611" s="30" t="n">
        <x:v>14</x:v>
      </x:c>
      <x:c r="L611" s="30" t="str">
        <x:v>583</x:v>
      </x:c>
      <x:c r="M611" t="str">
        <x:v>Violet pink</x:v>
      </x:c>
      <x:c r="N611" t="str">
        <x:v>紫粉紅</x:v>
      </x:c>
      <x:c r="O611" t="str">
        <x:v>バイオレットピンク</x:v>
      </x:c>
      <x:c r="P611" t="str"/>
      <x:c r="Q611" t="str">
        <x:v>Rose violine</x:v>
      </x:c>
      <x:c r="R611" t="str">
        <x:v>Violettrosa</x:v>
      </x:c>
      <x:c r="S611" t="str">
        <x:v>Rosa violetto</x:v>
      </x:c>
      <x:c r="T611" t="str">
        <x:v>Rosa violeta</x:v>
      </x:c>
      <x:c r="U611" t="str">
        <x:v>Rosa violino</x:v>
      </x:c>
      <x:c r="V611" t="str"/>
      <x:c r="W611" t="str">
        <x:v>PR101/PR168/PO82/PR122/PBk11/PY42/PBk7/PBr7</x:v>
      </x:c>
      <x:c r="X611" t="n">
        <x:f>IF(W611="",0,LEN(W611)-LEN(SUBSTITUTE(W611,"/",""))+1)</x:f>
        <x:v>8</x:v>
      </x:c>
      <x:c r="Y611" t="str">
        <x:v>H</x:v>
      </x:c>
      <x:c r="Z611" s="32" t="n">
        <x:v>1</x:v>
      </x:c>
      <x:c r="AA611" s="32" t="n">
        <x:v>5</x:v>
      </x:c>
      <x:c r="AB611" s="32" t="str">
        <x:v>Blue Wool Scale / UV 150h</x:v>
      </x:c>
      <x:c r="AC611" t="str">
        <x:v>#A56769</x:v>
      </x:c>
      <x:c r="AD611" s="34" t="n">
        <x:v>165</x:v>
      </x:c>
      <x:c r="AE611" s="34" t="n">
        <x:v>103</x:v>
      </x:c>
      <x:c r="AF611" s="34" t="n">
        <x:v>105</x:v>
      </x:c>
      <x:c r="AG611" s="32" t="n">
        <x:v>358.06</x:v>
      </x:c>
      <x:c r="AH611" s="32" t="n">
        <x:v>25.62</x:v>
      </x:c>
      <x:c r="AI611" s="32" t="n">
        <x:v>52.55</x:v>
      </x:c>
      <x:c r="AJ611" s="32" t="n">
        <x:v>50.36</x:v>
      </x:c>
      <x:c r="AK611" s="32" t="n">
        <x:v>25.17</x:v>
      </x:c>
      <x:c r="AL611" s="32" t="n">
        <x:v>9.39</x:v>
      </x:c>
      <x:c r="AM611" s="32" t="str">
        <x:v>#000000</x:v>
      </x:c>
      <x:c r="AN611" s="32" t="str">
        <x:v>Black</x:v>
      </x:c>
      <x:c r="AO611" s="32" t="n">
        <x:v>4.74</x:v>
      </x:c>
      <x:c r="AP611" s="32" t="n">
        <x:v>4.74</x:v>
      </x:c>
      <x:c r="AQ611" s="32" t="n">
        <x:v>4.43</x:v>
      </x:c>
      <x:c r="AR611" s="32" t="n">
        <x:v>0.187197</x:v>
      </x:c>
      <x:c r="AS611" t="str">
        <x:v>PASS</x:v>
      </x:c>
      <x:c r="AT611" t="str">
        <x:v>--cda-pstp-583</x:v>
      </x:c>
      <x:c r="AU611" t="str">
        <x:v>var(--cda-pstp-583)</x:v>
      </x:c>
      <x:c r="AV611" t="str">
        <x:v>Median RGB from official PDF swatch (screen reference only)</x:v>
      </x:c>
      <x:c r="AW611" t="str">
        <x:v>https://www.carandache.com/content_files/uploaded_doc/product/10985/Colour_Chart_Pastel_Pencil.pdf</x:v>
      </x:c>
      <x:c r="AX611" t="n">
        <x:v>1</x:v>
      </x:c>
      <x:c r="AY611" t="str">
        <x:v>Official</x:v>
      </x:c>
      <x:c r="AZ611" t="str">
        <x:v>Official where available; curated Traditional Chinese/Japanese otherwise</x:v>
      </x:c>
      <x:c r="BA611" t="str">
        <x:v>Verified from official chart; digital HEX is approximate</x:v>
      </x:c>
      <x:c r="BB611" t="str">
        <x:v>Physical media appearance varies by paper, pressure, layering, water and scan/display profile.</x:v>
      </x:c>
    </x:row>
    <x:row r="612">
      <x:c r="A612" t="str">
        <x:f>G612&amp;"|"&amp;L612</x:f>
        <x:v>PSTP|070</x:v>
      </x:c>
      <x:c r="B612" t="str">
        <x:v>2912de85-b956-57f7-9b37-f62d9612d16a</x:v>
      </x:c>
      <x:c r="C612" t="str">
        <x:v>CDA-PSTP-070</x:v>
      </x:c>
      <x:c r="D612" t="str">
        <x:v>2dcedd03-0d82-5dc4-a34e-7ed1c317e71e</x:v>
      </x:c>
      <x:c r="E612" t="str">
        <x:v>CDA-CODE-070</x:v>
      </x:c>
      <x:c r="F612" t="str">
        <x:v>Caran d’Ache</x:v>
      </x:c>
      <x:c r="G612" t="str">
        <x:v>PSTP</x:v>
      </x:c>
      <x:c r="H612" t="str">
        <x:v>PASTEL PENCILS</x:v>
      </x:c>
      <x:c r="I612" t="str">
        <x:v>Extra-fine dry pastel pencil</x:v>
      </x:c>
      <x:c r="J612" t="str">
        <x:v>Professional</x:v>
      </x:c>
      <x:c r="K612" s="30" t="n">
        <x:v>15</x:v>
      </x:c>
      <x:c r="L612" s="30" t="str">
        <x:v>070</x:v>
      </x:c>
      <x:c r="M612" t="str">
        <x:v>Scarlet</x:v>
      </x:c>
      <x:c r="N612" t="str">
        <x:v>猩紅</x:v>
      </x:c>
      <x:c r="O612" t="str">
        <x:v>スカーレット</x:v>
      </x:c>
      <x:c r="P612" t="str"/>
      <x:c r="Q612" t="str">
        <x:v>Ecarlate</x:v>
      </x:c>
      <x:c r="R612" t="str">
        <x:v>Scharlachrot</x:v>
      </x:c>
      <x:c r="S612" t="str">
        <x:v>Scarlatto</x:v>
      </x:c>
      <x:c r="T612" t="str">
        <x:v>Escarlata</x:v>
      </x:c>
      <x:c r="U612" t="str">
        <x:v>Escarlate</x:v>
      </x:c>
      <x:c r="V612" t="str"/>
      <x:c r="W612" t="str">
        <x:v>PR254</x:v>
      </x:c>
      <x:c r="X612" t="n">
        <x:f>IF(W612="",0,LEN(W612)-LEN(SUBSTITUTE(W612,"/",""))+1)</x:f>
        <x:v>1</x:v>
      </x:c>
      <x:c r="Y612" t="str">
        <x:v>HHH</x:v>
      </x:c>
      <x:c r="Z612" s="32" t="n">
        <x:v>3</x:v>
      </x:c>
      <x:c r="AA612" s="32" t="n">
        <x:v>5</x:v>
      </x:c>
      <x:c r="AB612" s="32" t="str">
        <x:v>Blue Wool Scale / UV 150h</x:v>
      </x:c>
      <x:c r="AC612" t="str">
        <x:v>#BE1B2F</x:v>
      </x:c>
      <x:c r="AD612" s="34" t="n">
        <x:v>190</x:v>
      </x:c>
      <x:c r="AE612" s="34" t="n">
        <x:v>27</x:v>
      </x:c>
      <x:c r="AF612" s="34" t="n">
        <x:v>47</x:v>
      </x:c>
      <x:c r="AG612" s="32" t="n">
        <x:v>352.64</x:v>
      </x:c>
      <x:c r="AH612" s="32" t="n">
        <x:v>75.12</x:v>
      </x:c>
      <x:c r="AI612" s="32" t="n">
        <x:v>42.55</x:v>
      </x:c>
      <x:c r="AJ612" s="32" t="n">
        <x:v>41.12</x:v>
      </x:c>
      <x:c r="AK612" s="32" t="n">
        <x:v>61.45</x:v>
      </x:c>
      <x:c r="AL612" s="32" t="n">
        <x:v>32.97</x:v>
      </x:c>
      <x:c r="AM612" s="32" t="str">
        <x:v>#FFFFFF</x:v>
      </x:c>
      <x:c r="AN612" s="32" t="str">
        <x:v>White</x:v>
      </x:c>
      <x:c r="AO612" s="32" t="n">
        <x:v>6.2</x:v>
      </x:c>
      <x:c r="AP612" s="32" t="n">
        <x:v>3.39</x:v>
      </x:c>
      <x:c r="AQ612" s="32" t="n">
        <x:v>6.2</x:v>
      </x:c>
      <x:c r="AR612" s="32" t="n">
        <x:v>0.119363</x:v>
      </x:c>
      <x:c r="AS612" t="str">
        <x:v>PASS</x:v>
      </x:c>
      <x:c r="AT612" t="str">
        <x:v>--cda-pstp-070</x:v>
      </x:c>
      <x:c r="AU612" t="str">
        <x:v>var(--cda-pstp-070)</x:v>
      </x:c>
      <x:c r="AV612" t="str">
        <x:v>Median RGB from official PDF swatch (screen reference only)</x:v>
      </x:c>
      <x:c r="AW612" t="str">
        <x:v>https://www.carandache.com/content_files/uploaded_doc/product/10985/Colour_Chart_Pastel_Pencil.pdf</x:v>
      </x:c>
      <x:c r="AX612" t="n">
        <x:v>1</x:v>
      </x:c>
      <x:c r="AY612" t="str">
        <x:v>Official</x:v>
      </x:c>
      <x:c r="AZ612" t="str">
        <x:v>Official where available; curated Traditional Chinese/Japanese otherwise</x:v>
      </x:c>
      <x:c r="BA612" t="str">
        <x:v>Verified from official chart; digital HEX is approximate</x:v>
      </x:c>
      <x:c r="BB612" t="str">
        <x:v>Physical media appearance varies by paper, pressure, layering, water and scan/display profile.</x:v>
      </x:c>
    </x:row>
    <x:row r="613">
      <x:c r="A613" t="str">
        <x:f>G613&amp;"|"&amp;L613</x:f>
        <x:v>PSTP|080</x:v>
      </x:c>
      <x:c r="B613" t="str">
        <x:v>3c2b8bac-d665-5fed-9aed-c870bc1a3bbe</x:v>
      </x:c>
      <x:c r="C613" t="str">
        <x:v>CDA-PSTP-080</x:v>
      </x:c>
      <x:c r="D613" t="str">
        <x:v>8fc33401-4732-5074-a23a-104fe5efd12f</x:v>
      </x:c>
      <x:c r="E613" t="str">
        <x:v>CDA-CODE-080</x:v>
      </x:c>
      <x:c r="F613" t="str">
        <x:v>Caran d’Ache</x:v>
      </x:c>
      <x:c r="G613" t="str">
        <x:v>PSTP</x:v>
      </x:c>
      <x:c r="H613" t="str">
        <x:v>PASTEL PENCILS</x:v>
      </x:c>
      <x:c r="I613" t="str">
        <x:v>Extra-fine dry pastel pencil</x:v>
      </x:c>
      <x:c r="J613" t="str">
        <x:v>Professional</x:v>
      </x:c>
      <x:c r="K613" s="30" t="n">
        <x:v>16</x:v>
      </x:c>
      <x:c r="L613" s="30" t="str">
        <x:v>080</x:v>
      </x:c>
      <x:c r="M613" t="str">
        <x:v>Carmine Lake</x:v>
      </x:c>
      <x:c r="N613" t="str">
        <x:v>胭脂紅色淀</x:v>
      </x:c>
      <x:c r="O613" t="str">
        <x:v>カーマインレーキ</x:v>
      </x:c>
      <x:c r="P613" t="str"/>
      <x:c r="Q613" t="str">
        <x:v>Carmin</x:v>
      </x:c>
      <x:c r="R613" t="str">
        <x:v>Karmin</x:v>
      </x:c>
      <x:c r="S613" t="str">
        <x:v>Carminio</x:v>
      </x:c>
      <x:c r="T613" t="str">
        <x:v>Carmín</x:v>
      </x:c>
      <x:c r="U613" t="str">
        <x:v>Carmin</x:v>
      </x:c>
      <x:c r="V613" t="str"/>
      <x:c r="W613" t="str">
        <x:v>PR48:3/PR179</x:v>
      </x:c>
      <x:c r="X613" t="n">
        <x:f>IF(W613="",0,LEN(W613)-LEN(SUBSTITUTE(W613,"/",""))+1)</x:f>
        <x:v>2</x:v>
      </x:c>
      <x:c r="Y613" t="str">
        <x:v>H</x:v>
      </x:c>
      <x:c r="Z613" s="32" t="n">
        <x:v>1</x:v>
      </x:c>
      <x:c r="AA613" s="32" t="n">
        <x:v>5</x:v>
      </x:c>
      <x:c r="AB613" s="32" t="str">
        <x:v>Blue Wool Scale / UV 150h</x:v>
      </x:c>
      <x:c r="AC613" t="str">
        <x:v>#B81D33</x:v>
      </x:c>
      <x:c r="AD613" s="34" t="n">
        <x:v>184</x:v>
      </x:c>
      <x:c r="AE613" s="34" t="n">
        <x:v>29</x:v>
      </x:c>
      <x:c r="AF613" s="34" t="n">
        <x:v>51</x:v>
      </x:c>
      <x:c r="AG613" s="32" t="n">
        <x:v>351.48</x:v>
      </x:c>
      <x:c r="AH613" s="32" t="n">
        <x:v>72.77</x:v>
      </x:c>
      <x:c r="AI613" s="32" t="n">
        <x:v>41.76</x:v>
      </x:c>
      <x:c r="AJ613" s="32" t="n">
        <x:v>40.1</x:v>
      </x:c>
      <x:c r="AK613" s="32" t="n">
        <x:v>59.53</x:v>
      </x:c>
      <x:c r="AL613" s="32" t="n">
        <x:v>29.05</x:v>
      </x:c>
      <x:c r="AM613" s="32" t="str">
        <x:v>#FFFFFF</x:v>
      </x:c>
      <x:c r="AN613" s="32" t="str">
        <x:v>White</x:v>
      </x:c>
      <x:c r="AO613" s="32" t="n">
        <x:v>6.44</x:v>
      </x:c>
      <x:c r="AP613" s="32" t="n">
        <x:v>3.26</x:v>
      </x:c>
      <x:c r="AQ613" s="32" t="n">
        <x:v>6.44</x:v>
      </x:c>
      <x:c r="AR613" s="32" t="n">
        <x:v>0.113081</x:v>
      </x:c>
      <x:c r="AS613" t="str">
        <x:v>PASS</x:v>
      </x:c>
      <x:c r="AT613" t="str">
        <x:v>--cda-pstp-080</x:v>
      </x:c>
      <x:c r="AU613" t="str">
        <x:v>var(--cda-pstp-080)</x:v>
      </x:c>
      <x:c r="AV613" t="str">
        <x:v>Median RGB from official PDF swatch (screen reference only)</x:v>
      </x:c>
      <x:c r="AW613" t="str">
        <x:v>https://www.carandache.com/content_files/uploaded_doc/product/10985/Colour_Chart_Pastel_Pencil.pdf</x:v>
      </x:c>
      <x:c r="AX613" t="n">
        <x:v>1</x:v>
      </x:c>
      <x:c r="AY613" t="str">
        <x:v>Official</x:v>
      </x:c>
      <x:c r="AZ613" t="str">
        <x:v>Official where available; curated Traditional Chinese/Japanese otherwise</x:v>
      </x:c>
      <x:c r="BA613" t="str">
        <x:v>Verified from official chart; digital HEX is approximate</x:v>
      </x:c>
      <x:c r="BB613" t="str">
        <x:v>Physical media appearance varies by paper, pressure, layering, water and scan/display profile.</x:v>
      </x:c>
    </x:row>
    <x:row r="614">
      <x:c r="A614" t="str">
        <x:f>G614&amp;"|"&amp;L614</x:f>
        <x:v>PSTP|585</x:v>
      </x:c>
      <x:c r="B614" t="str">
        <x:v>5036340f-1c56-5665-bdc5-fa106e5e72e5</x:v>
      </x:c>
      <x:c r="C614" t="str">
        <x:v>CDA-PSTP-585</x:v>
      </x:c>
      <x:c r="D614" t="str">
        <x:v>191801bc-d7f5-59fc-95eb-bde93a74e9ef</x:v>
      </x:c>
      <x:c r="E614" t="str">
        <x:v>CDA-CODE-585</x:v>
      </x:c>
      <x:c r="F614" t="str">
        <x:v>Caran d’Ache</x:v>
      </x:c>
      <x:c r="G614" t="str">
        <x:v>PSTP</x:v>
      </x:c>
      <x:c r="H614" t="str">
        <x:v>PASTEL PENCILS</x:v>
      </x:c>
      <x:c r="I614" t="str">
        <x:v>Extra-fine dry pastel pencil</x:v>
      </x:c>
      <x:c r="J614" t="str">
        <x:v>Professional</x:v>
      </x:c>
      <x:c r="K614" s="30" t="n">
        <x:v>17</x:v>
      </x:c>
      <x:c r="L614" s="30" t="str">
        <x:v>585</x:v>
      </x:c>
      <x:c r="M614" t="str">
        <x:v>Perylene brown</x:v>
      </x:c>
      <x:c r="N614" t="str">
        <x:v>苝棕</x:v>
      </x:c>
      <x:c r="O614" t="str">
        <x:v>ペリレンブラウン</x:v>
      </x:c>
      <x:c r="P614" t="str"/>
      <x:c r="Q614" t="str">
        <x:v>Marron de pérylène</x:v>
      </x:c>
      <x:c r="R614" t="str">
        <x:v>Perylen braun</x:v>
      </x:c>
      <x:c r="S614" t="str">
        <x:v>Bruno di pérylène</x:v>
      </x:c>
      <x:c r="T614" t="str">
        <x:v>Marrón de peryleno</x:v>
      </x:c>
      <x:c r="U614" t="str">
        <x:v>Castanho Perylene</x:v>
      </x:c>
      <x:c r="V614" t="str"/>
      <x:c r="W614" t="str">
        <x:v>PR179</x:v>
      </x:c>
      <x:c r="X614" t="n">
        <x:f>IF(W614="",0,LEN(W614)-LEN(SUBSTITUTE(W614,"/",""))+1)</x:f>
        <x:v>1</x:v>
      </x:c>
      <x:c r="Y614" t="str">
        <x:v>HH</x:v>
      </x:c>
      <x:c r="Z614" s="32" t="n">
        <x:v>2</x:v>
      </x:c>
      <x:c r="AA614" s="32" t="n">
        <x:v>5</x:v>
      </x:c>
      <x:c r="AB614" s="32" t="str">
        <x:v>Blue Wool Scale / UV 150h</x:v>
      </x:c>
      <x:c r="AC614" t="str">
        <x:v>#A1353D</x:v>
      </x:c>
      <x:c r="AD614" s="34" t="n">
        <x:v>161</x:v>
      </x:c>
      <x:c r="AE614" s="34" t="n">
        <x:v>53</x:v>
      </x:c>
      <x:c r="AF614" s="34" t="n">
        <x:v>61</x:v>
      </x:c>
      <x:c r="AG614" s="32" t="n">
        <x:v>355.56</x:v>
      </x:c>
      <x:c r="AH614" s="32" t="n">
        <x:v>50.47</x:v>
      </x:c>
      <x:c r="AI614" s="32" t="n">
        <x:v>41.96</x:v>
      </x:c>
      <x:c r="AJ614" s="32" t="n">
        <x:v>38.66</x:v>
      </x:c>
      <x:c r="AK614" s="32" t="n">
        <x:v>45.08</x:v>
      </x:c>
      <x:c r="AL614" s="32" t="n">
        <x:v>20.1</x:v>
      </x:c>
      <x:c r="AM614" s="32" t="str">
        <x:v>#FFFFFF</x:v>
      </x:c>
      <x:c r="AN614" s="32" t="str">
        <x:v>White</x:v>
      </x:c>
      <x:c r="AO614" s="32" t="n">
        <x:v>6.79</x:v>
      </x:c>
      <x:c r="AP614" s="32" t="n">
        <x:v>3.09</x:v>
      </x:c>
      <x:c r="AQ614" s="32" t="n">
        <x:v>6.79</x:v>
      </x:c>
      <x:c r="AR614" s="32" t="n">
        <x:v>0.104602</x:v>
      </x:c>
      <x:c r="AS614" t="str">
        <x:v>PASS</x:v>
      </x:c>
      <x:c r="AT614" t="str">
        <x:v>--cda-pstp-585</x:v>
      </x:c>
      <x:c r="AU614" t="str">
        <x:v>var(--cda-pstp-585)</x:v>
      </x:c>
      <x:c r="AV614" t="str">
        <x:v>Median RGB from official PDF swatch (screen reference only)</x:v>
      </x:c>
      <x:c r="AW614" t="str">
        <x:v>https://www.carandache.com/content_files/uploaded_doc/product/10985/Colour_Chart_Pastel_Pencil.pdf</x:v>
      </x:c>
      <x:c r="AX614" t="n">
        <x:v>1</x:v>
      </x:c>
      <x:c r="AY614" t="str">
        <x:v>Official</x:v>
      </x:c>
      <x:c r="AZ614" t="str">
        <x:v>Official where available; curated Traditional Chinese/Japanese otherwise</x:v>
      </x:c>
      <x:c r="BA614" t="str">
        <x:v>Verified from official chart; digital HEX is approximate</x:v>
      </x:c>
      <x:c r="BB614" t="str">
        <x:v>Physical media appearance varies by paper, pressure, layering, water and scan/display profile.</x:v>
      </x:c>
    </x:row>
    <x:row r="615">
      <x:c r="A615" t="str">
        <x:f>G615&amp;"|"&amp;L615</x:f>
        <x:v>PSTP|105</x:v>
      </x:c>
      <x:c r="B615" t="str">
        <x:v>23b0a191-92e8-5406-8bad-068261cca8ba</x:v>
      </x:c>
      <x:c r="C615" t="str">
        <x:v>CDA-PSTP-105</x:v>
      </x:c>
      <x:c r="D615" t="str">
        <x:v>d02c5ac7-d0fe-509e-9736-1f2720d93a1a</x:v>
      </x:c>
      <x:c r="E615" t="str">
        <x:v>CDA-CODE-105</x:v>
      </x:c>
      <x:c r="F615" t="str">
        <x:v>Caran d’Ache</x:v>
      </x:c>
      <x:c r="G615" t="str">
        <x:v>PSTP</x:v>
      </x:c>
      <x:c r="H615" t="str">
        <x:v>PASTEL PENCILS</x:v>
      </x:c>
      <x:c r="I615" t="str">
        <x:v>Extra-fine dry pastel pencil</x:v>
      </x:c>
      <x:c r="J615" t="str">
        <x:v>Professional</x:v>
      </x:c>
      <x:c r="K615" s="30" t="n">
        <x:v>18</x:v>
      </x:c>
      <x:c r="L615" s="30" t="str">
        <x:v>105</x:v>
      </x:c>
      <x:c r="M615" t="str">
        <x:v>Plum</x:v>
      </x:c>
      <x:c r="N615" t="str">
        <x:v>梅紫色</x:v>
      </x:c>
      <x:c r="O615" t="str">
        <x:v>プラム</x:v>
      </x:c>
      <x:c r="P615" t="str"/>
      <x:c r="Q615" t="str">
        <x:v>Prune</x:v>
      </x:c>
      <x:c r="R615" t="str">
        <x:v>Pflaumenrot</x:v>
      </x:c>
      <x:c r="S615" t="str">
        <x:v>Prugna</x:v>
      </x:c>
      <x:c r="T615" t="str">
        <x:v>Ciruela</x:v>
      </x:c>
      <x:c r="U615" t="str">
        <x:v>Ameixa</x:v>
      </x:c>
      <x:c r="V615" t="str"/>
      <x:c r="W615" t="str">
        <x:v>PR3/PV23/PV19</x:v>
      </x:c>
      <x:c r="X615" t="n">
        <x:f>IF(W615="",0,LEN(W615)-LEN(SUBSTITUTE(W615,"/",""))+1)</x:f>
        <x:v>3</x:v>
      </x:c>
      <x:c r="Y615" t="str">
        <x:v>H</x:v>
      </x:c>
      <x:c r="Z615" s="32" t="n">
        <x:v>1</x:v>
      </x:c>
      <x:c r="AA615" s="32" t="n">
        <x:v>5</x:v>
      </x:c>
      <x:c r="AB615" s="32" t="str">
        <x:v>Blue Wool Scale / UV 150h</x:v>
      </x:c>
      <x:c r="AC615" t="str">
        <x:v>#5E374E</x:v>
      </x:c>
      <x:c r="AD615" s="34" t="n">
        <x:v>94</x:v>
      </x:c>
      <x:c r="AE615" s="34" t="n">
        <x:v>55</x:v>
      </x:c>
      <x:c r="AF615" s="34" t="n">
        <x:v>78</x:v>
      </x:c>
      <x:c r="AG615" s="32" t="n">
        <x:v>324.62</x:v>
      </x:c>
      <x:c r="AH615" s="32" t="n">
        <x:v>26.17</x:v>
      </x:c>
      <x:c r="AI615" s="32" t="n">
        <x:v>29.22</x:v>
      </x:c>
      <x:c r="AJ615" s="32" t="n">
        <x:v>28.54</x:v>
      </x:c>
      <x:c r="AK615" s="32" t="n">
        <x:v>21.09</x:v>
      </x:c>
      <x:c r="AL615" s="32" t="n">
        <x:v>-6.66</x:v>
      </x:c>
      <x:c r="AM615" s="32" t="str">
        <x:v>#FFFFFF</x:v>
      </x:c>
      <x:c r="AN615" s="32" t="str">
        <x:v>White</x:v>
      </x:c>
      <x:c r="AO615" s="32" t="n">
        <x:v>9.85</x:v>
      </x:c>
      <x:c r="AP615" s="32" t="n">
        <x:v>2.13</x:v>
      </x:c>
      <x:c r="AQ615" s="32" t="n">
        <x:v>9.85</x:v>
      </x:c>
      <x:c r="AR615" s="32" t="n">
        <x:v>0.056621</x:v>
      </x:c>
      <x:c r="AS615" t="str">
        <x:v>PASS</x:v>
      </x:c>
      <x:c r="AT615" t="str">
        <x:v>--cda-pstp-105</x:v>
      </x:c>
      <x:c r="AU615" t="str">
        <x:v>var(--cda-pstp-105)</x:v>
      </x:c>
      <x:c r="AV615" t="str">
        <x:v>Median RGB from official PDF swatch (screen reference only)</x:v>
      </x:c>
      <x:c r="AW615" t="str">
        <x:v>https://www.carandache.com/content_files/uploaded_doc/product/10985/Colour_Chart_Pastel_Pencil.pdf</x:v>
      </x:c>
      <x:c r="AX615" t="n">
        <x:v>1</x:v>
      </x:c>
      <x:c r="AY615" t="str">
        <x:v>Official</x:v>
      </x:c>
      <x:c r="AZ615" t="str">
        <x:v>Official where available; curated Traditional Chinese/Japanese otherwise</x:v>
      </x:c>
      <x:c r="BA615" t="str">
        <x:v>Verified from official chart; digital HEX is approximate</x:v>
      </x:c>
      <x:c r="BB615" t="str">
        <x:v>Physical media appearance varies by paper, pressure, layering, water and scan/display profile.</x:v>
      </x:c>
    </x:row>
    <x:row r="616">
      <x:c r="A616" t="str">
        <x:f>G616&amp;"|"&amp;L616</x:f>
        <x:v>PSTP|099</x:v>
      </x:c>
      <x:c r="B616" t="str">
        <x:v>63da6e75-4648-5057-a6c9-85c766689345</x:v>
      </x:c>
      <x:c r="C616" t="str">
        <x:v>CDA-PSTP-099</x:v>
      </x:c>
      <x:c r="D616" t="str">
        <x:v>b1a53e2d-72a1-560f-827c-7dd3d112decc</x:v>
      </x:c>
      <x:c r="E616" t="str">
        <x:v>CDA-CODE-099</x:v>
      </x:c>
      <x:c r="F616" t="str">
        <x:v>Caran d’Ache</x:v>
      </x:c>
      <x:c r="G616" t="str">
        <x:v>PSTP</x:v>
      </x:c>
      <x:c r="H616" t="str">
        <x:v>PASTEL PENCILS</x:v>
      </x:c>
      <x:c r="I616" t="str">
        <x:v>Extra-fine dry pastel pencil</x:v>
      </x:c>
      <x:c r="J616" t="str">
        <x:v>Professional</x:v>
      </x:c>
      <x:c r="K616" s="30" t="n">
        <x:v>19</x:v>
      </x:c>
      <x:c r="L616" s="30" t="str">
        <x:v>099</x:v>
      </x:c>
      <x:c r="M616" t="str">
        <x:v>Aubergine</x:v>
      </x:c>
      <x:c r="N616" t="str">
        <x:v>茄紫色</x:v>
      </x:c>
      <x:c r="O616" t="str">
        <x:v>オーベルジーヌ</x:v>
      </x:c>
      <x:c r="P616" t="str"/>
      <x:c r="Q616" t="str">
        <x:v>Aubergine</x:v>
      </x:c>
      <x:c r="R616" t="str">
        <x:v>Aubergine</x:v>
      </x:c>
      <x:c r="S616" t="str">
        <x:v>Melanzana</x:v>
      </x:c>
      <x:c r="T616" t="str">
        <x:v>Berenjena</x:v>
      </x:c>
      <x:c r="U616" t="str">
        <x:v>Beringela</x:v>
      </x:c>
      <x:c r="V616" t="str"/>
      <x:c r="W616" t="str">
        <x:v>PV19/PB15</x:v>
      </x:c>
      <x:c r="X616" t="n">
        <x:f>IF(W616="",0,LEN(W616)-LEN(SUBSTITUTE(W616,"/",""))+1)</x:f>
        <x:v>2</x:v>
      </x:c>
      <x:c r="Y616" t="str">
        <x:v>H</x:v>
      </x:c>
      <x:c r="Z616" s="32" t="n">
        <x:v>1</x:v>
      </x:c>
      <x:c r="AA616" s="32" t="n">
        <x:v>5</x:v>
      </x:c>
      <x:c r="AB616" s="32" t="str">
        <x:v>Blue Wool Scale / UV 150h</x:v>
      </x:c>
      <x:c r="AC616" t="str">
        <x:v>#99538F</x:v>
      </x:c>
      <x:c r="AD616" s="34" t="n">
        <x:v>153</x:v>
      </x:c>
      <x:c r="AE616" s="34" t="n">
        <x:v>83</x:v>
      </x:c>
      <x:c r="AF616" s="34" t="n">
        <x:v>143</x:v>
      </x:c>
      <x:c r="AG616" s="32" t="n">
        <x:v>308.57</x:v>
      </x:c>
      <x:c r="AH616" s="32" t="n">
        <x:v>29.66</x:v>
      </x:c>
      <x:c r="AI616" s="32" t="n">
        <x:v>46.27</x:v>
      </x:c>
      <x:c r="AJ616" s="32" t="n">
        <x:v>45.56</x:v>
      </x:c>
      <x:c r="AK616" s="32" t="n">
        <x:v>37.84</x:v>
      </x:c>
      <x:c r="AL616" s="32" t="n">
        <x:v>-20.67</x:v>
      </x:c>
      <x:c r="AM616" s="32" t="str">
        <x:v>#FFFFFF</x:v>
      </x:c>
      <x:c r="AN616" s="32" t="str">
        <x:v>White</x:v>
      </x:c>
      <x:c r="AO616" s="32" t="n">
        <x:v>5.27</x:v>
      </x:c>
      <x:c r="AP616" s="32" t="n">
        <x:v>3.99</x:v>
      </x:c>
      <x:c r="AQ616" s="32" t="n">
        <x:v>5.27</x:v>
      </x:c>
      <x:c r="AR616" s="32" t="n">
        <x:v>0.14942</x:v>
      </x:c>
      <x:c r="AS616" t="str">
        <x:v>PASS</x:v>
      </x:c>
      <x:c r="AT616" t="str">
        <x:v>--cda-pstp-099</x:v>
      </x:c>
      <x:c r="AU616" t="str">
        <x:v>var(--cda-pstp-099)</x:v>
      </x:c>
      <x:c r="AV616" t="str">
        <x:v>Median RGB from official PDF swatch (screen reference only)</x:v>
      </x:c>
      <x:c r="AW616" t="str">
        <x:v>https://www.carandache.com/content_files/uploaded_doc/product/10985/Colour_Chart_Pastel_Pencil.pdf</x:v>
      </x:c>
      <x:c r="AX616" t="n">
        <x:v>1</x:v>
      </x:c>
      <x:c r="AY616" t="str">
        <x:v>Official</x:v>
      </x:c>
      <x:c r="AZ616" t="str">
        <x:v>Official where available; curated Traditional Chinese/Japanese otherwise</x:v>
      </x:c>
      <x:c r="BA616" t="str">
        <x:v>Verified from official chart; digital HEX is approximate</x:v>
      </x:c>
      <x:c r="BB616" t="str">
        <x:v>Physical media appearance varies by paper, pressure, layering, water and scan/display profile.</x:v>
      </x:c>
    </x:row>
    <x:row r="617">
      <x:c r="A617" t="str">
        <x:f>G617&amp;"|"&amp;L617</x:f>
        <x:v>PSTP|350</x:v>
      </x:c>
      <x:c r="B617" t="str">
        <x:v>b860bef2-f5e0-5093-9291-94ff96f7250f</x:v>
      </x:c>
      <x:c r="C617" t="str">
        <x:v>CDA-PSTP-350</x:v>
      </x:c>
      <x:c r="D617" t="str">
        <x:v>39bf01fa-a31a-593e-a617-859ebd045d80</x:v>
      </x:c>
      <x:c r="E617" t="str">
        <x:v>CDA-CODE-350</x:v>
      </x:c>
      <x:c r="F617" t="str">
        <x:v>Caran d’Ache</x:v>
      </x:c>
      <x:c r="G617" t="str">
        <x:v>PSTP</x:v>
      </x:c>
      <x:c r="H617" t="str">
        <x:v>PASTEL PENCILS</x:v>
      </x:c>
      <x:c r="I617" t="str">
        <x:v>Extra-fine dry pastel pencil</x:v>
      </x:c>
      <x:c r="J617" t="str">
        <x:v>Professional</x:v>
      </x:c>
      <x:c r="K617" s="30" t="n">
        <x:v>20</x:v>
      </x:c>
      <x:c r="L617" s="30" t="str">
        <x:v>350</x:v>
      </x:c>
      <x:c r="M617" t="str">
        <x:v>Purplish Red</x:v>
      </x:c>
      <x:c r="N617" t="str">
        <x:v>紫紅色</x:v>
      </x:c>
      <x:c r="O617" t="str">
        <x:v>パープリッシュレッド</x:v>
      </x:c>
      <x:c r="P617" t="str"/>
      <x:c r="Q617" t="str">
        <x:v>Rouge Pourpre</x:v>
      </x:c>
      <x:c r="R617" t="str">
        <x:v>Purpurrot</x:v>
      </x:c>
      <x:c r="S617" t="str">
        <x:v>Rosso porpora</x:v>
      </x:c>
      <x:c r="T617" t="str">
        <x:v>Rojo púrpura</x:v>
      </x:c>
      <x:c r="U617" t="str">
        <x:v>Vermelho púrpura</x:v>
      </x:c>
      <x:c r="V617" t="str"/>
      <x:c r="W617" t="str">
        <x:v>PR122</x:v>
      </x:c>
      <x:c r="X617" t="n">
        <x:f>IF(W617="",0,LEN(W617)-LEN(SUBSTITUTE(W617,"/",""))+1)</x:f>
        <x:v>1</x:v>
      </x:c>
      <x:c r="Y617" t="str">
        <x:v>H</x:v>
      </x:c>
      <x:c r="Z617" s="32" t="n">
        <x:v>1</x:v>
      </x:c>
      <x:c r="AA617" s="32" t="n">
        <x:v>5</x:v>
      </x:c>
      <x:c r="AB617" s="32" t="str">
        <x:v>Blue Wool Scale / UV 150h</x:v>
      </x:c>
      <x:c r="AC617" t="str">
        <x:v>#984778</x:v>
      </x:c>
      <x:c r="AD617" s="34" t="n">
        <x:v>152</x:v>
      </x:c>
      <x:c r="AE617" s="34" t="n">
        <x:v>71</x:v>
      </x:c>
      <x:c r="AF617" s="34" t="n">
        <x:v>120</x:v>
      </x:c>
      <x:c r="AG617" s="32" t="n">
        <x:v>323.7</x:v>
      </x:c>
      <x:c r="AH617" s="32" t="n">
        <x:v>36.32</x:v>
      </x:c>
      <x:c r="AI617" s="32" t="n">
        <x:v>43.73</x:v>
      </x:c>
      <x:c r="AJ617" s="32" t="n">
        <x:v>42.06</x:v>
      </x:c>
      <x:c r="AK617" s="32" t="n">
        <x:v>39.99</x:v>
      </x:c>
      <x:c r="AL617" s="32" t="n">
        <x:v>-12.06</x:v>
      </x:c>
      <x:c r="AM617" s="32" t="str">
        <x:v>#FFFFFF</x:v>
      </x:c>
      <x:c r="AN617" s="32" t="str">
        <x:v>White</x:v>
      </x:c>
      <x:c r="AO617" s="32" t="n">
        <x:v>5.99</x:v>
      </x:c>
      <x:c r="AP617" s="32" t="n">
        <x:v>3.51</x:v>
      </x:c>
      <x:c r="AQ617" s="32" t="n">
        <x:v>5.99</x:v>
      </x:c>
      <x:c r="AR617" s="32" t="n">
        <x:v>0.125379</x:v>
      </x:c>
      <x:c r="AS617" t="str">
        <x:v>PASS</x:v>
      </x:c>
      <x:c r="AT617" t="str">
        <x:v>--cda-pstp-350</x:v>
      </x:c>
      <x:c r="AU617" t="str">
        <x:v>var(--cda-pstp-350)</x:v>
      </x:c>
      <x:c r="AV617" t="str">
        <x:v>Median RGB from official PDF swatch (screen reference only)</x:v>
      </x:c>
      <x:c r="AW617" t="str">
        <x:v>https://www.carandache.com/content_files/uploaded_doc/product/10985/Colour_Chart_Pastel_Pencil.pdf</x:v>
      </x:c>
      <x:c r="AX617" t="n">
        <x:v>1</x:v>
      </x:c>
      <x:c r="AY617" t="str">
        <x:v>Official</x:v>
      </x:c>
      <x:c r="AZ617" t="str">
        <x:v>Official where available; curated Traditional Chinese/Japanese otherwise</x:v>
      </x:c>
      <x:c r="BA617" t="str">
        <x:v>Verified from official chart; digital HEX is approximate</x:v>
      </x:c>
      <x:c r="BB617" t="str">
        <x:v>Physical media appearance varies by paper, pressure, layering, water and scan/display profile.</x:v>
      </x:c>
    </x:row>
    <x:row r="618">
      <x:c r="A618" t="str">
        <x:f>G618&amp;"|"&amp;L618</x:f>
        <x:v>PSTP|631</x:v>
      </x:c>
      <x:c r="B618" t="str">
        <x:v>bb4e5c36-5a73-5bf1-af65-ce8836158630</x:v>
      </x:c>
      <x:c r="C618" t="str">
        <x:v>CDA-PSTP-631</x:v>
      </x:c>
      <x:c r="D618" t="str">
        <x:v>d2185fd9-b13b-589e-bb8f-dfdd477ef0bd</x:v>
      </x:c>
      <x:c r="E618" t="str">
        <x:v>CDA-CODE-631</x:v>
      </x:c>
      <x:c r="F618" t="str">
        <x:v>Caran d’Ache</x:v>
      </x:c>
      <x:c r="G618" t="str">
        <x:v>PSTP</x:v>
      </x:c>
      <x:c r="H618" t="str">
        <x:v>PASTEL PENCILS</x:v>
      </x:c>
      <x:c r="I618" t="str">
        <x:v>Extra-fine dry pastel pencil</x:v>
      </x:c>
      <x:c r="J618" t="str">
        <x:v>Professional</x:v>
      </x:c>
      <x:c r="K618" s="30" t="n">
        <x:v>21</x:v>
      </x:c>
      <x:c r="L618" s="30" t="str">
        <x:v>631</x:v>
      </x:c>
      <x:c r="M618" t="str">
        <x:v>Light ultramarine violet</x:v>
      </x:c>
      <x:c r="N618" t="str">
        <x:v>淺群青紫</x:v>
      </x:c>
      <x:c r="O618" t="str">
        <x:v>ライトウルトラマリンバイオレット</x:v>
      </x:c>
      <x:c r="P618" t="str"/>
      <x:c r="Q618" t="str">
        <x:v>Violet Outremer clair</x:v>
      </x:c>
      <x:c r="R618" t="str">
        <x:v>Hellultramarinviolett</x:v>
      </x:c>
      <x:c r="S618" t="str">
        <x:v>Rosso arancio di cadmio</x:v>
      </x:c>
      <x:c r="T618" t="str">
        <x:v>Rojo anaranjando cadmio</x:v>
      </x:c>
      <x:c r="U618" t="str">
        <x:v>Vermelho cádmio alaranjado</x:v>
      </x:c>
      <x:c r="V618" t="str"/>
      <x:c r="W618" t="str">
        <x:v>PV15</x:v>
      </x:c>
      <x:c r="X618" t="n">
        <x:f>IF(W618="",0,LEN(W618)-LEN(SUBSTITUTE(W618,"/",""))+1)</x:f>
        <x:v>1</x:v>
      </x:c>
      <x:c r="Y618" t="str">
        <x:v>HH</x:v>
      </x:c>
      <x:c r="Z618" s="32" t="n">
        <x:v>2</x:v>
      </x:c>
      <x:c r="AA618" s="32" t="n">
        <x:v>5</x:v>
      </x:c>
      <x:c r="AB618" s="32" t="str">
        <x:v>Blue Wool Scale / UV 150h</x:v>
      </x:c>
      <x:c r="AC618" t="str">
        <x:v>#A095A7</x:v>
      </x:c>
      <x:c r="AD618" s="34" t="n">
        <x:v>160</x:v>
      </x:c>
      <x:c r="AE618" s="34" t="n">
        <x:v>149</x:v>
      </x:c>
      <x:c r="AF618" s="34" t="n">
        <x:v>167</x:v>
      </x:c>
      <x:c r="AG618" s="32" t="n">
        <x:v>276.67</x:v>
      </x:c>
      <x:c r="AH618" s="32" t="n">
        <x:v>9.28</x:v>
      </x:c>
      <x:c r="AI618" s="32" t="n">
        <x:v>61.96</x:v>
      </x:c>
      <x:c r="AJ618" s="32" t="n">
        <x:v>63.14</x:v>
      </x:c>
      <x:c r="AK618" s="32" t="n">
        <x:v>7.49</x:v>
      </x:c>
      <x:c r="AL618" s="32" t="n">
        <x:v>-7.95</x:v>
      </x:c>
      <x:c r="AM618" s="32" t="str">
        <x:v>#000000</x:v>
      </x:c>
      <x:c r="AN618" s="32" t="str">
        <x:v>Black</x:v>
      </x:c>
      <x:c r="AO618" s="32" t="n">
        <x:v>7.35</x:v>
      </x:c>
      <x:c r="AP618" s="32" t="n">
        <x:v>7.35</x:v>
      </x:c>
      <x:c r="AQ618" s="32" t="n">
        <x:v>2.86</x:v>
      </x:c>
      <x:c r="AR618" s="32" t="n">
        <x:v>0.317585</x:v>
      </x:c>
      <x:c r="AS618" t="str">
        <x:v>PASS</x:v>
      </x:c>
      <x:c r="AT618" t="str">
        <x:v>--cda-pstp-631</x:v>
      </x:c>
      <x:c r="AU618" t="str">
        <x:v>var(--cda-pstp-631)</x:v>
      </x:c>
      <x:c r="AV618" t="str">
        <x:v>Median RGB from official PDF swatch (screen reference only)</x:v>
      </x:c>
      <x:c r="AW618" t="str">
        <x:v>https://www.carandache.com/content_files/uploaded_doc/product/10985/Colour_Chart_Pastel_Pencil.pdf</x:v>
      </x:c>
      <x:c r="AX618" t="n">
        <x:v>1</x:v>
      </x:c>
      <x:c r="AY618" t="str">
        <x:v>Official</x:v>
      </x:c>
      <x:c r="AZ618" t="str">
        <x:v>Official where available; curated Traditional Chinese/Japanese otherwise</x:v>
      </x:c>
      <x:c r="BA618" t="str">
        <x:v>Verified from official chart; digital HEX is approximate</x:v>
      </x:c>
      <x:c r="BB618" t="str">
        <x:v>Physical media appearance varies by paper, pressure, layering, water and scan/display profile.</x:v>
      </x:c>
    </x:row>
    <x:row r="619">
      <x:c r="A619" t="str">
        <x:f>G619&amp;"|"&amp;L619</x:f>
        <x:v>PSTP|083</x:v>
      </x:c>
      <x:c r="B619" t="str">
        <x:v>72ac3a82-798d-5c8e-bf4b-31e51973ab1b</x:v>
      </x:c>
      <x:c r="C619" t="str">
        <x:v>CDA-PSTP-083</x:v>
      </x:c>
      <x:c r="D619" t="str">
        <x:v>ebaf999e-6067-5304-959c-61ee0ffe944e</x:v>
      </x:c>
      <x:c r="E619" t="str">
        <x:v>CDA-CODE-083</x:v>
      </x:c>
      <x:c r="F619" t="str">
        <x:v>Caran d’Ache</x:v>
      </x:c>
      <x:c r="G619" t="str">
        <x:v>PSTP</x:v>
      </x:c>
      <x:c r="H619" t="str">
        <x:v>PASTEL PENCILS</x:v>
      </x:c>
      <x:c r="I619" t="str">
        <x:v>Extra-fine dry pastel pencil</x:v>
      </x:c>
      <x:c r="J619" t="str">
        <x:v>Professional</x:v>
      </x:c>
      <x:c r="K619" s="30" t="n">
        <x:v>22</x:v>
      </x:c>
      <x:c r="L619" s="30" t="str">
        <x:v>083</x:v>
      </x:c>
      <x:c r="M619" t="str">
        <x:v>Ultramarine pink</x:v>
      </x:c>
      <x:c r="N619" t="str">
        <x:v>群青粉紅</x:v>
      </x:c>
      <x:c r="O619" t="str">
        <x:v>ウルトラマリンピンク</x:v>
      </x:c>
      <x:c r="P619" t="str"/>
      <x:c r="Q619" t="str">
        <x:v>Rose outremer</x:v>
      </x:c>
      <x:c r="R619" t="str">
        <x:v>Ultramarinrosa</x:v>
      </x:c>
      <x:c r="S619" t="str">
        <x:v>Rosa oltremare</x:v>
      </x:c>
      <x:c r="T619" t="str">
        <x:v>Rosa ultramar</x:v>
      </x:c>
      <x:c r="U619" t="str">
        <x:v>Rosa ultramarino</x:v>
      </x:c>
      <x:c r="V619" t="str"/>
      <x:c r="W619" t="str">
        <x:v>PR259/PR122</x:v>
      </x:c>
      <x:c r="X619" t="n">
        <x:f>IF(W619="",0,LEN(W619)-LEN(SUBSTITUTE(W619,"/",""))+1)</x:f>
        <x:v>2</x:v>
      </x:c>
      <x:c r="Y619" t="str">
        <x:v>HH</x:v>
      </x:c>
      <x:c r="Z619" s="32" t="n">
        <x:v>2</x:v>
      </x:c>
      <x:c r="AA619" s="32" t="n">
        <x:v>5</x:v>
      </x:c>
      <x:c r="AB619" s="32" t="str">
        <x:v>Blue Wool Scale / UV 150h</x:v>
      </x:c>
      <x:c r="AC619" t="str">
        <x:v>#B895B0</x:v>
      </x:c>
      <x:c r="AD619" s="34" t="n">
        <x:v>184</x:v>
      </x:c>
      <x:c r="AE619" s="34" t="n">
        <x:v>149</x:v>
      </x:c>
      <x:c r="AF619" s="34" t="n">
        <x:v>176</x:v>
      </x:c>
      <x:c r="AG619" s="32" t="n">
        <x:v>313.71</x:v>
      </x:c>
      <x:c r="AH619" s="32" t="n">
        <x:v>19.77</x:v>
      </x:c>
      <x:c r="AI619" s="32" t="n">
        <x:v>65.29</x:v>
      </x:c>
      <x:c r="AJ619" s="32" t="n">
        <x:v>65.61</x:v>
      </x:c>
      <x:c r="AK619" s="32" t="n">
        <x:v>17.71</x:v>
      </x:c>
      <x:c r="AL619" s="32" t="n">
        <x:v>-9.11</x:v>
      </x:c>
      <x:c r="AM619" s="32" t="str">
        <x:v>#000000</x:v>
      </x:c>
      <x:c r="AN619" s="32" t="str">
        <x:v>Black</x:v>
      </x:c>
      <x:c r="AO619" s="32" t="n">
        <x:v>7.96</x:v>
      </x:c>
      <x:c r="AP619" s="32" t="n">
        <x:v>7.96</x:v>
      </x:c>
      <x:c r="AQ619" s="32" t="n">
        <x:v>2.64</x:v>
      </x:c>
      <x:c r="AR619" s="32" t="n">
        <x:v>0.348198</x:v>
      </x:c>
      <x:c r="AS619" t="str">
        <x:v>PASS</x:v>
      </x:c>
      <x:c r="AT619" t="str">
        <x:v>--cda-pstp-083</x:v>
      </x:c>
      <x:c r="AU619" t="str">
        <x:v>var(--cda-pstp-083)</x:v>
      </x:c>
      <x:c r="AV619" t="str">
        <x:v>Median RGB from official PDF swatch (screen reference only)</x:v>
      </x:c>
      <x:c r="AW619" t="str">
        <x:v>https://www.carandache.com/content_files/uploaded_doc/product/10985/Colour_Chart_Pastel_Pencil.pdf</x:v>
      </x:c>
      <x:c r="AX619" t="n">
        <x:v>1</x:v>
      </x:c>
      <x:c r="AY619" t="str">
        <x:v>Official</x:v>
      </x:c>
      <x:c r="AZ619" t="str">
        <x:v>Official where available; curated Traditional Chinese/Japanese otherwise</x:v>
      </x:c>
      <x:c r="BA619" t="str">
        <x:v>Verified from official chart; digital HEX is approximate</x:v>
      </x:c>
      <x:c r="BB619" t="str">
        <x:v>Physical media appearance varies by paper, pressure, layering, water and scan/display profile.</x:v>
      </x:c>
    </x:row>
    <x:row r="620">
      <x:c r="A620" t="str">
        <x:f>G620&amp;"|"&amp;L620</x:f>
        <x:v>PSTP|582</x:v>
      </x:c>
      <x:c r="B620" t="str">
        <x:v>1345cac3-937a-54e9-b501-4107d19cf67b</x:v>
      </x:c>
      <x:c r="C620" t="str">
        <x:v>CDA-PSTP-582</x:v>
      </x:c>
      <x:c r="D620" t="str">
        <x:v>9a8d0b77-a905-5609-be66-ec6a25cc2c83</x:v>
      </x:c>
      <x:c r="E620" t="str">
        <x:v>CDA-CODE-582</x:v>
      </x:c>
      <x:c r="F620" t="str">
        <x:v>Caran d’Ache</x:v>
      </x:c>
      <x:c r="G620" t="str">
        <x:v>PSTP</x:v>
      </x:c>
      <x:c r="H620" t="str">
        <x:v>PASTEL PENCILS</x:v>
      </x:c>
      <x:c r="I620" t="str">
        <x:v>Extra-fine dry pastel pencil</x:v>
      </x:c>
      <x:c r="J620" t="str">
        <x:v>Professional</x:v>
      </x:c>
      <x:c r="K620" s="30" t="n">
        <x:v>23</x:v>
      </x:c>
      <x:c r="L620" s="30" t="str">
        <x:v>582</x:v>
      </x:c>
      <x:c r="M620" t="str">
        <x:v>Portrait pink</x:v>
      </x:c>
      <x:c r="N620" t="str">
        <x:v>肖像粉紅</x:v>
      </x:c>
      <x:c r="O620" t="str">
        <x:v>ポートレートピンク</x:v>
      </x:c>
      <x:c r="P620" t="str"/>
      <x:c r="Q620" t="str">
        <x:v>Rose portrait</x:v>
      </x:c>
      <x:c r="R620" t="str">
        <x:v>Porträt rosa</x:v>
      </x:c>
      <x:c r="S620" t="str">
        <x:v>Rosa ritratto</x:v>
      </x:c>
      <x:c r="T620" t="str">
        <x:v>Rosa rostro</x:v>
      </x:c>
      <x:c r="U620" t="str">
        <x:v>Rosa retrato</x:v>
      </x:c>
      <x:c r="V620" t="str"/>
      <x:c r="W620" t="str">
        <x:v>PR112</x:v>
      </x:c>
      <x:c r="X620" t="n">
        <x:f>IF(W620="",0,LEN(W620)-LEN(SUBSTITUTE(W620,"/",""))+1)</x:f>
        <x:v>1</x:v>
      </x:c>
      <x:c r="Y620" t="str">
        <x:v>H</x:v>
      </x:c>
      <x:c r="Z620" s="32" t="n">
        <x:v>1</x:v>
      </x:c>
      <x:c r="AA620" s="32" t="n">
        <x:v>5</x:v>
      </x:c>
      <x:c r="AB620" s="32" t="str">
        <x:v>Blue Wool Scale / UV 150h</x:v>
      </x:c>
      <x:c r="AC620" t="str">
        <x:v>#C95462</x:v>
      </x:c>
      <x:c r="AD620" s="34" t="n">
        <x:v>201</x:v>
      </x:c>
      <x:c r="AE620" s="34" t="n">
        <x:v>84</x:v>
      </x:c>
      <x:c r="AF620" s="34" t="n">
        <x:v>98</x:v>
      </x:c>
      <x:c r="AG620" s="32" t="n">
        <x:v>352.82</x:v>
      </x:c>
      <x:c r="AH620" s="32" t="n">
        <x:v>52</x:v>
      </x:c>
      <x:c r="AI620" s="32" t="n">
        <x:v>55.88</x:v>
      </x:c>
      <x:c r="AJ620" s="32" t="n">
        <x:v>51.43</x:v>
      </x:c>
      <x:c r="AK620" s="32" t="n">
        <x:v>47.74</x:v>
      </x:c>
      <x:c r="AL620" s="32" t="n">
        <x:v>15.82</x:v>
      </x:c>
      <x:c r="AM620" s="32" t="str">
        <x:v>#000000</x:v>
      </x:c>
      <x:c r="AN620" s="32" t="str">
        <x:v>Black</x:v>
      </x:c>
      <x:c r="AO620" s="32" t="n">
        <x:v>4.93</x:v>
      </x:c>
      <x:c r="AP620" s="32" t="n">
        <x:v>4.93</x:v>
      </x:c>
      <x:c r="AQ620" s="32" t="n">
        <x:v>4.26</x:v>
      </x:c>
      <x:c r="AR620" s="32" t="n">
        <x:v>0.1964</x:v>
      </x:c>
      <x:c r="AS620" t="str">
        <x:v>PASS</x:v>
      </x:c>
      <x:c r="AT620" t="str">
        <x:v>--cda-pstp-582</x:v>
      </x:c>
      <x:c r="AU620" t="str">
        <x:v>var(--cda-pstp-582)</x:v>
      </x:c>
      <x:c r="AV620" t="str">
        <x:v>Median RGB from official PDF swatch (screen reference only)</x:v>
      </x:c>
      <x:c r="AW620" t="str">
        <x:v>https://www.carandache.com/content_files/uploaded_doc/product/10985/Colour_Chart_Pastel_Pencil.pdf</x:v>
      </x:c>
      <x:c r="AX620" t="n">
        <x:v>1</x:v>
      </x:c>
      <x:c r="AY620" t="str">
        <x:v>Official</x:v>
      </x:c>
      <x:c r="AZ620" t="str">
        <x:v>Official where available; curated Traditional Chinese/Japanese otherwise</x:v>
      </x:c>
      <x:c r="BA620" t="str">
        <x:v>Verified from official chart; digital HEX is approximate</x:v>
      </x:c>
      <x:c r="BB620" t="str">
        <x:v>Physical media appearance varies by paper, pressure, layering, water and scan/display profile.</x:v>
      </x:c>
    </x:row>
    <x:row r="621">
      <x:c r="A621" t="str">
        <x:f>G621&amp;"|"&amp;L621</x:f>
        <x:v>PSTP|571</x:v>
      </x:c>
      <x:c r="B621" t="str">
        <x:v>6aa75a39-a46c-519c-aba0-afbf43534aa8</x:v>
      </x:c>
      <x:c r="C621" t="str">
        <x:v>CDA-PSTP-571</x:v>
      </x:c>
      <x:c r="D621" t="str">
        <x:v>fcb6aaca-0994-5002-ac62-765b4a7bc21b</x:v>
      </x:c>
      <x:c r="E621" t="str">
        <x:v>CDA-CODE-571</x:v>
      </x:c>
      <x:c r="F621" t="str">
        <x:v>Caran d’Ache</x:v>
      </x:c>
      <x:c r="G621" t="str">
        <x:v>PSTP</x:v>
      </x:c>
      <x:c r="H621" t="str">
        <x:v>PASTEL PENCILS</x:v>
      </x:c>
      <x:c r="I621" t="str">
        <x:v>Extra-fine dry pastel pencil</x:v>
      </x:c>
      <x:c r="J621" t="str">
        <x:v>Professional</x:v>
      </x:c>
      <x:c r="K621" s="30" t="n">
        <x:v>24</x:v>
      </x:c>
      <x:c r="L621" s="30" t="str">
        <x:v>571</x:v>
      </x:c>
      <x:c r="M621" t="str">
        <x:v>Anthraquinoid pink</x:v>
      </x:c>
      <x:c r="N621" t="str">
        <x:v>蒽醌粉紅</x:v>
      </x:c>
      <x:c r="O621" t="str">
        <x:v>アントラキノイドピンク</x:v>
      </x:c>
      <x:c r="P621" t="str"/>
      <x:c r="Q621" t="str">
        <x:v>Rose anthraquinone</x:v>
      </x:c>
      <x:c r="R621" t="str">
        <x:v>Anthrachinone rosa</x:v>
      </x:c>
      <x:c r="S621" t="str">
        <x:v>Rosa antrachinone</x:v>
      </x:c>
      <x:c r="T621" t="str">
        <x:v>Rosa anthraquinona</x:v>
      </x:c>
      <x:c r="U621" t="str">
        <x:v>Rosa Antraquinona</x:v>
      </x:c>
      <x:c r="V621" t="str"/>
      <x:c r="W621" t="str">
        <x:v>PR168</x:v>
      </x:c>
      <x:c r="X621" t="n">
        <x:f>IF(W621="",0,LEN(W621)-LEN(SUBSTITUTE(W621,"/",""))+1)</x:f>
        <x:v>1</x:v>
      </x:c>
      <x:c r="Y621" t="str">
        <x:v>H</x:v>
      </x:c>
      <x:c r="Z621" s="32" t="n">
        <x:v>1</x:v>
      </x:c>
      <x:c r="AA621" s="32" t="n">
        <x:v>5</x:v>
      </x:c>
      <x:c r="AB621" s="32" t="str">
        <x:v>Blue Wool Scale / UV 150h</x:v>
      </x:c>
      <x:c r="AC621" t="str">
        <x:v>#CF5F56</x:v>
      </x:c>
      <x:c r="AD621" s="34" t="n">
        <x:v>207</x:v>
      </x:c>
      <x:c r="AE621" s="34" t="n">
        <x:v>95</x:v>
      </x:c>
      <x:c r="AF621" s="34" t="n">
        <x:v>86</x:v>
      </x:c>
      <x:c r="AG621" s="32" t="n">
        <x:v>4.46</x:v>
      </x:c>
      <x:c r="AH621" s="32" t="n">
        <x:v>55.76</x:v>
      </x:c>
      <x:c r="AI621" s="32" t="n">
        <x:v>57.45</x:v>
      </x:c>
      <x:c r="AJ621" s="32" t="n">
        <x:v>54.16</x:v>
      </x:c>
      <x:c r="AK621" s="32" t="n">
        <x:v>43.63</x:v>
      </x:c>
      <x:c r="AL621" s="32" t="n">
        <x:v>26.66</x:v>
      </x:c>
      <x:c r="AM621" s="32" t="str">
        <x:v>#000000</x:v>
      </x:c>
      <x:c r="AN621" s="32" t="str">
        <x:v>Black</x:v>
      </x:c>
      <x:c r="AO621" s="32" t="n">
        <x:v>5.42</x:v>
      </x:c>
      <x:c r="AP621" s="32" t="n">
        <x:v>5.42</x:v>
      </x:c>
      <x:c r="AQ621" s="32" t="n">
        <x:v>3.87</x:v>
      </x:c>
      <x:c r="AR621" s="32" t="n">
        <x:v>0.221217</x:v>
      </x:c>
      <x:c r="AS621" t="str">
        <x:v>PASS</x:v>
      </x:c>
      <x:c r="AT621" t="str">
        <x:v>--cda-pstp-571</x:v>
      </x:c>
      <x:c r="AU621" t="str">
        <x:v>var(--cda-pstp-571)</x:v>
      </x:c>
      <x:c r="AV621" t="str">
        <x:v>Median RGB from official PDF swatch (screen reference only)</x:v>
      </x:c>
      <x:c r="AW621" t="str">
        <x:v>https://www.carandache.com/content_files/uploaded_doc/product/10985/Colour_Chart_Pastel_Pencil.pdf</x:v>
      </x:c>
      <x:c r="AX621" t="n">
        <x:v>1</x:v>
      </x:c>
      <x:c r="AY621" t="str">
        <x:v>Official</x:v>
      </x:c>
      <x:c r="AZ621" t="str">
        <x:v>Official where available; curated Traditional Chinese/Japanese otherwise</x:v>
      </x:c>
      <x:c r="BA621" t="str">
        <x:v>Verified from official chart; digital HEX is approximate</x:v>
      </x:c>
      <x:c r="BB621" t="str">
        <x:v>Physical media appearance varies by paper, pressure, layering, water and scan/display profile.</x:v>
      </x:c>
    </x:row>
    <x:row r="622">
      <x:c r="A622" t="str">
        <x:f>G622&amp;"|"&amp;L622</x:f>
        <x:v>PSTP|871</x:v>
      </x:c>
      <x:c r="B622" t="str">
        <x:v>d62a8035-1375-51b0-8706-c3e0d79c25b3</x:v>
      </x:c>
      <x:c r="C622" t="str">
        <x:v>CDA-PSTP-871</x:v>
      </x:c>
      <x:c r="D622" t="str">
        <x:v>8df6a0e2-3033-52a3-9215-ae4a18478567</x:v>
      </x:c>
      <x:c r="E622" t="str">
        <x:v>CDA-CODE-871</x:v>
      </x:c>
      <x:c r="F622" t="str">
        <x:v>Caran d’Ache</x:v>
      </x:c>
      <x:c r="G622" t="str">
        <x:v>PSTP</x:v>
      </x:c>
      <x:c r="H622" t="str">
        <x:v>PASTEL PENCILS</x:v>
      </x:c>
      <x:c r="I622" t="str">
        <x:v>Extra-fine dry pastel pencil</x:v>
      </x:c>
      <x:c r="J622" t="str">
        <x:v>Professional</x:v>
      </x:c>
      <x:c r="K622" s="30" t="n">
        <x:v>25</x:v>
      </x:c>
      <x:c r="L622" s="30" t="str">
        <x:v>871</x:v>
      </x:c>
      <x:c r="M622" t="str">
        <x:v>Azurite white</x:v>
      </x:c>
      <x:c r="N622" t="str">
        <x:v>藍銅礦白</x:v>
      </x:c>
      <x:c r="O622" t="str">
        <x:v>アズライトホワイト</x:v>
      </x:c>
      <x:c r="P622" t="str"/>
      <x:c r="Q622" t="str">
        <x:v>Blanc azuré</x:v>
      </x:c>
      <x:c r="R622" t="str">
        <x:v>Azurweiss</x:v>
      </x:c>
      <x:c r="S622" t="str">
        <x:v>Bianco azzurro</x:v>
      </x:c>
      <x:c r="T622" t="str">
        <x:v>Blanco azur</x:v>
      </x:c>
      <x:c r="U622" t="str">
        <x:v>Branco azurita</x:v>
      </x:c>
      <x:c r="V622" t="str"/>
      <x:c r="W622" t="str">
        <x:v>PW6/PB28</x:v>
      </x:c>
      <x:c r="X622" t="n">
        <x:f>IF(W622="",0,LEN(W622)-LEN(SUBSTITUTE(W622,"/",""))+1)</x:f>
        <x:v>2</x:v>
      </x:c>
      <x:c r="Y622" t="str">
        <x:v>HHH</x:v>
      </x:c>
      <x:c r="Z622" s="32" t="n">
        <x:v>3</x:v>
      </x:c>
      <x:c r="AA622" s="32" t="n">
        <x:v>5</x:v>
      </x:c>
      <x:c r="AB622" s="32" t="str">
        <x:v>Blue Wool Scale / UV 150h</x:v>
      </x:c>
      <x:c r="AC622" t="str">
        <x:v>#B8B3B1</x:v>
      </x:c>
      <x:c r="AD622" s="34" t="n">
        <x:v>184</x:v>
      </x:c>
      <x:c r="AE622" s="34" t="n">
        <x:v>179</x:v>
      </x:c>
      <x:c r="AF622" s="34" t="n">
        <x:v>177</x:v>
      </x:c>
      <x:c r="AG622" s="32" t="n">
        <x:v>17.14</x:v>
      </x:c>
      <x:c r="AH622" s="32" t="n">
        <x:v>4.7</x:v>
      </x:c>
      <x:c r="AI622" s="32" t="n">
        <x:v>70.78</x:v>
      </x:c>
      <x:c r="AJ622" s="32" t="n">
        <x:v>73.29</x:v>
      </x:c>
      <x:c r="AK622" s="32" t="n">
        <x:v>1.4</x:v>
      </x:c>
      <x:c r="AL622" s="32" t="n">
        <x:v>1.65</x:v>
      </x:c>
      <x:c r="AM622" s="32" t="str">
        <x:v>#000000</x:v>
      </x:c>
      <x:c r="AN622" s="32" t="str">
        <x:v>Black</x:v>
      </x:c>
      <x:c r="AO622" s="32" t="n">
        <x:v>10.12</x:v>
      </x:c>
      <x:c r="AP622" s="32" t="n">
        <x:v>10.12</x:v>
      </x:c>
      <x:c r="AQ622" s="32" t="n">
        <x:v>2.07</x:v>
      </x:c>
      <x:c r="AR622" s="32" t="n">
        <x:v>0.456049</x:v>
      </x:c>
      <x:c r="AS622" t="str">
        <x:v>PASS</x:v>
      </x:c>
      <x:c r="AT622" t="str">
        <x:v>--cda-pstp-871</x:v>
      </x:c>
      <x:c r="AU622" t="str">
        <x:v>var(--cda-pstp-871)</x:v>
      </x:c>
      <x:c r="AV622" t="str">
        <x:v>Median RGB from official PDF swatch (screen reference only)</x:v>
      </x:c>
      <x:c r="AW622" t="str">
        <x:v>https://www.carandache.com/content_files/uploaded_doc/product/10985/Colour_Chart_Pastel_Pencil.pdf</x:v>
      </x:c>
      <x:c r="AX622" t="n">
        <x:v>1</x:v>
      </x:c>
      <x:c r="AY622" t="str">
        <x:v>Official</x:v>
      </x:c>
      <x:c r="AZ622" t="str">
        <x:v>Official where available; curated Traditional Chinese/Japanese otherwise</x:v>
      </x:c>
      <x:c r="BA622" t="str">
        <x:v>Verified from official chart; digital HEX is approximate</x:v>
      </x:c>
      <x:c r="BB622" t="str">
        <x:v>Physical media appearance varies by paper, pressure, layering, water and scan/display profile.</x:v>
      </x:c>
    </x:row>
    <x:row r="623">
      <x:c r="A623" t="str">
        <x:f>G623&amp;"|"&amp;L623</x:f>
        <x:v>PSTP|661</x:v>
      </x:c>
      <x:c r="B623" t="str">
        <x:v>1f651be3-107b-5ecd-9005-af8bf68cea62</x:v>
      </x:c>
      <x:c r="C623" t="str">
        <x:v>CDA-PSTP-661</x:v>
      </x:c>
      <x:c r="D623" t="str">
        <x:v>ae9ade29-b330-52ae-9360-9950a169fd51</x:v>
      </x:c>
      <x:c r="E623" t="str">
        <x:v>CDA-CODE-661</x:v>
      </x:c>
      <x:c r="F623" t="str">
        <x:v>Caran d’Ache</x:v>
      </x:c>
      <x:c r="G623" t="str">
        <x:v>PSTP</x:v>
      </x:c>
      <x:c r="H623" t="str">
        <x:v>PASTEL PENCILS</x:v>
      </x:c>
      <x:c r="I623" t="str">
        <x:v>Extra-fine dry pastel pencil</x:v>
      </x:c>
      <x:c r="J623" t="str">
        <x:v>Professional</x:v>
      </x:c>
      <x:c r="K623" s="30" t="n">
        <x:v>26</x:v>
      </x:c>
      <x:c r="L623" s="30" t="str">
        <x:v>661</x:v>
      </x:c>
      <x:c r="M623" t="str">
        <x:v>Cobalt blue 5%</x:v>
      </x:c>
      <x:c r="N623" t="str">
        <x:v>鈷藍 5%</x:v>
      </x:c>
      <x:c r="O623" t="str">
        <x:v>コバルトブルー 5%</x:v>
      </x:c>
      <x:c r="P623" t="str"/>
      <x:c r="Q623" t="str">
        <x:v>Bleu cobalt 5%</x:v>
      </x:c>
      <x:c r="R623" t="str">
        <x:v>Kobaltblau 5%</x:v>
      </x:c>
      <x:c r="S623" t="str">
        <x:v>Blu cobalto chiaro 5%</x:v>
      </x:c>
      <x:c r="T623" t="str">
        <x:v>Azul cobalto claro 5%</x:v>
      </x:c>
      <x:c r="U623" t="str">
        <x:v>Azul cobalto claro 5%</x:v>
      </x:c>
      <x:c r="V623" t="str"/>
      <x:c r="W623" t="str">
        <x:v>PB28/PW6</x:v>
      </x:c>
      <x:c r="X623" t="n">
        <x:f>IF(W623="",0,LEN(W623)-LEN(SUBSTITUTE(W623,"/",""))+1)</x:f>
        <x:v>2</x:v>
      </x:c>
      <x:c r="Y623" t="str">
        <x:v>HHH</x:v>
      </x:c>
      <x:c r="Z623" s="32" t="n">
        <x:v>3</x:v>
      </x:c>
      <x:c r="AA623" s="32" t="n">
        <x:v>5</x:v>
      </x:c>
      <x:c r="AB623" s="32" t="str">
        <x:v>Blue Wool Scale / UV 150h</x:v>
      </x:c>
      <x:c r="AC623" t="str">
        <x:v>#A8C4D8</x:v>
      </x:c>
      <x:c r="AD623" s="34" t="n">
        <x:v>168</x:v>
      </x:c>
      <x:c r="AE623" s="34" t="n">
        <x:v>196</x:v>
      </x:c>
      <x:c r="AF623" s="34" t="n">
        <x:v>216</x:v>
      </x:c>
      <x:c r="AG623" s="32" t="n">
        <x:v>205</x:v>
      </x:c>
      <x:c r="AH623" s="32" t="n">
        <x:v>38.1</x:v>
      </x:c>
      <x:c r="AI623" s="32" t="n">
        <x:v>75.29</x:v>
      </x:c>
      <x:c r="AJ623" s="32" t="n">
        <x:v>77.73</x:v>
      </x:c>
      <x:c r="AK623" s="32" t="n">
        <x:v>-5.08</x:v>
      </x:c>
      <x:c r="AL623" s="32" t="n">
        <x:v>-13.11</x:v>
      </x:c>
      <x:c r="AM623" s="32" t="str">
        <x:v>#000000</x:v>
      </x:c>
      <x:c r="AN623" s="32" t="str">
        <x:v>Black</x:v>
      </x:c>
      <x:c r="AO623" s="32" t="n">
        <x:v>11.55</x:v>
      </x:c>
      <x:c r="AP623" s="32" t="n">
        <x:v>11.55</x:v>
      </x:c>
      <x:c r="AQ623" s="32" t="n">
        <x:v>1.82</x:v>
      </x:c>
      <x:c r="AR623" s="32" t="n">
        <x:v>0.527626</x:v>
      </x:c>
      <x:c r="AS623" t="str">
        <x:v>PASS</x:v>
      </x:c>
      <x:c r="AT623" t="str">
        <x:v>--cda-pstp-661</x:v>
      </x:c>
      <x:c r="AU623" t="str">
        <x:v>var(--cda-pstp-661)</x:v>
      </x:c>
      <x:c r="AV623" t="str">
        <x:v>Median RGB from official PDF swatch (screen reference only)</x:v>
      </x:c>
      <x:c r="AW623" t="str">
        <x:v>https://www.carandache.com/content_files/uploaded_doc/product/10985/Colour_Chart_Pastel_Pencil.pdf</x:v>
      </x:c>
      <x:c r="AX623" t="n">
        <x:v>1</x:v>
      </x:c>
      <x:c r="AY623" t="str">
        <x:v>Official</x:v>
      </x:c>
      <x:c r="AZ623" t="str">
        <x:v>Official where available; curated Traditional Chinese/Japanese otherwise</x:v>
      </x:c>
      <x:c r="BA623" t="str">
        <x:v>Verified from official chart; digital HEX is approximate</x:v>
      </x:c>
      <x:c r="BB623" t="str">
        <x:v>Physical media appearance varies by paper, pressure, layering, water and scan/display profile.</x:v>
      </x:c>
    </x:row>
    <x:row r="624">
      <x:c r="A624" t="str">
        <x:f>G624&amp;"|"&amp;L624</x:f>
        <x:v>PSTP|662</x:v>
      </x:c>
      <x:c r="B624" t="str">
        <x:v>13d8e110-9fc9-5330-9c4c-e7be8c80b3f0</x:v>
      </x:c>
      <x:c r="C624" t="str">
        <x:v>CDA-PSTP-662</x:v>
      </x:c>
      <x:c r="D624" t="str">
        <x:v>843d7a32-b595-5877-aa98-10ee6d7cff66</x:v>
      </x:c>
      <x:c r="E624" t="str">
        <x:v>CDA-CODE-662</x:v>
      </x:c>
      <x:c r="F624" t="str">
        <x:v>Caran d’Ache</x:v>
      </x:c>
      <x:c r="G624" t="str">
        <x:v>PSTP</x:v>
      </x:c>
      <x:c r="H624" t="str">
        <x:v>PASTEL PENCILS</x:v>
      </x:c>
      <x:c r="I624" t="str">
        <x:v>Extra-fine dry pastel pencil</x:v>
      </x:c>
      <x:c r="J624" t="str">
        <x:v>Professional</x:v>
      </x:c>
      <x:c r="K624" s="30" t="n">
        <x:v>27</x:v>
      </x:c>
      <x:c r="L624" s="30" t="str">
        <x:v>662</x:v>
      </x:c>
      <x:c r="M624" t="str">
        <x:v>Cobalt blue 10%</x:v>
      </x:c>
      <x:c r="N624" t="str">
        <x:v>鈷藍 10%</x:v>
      </x:c>
      <x:c r="O624" t="str">
        <x:v>コバルトブルー 10%</x:v>
      </x:c>
      <x:c r="P624" t="str"/>
      <x:c r="Q624" t="str">
        <x:v>Bleu cobalt 10%</x:v>
      </x:c>
      <x:c r="R624" t="str">
        <x:v>Kobaltblau 10%</x:v>
      </x:c>
      <x:c r="S624" t="str">
        <x:v>Blu cobalto chiaro 10%</x:v>
      </x:c>
      <x:c r="T624" t="str">
        <x:v>Azul ceruleo 10%</x:v>
      </x:c>
      <x:c r="U624" t="str">
        <x:v>Azul ceruleo 10%</x:v>
      </x:c>
      <x:c r="V624" t="str"/>
      <x:c r="W624" t="str">
        <x:v>PB28/PW6</x:v>
      </x:c>
      <x:c r="X624" t="n">
        <x:f>IF(W624="",0,LEN(W624)-LEN(SUBSTITUTE(W624,"/",""))+1)</x:f>
        <x:v>2</x:v>
      </x:c>
      <x:c r="Y624" t="str">
        <x:v>HH</x:v>
      </x:c>
      <x:c r="Z624" s="32" t="n">
        <x:v>2</x:v>
      </x:c>
      <x:c r="AA624" s="32" t="n">
        <x:v>5</x:v>
      </x:c>
      <x:c r="AB624" s="32" t="str">
        <x:v>Blue Wool Scale / UV 150h</x:v>
      </x:c>
      <x:c r="AC624" t="str">
        <x:v>#A7C4DC</x:v>
      </x:c>
      <x:c r="AD624" s="34" t="n">
        <x:v>167</x:v>
      </x:c>
      <x:c r="AE624" s="34" t="n">
        <x:v>196</x:v>
      </x:c>
      <x:c r="AF624" s="34" t="n">
        <x:v>220</x:v>
      </x:c>
      <x:c r="AG624" s="32" t="n">
        <x:v>207.17</x:v>
      </x:c>
      <x:c r="AH624" s="32" t="n">
        <x:v>43.09</x:v>
      </x:c>
      <x:c r="AI624" s="32" t="n">
        <x:v>75.88</x:v>
      </x:c>
      <x:c r="AJ624" s="32" t="n">
        <x:v>77.79</x:v>
      </x:c>
      <x:c r="AK624" s="32" t="n">
        <x:v>-4.48</x:v>
      </x:c>
      <x:c r="AL624" s="32" t="n">
        <x:v>-15.18</x:v>
      </x:c>
      <x:c r="AM624" s="32" t="str">
        <x:v>#000000</x:v>
      </x:c>
      <x:c r="AN624" s="32" t="str">
        <x:v>Black</x:v>
      </x:c>
      <x:c r="AO624" s="32" t="n">
        <x:v>11.57</x:v>
      </x:c>
      <x:c r="AP624" s="32" t="n">
        <x:v>11.57</x:v>
      </x:c>
      <x:c r="AQ624" s="32" t="n">
        <x:v>1.81</x:v>
      </x:c>
      <x:c r="AR624" s="32" t="n">
        <x:v>0.528627</x:v>
      </x:c>
      <x:c r="AS624" t="str">
        <x:v>PASS</x:v>
      </x:c>
      <x:c r="AT624" t="str">
        <x:v>--cda-pstp-662</x:v>
      </x:c>
      <x:c r="AU624" t="str">
        <x:v>var(--cda-pstp-662)</x:v>
      </x:c>
      <x:c r="AV624" t="str">
        <x:v>Median RGB from official PDF swatch (screen reference only)</x:v>
      </x:c>
      <x:c r="AW624" t="str">
        <x:v>https://www.carandache.com/content_files/uploaded_doc/product/10985/Colour_Chart_Pastel_Pencil.pdf</x:v>
      </x:c>
      <x:c r="AX624" t="n">
        <x:v>1</x:v>
      </x:c>
      <x:c r="AY624" t="str">
        <x:v>Official</x:v>
      </x:c>
      <x:c r="AZ624" t="str">
        <x:v>Official where available; curated Traditional Chinese/Japanese otherwise</x:v>
      </x:c>
      <x:c r="BA624" t="str">
        <x:v>Verified from official chart; digital HEX is approximate</x:v>
      </x:c>
      <x:c r="BB624" t="str">
        <x:v>Physical media appearance varies by paper, pressure, layering, water and scan/display profile.</x:v>
      </x:c>
    </x:row>
    <x:row r="625">
      <x:c r="A625" t="str">
        <x:f>G625&amp;"|"&amp;L625</x:f>
        <x:v>PSTP|664</x:v>
      </x:c>
      <x:c r="B625" t="str">
        <x:v>d6e7c5cc-bc6f-5e8a-b316-d967be6a1140</x:v>
      </x:c>
      <x:c r="C625" t="str">
        <x:v>CDA-PSTP-664</x:v>
      </x:c>
      <x:c r="D625" t="str">
        <x:v>dc48c81f-4a63-5cc2-8f10-e38e77492609</x:v>
      </x:c>
      <x:c r="E625" t="str">
        <x:v>CDA-CODE-664</x:v>
      </x:c>
      <x:c r="F625" t="str">
        <x:v>Caran d’Ache</x:v>
      </x:c>
      <x:c r="G625" t="str">
        <x:v>PSTP</x:v>
      </x:c>
      <x:c r="H625" t="str">
        <x:v>PASTEL PENCILS</x:v>
      </x:c>
      <x:c r="I625" t="str">
        <x:v>Extra-fine dry pastel pencil</x:v>
      </x:c>
      <x:c r="J625" t="str">
        <x:v>Professional</x:v>
      </x:c>
      <x:c r="K625" s="30" t="n">
        <x:v>28</x:v>
      </x:c>
      <x:c r="L625" s="30" t="str">
        <x:v>664</x:v>
      </x:c>
      <x:c r="M625" t="str">
        <x:v>Cobalt blue 30%</x:v>
      </x:c>
      <x:c r="N625" t="str">
        <x:v>鈷藍 30%</x:v>
      </x:c>
      <x:c r="O625" t="str">
        <x:v>コバルトブルー 30%</x:v>
      </x:c>
      <x:c r="P625" t="str"/>
      <x:c r="Q625" t="str">
        <x:v>Bleu cobalt 30%</x:v>
      </x:c>
      <x:c r="R625" t="str">
        <x:v>Kobaltblau 30%</x:v>
      </x:c>
      <x:c r="S625" t="str">
        <x:v>Blu cobalto chiaro 30%</x:v>
      </x:c>
      <x:c r="T625" t="str">
        <x:v>Azul cobalto 30%</x:v>
      </x:c>
      <x:c r="U625" t="str">
        <x:v>Azul cobalto 30%</x:v>
      </x:c>
      <x:c r="V625" t="str"/>
      <x:c r="W625" t="str">
        <x:v>PB28</x:v>
      </x:c>
      <x:c r="X625" t="n">
        <x:f>IF(W625="",0,LEN(W625)-LEN(SUBSTITUTE(W625,"/",""))+1)</x:f>
        <x:v>1</x:v>
      </x:c>
      <x:c r="Y625" t="str">
        <x:v>HHH</x:v>
      </x:c>
      <x:c r="Z625" s="32" t="n">
        <x:v>3</x:v>
      </x:c>
      <x:c r="AA625" s="32" t="n">
        <x:v>5</x:v>
      </x:c>
      <x:c r="AB625" s="32" t="str">
        <x:v>Blue Wool Scale / UV 150h</x:v>
      </x:c>
      <x:c r="AC625" t="str">
        <x:v>#74A7D3</x:v>
      </x:c>
      <x:c r="AD625" s="34" t="n">
        <x:v>116</x:v>
      </x:c>
      <x:c r="AE625" s="34" t="n">
        <x:v>167</x:v>
      </x:c>
      <x:c r="AF625" s="34" t="n">
        <x:v>211</x:v>
      </x:c>
      <x:c r="AG625" s="32" t="n">
        <x:v>207.79</x:v>
      </x:c>
      <x:c r="AH625" s="32" t="n">
        <x:v>51.91</x:v>
      </x:c>
      <x:c r="AI625" s="32" t="n">
        <x:v>64.12</x:v>
      </x:c>
      <x:c r="AJ625" s="32" t="n">
        <x:v>66.56</x:v>
      </x:c>
      <x:c r="AK625" s="32" t="n">
        <x:v>-5.24</x:v>
      </x:c>
      <x:c r="AL625" s="32" t="n">
        <x:v>-27.64</x:v>
      </x:c>
      <x:c r="AM625" s="32" t="str">
        <x:v>#000000</x:v>
      </x:c>
      <x:c r="AN625" s="32" t="str">
        <x:v>Black</x:v>
      </x:c>
      <x:c r="AO625" s="32" t="n">
        <x:v>8.21</x:v>
      </x:c>
      <x:c r="AP625" s="32" t="n">
        <x:v>8.21</x:v>
      </x:c>
      <x:c r="AQ625" s="32" t="n">
        <x:v>2.56</x:v>
      </x:c>
      <x:c r="AR625" s="32" t="n">
        <x:v>0.360536</x:v>
      </x:c>
      <x:c r="AS625" t="str">
        <x:v>PASS</x:v>
      </x:c>
      <x:c r="AT625" t="str">
        <x:v>--cda-pstp-664</x:v>
      </x:c>
      <x:c r="AU625" t="str">
        <x:v>var(--cda-pstp-664)</x:v>
      </x:c>
      <x:c r="AV625" t="str">
        <x:v>Median RGB from official PDF swatch (screen reference only)</x:v>
      </x:c>
      <x:c r="AW625" t="str">
        <x:v>https://www.carandache.com/content_files/uploaded_doc/product/10985/Colour_Chart_Pastel_Pencil.pdf</x:v>
      </x:c>
      <x:c r="AX625" t="n">
        <x:v>1</x:v>
      </x:c>
      <x:c r="AY625" t="str">
        <x:v>Official</x:v>
      </x:c>
      <x:c r="AZ625" t="str">
        <x:v>Official where available; curated Traditional Chinese/Japanese otherwise</x:v>
      </x:c>
      <x:c r="BA625" t="str">
        <x:v>Verified from official chart; digital HEX is approximate</x:v>
      </x:c>
      <x:c r="BB625" t="str">
        <x:v>Physical media appearance varies by paper, pressure, layering, water and scan/display profile.</x:v>
      </x:c>
    </x:row>
    <x:row r="626">
      <x:c r="A626" t="str">
        <x:f>G626&amp;"|"&amp;L626</x:f>
        <x:v>PSTP|140</x:v>
      </x:c>
      <x:c r="B626" t="str">
        <x:v>f93744b5-2f2f-59fc-a0ef-dba29ee55edc</x:v>
      </x:c>
      <x:c r="C626" t="str">
        <x:v>CDA-PSTP-140</x:v>
      </x:c>
      <x:c r="D626" t="str">
        <x:v>1cc51d9d-3506-5022-8478-a1ae9af587e8</x:v>
      </x:c>
      <x:c r="E626" t="str">
        <x:v>CDA-CODE-140</x:v>
      </x:c>
      <x:c r="F626" t="str">
        <x:v>Caran d’Ache</x:v>
      </x:c>
      <x:c r="G626" t="str">
        <x:v>PSTP</x:v>
      </x:c>
      <x:c r="H626" t="str">
        <x:v>PASTEL PENCILS</x:v>
      </x:c>
      <x:c r="I626" t="str">
        <x:v>Extra-fine dry pastel pencil</x:v>
      </x:c>
      <x:c r="J626" t="str">
        <x:v>Professional</x:v>
      </x:c>
      <x:c r="K626" s="30" t="n">
        <x:v>29</x:v>
      </x:c>
      <x:c r="L626" s="30" t="str">
        <x:v>140</x:v>
      </x:c>
      <x:c r="M626" t="str">
        <x:v>Ultramarine</x:v>
      </x:c>
      <x:c r="N626" t="str">
        <x:v>群青</x:v>
      </x:c>
      <x:c r="O626" t="str">
        <x:v>ウルトラマリン</x:v>
      </x:c>
      <x:c r="P626" t="str"/>
      <x:c r="Q626" t="str">
        <x:v>Bleu Outremer</x:v>
      </x:c>
      <x:c r="R626" t="str">
        <x:v>Ultramarinblau</x:v>
      </x:c>
      <x:c r="S626" t="str">
        <x:v>Blu oltremare</x:v>
      </x:c>
      <x:c r="T626" t="str">
        <x:v>Azul ultramar</x:v>
      </x:c>
      <x:c r="U626" t="str">
        <x:v>Azul ultramarino</x:v>
      </x:c>
      <x:c r="V626" t="str"/>
      <x:c r="W626" t="str">
        <x:v>PB15/PB29</x:v>
      </x:c>
      <x:c r="X626" t="n">
        <x:f>IF(W626="",0,LEN(W626)-LEN(SUBSTITUTE(W626,"/",""))+1)</x:f>
        <x:v>2</x:v>
      </x:c>
      <x:c r="Y626" t="str">
        <x:v>H</x:v>
      </x:c>
      <x:c r="Z626" s="32" t="n">
        <x:v>1</x:v>
      </x:c>
      <x:c r="AA626" s="32" t="n">
        <x:v>5</x:v>
      </x:c>
      <x:c r="AB626" s="32" t="str">
        <x:v>Blue Wool Scale / UV 150h</x:v>
      </x:c>
      <x:c r="AC626" t="str">
        <x:v>#2E79B2</x:v>
      </x:c>
      <x:c r="AD626" s="34" t="n">
        <x:v>46</x:v>
      </x:c>
      <x:c r="AE626" s="34" t="n">
        <x:v>121</x:v>
      </x:c>
      <x:c r="AF626" s="34" t="n">
        <x:v>178</x:v>
      </x:c>
      <x:c r="AG626" s="32" t="n">
        <x:v>205.91</x:v>
      </x:c>
      <x:c r="AH626" s="32" t="n">
        <x:v>58.93</x:v>
      </x:c>
      <x:c r="AI626" s="32" t="n">
        <x:v>43.92</x:v>
      </x:c>
      <x:c r="AJ626" s="32" t="n">
        <x:v>48.84</x:v>
      </x:c>
      <x:c r="AK626" s="32" t="n">
        <x:v>-3.44</x:v>
      </x:c>
      <x:c r="AL626" s="32" t="n">
        <x:v>-36.78</x:v>
      </x:c>
      <x:c r="AM626" s="32" t="str">
        <x:v>#FFFFFF</x:v>
      </x:c>
      <x:c r="AN626" s="32" t="str">
        <x:v>White</x:v>
      </x:c>
      <x:c r="AO626" s="32" t="n">
        <x:v>4.67</x:v>
      </x:c>
      <x:c r="AP626" s="32" t="n">
        <x:v>4.49</x:v>
      </x:c>
      <x:c r="AQ626" s="32" t="n">
        <x:v>4.67</x:v>
      </x:c>
      <x:c r="AR626" s="32" t="n">
        <x:v>0.174699</x:v>
      </x:c>
      <x:c r="AS626" t="str">
        <x:v>PASS</x:v>
      </x:c>
      <x:c r="AT626" t="str">
        <x:v>--cda-pstp-140</x:v>
      </x:c>
      <x:c r="AU626" t="str">
        <x:v>var(--cda-pstp-140)</x:v>
      </x:c>
      <x:c r="AV626" t="str">
        <x:v>Median RGB from official PDF swatch (screen reference only)</x:v>
      </x:c>
      <x:c r="AW626" t="str">
        <x:v>https://www.carandache.com/content_files/uploaded_doc/product/10985/Colour_Chart_Pastel_Pencil.pdf</x:v>
      </x:c>
      <x:c r="AX626" t="n">
        <x:v>1</x:v>
      </x:c>
      <x:c r="AY626" t="str">
        <x:v>Official</x:v>
      </x:c>
      <x:c r="AZ626" t="str">
        <x:v>Official where available; curated Traditional Chinese/Japanese otherwise</x:v>
      </x:c>
      <x:c r="BA626" t="str">
        <x:v>Verified from official chart; digital HEX is approximate</x:v>
      </x:c>
      <x:c r="BB626" t="str">
        <x:v>Physical media appearance varies by paper, pressure, layering, water and scan/display profile.</x:v>
      </x:c>
    </x:row>
    <x:row r="627">
      <x:c r="A627" t="str">
        <x:f>G627&amp;"|"&amp;L627</x:f>
        <x:v>PSTP|162</x:v>
      </x:c>
      <x:c r="B627" t="str">
        <x:v>ed4f1369-f86a-52b8-b3dc-04737ee0b79d</x:v>
      </x:c>
      <x:c r="C627" t="str">
        <x:v>CDA-PSTP-162</x:v>
      </x:c>
      <x:c r="D627" t="str">
        <x:v>6d7dcd75-009a-599d-a72f-1b6cf18443b9</x:v>
      </x:c>
      <x:c r="E627" t="str">
        <x:v>CDA-CODE-162</x:v>
      </x:c>
      <x:c r="F627" t="str">
        <x:v>Caran d’Ache</x:v>
      </x:c>
      <x:c r="G627" t="str">
        <x:v>PSTP</x:v>
      </x:c>
      <x:c r="H627" t="str">
        <x:v>PASTEL PENCILS</x:v>
      </x:c>
      <x:c r="I627" t="str">
        <x:v>Extra-fine dry pastel pencil</x:v>
      </x:c>
      <x:c r="J627" t="str">
        <x:v>Professional</x:v>
      </x:c>
      <x:c r="K627" s="30" t="n">
        <x:v>30</x:v>
      </x:c>
      <x:c r="L627" s="30" t="str">
        <x:v>162</x:v>
      </x:c>
      <x:c r="M627" t="str">
        <x:v>Phthalocyanine blue</x:v>
      </x:c>
      <x:c r="N627" t="str">
        <x:v>酞菁藍</x:v>
      </x:c>
      <x:c r="O627" t="str">
        <x:v>フタロシアニンブルー</x:v>
      </x:c>
      <x:c r="P627" t="str"/>
      <x:c r="Q627" t="str">
        <x:v>Bleu de phtalocyanine</x:v>
      </x:c>
      <x:c r="R627" t="str">
        <x:v>Phthalocyaninblau</x:v>
      </x:c>
      <x:c r="S627" t="str">
        <x:v>Blu ftalo</x:v>
      </x:c>
      <x:c r="T627" t="str">
        <x:v>Azul phtalo</x:v>
      </x:c>
      <x:c r="U627" t="str">
        <x:v>Azul ftálico</x:v>
      </x:c>
      <x:c r="V627" t="str"/>
      <x:c r="W627" t="str">
        <x:v>PB15</x:v>
      </x:c>
      <x:c r="X627" t="n">
        <x:f>IF(W627="",0,LEN(W627)-LEN(SUBSTITUTE(W627,"/",""))+1)</x:f>
        <x:v>1</x:v>
      </x:c>
      <x:c r="Y627" t="str">
        <x:v>H</x:v>
      </x:c>
      <x:c r="Z627" s="32" t="n">
        <x:v>1</x:v>
      </x:c>
      <x:c r="AA627" s="32" t="n">
        <x:v>5</x:v>
      </x:c>
      <x:c r="AB627" s="32" t="str">
        <x:v>Blue Wool Scale / UV 150h</x:v>
      </x:c>
      <x:c r="AC627" t="str">
        <x:v>#18669D</x:v>
      </x:c>
      <x:c r="AD627" s="34" t="n">
        <x:v>24</x:v>
      </x:c>
      <x:c r="AE627" s="34" t="n">
        <x:v>102</x:v>
      </x:c>
      <x:c r="AF627" s="34" t="n">
        <x:v>157</x:v>
      </x:c>
      <x:c r="AG627" s="32" t="n">
        <x:v>204.81</x:v>
      </x:c>
      <x:c r="AH627" s="32" t="n">
        <x:v>73.48</x:v>
      </x:c>
      <x:c r="AI627" s="32" t="n">
        <x:v>35.49</x:v>
      </x:c>
      <x:c r="AJ627" s="32" t="n">
        <x:v>41.42</x:v>
      </x:c>
      <x:c r="AK627" s="32" t="n">
        <x:v>-2.29</x:v>
      </x:c>
      <x:c r="AL627" s="32" t="n">
        <x:v>-36.21</x:v>
      </x:c>
      <x:c r="AM627" s="32" t="str">
        <x:v>#FFFFFF</x:v>
      </x:c>
      <x:c r="AN627" s="32" t="str">
        <x:v>White</x:v>
      </x:c>
      <x:c r="AO627" s="32" t="n">
        <x:v>6.13</x:v>
      </x:c>
      <x:c r="AP627" s="32" t="n">
        <x:v>3.43</x:v>
      </x:c>
      <x:c r="AQ627" s="32" t="n">
        <x:v>6.13</x:v>
      </x:c>
      <x:c r="AR627" s="32" t="n">
        <x:v>0.121313</x:v>
      </x:c>
      <x:c r="AS627" t="str">
        <x:v>PASS</x:v>
      </x:c>
      <x:c r="AT627" t="str">
        <x:v>--cda-pstp-162</x:v>
      </x:c>
      <x:c r="AU627" t="str">
        <x:v>var(--cda-pstp-162)</x:v>
      </x:c>
      <x:c r="AV627" t="str">
        <x:v>Median RGB from official PDF swatch (screen reference only)</x:v>
      </x:c>
      <x:c r="AW627" t="str">
        <x:v>https://www.carandache.com/content_files/uploaded_doc/product/10985/Colour_Chart_Pastel_Pencil.pdf</x:v>
      </x:c>
      <x:c r="AX627" t="n">
        <x:v>1</x:v>
      </x:c>
      <x:c r="AY627" t="str">
        <x:v>Official</x:v>
      </x:c>
      <x:c r="AZ627" t="str">
        <x:v>Official where available; curated Traditional Chinese/Japanese otherwise</x:v>
      </x:c>
      <x:c r="BA627" t="str">
        <x:v>Verified from official chart; digital HEX is approximate</x:v>
      </x:c>
      <x:c r="BB627" t="str">
        <x:v>Physical media appearance varies by paper, pressure, layering, water and scan/display profile.</x:v>
      </x:c>
    </x:row>
    <x:row r="628">
      <x:c r="A628" t="str">
        <x:f>G628&amp;"|"&amp;L628</x:f>
        <x:v>PSTP|145</x:v>
      </x:c>
      <x:c r="B628" t="str">
        <x:v>89b2b1e4-18bd-545c-8cdd-453f3357c5b4</x:v>
      </x:c>
      <x:c r="C628" t="str">
        <x:v>CDA-PSTP-145</x:v>
      </x:c>
      <x:c r="D628" t="str">
        <x:v>8580dae2-477a-5d0e-afcb-89e0a00e77a6</x:v>
      </x:c>
      <x:c r="E628" t="str">
        <x:v>CDA-CODE-145</x:v>
      </x:c>
      <x:c r="F628" t="str">
        <x:v>Caran d’Ache</x:v>
      </x:c>
      <x:c r="G628" t="str">
        <x:v>PSTP</x:v>
      </x:c>
      <x:c r="H628" t="str">
        <x:v>PASTEL PENCILS</x:v>
      </x:c>
      <x:c r="I628" t="str">
        <x:v>Extra-fine dry pastel pencil</x:v>
      </x:c>
      <x:c r="J628" t="str">
        <x:v>Professional</x:v>
      </x:c>
      <x:c r="K628" s="30" t="n">
        <x:v>31</x:v>
      </x:c>
      <x:c r="L628" s="30" t="str">
        <x:v>145</x:v>
      </x:c>
      <x:c r="M628" t="str">
        <x:v>Bluish grey</x:v>
      </x:c>
      <x:c r="N628" t="str">
        <x:v>藍灰色</x:v>
      </x:c>
      <x:c r="O628" t="str">
        <x:v>ブルーグレー</x:v>
      </x:c>
      <x:c r="P628" t="str"/>
      <x:c r="Q628" t="str">
        <x:v>Bleu gris</x:v>
      </x:c>
      <x:c r="R628" t="str">
        <x:v>Graublau</x:v>
      </x:c>
      <x:c r="S628" t="str">
        <x:v>Blu grigio</x:v>
      </x:c>
      <x:c r="T628" t="str">
        <x:v>Azul gris</x:v>
      </x:c>
      <x:c r="U628" t="str">
        <x:v>Azul cinzento</x:v>
      </x:c>
      <x:c r="V628" t="str"/>
      <x:c r="W628" t="str">
        <x:v>PB1/PB60</x:v>
      </x:c>
      <x:c r="X628" t="n">
        <x:f>IF(W628="",0,LEN(W628)-LEN(SUBSTITUTE(W628,"/",""))+1)</x:f>
        <x:v>2</x:v>
      </x:c>
      <x:c r="Y628" t="str">
        <x:v>H</x:v>
      </x:c>
      <x:c r="Z628" s="32" t="n">
        <x:v>1</x:v>
      </x:c>
      <x:c r="AA628" s="32" t="n">
        <x:v>5</x:v>
      </x:c>
      <x:c r="AB628" s="32" t="str">
        <x:v>Blue Wool Scale / UV 150h</x:v>
      </x:c>
      <x:c r="AC628" t="str">
        <x:v>#4B5581</x:v>
      </x:c>
      <x:c r="AD628" s="34" t="n">
        <x:v>75</x:v>
      </x:c>
      <x:c r="AE628" s="34" t="n">
        <x:v>85</x:v>
      </x:c>
      <x:c r="AF628" s="34" t="n">
        <x:v>129</x:v>
      </x:c>
      <x:c r="AG628" s="32" t="n">
        <x:v>228.89</x:v>
      </x:c>
      <x:c r="AH628" s="32" t="n">
        <x:v>26.47</x:v>
      </x:c>
      <x:c r="AI628" s="32" t="n">
        <x:v>40</x:v>
      </x:c>
      <x:c r="AJ628" s="32" t="n">
        <x:v>37.07</x:v>
      </x:c>
      <x:c r="AK628" s="32" t="n">
        <x:v>8.15</x:v>
      </x:c>
      <x:c r="AL628" s="32" t="n">
        <x:v>-26</x:v>
      </x:c>
      <x:c r="AM628" s="32" t="str">
        <x:v>#FFFFFF</x:v>
      </x:c>
      <x:c r="AN628" s="32" t="str">
        <x:v>White</x:v>
      </x:c>
      <x:c r="AO628" s="32" t="n">
        <x:v>7.2</x:v>
      </x:c>
      <x:c r="AP628" s="32" t="n">
        <x:v>2.92</x:v>
      </x:c>
      <x:c r="AQ628" s="32" t="n">
        <x:v>7.2</x:v>
      </x:c>
      <x:c r="AR628" s="32" t="n">
        <x:v>0.095778</x:v>
      </x:c>
      <x:c r="AS628" t="str">
        <x:v>PASS</x:v>
      </x:c>
      <x:c r="AT628" t="str">
        <x:v>--cda-pstp-145</x:v>
      </x:c>
      <x:c r="AU628" t="str">
        <x:v>var(--cda-pstp-145)</x:v>
      </x:c>
      <x:c r="AV628" t="str">
        <x:v>Median RGB from official PDF swatch (screen reference only)</x:v>
      </x:c>
      <x:c r="AW628" t="str">
        <x:v>https://www.carandache.com/content_files/uploaded_doc/product/10985/Colour_Chart_Pastel_Pencil.pdf</x:v>
      </x:c>
      <x:c r="AX628" t="n">
        <x:v>1</x:v>
      </x:c>
      <x:c r="AY628" t="str">
        <x:v>Official</x:v>
      </x:c>
      <x:c r="AZ628" t="str">
        <x:v>Official where available; curated Traditional Chinese/Japanese otherwise</x:v>
      </x:c>
      <x:c r="BA628" t="str">
        <x:v>Verified from official chart; digital HEX is approximate</x:v>
      </x:c>
      <x:c r="BB628" t="str">
        <x:v>Physical media appearance varies by paper, pressure, layering, water and scan/display profile.</x:v>
      </x:c>
    </x:row>
    <x:row r="629">
      <x:c r="A629" t="str">
        <x:f>G629&amp;"|"&amp;L629</x:f>
        <x:v>PSTP|120</x:v>
      </x:c>
      <x:c r="B629" t="str">
        <x:v>af5926c5-34a0-5c35-b488-cfa56bd6fe0d</x:v>
      </x:c>
      <x:c r="C629" t="str">
        <x:v>CDA-PSTP-120</x:v>
      </x:c>
      <x:c r="D629" t="str">
        <x:v>fee913f0-b01c-52a4-9be8-3e5be4c01b51</x:v>
      </x:c>
      <x:c r="E629" t="str">
        <x:v>CDA-CODE-120</x:v>
      </x:c>
      <x:c r="F629" t="str">
        <x:v>Caran d’Ache</x:v>
      </x:c>
      <x:c r="G629" t="str">
        <x:v>PSTP</x:v>
      </x:c>
      <x:c r="H629" t="str">
        <x:v>PASTEL PENCILS</x:v>
      </x:c>
      <x:c r="I629" t="str">
        <x:v>Extra-fine dry pastel pencil</x:v>
      </x:c>
      <x:c r="J629" t="str">
        <x:v>Professional</x:v>
      </x:c>
      <x:c r="K629" s="30" t="n">
        <x:v>32</x:v>
      </x:c>
      <x:c r="L629" s="30" t="str">
        <x:v>120</x:v>
      </x:c>
      <x:c r="M629" t="str">
        <x:v>Violet</x:v>
      </x:c>
      <x:c r="N629" t="str">
        <x:v>紫羅蘭色</x:v>
      </x:c>
      <x:c r="O629" t="str">
        <x:v>バイオレット</x:v>
      </x:c>
      <x:c r="P629" t="str"/>
      <x:c r="Q629" t="str">
        <x:v>Violet</x:v>
      </x:c>
      <x:c r="R629" t="str">
        <x:v>Violett</x:v>
      </x:c>
      <x:c r="S629" t="str">
        <x:v>Violetto</x:v>
      </x:c>
      <x:c r="T629" t="str">
        <x:v>Violeta</x:v>
      </x:c>
      <x:c r="U629" t="str">
        <x:v>Violeta</x:v>
      </x:c>
      <x:c r="V629" t="str"/>
      <x:c r="W629" t="str">
        <x:v>PV23</x:v>
      </x:c>
      <x:c r="X629" t="n">
        <x:f>IF(W629="",0,LEN(W629)-LEN(SUBSTITUTE(W629,"/",""))+1)</x:f>
        <x:v>1</x:v>
      </x:c>
      <x:c r="Y629" t="str">
        <x:v>HH</x:v>
      </x:c>
      <x:c r="Z629" s="32" t="n">
        <x:v>2</x:v>
      </x:c>
      <x:c r="AA629" s="32" t="n">
        <x:v>5</x:v>
      </x:c>
      <x:c r="AB629" s="32" t="str">
        <x:v>Blue Wool Scale / UV 150h</x:v>
      </x:c>
      <x:c r="AC629" t="str">
        <x:v>#533274</x:v>
      </x:c>
      <x:c r="AD629" s="34" t="n">
        <x:v>83</x:v>
      </x:c>
      <x:c r="AE629" s="34" t="n">
        <x:v>50</x:v>
      </x:c>
      <x:c r="AF629" s="34" t="n">
        <x:v>116</x:v>
      </x:c>
      <x:c r="AG629" s="32" t="n">
        <x:v>270</x:v>
      </x:c>
      <x:c r="AH629" s="32" t="n">
        <x:v>39.76</x:v>
      </x:c>
      <x:c r="AI629" s="32" t="n">
        <x:v>32.55</x:v>
      </x:c>
      <x:c r="AJ629" s="32" t="n">
        <x:v>27.79</x:v>
      </x:c>
      <x:c r="AK629" s="32" t="n">
        <x:v>29.06</x:v>
      </x:c>
      <x:c r="AL629" s="32" t="n">
        <x:v>-32.49</x:v>
      </x:c>
      <x:c r="AM629" s="32" t="str">
        <x:v>#FFFFFF</x:v>
      </x:c>
      <x:c r="AN629" s="32" t="str">
        <x:v>White</x:v>
      </x:c>
      <x:c r="AO629" s="32" t="n">
        <x:v>10.11</x:v>
      </x:c>
      <x:c r="AP629" s="32" t="n">
        <x:v>2.08</x:v>
      </x:c>
      <x:c r="AQ629" s="32" t="n">
        <x:v>10.11</x:v>
      </x:c>
      <x:c r="AR629" s="32" t="n">
        <x:v>0.053812</x:v>
      </x:c>
      <x:c r="AS629" t="str">
        <x:v>PASS</x:v>
      </x:c>
      <x:c r="AT629" t="str">
        <x:v>--cda-pstp-120</x:v>
      </x:c>
      <x:c r="AU629" t="str">
        <x:v>var(--cda-pstp-120)</x:v>
      </x:c>
      <x:c r="AV629" t="str">
        <x:v>Median RGB from official PDF swatch (screen reference only)</x:v>
      </x:c>
      <x:c r="AW629" t="str">
        <x:v>https://www.carandache.com/content_files/uploaded_doc/product/10985/Colour_Chart_Pastel_Pencil.pdf</x:v>
      </x:c>
      <x:c r="AX629" t="n">
        <x:v>1</x:v>
      </x:c>
      <x:c r="AY629" t="str">
        <x:v>Official</x:v>
      </x:c>
      <x:c r="AZ629" t="str">
        <x:v>Official where available; curated Traditional Chinese/Japanese otherwise</x:v>
      </x:c>
      <x:c r="BA629" t="str">
        <x:v>Verified from official chart; digital HEX is approximate</x:v>
      </x:c>
      <x:c r="BB629" t="str">
        <x:v>Physical media appearance varies by paper, pressure, layering, water and scan/display profile.</x:v>
      </x:c>
    </x:row>
    <x:row r="630">
      <x:c r="A630" t="str">
        <x:f>G630&amp;"|"&amp;L630</x:f>
        <x:v>PSTP|620</x:v>
      </x:c>
      <x:c r="B630" t="str">
        <x:v>0badb5b4-26df-52e4-8224-d34eebed5620</x:v>
      </x:c>
      <x:c r="C630" t="str">
        <x:v>CDA-PSTP-620</x:v>
      </x:c>
      <x:c r="D630" t="str">
        <x:v>17c766ce-3e12-5e1f-9fb6-f9f4c0259413</x:v>
      </x:c>
      <x:c r="E630" t="str">
        <x:v>CDA-CODE-620</x:v>
      </x:c>
      <x:c r="F630" t="str">
        <x:v>Caran d’Ache</x:v>
      </x:c>
      <x:c r="G630" t="str">
        <x:v>PSTP</x:v>
      </x:c>
      <x:c r="H630" t="str">
        <x:v>PASTEL PENCILS</x:v>
      </x:c>
      <x:c r="I630" t="str">
        <x:v>Extra-fine dry pastel pencil</x:v>
      </x:c>
      <x:c r="J630" t="str">
        <x:v>Professional</x:v>
      </x:c>
      <x:c r="K630" s="30" t="n">
        <x:v>33</x:v>
      </x:c>
      <x:c r="L630" s="30" t="str">
        <x:v>620</x:v>
      </x:c>
      <x:c r="M630" t="str">
        <x:v>Cobalt Violet</x:v>
      </x:c>
      <x:c r="N630" t="str">
        <x:v>鈷紫</x:v>
      </x:c>
      <x:c r="O630" t="str">
        <x:v>コバルトバイオレット</x:v>
      </x:c>
      <x:c r="P630" t="str"/>
      <x:c r="Q630" t="str">
        <x:v>Violet Cobalt</x:v>
      </x:c>
      <x:c r="R630" t="str">
        <x:v>Kobaltviolett</x:v>
      </x:c>
      <x:c r="S630" t="str">
        <x:v>Violetto cobalto</x:v>
      </x:c>
      <x:c r="T630" t="str">
        <x:v>Violeta cobalto</x:v>
      </x:c>
      <x:c r="U630" t="str">
        <x:v>Violeta cobalto</x:v>
      </x:c>
      <x:c r="V630" t="str"/>
      <x:c r="W630" t="str">
        <x:v>PV23/PB15/PB29</x:v>
      </x:c>
      <x:c r="X630" t="n">
        <x:f>IF(W630="",0,LEN(W630)-LEN(SUBSTITUTE(W630,"/",""))+1)</x:f>
        <x:v>3</x:v>
      </x:c>
      <x:c r="Y630" t="str">
        <x:v>H</x:v>
      </x:c>
      <x:c r="Z630" s="32" t="n">
        <x:v>1</x:v>
      </x:c>
      <x:c r="AA630" s="32" t="n">
        <x:v>5</x:v>
      </x:c>
      <x:c r="AB630" s="32" t="str">
        <x:v>Blue Wool Scale / UV 150h</x:v>
      </x:c>
      <x:c r="AC630" t="str">
        <x:v>#46377E</x:v>
      </x:c>
      <x:c r="AD630" s="34" t="n">
        <x:v>70</x:v>
      </x:c>
      <x:c r="AE630" s="34" t="n">
        <x:v>55</x:v>
      </x:c>
      <x:c r="AF630" s="34" t="n">
        <x:v>126</x:v>
      </x:c>
      <x:c r="AG630" s="32" t="n">
        <x:v>252.68</x:v>
      </x:c>
      <x:c r="AH630" s="32" t="n">
        <x:v>39.23</x:v>
      </x:c>
      <x:c r="AI630" s="32" t="n">
        <x:v>35.49</x:v>
      </x:c>
      <x:c r="AJ630" s="32" t="n">
        <x:v>28.22</x:v>
      </x:c>
      <x:c r="AK630" s="32" t="n">
        <x:v>25.33</x:v>
      </x:c>
      <x:c r="AL630" s="32" t="n">
        <x:v>-38.2</x:v>
      </x:c>
      <x:c r="AM630" s="32" t="str">
        <x:v>#FFFFFF</x:v>
      </x:c>
      <x:c r="AN630" s="32" t="str">
        <x:v>White</x:v>
      </x:c>
      <x:c r="AO630" s="32" t="n">
        <x:v>9.96</x:v>
      </x:c>
      <x:c r="AP630" s="32" t="n">
        <x:v>2.11</x:v>
      </x:c>
      <x:c r="AQ630" s="32" t="n">
        <x:v>9.96</x:v>
      </x:c>
      <x:c r="AR630" s="32" t="n">
        <x:v>0.055408</x:v>
      </x:c>
      <x:c r="AS630" t="str">
        <x:v>PASS</x:v>
      </x:c>
      <x:c r="AT630" t="str">
        <x:v>--cda-pstp-620</x:v>
      </x:c>
      <x:c r="AU630" t="str">
        <x:v>var(--cda-pstp-620)</x:v>
      </x:c>
      <x:c r="AV630" t="str">
        <x:v>Median RGB from official PDF swatch (screen reference only)</x:v>
      </x:c>
      <x:c r="AW630" t="str">
        <x:v>https://www.carandache.com/content_files/uploaded_doc/product/10985/Colour_Chart_Pastel_Pencil.pdf</x:v>
      </x:c>
      <x:c r="AX630" t="n">
        <x:v>1</x:v>
      </x:c>
      <x:c r="AY630" t="str">
        <x:v>Official</x:v>
      </x:c>
      <x:c r="AZ630" t="str">
        <x:v>Official where available; curated Traditional Chinese/Japanese otherwise</x:v>
      </x:c>
      <x:c r="BA630" t="str">
        <x:v>Verified from official chart; digital HEX is approximate</x:v>
      </x:c>
      <x:c r="BB630" t="str">
        <x:v>Physical media appearance varies by paper, pressure, layering, water and scan/display profile.</x:v>
      </x:c>
    </x:row>
    <x:row r="631">
      <x:c r="A631" t="str">
        <x:f>G631&amp;"|"&amp;L631</x:f>
        <x:v>PSTP|149</x:v>
      </x:c>
      <x:c r="B631" t="str">
        <x:v>d3444dc3-3e00-5f66-a934-212f1cbd2dab</x:v>
      </x:c>
      <x:c r="C631" t="str">
        <x:v>CDA-PSTP-149</x:v>
      </x:c>
      <x:c r="D631" t="str">
        <x:v>b0b0f599-0beb-5dd7-b398-ef01ad96ff1b</x:v>
      </x:c>
      <x:c r="E631" t="str">
        <x:v>CDA-CODE-149</x:v>
      </x:c>
      <x:c r="F631" t="str">
        <x:v>Caran d’Ache</x:v>
      </x:c>
      <x:c r="G631" t="str">
        <x:v>PSTP</x:v>
      </x:c>
      <x:c r="H631" t="str">
        <x:v>PASTEL PENCILS</x:v>
      </x:c>
      <x:c r="I631" t="str">
        <x:v>Extra-fine dry pastel pencil</x:v>
      </x:c>
      <x:c r="J631" t="str">
        <x:v>Professional</x:v>
      </x:c>
      <x:c r="K631" s="30" t="n">
        <x:v>34</x:v>
      </x:c>
      <x:c r="L631" s="30" t="str">
        <x:v>149</x:v>
      </x:c>
      <x:c r="M631" t="str">
        <x:v>Night blue</x:v>
      </x:c>
      <x:c r="N631" t="str">
        <x:v>夜藍</x:v>
      </x:c>
      <x:c r="O631" t="str">
        <x:v>ナイトブルー</x:v>
      </x:c>
      <x:c r="P631" t="str"/>
      <x:c r="Q631" t="str">
        <x:v>Bleu nuit</x:v>
      </x:c>
      <x:c r="R631" t="str">
        <x:v>Nachtblau</x:v>
      </x:c>
      <x:c r="S631" t="str">
        <x:v>Blu notte</x:v>
      </x:c>
      <x:c r="T631" t="str">
        <x:v>Azul noche</x:v>
      </x:c>
      <x:c r="U631" t="str">
        <x:v>Azul noite</x:v>
      </x:c>
      <x:c r="V631" t="str"/>
      <x:c r="W631" t="str">
        <x:v>PB1/PBk7</x:v>
      </x:c>
      <x:c r="X631" t="n">
        <x:f>IF(W631="",0,LEN(W631)-LEN(SUBSTITUTE(W631,"/",""))+1)</x:f>
        <x:v>2</x:v>
      </x:c>
      <x:c r="Y631" t="str">
        <x:v>H</x:v>
      </x:c>
      <x:c r="Z631" s="32" t="n">
        <x:v>1</x:v>
      </x:c>
      <x:c r="AA631" s="32" t="n">
        <x:v>5</x:v>
      </x:c>
      <x:c r="AB631" s="32" t="str">
        <x:v>Blue Wool Scale / UV 150h</x:v>
      </x:c>
      <x:c r="AC631" t="str">
        <x:v>#343C5C</x:v>
      </x:c>
      <x:c r="AD631" s="34" t="n">
        <x:v>52</x:v>
      </x:c>
      <x:c r="AE631" s="34" t="n">
        <x:v>60</x:v>
      </x:c>
      <x:c r="AF631" s="34" t="n">
        <x:v>92</x:v>
      </x:c>
      <x:c r="AG631" s="32" t="n">
        <x:v>228</x:v>
      </x:c>
      <x:c r="AH631" s="32" t="n">
        <x:v>27.78</x:v>
      </x:c>
      <x:c r="AI631" s="32" t="n">
        <x:v>28.24</x:v>
      </x:c>
      <x:c r="AJ631" s="32" t="n">
        <x:v>25.96</x:v>
      </x:c>
      <x:c r="AK631" s="32" t="n">
        <x:v>6.01</x:v>
      </x:c>
      <x:c r="AL631" s="32" t="n">
        <x:v>-20.16</x:v>
      </x:c>
      <x:c r="AM631" s="32" t="str">
        <x:v>#FFFFFF</x:v>
      </x:c>
      <x:c r="AN631" s="32" t="str">
        <x:v>White</x:v>
      </x:c>
      <x:c r="AO631" s="32" t="n">
        <x:v>10.79</x:v>
      </x:c>
      <x:c r="AP631" s="32" t="n">
        <x:v>1.95</x:v>
      </x:c>
      <x:c r="AQ631" s="32" t="n">
        <x:v>10.79</x:v>
      </x:c>
      <x:c r="AR631" s="32" t="n">
        <x:v>0.047345</x:v>
      </x:c>
      <x:c r="AS631" t="str">
        <x:v>PASS</x:v>
      </x:c>
      <x:c r="AT631" t="str">
        <x:v>--cda-pstp-149</x:v>
      </x:c>
      <x:c r="AU631" t="str">
        <x:v>var(--cda-pstp-149)</x:v>
      </x:c>
      <x:c r="AV631" t="str">
        <x:v>Median RGB from official PDF swatch (screen reference only)</x:v>
      </x:c>
      <x:c r="AW631" t="str">
        <x:v>https://www.carandache.com/content_files/uploaded_doc/product/10985/Colour_Chart_Pastel_Pencil.pdf</x:v>
      </x:c>
      <x:c r="AX631" t="n">
        <x:v>1</x:v>
      </x:c>
      <x:c r="AY631" t="str">
        <x:v>Official</x:v>
      </x:c>
      <x:c r="AZ631" t="str">
        <x:v>Official where available; curated Traditional Chinese/Japanese otherwise</x:v>
      </x:c>
      <x:c r="BA631" t="str">
        <x:v>Verified from official chart; digital HEX is approximate</x:v>
      </x:c>
      <x:c r="BB631" t="str">
        <x:v>Physical media appearance varies by paper, pressure, layering, water and scan/display profile.</x:v>
      </x:c>
    </x:row>
    <x:row r="632">
      <x:c r="A632" t="str">
        <x:f>G632&amp;"|"&amp;L632</x:f>
        <x:v>PSTP|185</x:v>
      </x:c>
      <x:c r="B632" t="str">
        <x:v>03052cf3-9651-523d-b95b-192e30fb1e9d</x:v>
      </x:c>
      <x:c r="C632" t="str">
        <x:v>CDA-PSTP-185</x:v>
      </x:c>
      <x:c r="D632" t="str">
        <x:v>12724f05-b502-59f7-a985-93fdace159dd</x:v>
      </x:c>
      <x:c r="E632" t="str">
        <x:v>CDA-CODE-185</x:v>
      </x:c>
      <x:c r="F632" t="str">
        <x:v>Caran d’Ache</x:v>
      </x:c>
      <x:c r="G632" t="str">
        <x:v>PSTP</x:v>
      </x:c>
      <x:c r="H632" t="str">
        <x:v>PASTEL PENCILS</x:v>
      </x:c>
      <x:c r="I632" t="str">
        <x:v>Extra-fine dry pastel pencil</x:v>
      </x:c>
      <x:c r="J632" t="str">
        <x:v>Professional</x:v>
      </x:c>
      <x:c r="K632" s="30" t="n">
        <x:v>35</x:v>
      </x:c>
      <x:c r="L632" s="30" t="str">
        <x:v>185</x:v>
      </x:c>
      <x:c r="M632" t="str">
        <x:v>Ice blue</x:v>
      </x:c>
      <x:c r="N632" t="str">
        <x:v>冰藍</x:v>
      </x:c>
      <x:c r="O632" t="str">
        <x:v>アイスブルー</x:v>
      </x:c>
      <x:c r="P632" t="str"/>
      <x:c r="Q632" t="str">
        <x:v>Bleu glacier</x:v>
      </x:c>
      <x:c r="R632" t="str">
        <x:v>Eisblau</x:v>
      </x:c>
      <x:c r="S632" t="str">
        <x:v>Blu di ghiaccio</x:v>
      </x:c>
      <x:c r="T632" t="str">
        <x:v>Azul hielo</x:v>
      </x:c>
      <x:c r="U632" t="str">
        <x:v>Azul gelo</x:v>
      </x:c>
      <x:c r="V632" t="str"/>
      <x:c r="W632" t="str">
        <x:v>PB16</x:v>
      </x:c>
      <x:c r="X632" t="n">
        <x:f>IF(W632="",0,LEN(W632)-LEN(SUBSTITUTE(W632,"/",""))+1)</x:f>
        <x:v>1</x:v>
      </x:c>
      <x:c r="Y632" t="str">
        <x:v>H</x:v>
      </x:c>
      <x:c r="Z632" s="32" t="n">
        <x:v>1</x:v>
      </x:c>
      <x:c r="AA632" s="32" t="n">
        <x:v>5</x:v>
      </x:c>
      <x:c r="AB632" s="32" t="str">
        <x:v>Blue Wool Scale / UV 150h</x:v>
      </x:c>
      <x:c r="AC632" t="str">
        <x:v>#296784</x:v>
      </x:c>
      <x:c r="AD632" s="34" t="n">
        <x:v>41</x:v>
      </x:c>
      <x:c r="AE632" s="34" t="n">
        <x:v>103</x:v>
      </x:c>
      <x:c r="AF632" s="34" t="n">
        <x:v>132</x:v>
      </x:c>
      <x:c r="AG632" s="32" t="n">
        <x:v>199.12</x:v>
      </x:c>
      <x:c r="AH632" s="32" t="n">
        <x:v>52.6</x:v>
      </x:c>
      <x:c r="AI632" s="32" t="n">
        <x:v>33.92</x:v>
      </x:c>
      <x:c r="AJ632" s="32" t="n">
        <x:v>40.96</x:v>
      </x:c>
      <x:c r="AK632" s="32" t="n">
        <x:v>-10.02</x:v>
      </x:c>
      <x:c r="AL632" s="32" t="n">
        <x:v>-21.92</x:v>
      </x:c>
      <x:c r="AM632" s="32" t="str">
        <x:v>#FFFFFF</x:v>
      </x:c>
      <x:c r="AN632" s="32" t="str">
        <x:v>White</x:v>
      </x:c>
      <x:c r="AO632" s="32" t="n">
        <x:v>6.24</x:v>
      </x:c>
      <x:c r="AP632" s="32" t="n">
        <x:v>3.37</x:v>
      </x:c>
      <x:c r="AQ632" s="32" t="n">
        <x:v>6.24</x:v>
      </x:c>
      <x:c r="AR632" s="32" t="n">
        <x:v>0.118379</x:v>
      </x:c>
      <x:c r="AS632" t="str">
        <x:v>PASS</x:v>
      </x:c>
      <x:c r="AT632" t="str">
        <x:v>--cda-pstp-185</x:v>
      </x:c>
      <x:c r="AU632" t="str">
        <x:v>var(--cda-pstp-185)</x:v>
      </x:c>
      <x:c r="AV632" t="str">
        <x:v>Median RGB from official PDF swatch (screen reference only)</x:v>
      </x:c>
      <x:c r="AW632" t="str">
        <x:v>https://www.carandache.com/content_files/uploaded_doc/product/10985/Colour_Chart_Pastel_Pencil.pdf</x:v>
      </x:c>
      <x:c r="AX632" t="n">
        <x:v>1</x:v>
      </x:c>
      <x:c r="AY632" t="str">
        <x:v>Official</x:v>
      </x:c>
      <x:c r="AZ632" t="str">
        <x:v>Official where available; curated Traditional Chinese/Japanese otherwise</x:v>
      </x:c>
      <x:c r="BA632" t="str">
        <x:v>Verified from official chart; digital HEX is approximate</x:v>
      </x:c>
      <x:c r="BB632" t="str">
        <x:v>Physical media appearance varies by paper, pressure, layering, water and scan/display profile.</x:v>
      </x:c>
    </x:row>
    <x:row r="633">
      <x:c r="A633" t="str">
        <x:f>G633&amp;"|"&amp;L633</x:f>
        <x:v>PSTP|161</x:v>
      </x:c>
      <x:c r="B633" t="str">
        <x:v>eac4d227-bce8-5768-a095-cad60b010fe4</x:v>
      </x:c>
      <x:c r="C633" t="str">
        <x:v>CDA-PSTP-161</x:v>
      </x:c>
      <x:c r="D633" t="str">
        <x:v>6ffc111a-0ad6-541a-8290-6ab5dc59fcce</x:v>
      </x:c>
      <x:c r="E633" t="str">
        <x:v>CDA-CODE-161</x:v>
      </x:c>
      <x:c r="F633" t="str">
        <x:v>Caran d’Ache</x:v>
      </x:c>
      <x:c r="G633" t="str">
        <x:v>PSTP</x:v>
      </x:c>
      <x:c r="H633" t="str">
        <x:v>PASTEL PENCILS</x:v>
      </x:c>
      <x:c r="I633" t="str">
        <x:v>Extra-fine dry pastel pencil</x:v>
      </x:c>
      <x:c r="J633" t="str">
        <x:v>Professional</x:v>
      </x:c>
      <x:c r="K633" s="30" t="n">
        <x:v>36</x:v>
      </x:c>
      <x:c r="L633" s="30" t="str">
        <x:v>161</x:v>
      </x:c>
      <x:c r="M633" t="str">
        <x:v>Light blue</x:v>
      </x:c>
      <x:c r="N633" t="str">
        <x:v>淺藍色</x:v>
      </x:c>
      <x:c r="O633" t="str">
        <x:v>ライトブルー</x:v>
      </x:c>
      <x:c r="P633" t="str"/>
      <x:c r="Q633" t="str">
        <x:v>Bleu clair</x:v>
      </x:c>
      <x:c r="R633" t="str">
        <x:v>Hellblau</x:v>
      </x:c>
      <x:c r="S633" t="str">
        <x:v>Azzurro chiaro</x:v>
      </x:c>
      <x:c r="T633" t="str">
        <x:v>Azul claro</x:v>
      </x:c>
      <x:c r="U633" t="str">
        <x:v>Azul claro</x:v>
      </x:c>
      <x:c r="V633" t="str"/>
      <x:c r="W633" t="str">
        <x:v>PB15:3/PBk9</x:v>
      </x:c>
      <x:c r="X633" t="n">
        <x:f>IF(W633="",0,LEN(W633)-LEN(SUBSTITUTE(W633,"/",""))+1)</x:f>
        <x:v>2</x:v>
      </x:c>
      <x:c r="Y633" t="str">
        <x:v>H</x:v>
      </x:c>
      <x:c r="Z633" s="32" t="n">
        <x:v>1</x:v>
      </x:c>
      <x:c r="AA633" s="32" t="n">
        <x:v>5</x:v>
      </x:c>
      <x:c r="AB633" s="32" t="str">
        <x:v>Blue Wool Scale / UV 150h</x:v>
      </x:c>
      <x:c r="AC633" t="str">
        <x:v>#67B9D5</x:v>
      </x:c>
      <x:c r="AD633" s="34" t="n">
        <x:v>103</x:v>
      </x:c>
      <x:c r="AE633" s="34" t="n">
        <x:v>185</x:v>
      </x:c>
      <x:c r="AF633" s="34" t="n">
        <x:v>213</x:v>
      </x:c>
      <x:c r="AG633" s="32" t="n">
        <x:v>195.27</x:v>
      </x:c>
      <x:c r="AH633" s="32" t="n">
        <x:v>56.7</x:v>
      </x:c>
      <x:c r="AI633" s="32" t="n">
        <x:v>61.96</x:v>
      </x:c>
      <x:c r="AJ633" s="32" t="n">
        <x:v>71.13</x:v>
      </x:c>
      <x:c r="AK633" s="32" t="n">
        <x:v>-17.37</x:v>
      </x:c>
      <x:c r="AL633" s="32" t="n">
        <x:v>-21.79</x:v>
      </x:c>
      <x:c r="AM633" s="32" t="str">
        <x:v>#000000</x:v>
      </x:c>
      <x:c r="AN633" s="32" t="str">
        <x:v>Black</x:v>
      </x:c>
      <x:c r="AO633" s="32" t="n">
        <x:v>9.48</x:v>
      </x:c>
      <x:c r="AP633" s="32" t="n">
        <x:v>9.48</x:v>
      </x:c>
      <x:c r="AQ633" s="32" t="n">
        <x:v>2.22</x:v>
      </x:c>
      <x:c r="AR633" s="32" t="n">
        <x:v>0.423856</x:v>
      </x:c>
      <x:c r="AS633" t="str">
        <x:v>PASS</x:v>
      </x:c>
      <x:c r="AT633" t="str">
        <x:v>--cda-pstp-161</x:v>
      </x:c>
      <x:c r="AU633" t="str">
        <x:v>var(--cda-pstp-161)</x:v>
      </x:c>
      <x:c r="AV633" t="str">
        <x:v>Median RGB from official PDF swatch (screen reference only)</x:v>
      </x:c>
      <x:c r="AW633" t="str">
        <x:v>https://www.carandache.com/content_files/uploaded_doc/product/10985/Colour_Chart_Pastel_Pencil.pdf</x:v>
      </x:c>
      <x:c r="AX633" t="n">
        <x:v>1</x:v>
      </x:c>
      <x:c r="AY633" t="str">
        <x:v>Official</x:v>
      </x:c>
      <x:c r="AZ633" t="str">
        <x:v>Official where available; curated Traditional Chinese/Japanese otherwise</x:v>
      </x:c>
      <x:c r="BA633" t="str">
        <x:v>Verified from official chart; digital HEX is approximate</x:v>
      </x:c>
      <x:c r="BB633" t="str">
        <x:v>Physical media appearance varies by paper, pressure, layering, water and scan/display profile.</x:v>
      </x:c>
    </x:row>
    <x:row r="634">
      <x:c r="A634" t="str">
        <x:f>G634&amp;"|"&amp;L634</x:f>
        <x:v>PSTP|730</x:v>
      </x:c>
      <x:c r="B634" t="str">
        <x:v>3a307c54-797f-5930-9e14-6d61a93a4b30</x:v>
      </x:c>
      <x:c r="C634" t="str">
        <x:v>CDA-PSTP-730</x:v>
      </x:c>
      <x:c r="D634" t="str">
        <x:v>bfd2fd00-6ce4-5f21-89c9-696b8fc30e6c</x:v>
      </x:c>
      <x:c r="E634" t="str">
        <x:v>CDA-CODE-730</x:v>
      </x:c>
      <x:c r="F634" t="str">
        <x:v>Caran d’Ache</x:v>
      </x:c>
      <x:c r="G634" t="str">
        <x:v>PSTP</x:v>
      </x:c>
      <x:c r="H634" t="str">
        <x:v>PASTEL PENCILS</x:v>
      </x:c>
      <x:c r="I634" t="str">
        <x:v>Extra-fine dry pastel pencil</x:v>
      </x:c>
      <x:c r="J634" t="str">
        <x:v>Professional</x:v>
      </x:c>
      <x:c r="K634" s="30" t="n">
        <x:v>37</x:v>
      </x:c>
      <x:c r="L634" s="30" t="str">
        <x:v>730</x:v>
      </x:c>
      <x:c r="M634" t="str">
        <x:v>Chinese green</x:v>
      </x:c>
      <x:c r="N634" t="str">
        <x:v>中國綠</x:v>
      </x:c>
      <x:c r="O634" t="str">
        <x:v>チャイニーズグリーン</x:v>
      </x:c>
      <x:c r="P634" t="str"/>
      <x:c r="Q634" t="str">
        <x:v>Vert de Chine</x:v>
      </x:c>
      <x:c r="R634" t="str">
        <x:v>Chinesischgrün</x:v>
      </x:c>
      <x:c r="S634" t="str">
        <x:v>Verde di Cina</x:v>
      </x:c>
      <x:c r="T634" t="str">
        <x:v>Verde de China</x:v>
      </x:c>
      <x:c r="U634" t="str">
        <x:v>Verde da China</x:v>
      </x:c>
      <x:c r="V634" t="str"/>
      <x:c r="W634" t="str">
        <x:v>PY3/PG7</x:v>
      </x:c>
      <x:c r="X634" t="n">
        <x:f>IF(W634="",0,LEN(W634)-LEN(SUBSTITUTE(W634,"/",""))+1)</x:f>
        <x:v>2</x:v>
      </x:c>
      <x:c r="Y634" t="str">
        <x:v>HH</x:v>
      </x:c>
      <x:c r="Z634" s="32" t="n">
        <x:v>2</x:v>
      </x:c>
      <x:c r="AA634" s="32" t="n">
        <x:v>5</x:v>
      </x:c>
      <x:c r="AB634" s="32" t="str">
        <x:v>Blue Wool Scale / UV 150h</x:v>
      </x:c>
      <x:c r="AC634" t="str">
        <x:v>#DFD765</x:v>
      </x:c>
      <x:c r="AD634" s="34" t="n">
        <x:v>223</x:v>
      </x:c>
      <x:c r="AE634" s="34" t="n">
        <x:v>215</x:v>
      </x:c>
      <x:c r="AF634" s="34" t="n">
        <x:v>101</x:v>
      </x:c>
      <x:c r="AG634" s="32" t="n">
        <x:v>56.07</x:v>
      </x:c>
      <x:c r="AH634" s="32" t="n">
        <x:v>65.59</x:v>
      </x:c>
      <x:c r="AI634" s="32" t="n">
        <x:v>63.53</x:v>
      </x:c>
      <x:c r="AJ634" s="32" t="n">
        <x:v>84.6</x:v>
      </x:c>
      <x:c r="AK634" s="32" t="n">
        <x:v>-11.78</x:v>
      </x:c>
      <x:c r="AL634" s="32" t="n">
        <x:v>56.28</x:v>
      </x:c>
      <x:c r="AM634" s="32" t="str">
        <x:v>#000000</x:v>
      </x:c>
      <x:c r="AN634" s="32" t="str">
        <x:v>Black</x:v>
      </x:c>
      <x:c r="AO634" s="32" t="n">
        <x:v>14.05</x:v>
      </x:c>
      <x:c r="AP634" s="32" t="n">
        <x:v>14.05</x:v>
      </x:c>
      <x:c r="AQ634" s="32" t="n">
        <x:v>1.5</x:v>
      </x:c>
      <x:c r="AR634" s="32" t="n">
        <x:v>0.652284</x:v>
      </x:c>
      <x:c r="AS634" t="str">
        <x:v>PASS</x:v>
      </x:c>
      <x:c r="AT634" t="str">
        <x:v>--cda-pstp-730</x:v>
      </x:c>
      <x:c r="AU634" t="str">
        <x:v>var(--cda-pstp-730)</x:v>
      </x:c>
      <x:c r="AV634" t="str">
        <x:v>Median RGB from official PDF swatch (screen reference only)</x:v>
      </x:c>
      <x:c r="AW634" t="str">
        <x:v>https://www.carandache.com/content_files/uploaded_doc/product/10985/Colour_Chart_Pastel_Pencil.pdf</x:v>
      </x:c>
      <x:c r="AX634" t="n">
        <x:v>1</x:v>
      </x:c>
      <x:c r="AY634" t="str">
        <x:v>Official</x:v>
      </x:c>
      <x:c r="AZ634" t="str">
        <x:v>Official where available; curated Traditional Chinese/Japanese otherwise</x:v>
      </x:c>
      <x:c r="BA634" t="str">
        <x:v>Verified from official chart; digital HEX is approximate</x:v>
      </x:c>
      <x:c r="BB634" t="str">
        <x:v>Physical media appearance varies by paper, pressure, layering, water and scan/display profile.</x:v>
      </x:c>
    </x:row>
    <x:row r="635">
      <x:c r="A635" t="str">
        <x:f>G635&amp;"|"&amp;L635</x:f>
        <x:v>PSTP|232</x:v>
      </x:c>
      <x:c r="B635" t="str">
        <x:v>bd74c3a2-4a26-5df0-a734-d3da0aae2e6d</x:v>
      </x:c>
      <x:c r="C635" t="str">
        <x:v>CDA-PSTP-232</x:v>
      </x:c>
      <x:c r="D635" t="str">
        <x:v>51e03714-d1e1-5468-a60a-87faedd3f490</x:v>
      </x:c>
      <x:c r="E635" t="str">
        <x:v>CDA-CODE-232</x:v>
      </x:c>
      <x:c r="F635" t="str">
        <x:v>Caran d’Ache</x:v>
      </x:c>
      <x:c r="G635" t="str">
        <x:v>PSTP</x:v>
      </x:c>
      <x:c r="H635" t="str">
        <x:v>PASTEL PENCILS</x:v>
      </x:c>
      <x:c r="I635" t="str">
        <x:v>Extra-fine dry pastel pencil</x:v>
      </x:c>
      <x:c r="J635" t="str">
        <x:v>Professional</x:v>
      </x:c>
      <x:c r="K635" s="30" t="n">
        <x:v>38</x:v>
      </x:c>
      <x:c r="L635" s="30" t="str">
        <x:v>232</x:v>
      </x:c>
      <x:c r="M635" t="str">
        <x:v>Middle moss green 10%</x:v>
      </x:c>
      <x:c r="N635" t="str">
        <x:v>中苔綠 10%</x:v>
      </x:c>
      <x:c r="O635" t="str">
        <x:v>ミドルモスグリーン 10%</x:v>
      </x:c>
      <x:c r="P635" t="str"/>
      <x:c r="Q635" t="str">
        <x:v>Vert mousse moyen 10%</x:v>
      </x:c>
      <x:c r="R635" t="str">
        <x:v>Moosgrün mittel 10%</x:v>
      </x:c>
      <x:c r="S635" t="str">
        <x:v>Verde muschio medio 10%</x:v>
      </x:c>
      <x:c r="T635" t="str">
        <x:v>Verde musgo medio 10%</x:v>
      </x:c>
      <x:c r="U635" t="str">
        <x:v>Verde musgo médio 10%</x:v>
      </x:c>
      <x:c r="V635" t="str"/>
      <x:c r="W635" t="str">
        <x:v>PY74/PB15/PO82</x:v>
      </x:c>
      <x:c r="X635" t="n">
        <x:f>IF(W635="",0,LEN(W635)-LEN(SUBSTITUTE(W635,"/",""))+1)</x:f>
        <x:v>3</x:v>
      </x:c>
      <x:c r="Y635" t="str">
        <x:v>H</x:v>
      </x:c>
      <x:c r="Z635" s="32" t="n">
        <x:v>1</x:v>
      </x:c>
      <x:c r="AA635" s="32" t="n">
        <x:v>5</x:v>
      </x:c>
      <x:c r="AB635" s="32" t="str">
        <x:v>Blue Wool Scale / UV 150h</x:v>
      </x:c>
      <x:c r="AC635" t="str">
        <x:v>#AFB22A</x:v>
      </x:c>
      <x:c r="AD635" s="34" t="n">
        <x:v>175</x:v>
      </x:c>
      <x:c r="AE635" s="34" t="n">
        <x:v>178</x:v>
      </x:c>
      <x:c r="AF635" s="34" t="n">
        <x:v>42</x:v>
      </x:c>
      <x:c r="AG635" s="32" t="n">
        <x:v>61.32</x:v>
      </x:c>
      <x:c r="AH635" s="32" t="n">
        <x:v>61.82</x:v>
      </x:c>
      <x:c r="AI635" s="32" t="n">
        <x:v>43.14</x:v>
      </x:c>
      <x:c r="AJ635" s="32" t="n">
        <x:v>70.26</x:v>
      </x:c>
      <x:c r="AK635" s="32" t="n">
        <x:v>-16.82</x:v>
      </x:c>
      <x:c r="AL635" s="32" t="n">
        <x:v>63.81</x:v>
      </x:c>
      <x:c r="AM635" s="32" t="str">
        <x:v>#000000</x:v>
      </x:c>
      <x:c r="AN635" s="32" t="str">
        <x:v>Black</x:v>
      </x:c>
      <x:c r="AO635" s="32" t="n">
        <x:v>9.22</x:v>
      </x:c>
      <x:c r="AP635" s="32" t="n">
        <x:v>9.22</x:v>
      </x:c>
      <x:c r="AQ635" s="32" t="n">
        <x:v>2.28</x:v>
      </x:c>
      <x:c r="AR635" s="32" t="n">
        <x:v>0.411219</x:v>
      </x:c>
      <x:c r="AS635" t="str">
        <x:v>PASS</x:v>
      </x:c>
      <x:c r="AT635" t="str">
        <x:v>--cda-pstp-232</x:v>
      </x:c>
      <x:c r="AU635" t="str">
        <x:v>var(--cda-pstp-232)</x:v>
      </x:c>
      <x:c r="AV635" t="str">
        <x:v>Median RGB from official PDF swatch (screen reference only)</x:v>
      </x:c>
      <x:c r="AW635" t="str">
        <x:v>https://www.carandache.com/content_files/uploaded_doc/product/10985/Colour_Chart_Pastel_Pencil.pdf</x:v>
      </x:c>
      <x:c r="AX635" t="n">
        <x:v>1</x:v>
      </x:c>
      <x:c r="AY635" t="str">
        <x:v>Official</x:v>
      </x:c>
      <x:c r="AZ635" t="str">
        <x:v>Official where available; curated Traditional Chinese/Japanese otherwise</x:v>
      </x:c>
      <x:c r="BA635" t="str">
        <x:v>Verified from official chart; digital HEX is approximate</x:v>
      </x:c>
      <x:c r="BB635" t="str">
        <x:v>Physical media appearance varies by paper, pressure, layering, water and scan/display profile.</x:v>
      </x:c>
    </x:row>
    <x:row r="636">
      <x:c r="A636" t="str">
        <x:f>G636&amp;"|"&amp;L636</x:f>
        <x:v>PSTP|243</x:v>
      </x:c>
      <x:c r="B636" t="str">
        <x:v>0be1da09-d3e5-508c-9fb0-94ad6f776262</x:v>
      </x:c>
      <x:c r="C636" t="str">
        <x:v>CDA-PSTP-243</x:v>
      </x:c>
      <x:c r="D636" t="str">
        <x:v>f0a13765-ef81-542a-9934-ea45cff10684</x:v>
      </x:c>
      <x:c r="E636" t="str">
        <x:v>CDA-CODE-243</x:v>
      </x:c>
      <x:c r="F636" t="str">
        <x:v>Caran d’Ache</x:v>
      </x:c>
      <x:c r="G636" t="str">
        <x:v>PSTP</x:v>
      </x:c>
      <x:c r="H636" t="str">
        <x:v>PASTEL PENCILS</x:v>
      </x:c>
      <x:c r="I636" t="str">
        <x:v>Extra-fine dry pastel pencil</x:v>
      </x:c>
      <x:c r="J636" t="str">
        <x:v>Professional</x:v>
      </x:c>
      <x:c r="K636" s="30" t="n">
        <x:v>39</x:v>
      </x:c>
      <x:c r="L636" s="30" t="str">
        <x:v>243</x:v>
      </x:c>
      <x:c r="M636" t="str">
        <x:v>Light olive 20%</x:v>
      </x:c>
      <x:c r="N636" t="str">
        <x:v>淺橄欖色 20%</x:v>
      </x:c>
      <x:c r="O636" t="str">
        <x:v>ライトオリーブ 20%</x:v>
      </x:c>
      <x:c r="P636" t="str"/>
      <x:c r="Q636" t="str">
        <x:v>Olive clair 20%</x:v>
      </x:c>
      <x:c r="R636" t="str">
        <x:v>Helloliv 20%</x:v>
      </x:c>
      <x:c r="S636" t="str">
        <x:v>Oliva chiaro 20%</x:v>
      </x:c>
      <x:c r="T636" t="str">
        <x:v>Oliva claro 20%</x:v>
      </x:c>
      <x:c r="U636" t="str">
        <x:v>Azeitona claro 20%</x:v>
      </x:c>
      <x:c r="V636" t="str"/>
      <x:c r="W636" t="str">
        <x:v>PY74/PG17/PY42</x:v>
      </x:c>
      <x:c r="X636" t="n">
        <x:f>IF(W636="",0,LEN(W636)-LEN(SUBSTITUTE(W636,"/",""))+1)</x:f>
        <x:v>3</x:v>
      </x:c>
      <x:c r="Y636" t="str">
        <x:v>H</x:v>
      </x:c>
      <x:c r="Z636" s="32" t="n">
        <x:v>1</x:v>
      </x:c>
      <x:c r="AA636" s="32" t="n">
        <x:v>5</x:v>
      </x:c>
      <x:c r="AB636" s="32" t="str">
        <x:v>Blue Wool Scale / UV 150h</x:v>
      </x:c>
      <x:c r="AC636" t="str">
        <x:v>#ACC160</x:v>
      </x:c>
      <x:c r="AD636" s="34" t="n">
        <x:v>172</x:v>
      </x:c>
      <x:c r="AE636" s="34" t="n">
        <x:v>193</x:v>
      </x:c>
      <x:c r="AF636" s="34" t="n">
        <x:v>96</x:v>
      </x:c>
      <x:c r="AG636" s="32" t="n">
        <x:v>72.99</x:v>
      </x:c>
      <x:c r="AH636" s="32" t="n">
        <x:v>43.89</x:v>
      </x:c>
      <x:c r="AI636" s="32" t="n">
        <x:v>56.67</x:v>
      </x:c>
      <x:c r="AJ636" s="32" t="n">
        <x:v>74.67</x:v>
      </x:c>
      <x:c r="AK636" s="32" t="n">
        <x:v>-21.85</x:v>
      </x:c>
      <x:c r="AL636" s="32" t="n">
        <x:v>46.02</x:v>
      </x:c>
      <x:c r="AM636" s="32" t="str">
        <x:v>#000000</x:v>
      </x:c>
      <x:c r="AN636" s="32" t="str">
        <x:v>Black</x:v>
      </x:c>
      <x:c r="AO636" s="32" t="n">
        <x:v>10.55</x:v>
      </x:c>
      <x:c r="AP636" s="32" t="n">
        <x:v>10.55</x:v>
      </x:c>
      <x:c r="AQ636" s="32" t="n">
        <x:v>1.99</x:v>
      </x:c>
      <x:c r="AR636" s="32" t="n">
        <x:v>0.477551</x:v>
      </x:c>
      <x:c r="AS636" t="str">
        <x:v>PASS</x:v>
      </x:c>
      <x:c r="AT636" t="str">
        <x:v>--cda-pstp-243</x:v>
      </x:c>
      <x:c r="AU636" t="str">
        <x:v>var(--cda-pstp-243)</x:v>
      </x:c>
      <x:c r="AV636" t="str">
        <x:v>Median RGB from official PDF swatch (screen reference only)</x:v>
      </x:c>
      <x:c r="AW636" t="str">
        <x:v>https://www.carandache.com/content_files/uploaded_doc/product/10985/Colour_Chart_Pastel_Pencil.pdf</x:v>
      </x:c>
      <x:c r="AX636" t="n">
        <x:v>1</x:v>
      </x:c>
      <x:c r="AY636" t="str">
        <x:v>Official</x:v>
      </x:c>
      <x:c r="AZ636" t="str">
        <x:v>Official where available; curated Traditional Chinese/Japanese otherwise</x:v>
      </x:c>
      <x:c r="BA636" t="str">
        <x:v>Verified from official chart; digital HEX is approximate</x:v>
      </x:c>
      <x:c r="BB636" t="str">
        <x:v>Physical media appearance varies by paper, pressure, layering, water and scan/display profile.</x:v>
      </x:c>
    </x:row>
    <x:row r="637">
      <x:c r="A637" t="str">
        <x:f>G637&amp;"|"&amp;L637</x:f>
        <x:v>PSTP|245</x:v>
      </x:c>
      <x:c r="B637" t="str">
        <x:v>57eea653-b138-59d4-8683-e85a9805d4ff</x:v>
      </x:c>
      <x:c r="C637" t="str">
        <x:v>CDA-PSTP-245</x:v>
      </x:c>
      <x:c r="D637" t="str">
        <x:v>592280bd-2cc9-5bea-bb70-ba5d26898542</x:v>
      </x:c>
      <x:c r="E637" t="str">
        <x:v>CDA-CODE-245</x:v>
      </x:c>
      <x:c r="F637" t="str">
        <x:v>Caran d’Ache</x:v>
      </x:c>
      <x:c r="G637" t="str">
        <x:v>PSTP</x:v>
      </x:c>
      <x:c r="H637" t="str">
        <x:v>PASTEL PENCILS</x:v>
      </x:c>
      <x:c r="I637" t="str">
        <x:v>Extra-fine dry pastel pencil</x:v>
      </x:c>
      <x:c r="J637" t="str">
        <x:v>Professional</x:v>
      </x:c>
      <x:c r="K637" s="30" t="n">
        <x:v>40</x:v>
      </x:c>
      <x:c r="L637" s="30" t="str">
        <x:v>245</x:v>
      </x:c>
      <x:c r="M637" t="str">
        <x:v>Light olive 40%</x:v>
      </x:c>
      <x:c r="N637" t="str">
        <x:v>淺橄欖色 40%</x:v>
      </x:c>
      <x:c r="O637" t="str">
        <x:v>ライトオリーブ 40%</x:v>
      </x:c>
      <x:c r="P637" t="str"/>
      <x:c r="Q637" t="str">
        <x:v>Olive clair 40%</x:v>
      </x:c>
      <x:c r="R637" t="str">
        <x:v>Helloliv 40%</x:v>
      </x:c>
      <x:c r="S637" t="str">
        <x:v>Oliva chiaro 40%</x:v>
      </x:c>
      <x:c r="T637" t="str">
        <x:v>Oliva claro 40%</x:v>
      </x:c>
      <x:c r="U637" t="str">
        <x:v>Azeitona claro 40%</x:v>
      </x:c>
      <x:c r="V637" t="str"/>
      <x:c r="W637" t="str">
        <x:v>PY74/PG17/PY42</x:v>
      </x:c>
      <x:c r="X637" t="n">
        <x:f>IF(W637="",0,LEN(W637)-LEN(SUBSTITUTE(W637,"/",""))+1)</x:f>
        <x:v>3</x:v>
      </x:c>
      <x:c r="Y637" t="str">
        <x:v>HHH</x:v>
      </x:c>
      <x:c r="Z637" s="32" t="n">
        <x:v>3</x:v>
      </x:c>
      <x:c r="AA637" s="32" t="n">
        <x:v>5</x:v>
      </x:c>
      <x:c r="AB637" s="32" t="str">
        <x:v>Blue Wool Scale / UV 150h</x:v>
      </x:c>
      <x:c r="AC637" t="str">
        <x:v>#7A8834</x:v>
      </x:c>
      <x:c r="AD637" s="34" t="n">
        <x:v>122</x:v>
      </x:c>
      <x:c r="AE637" s="34" t="n">
        <x:v>136</x:v>
      </x:c>
      <x:c r="AF637" s="34" t="n">
        <x:v>52</x:v>
      </x:c>
      <x:c r="AG637" s="32" t="n">
        <x:v>70</x:v>
      </x:c>
      <x:c r="AH637" s="32" t="n">
        <x:v>44.68</x:v>
      </x:c>
      <x:c r="AI637" s="32" t="n">
        <x:v>36.86</x:v>
      </x:c>
      <x:c r="AJ637" s="32" t="n">
        <x:v>54.02</x:v>
      </x:c>
      <x:c r="AK637" s="32" t="n">
        <x:v>-17.63</x:v>
      </x:c>
      <x:c r="AL637" s="32" t="n">
        <x:v>42.26</x:v>
      </x:c>
      <x:c r="AM637" s="32" t="str">
        <x:v>#000000</x:v>
      </x:c>
      <x:c r="AN637" s="32" t="str">
        <x:v>Black</x:v>
      </x:c>
      <x:c r="AO637" s="32" t="n">
        <x:v>5.4</x:v>
      </x:c>
      <x:c r="AP637" s="32" t="n">
        <x:v>5.4</x:v>
      </x:c>
      <x:c r="AQ637" s="32" t="n">
        <x:v>3.89</x:v>
      </x:c>
      <x:c r="AR637" s="32" t="n">
        <x:v>0.219938</x:v>
      </x:c>
      <x:c r="AS637" t="str">
        <x:v>PASS</x:v>
      </x:c>
      <x:c r="AT637" t="str">
        <x:v>--cda-pstp-245</x:v>
      </x:c>
      <x:c r="AU637" t="str">
        <x:v>var(--cda-pstp-245)</x:v>
      </x:c>
      <x:c r="AV637" t="str">
        <x:v>Median RGB from official PDF swatch (screen reference only)</x:v>
      </x:c>
      <x:c r="AW637" t="str">
        <x:v>https://www.carandache.com/content_files/uploaded_doc/product/10985/Colour_Chart_Pastel_Pencil.pdf</x:v>
      </x:c>
      <x:c r="AX637" t="n">
        <x:v>1</x:v>
      </x:c>
      <x:c r="AY637" t="str">
        <x:v>Official</x:v>
      </x:c>
      <x:c r="AZ637" t="str">
        <x:v>Official where available; curated Traditional Chinese/Japanese otherwise</x:v>
      </x:c>
      <x:c r="BA637" t="str">
        <x:v>Verified from official chart; digital HEX is approximate</x:v>
      </x:c>
      <x:c r="BB637" t="str">
        <x:v>Physical media appearance varies by paper, pressure, layering, water and scan/display profile.</x:v>
      </x:c>
    </x:row>
    <x:row r="638">
      <x:c r="A638" t="str">
        <x:f>G638&amp;"|"&amp;L638</x:f>
        <x:v>PSTP|017</x:v>
      </x:c>
      <x:c r="B638" t="str">
        <x:v>9b01ee8e-2779-56ca-b4ff-09096e56c5e6</x:v>
      </x:c>
      <x:c r="C638" t="str">
        <x:v>CDA-PSTP-017</x:v>
      </x:c>
      <x:c r="D638" t="str">
        <x:v>bb3b8ec4-50ad-5914-aed2-07eebd4acf58</x:v>
      </x:c>
      <x:c r="E638" t="str">
        <x:v>CDA-CODE-017</x:v>
      </x:c>
      <x:c r="F638" t="str">
        <x:v>Caran d’Ache</x:v>
      </x:c>
      <x:c r="G638" t="str">
        <x:v>PSTP</x:v>
      </x:c>
      <x:c r="H638" t="str">
        <x:v>PASTEL PENCILS</x:v>
      </x:c>
      <x:c r="I638" t="str">
        <x:v>Extra-fine dry pastel pencil</x:v>
      </x:c>
      <x:c r="J638" t="str">
        <x:v>Professional</x:v>
      </x:c>
      <x:c r="K638" s="30" t="n">
        <x:v>41</x:v>
      </x:c>
      <x:c r="L638" s="30" t="str">
        <x:v>017</x:v>
      </x:c>
      <x:c r="M638" t="str">
        <x:v>Light reseda</x:v>
      </x:c>
      <x:c r="N638" t="str">
        <x:v>淺木犀草綠</x:v>
      </x:c>
      <x:c r="O638" t="str">
        <x:v>ライトレセダ</x:v>
      </x:c>
      <x:c r="P638" t="str"/>
      <x:c r="Q638" t="str">
        <x:v>Réséda clair</x:v>
      </x:c>
      <x:c r="R638" t="str">
        <x:v>Hellreseda</x:v>
      </x:c>
      <x:c r="S638" t="str">
        <x:v>Giallo reseda</x:v>
      </x:c>
      <x:c r="T638" t="str">
        <x:v>Reseda claro</x:v>
      </x:c>
      <x:c r="U638" t="str">
        <x:v>Reseda clara</x:v>
      </x:c>
      <x:c r="V638" t="str"/>
      <x:c r="W638" t="str">
        <x:v>PY3/PBk7</x:v>
      </x:c>
      <x:c r="X638" t="n">
        <x:f>IF(W638="",0,LEN(W638)-LEN(SUBSTITUTE(W638,"/",""))+1)</x:f>
        <x:v>2</x:v>
      </x:c>
      <x:c r="Y638" t="str">
        <x:v>H</x:v>
      </x:c>
      <x:c r="Z638" s="32" t="n">
        <x:v>1</x:v>
      </x:c>
      <x:c r="AA638" s="32" t="n">
        <x:v>5</x:v>
      </x:c>
      <x:c r="AB638" s="32" t="str">
        <x:v>Blue Wool Scale / UV 150h</x:v>
      </x:c>
      <x:c r="AC638" t="str">
        <x:v>#7E7447</x:v>
      </x:c>
      <x:c r="AD638" s="34" t="n">
        <x:v>126</x:v>
      </x:c>
      <x:c r="AE638" s="34" t="n">
        <x:v>116</x:v>
      </x:c>
      <x:c r="AF638" s="34" t="n">
        <x:v>71</x:v>
      </x:c>
      <x:c r="AG638" s="32" t="n">
        <x:v>49.09</x:v>
      </x:c>
      <x:c r="AH638" s="32" t="n">
        <x:v>27.92</x:v>
      </x:c>
      <x:c r="AI638" s="32" t="n">
        <x:v>38.63</x:v>
      </x:c>
      <x:c r="AJ638" s="32" t="n">
        <x:v>48.74</x:v>
      </x:c>
      <x:c r="AK638" s="32" t="n">
        <x:v>-3.04</x:v>
      </x:c>
      <x:c r="AL638" s="32" t="n">
        <x:v>26.23</x:v>
      </x:c>
      <x:c r="AM638" s="32" t="str">
        <x:v>#FFFFFF</x:v>
      </x:c>
      <x:c r="AN638" s="32" t="str">
        <x:v>White</x:v>
      </x:c>
      <x:c r="AO638" s="32" t="n">
        <x:v>4.69</x:v>
      </x:c>
      <x:c r="AP638" s="32" t="n">
        <x:v>4.48</x:v>
      </x:c>
      <x:c r="AQ638" s="32" t="n">
        <x:v>4.69</x:v>
      </x:c>
      <x:c r="AR638" s="32" t="n">
        <x:v>0.173813</x:v>
      </x:c>
      <x:c r="AS638" t="str">
        <x:v>PASS</x:v>
      </x:c>
      <x:c r="AT638" t="str">
        <x:v>--cda-pstp-017</x:v>
      </x:c>
      <x:c r="AU638" t="str">
        <x:v>var(--cda-pstp-017)</x:v>
      </x:c>
      <x:c r="AV638" t="str">
        <x:v>Median RGB from official PDF swatch (screen reference only)</x:v>
      </x:c>
      <x:c r="AW638" t="str">
        <x:v>https://www.carandache.com/content_files/uploaded_doc/product/10985/Colour_Chart_Pastel_Pencil.pdf</x:v>
      </x:c>
      <x:c r="AX638" t="n">
        <x:v>1</x:v>
      </x:c>
      <x:c r="AY638" t="str">
        <x:v>Official</x:v>
      </x:c>
      <x:c r="AZ638" t="str">
        <x:v>Official where available; curated Traditional Chinese/Japanese otherwise</x:v>
      </x:c>
      <x:c r="BA638" t="str">
        <x:v>Verified from official chart; digital HEX is approximate</x:v>
      </x:c>
      <x:c r="BB638" t="str">
        <x:v>Physical media appearance varies by paper, pressure, layering, water and scan/display profile.</x:v>
      </x:c>
    </x:row>
    <x:row r="639">
      <x:c r="A639" t="str">
        <x:f>G639&amp;"|"&amp;L639</x:f>
        <x:v>PSTP|234</x:v>
      </x:c>
      <x:c r="B639" t="str">
        <x:v>c27038fc-bb08-5987-af74-2da6f98a469e</x:v>
      </x:c>
      <x:c r="C639" t="str">
        <x:v>CDA-PSTP-234</x:v>
      </x:c>
      <x:c r="D639" t="str">
        <x:v>0c91d227-03cd-5ff8-8c48-a46915b9e1a0</x:v>
      </x:c>
      <x:c r="E639" t="str">
        <x:v>CDA-CODE-234</x:v>
      </x:c>
      <x:c r="F639" t="str">
        <x:v>Caran d’Ache</x:v>
      </x:c>
      <x:c r="G639" t="str">
        <x:v>PSTP</x:v>
      </x:c>
      <x:c r="H639" t="str">
        <x:v>PASTEL PENCILS</x:v>
      </x:c>
      <x:c r="I639" t="str">
        <x:v>Extra-fine dry pastel pencil</x:v>
      </x:c>
      <x:c r="J639" t="str">
        <x:v>Professional</x:v>
      </x:c>
      <x:c r="K639" s="30" t="n">
        <x:v>42</x:v>
      </x:c>
      <x:c r="L639" s="30" t="str">
        <x:v>234</x:v>
      </x:c>
      <x:c r="M639" t="str">
        <x:v>Middle moss green 30%</x:v>
      </x:c>
      <x:c r="N639" t="str">
        <x:v>中苔綠 30%</x:v>
      </x:c>
      <x:c r="O639" t="str">
        <x:v>ミドルモスグリーン 30%</x:v>
      </x:c>
      <x:c r="P639" t="str"/>
      <x:c r="Q639" t="str">
        <x:v>Vert mousse moyen 30%</x:v>
      </x:c>
      <x:c r="R639" t="str">
        <x:v>Moosgrün mittel 30%</x:v>
      </x:c>
      <x:c r="S639" t="str">
        <x:v>Verde muschio medio 30%</x:v>
      </x:c>
      <x:c r="T639" t="str">
        <x:v>Verde musgo medio 30%</x:v>
      </x:c>
      <x:c r="U639" t="str">
        <x:v>Verde musgo médio 30%</x:v>
      </x:c>
      <x:c r="V639" t="str"/>
      <x:c r="W639" t="str">
        <x:v>PY74/PB15/PO82</x:v>
      </x:c>
      <x:c r="X639" t="n">
        <x:f>IF(W639="",0,LEN(W639)-LEN(SUBSTITUTE(W639,"/",""))+1)</x:f>
        <x:v>3</x:v>
      </x:c>
      <x:c r="Y639" t="str">
        <x:v>H</x:v>
      </x:c>
      <x:c r="Z639" s="32" t="n">
        <x:v>1</x:v>
      </x:c>
      <x:c r="AA639" s="32" t="n">
        <x:v>5</x:v>
      </x:c>
      <x:c r="AB639" s="32" t="str">
        <x:v>Blue Wool Scale / UV 150h</x:v>
      </x:c>
      <x:c r="AC639" t="str">
        <x:v>#498532</x:v>
      </x:c>
      <x:c r="AD639" s="34" t="n">
        <x:v>73</x:v>
      </x:c>
      <x:c r="AE639" s="34" t="n">
        <x:v>133</x:v>
      </x:c>
      <x:c r="AF639" s="34" t="n">
        <x:v>50</x:v>
      </x:c>
      <x:c r="AG639" s="32" t="n">
        <x:v>103.37</x:v>
      </x:c>
      <x:c r="AH639" s="32" t="n">
        <x:v>45.36</x:v>
      </x:c>
      <x:c r="AI639" s="32" t="n">
        <x:v>35.88</x:v>
      </x:c>
      <x:c r="AJ639" s="32" t="n">
        <x:v>50</x:v>
      </x:c>
      <x:c r="AK639" s="32" t="n">
        <x:v>-35.7</x:v>
      </x:c>
      <x:c r="AL639" s="32" t="n">
        <x:v>37.88</x:v>
      </x:c>
      <x:c r="AM639" s="32" t="str">
        <x:v>#000000</x:v>
      </x:c>
      <x:c r="AN639" s="32" t="str">
        <x:v>Black</x:v>
      </x:c>
      <x:c r="AO639" s="32" t="n">
        <x:v>4.68</x:v>
      </x:c>
      <x:c r="AP639" s="32" t="n">
        <x:v>4.68</x:v>
      </x:c>
      <x:c r="AQ639" s="32" t="n">
        <x:v>4.48</x:v>
      </x:c>
      <x:c r="AR639" s="32" t="n">
        <x:v>0.184218</x:v>
      </x:c>
      <x:c r="AS639" t="str">
        <x:v>PASS</x:v>
      </x:c>
      <x:c r="AT639" t="str">
        <x:v>--cda-pstp-234</x:v>
      </x:c>
      <x:c r="AU639" t="str">
        <x:v>var(--cda-pstp-234)</x:v>
      </x:c>
      <x:c r="AV639" t="str">
        <x:v>Median RGB from official PDF swatch (screen reference only)</x:v>
      </x:c>
      <x:c r="AW639" t="str">
        <x:v>https://www.carandache.com/content_files/uploaded_doc/product/10985/Colour_Chart_Pastel_Pencil.pdf</x:v>
      </x:c>
      <x:c r="AX639" t="n">
        <x:v>1</x:v>
      </x:c>
      <x:c r="AY639" t="str">
        <x:v>Official</x:v>
      </x:c>
      <x:c r="AZ639" t="str">
        <x:v>Official where available; curated Traditional Chinese/Japanese otherwise</x:v>
      </x:c>
      <x:c r="BA639" t="str">
        <x:v>Verified from official chart; digital HEX is approximate</x:v>
      </x:c>
      <x:c r="BB639" t="str">
        <x:v>Physical media appearance varies by paper, pressure, layering, water and scan/display profile.</x:v>
      </x:c>
    </x:row>
    <x:row r="640">
      <x:c r="A640" t="str">
        <x:f>G640&amp;"|"&amp;L640</x:f>
        <x:v>PSTP|225</x:v>
      </x:c>
      <x:c r="B640" t="str">
        <x:v>492714d9-14ab-54a8-9217-ed767f554f4a</x:v>
      </x:c>
      <x:c r="C640" t="str">
        <x:v>CDA-PSTP-225</x:v>
      </x:c>
      <x:c r="D640" t="str">
        <x:v>d67f22eb-8649-5739-bafd-f445d45c47b5</x:v>
      </x:c>
      <x:c r="E640" t="str">
        <x:v>CDA-CODE-225</x:v>
      </x:c>
      <x:c r="F640" t="str">
        <x:v>Caran d’Ache</x:v>
      </x:c>
      <x:c r="G640" t="str">
        <x:v>PSTP</x:v>
      </x:c>
      <x:c r="H640" t="str">
        <x:v>PASTEL PENCILS</x:v>
      </x:c>
      <x:c r="I640" t="str">
        <x:v>Extra-fine dry pastel pencil</x:v>
      </x:c>
      <x:c r="J640" t="str">
        <x:v>Professional</x:v>
      </x:c>
      <x:c r="K640" s="30" t="n">
        <x:v>43</x:v>
      </x:c>
      <x:c r="L640" s="30" t="str">
        <x:v>225</x:v>
      </x:c>
      <x:c r="M640" t="str">
        <x:v>Moss green</x:v>
      </x:c>
      <x:c r="N640" t="str">
        <x:v>苔綠色</x:v>
      </x:c>
      <x:c r="O640" t="str">
        <x:v>モスグリーン</x:v>
      </x:c>
      <x:c r="P640" t="str"/>
      <x:c r="Q640" t="str">
        <x:v>Vert mousse</x:v>
      </x:c>
      <x:c r="R640" t="str">
        <x:v>Moosgrün</x:v>
      </x:c>
      <x:c r="S640" t="str">
        <x:v>Verde muschio</x:v>
      </x:c>
      <x:c r="T640" t="str">
        <x:v>Verde musgo</x:v>
      </x:c>
      <x:c r="U640" t="str">
        <x:v>Verde musgo</x:v>
      </x:c>
      <x:c r="V640" t="str"/>
      <x:c r="W640" t="str">
        <x:v>PB15/PY3/PY74/PBk7</x:v>
      </x:c>
      <x:c r="X640" t="n">
        <x:f>IF(W640="",0,LEN(W640)-LEN(SUBSTITUTE(W640,"/",""))+1)</x:f>
        <x:v>4</x:v>
      </x:c>
      <x:c r="Y640" t="str">
        <x:v>HH</x:v>
      </x:c>
      <x:c r="Z640" s="32" t="n">
        <x:v>2</x:v>
      </x:c>
      <x:c r="AA640" s="32" t="n">
        <x:v>5</x:v>
      </x:c>
      <x:c r="AB640" s="32" t="str">
        <x:v>Blue Wool Scale / UV 150h</x:v>
      </x:c>
      <x:c r="AC640" t="str">
        <x:v>#23653B</x:v>
      </x:c>
      <x:c r="AD640" s="34" t="n">
        <x:v>35</x:v>
      </x:c>
      <x:c r="AE640" s="34" t="n">
        <x:v>101</x:v>
      </x:c>
      <x:c r="AF640" s="34" t="n">
        <x:v>59</x:v>
      </x:c>
      <x:c r="AG640" s="32" t="n">
        <x:v>141.82</x:v>
      </x:c>
      <x:c r="AH640" s="32" t="n">
        <x:v>48.53</x:v>
      </x:c>
      <x:c r="AI640" s="32" t="n">
        <x:v>26.67</x:v>
      </x:c>
      <x:c r="AJ640" s="32" t="n">
        <x:v>37.81</x:v>
      </x:c>
      <x:c r="AK640" s="32" t="n">
        <x:v>-31.35</x:v>
      </x:c>
      <x:c r="AL640" s="32" t="n">
        <x:v>17.78</x:v>
      </x:c>
      <x:c r="AM640" s="32" t="str">
        <x:v>#FFFFFF</x:v>
      </x:c>
      <x:c r="AN640" s="32" t="str">
        <x:v>White</x:v>
      </x:c>
      <x:c r="AO640" s="32" t="n">
        <x:v>7.01</x:v>
      </x:c>
      <x:c r="AP640" s="32" t="n">
        <x:v>3</x:v>
      </x:c>
      <x:c r="AQ640" s="32" t="n">
        <x:v>7.01</x:v>
      </x:c>
      <x:c r="AR640" s="32" t="n">
        <x:v>0.099805</x:v>
      </x:c>
      <x:c r="AS640" t="str">
        <x:v>PASS</x:v>
      </x:c>
      <x:c r="AT640" t="str">
        <x:v>--cda-pstp-225</x:v>
      </x:c>
      <x:c r="AU640" t="str">
        <x:v>var(--cda-pstp-225)</x:v>
      </x:c>
      <x:c r="AV640" t="str">
        <x:v>Median RGB from official PDF swatch (screen reference only)</x:v>
      </x:c>
      <x:c r="AW640" t="str">
        <x:v>https://www.carandache.com/content_files/uploaded_doc/product/10985/Colour_Chart_Pastel_Pencil.pdf</x:v>
      </x:c>
      <x:c r="AX640" t="n">
        <x:v>1</x:v>
      </x:c>
      <x:c r="AY640" t="str">
        <x:v>Official</x:v>
      </x:c>
      <x:c r="AZ640" t="str">
        <x:v>Official where available; curated Traditional Chinese/Japanese otherwise</x:v>
      </x:c>
      <x:c r="BA640" t="str">
        <x:v>Verified from official chart; digital HEX is approximate</x:v>
      </x:c>
      <x:c r="BB640" t="str">
        <x:v>Physical media appearance varies by paper, pressure, layering, water and scan/display profile.</x:v>
      </x:c>
    </x:row>
    <x:row r="641">
      <x:c r="A641" t="str">
        <x:f>G641&amp;"|"&amp;L641</x:f>
        <x:v>PSTP|229</x:v>
      </x:c>
      <x:c r="B641" t="str">
        <x:v>22ba5687-7ad6-50d9-bc9d-e4f4892d321c</x:v>
      </x:c>
      <x:c r="C641" t="str">
        <x:v>CDA-PSTP-229</x:v>
      </x:c>
      <x:c r="D641" t="str">
        <x:v>95617532-4337-5a36-9e80-86ddcfd90f23</x:v>
      </x:c>
      <x:c r="E641" t="str">
        <x:v>CDA-CODE-229</x:v>
      </x:c>
      <x:c r="F641" t="str">
        <x:v>Caran d’Ache</x:v>
      </x:c>
      <x:c r="G641" t="str">
        <x:v>PSTP</x:v>
      </x:c>
      <x:c r="H641" t="str">
        <x:v>PASTEL PENCILS</x:v>
      </x:c>
      <x:c r="I641" t="str">
        <x:v>Extra-fine dry pastel pencil</x:v>
      </x:c>
      <x:c r="J641" t="str">
        <x:v>Professional</x:v>
      </x:c>
      <x:c r="K641" s="30" t="n">
        <x:v>44</x:v>
      </x:c>
      <x:c r="L641" s="30" t="str">
        <x:v>229</x:v>
      </x:c>
      <x:c r="M641" t="str">
        <x:v>Dark green</x:v>
      </x:c>
      <x:c r="N641" t="str">
        <x:v>深綠色</x:v>
      </x:c>
      <x:c r="O641" t="str">
        <x:v>ダークグリーン</x:v>
      </x:c>
      <x:c r="P641" t="str"/>
      <x:c r="Q641" t="str">
        <x:v>Vert foncé</x:v>
      </x:c>
      <x:c r="R641" t="str">
        <x:v>Dunkelgrün</x:v>
      </x:c>
      <x:c r="S641" t="str">
        <x:v>Verde scuro</x:v>
      </x:c>
      <x:c r="T641" t="str">
        <x:v>Verde oscuro</x:v>
      </x:c>
      <x:c r="U641" t="str">
        <x:v>Verde escuro</x:v>
      </x:c>
      <x:c r="V641" t="str"/>
      <x:c r="W641" t="str">
        <x:v>PBk11/PY42/PR101</x:v>
      </x:c>
      <x:c r="X641" t="n">
        <x:f>IF(W641="",0,LEN(W641)-LEN(SUBSTITUTE(W641,"/",""))+1)</x:f>
        <x:v>3</x:v>
      </x:c>
      <x:c r="Y641" t="str">
        <x:v>HH</x:v>
      </x:c>
      <x:c r="Z641" s="32" t="n">
        <x:v>2</x:v>
      </x:c>
      <x:c r="AA641" s="32" t="n">
        <x:v>5</x:v>
      </x:c>
      <x:c r="AB641" s="32" t="str">
        <x:v>Blue Wool Scale / UV 150h</x:v>
      </x:c>
      <x:c r="AC641" t="str">
        <x:v>#435734</x:v>
      </x:c>
      <x:c r="AD641" s="34" t="n">
        <x:v>67</x:v>
      </x:c>
      <x:c r="AE641" s="34" t="n">
        <x:v>87</x:v>
      </x:c>
      <x:c r="AF641" s="34" t="n">
        <x:v>52</x:v>
      </x:c>
      <x:c r="AG641" s="32" t="n">
        <x:v>94.29</x:v>
      </x:c>
      <x:c r="AH641" s="32" t="n">
        <x:v>25.18</x:v>
      </x:c>
      <x:c r="AI641" s="32" t="n">
        <x:v>27.25</x:v>
      </x:c>
      <x:c r="AJ641" s="32" t="n">
        <x:v>34.51</x:v>
      </x:c>
      <x:c r="AK641" s="32" t="n">
        <x:v>-14.92</x:v>
      </x:c>
      <x:c r="AL641" s="32" t="n">
        <x:v>17.9</x:v>
      </x:c>
      <x:c r="AM641" s="32" t="str">
        <x:v>#FFFFFF</x:v>
      </x:c>
      <x:c r="AN641" s="32" t="str">
        <x:v>White</x:v>
      </x:c>
      <x:c r="AO641" s="32" t="n">
        <x:v>7.92</x:v>
      </x:c>
      <x:c r="AP641" s="32" t="n">
        <x:v>2.65</x:v>
      </x:c>
      <x:c r="AQ641" s="32" t="n">
        <x:v>7.92</x:v>
      </x:c>
      <x:c r="AR641" s="32" t="n">
        <x:v>0.082576</x:v>
      </x:c>
      <x:c r="AS641" t="str">
        <x:v>PASS</x:v>
      </x:c>
      <x:c r="AT641" t="str">
        <x:v>--cda-pstp-229</x:v>
      </x:c>
      <x:c r="AU641" t="str">
        <x:v>var(--cda-pstp-229)</x:v>
      </x:c>
      <x:c r="AV641" t="str">
        <x:v>Median RGB from official PDF swatch (screen reference only)</x:v>
      </x:c>
      <x:c r="AW641" t="str">
        <x:v>https://www.carandache.com/content_files/uploaded_doc/product/10985/Colour_Chart_Pastel_Pencil.pdf</x:v>
      </x:c>
      <x:c r="AX641" t="n">
        <x:v>1</x:v>
      </x:c>
      <x:c r="AY641" t="str">
        <x:v>Official</x:v>
      </x:c>
      <x:c r="AZ641" t="str">
        <x:v>Official where available; curated Traditional Chinese/Japanese otherwise</x:v>
      </x:c>
      <x:c r="BA641" t="str">
        <x:v>Verified from official chart; digital HEX is approximate</x:v>
      </x:c>
      <x:c r="BB641" t="str">
        <x:v>Physical media appearance varies by paper, pressure, layering, water and scan/display profile.</x:v>
      </x:c>
    </x:row>
    <x:row r="642">
      <x:c r="A642" t="str">
        <x:f>G642&amp;"|"&amp;L642</x:f>
        <x:v>PSTP|718</x:v>
      </x:c>
      <x:c r="B642" t="str">
        <x:v>90e13880-3700-5e83-a043-d2809acfe9dd</x:v>
      </x:c>
      <x:c r="C642" t="str">
        <x:v>CDA-PSTP-718</x:v>
      </x:c>
      <x:c r="D642" t="str">
        <x:v>48ca12f8-f7d3-5d41-b780-6b350b301b7d</x:v>
      </x:c>
      <x:c r="E642" t="str">
        <x:v>CDA-CODE-718</x:v>
      </x:c>
      <x:c r="F642" t="str">
        <x:v>Caran d’Ache</x:v>
      </x:c>
      <x:c r="G642" t="str">
        <x:v>PSTP</x:v>
      </x:c>
      <x:c r="H642" t="str">
        <x:v>PASTEL PENCILS</x:v>
      </x:c>
      <x:c r="I642" t="str">
        <x:v>Extra-fine dry pastel pencil</x:v>
      </x:c>
      <x:c r="J642" t="str">
        <x:v>Professional</x:v>
      </x:c>
      <x:c r="K642" s="30" t="n">
        <x:v>45</x:v>
      </x:c>
      <x:c r="L642" s="30" t="str">
        <x:v>718</x:v>
      </x:c>
      <x:c r="M642" t="str">
        <x:v>Middle phthalocyanine green</x:v>
      </x:c>
      <x:c r="N642" t="str">
        <x:v>中酞菁綠</x:v>
      </x:c>
      <x:c r="O642" t="str">
        <x:v>ミドルフタロシアニングリーン</x:v>
      </x:c>
      <x:c r="P642" t="str"/>
      <x:c r="Q642" t="str">
        <x:v>Vert phtalo moyen</x:v>
      </x:c>
      <x:c r="R642" t="str">
        <x:v>Phthalocyaningrün mittel</x:v>
      </x:c>
      <x:c r="S642" t="str">
        <x:v>Verde ftalo medio</x:v>
      </x:c>
      <x:c r="T642" t="str">
        <x:v>Verde phtalo medio</x:v>
      </x:c>
      <x:c r="U642" t="str">
        <x:v>Verde ftálico médio</x:v>
      </x:c>
      <x:c r="V642" t="str"/>
      <x:c r="W642" t="str">
        <x:v>PB15/PBk11/PY42/PR101</x:v>
      </x:c>
      <x:c r="X642" t="n">
        <x:f>IF(W642="",0,LEN(W642)-LEN(SUBSTITUTE(W642,"/",""))+1)</x:f>
        <x:v>4</x:v>
      </x:c>
      <x:c r="Y642" t="str">
        <x:v>HH</x:v>
      </x:c>
      <x:c r="Z642" s="32" t="n">
        <x:v>2</x:v>
      </x:c>
      <x:c r="AA642" s="32" t="n">
        <x:v>5</x:v>
      </x:c>
      <x:c r="AB642" s="32" t="str">
        <x:v>Blue Wool Scale / UV 150h</x:v>
      </x:c>
      <x:c r="AC642" t="str">
        <x:v>#35503D</x:v>
      </x:c>
      <x:c r="AD642" s="34" t="n">
        <x:v>53</x:v>
      </x:c>
      <x:c r="AE642" s="34" t="n">
        <x:v>80</x:v>
      </x:c>
      <x:c r="AF642" s="34" t="n">
        <x:v>61</x:v>
      </x:c>
      <x:c r="AG642" s="32" t="n">
        <x:v>137.78</x:v>
      </x:c>
      <x:c r="AH642" s="32" t="n">
        <x:v>20.3</x:v>
      </x:c>
      <x:c r="AI642" s="32" t="n">
        <x:v>26.08</x:v>
      </x:c>
      <x:c r="AJ642" s="32" t="n">
        <x:v>31.42</x:v>
      </x:c>
      <x:c r="AK642" s="32" t="n">
        <x:v>-14.84</x:v>
      </x:c>
      <x:c r="AL642" s="32" t="n">
        <x:v>8.01</x:v>
      </x:c>
      <x:c r="AM642" s="32" t="str">
        <x:v>#FFFFFF</x:v>
      </x:c>
      <x:c r="AN642" s="32" t="str">
        <x:v>White</x:v>
      </x:c>
      <x:c r="AO642" s="32" t="n">
        <x:v>8.87</x:v>
      </x:c>
      <x:c r="AP642" s="32" t="n">
        <x:v>2.37</x:v>
      </x:c>
      <x:c r="AQ642" s="32" t="n">
        <x:v>8.87</x:v>
      </x:c>
      <x:c r="AR642" s="32" t="n">
        <x:v>0.068311</x:v>
      </x:c>
      <x:c r="AS642" t="str">
        <x:v>PASS</x:v>
      </x:c>
      <x:c r="AT642" t="str">
        <x:v>--cda-pstp-718</x:v>
      </x:c>
      <x:c r="AU642" t="str">
        <x:v>var(--cda-pstp-718)</x:v>
      </x:c>
      <x:c r="AV642" t="str">
        <x:v>Median RGB from official PDF swatch (screen reference only)</x:v>
      </x:c>
      <x:c r="AW642" t="str">
        <x:v>https://www.carandache.com/content_files/uploaded_doc/product/10985/Colour_Chart_Pastel_Pencil.pdf</x:v>
      </x:c>
      <x:c r="AX642" t="n">
        <x:v>1</x:v>
      </x:c>
      <x:c r="AY642" t="str">
        <x:v>Official</x:v>
      </x:c>
      <x:c r="AZ642" t="str">
        <x:v>Official where available; curated Traditional Chinese/Japanese otherwise</x:v>
      </x:c>
      <x:c r="BA642" t="str">
        <x:v>Verified from official chart; digital HEX is approximate</x:v>
      </x:c>
      <x:c r="BB642" t="str">
        <x:v>Physical media appearance varies by paper, pressure, layering, water and scan/display profile.</x:v>
      </x:c>
    </x:row>
    <x:row r="643">
      <x:c r="A643" t="str">
        <x:f>G643&amp;"|"&amp;L643</x:f>
        <x:v>PSTP|719</x:v>
      </x:c>
      <x:c r="B643" t="str">
        <x:v>aa48a529-766f-59d4-ada5-8c307698e107</x:v>
      </x:c>
      <x:c r="C643" t="str">
        <x:v>CDA-PSTP-719</x:v>
      </x:c>
      <x:c r="D643" t="str">
        <x:v>01dd26ab-6e02-5056-9d96-5443617efb5f</x:v>
      </x:c>
      <x:c r="E643" t="str">
        <x:v>CDA-CODE-719</x:v>
      </x:c>
      <x:c r="F643" t="str">
        <x:v>Caran d’Ache</x:v>
      </x:c>
      <x:c r="G643" t="str">
        <x:v>PSTP</x:v>
      </x:c>
      <x:c r="H643" t="str">
        <x:v>PASTEL PENCILS</x:v>
      </x:c>
      <x:c r="I643" t="str">
        <x:v>Extra-fine dry pastel pencil</x:v>
      </x:c>
      <x:c r="J643" t="str">
        <x:v>Professional</x:v>
      </x:c>
      <x:c r="K643" s="30" t="n">
        <x:v>46</x:v>
      </x:c>
      <x:c r="L643" s="30" t="str">
        <x:v>719</x:v>
      </x:c>
      <x:c r="M643" t="str">
        <x:v>Dark phthalocyanine green</x:v>
      </x:c>
      <x:c r="N643" t="str">
        <x:v>深酞菁綠</x:v>
      </x:c>
      <x:c r="O643" t="str">
        <x:v>ダークフタロシアニングリーン</x:v>
      </x:c>
      <x:c r="P643" t="str"/>
      <x:c r="Q643" t="str">
        <x:v>Vert phtalo foncé</x:v>
      </x:c>
      <x:c r="R643" t="str">
        <x:v>Dunkelphthalocyaningrün</x:v>
      </x:c>
      <x:c r="S643" t="str">
        <x:v>Verde ftalo scuro</x:v>
      </x:c>
      <x:c r="T643" t="str">
        <x:v>Verde phtalo oscuro</x:v>
      </x:c>
      <x:c r="U643" t="str">
        <x:v>Verde ftálico escuro</x:v>
      </x:c>
      <x:c r="V643" t="str"/>
      <x:c r="W643" t="str">
        <x:v>PB15/PBk11/PY42/PR101</x:v>
      </x:c>
      <x:c r="X643" t="n">
        <x:f>IF(W643="",0,LEN(W643)-LEN(SUBSTITUTE(W643,"/",""))+1)</x:f>
        <x:v>4</x:v>
      </x:c>
      <x:c r="Y643" t="str">
        <x:v>HHH</x:v>
      </x:c>
      <x:c r="Z643" s="32" t="n">
        <x:v>3</x:v>
      </x:c>
      <x:c r="AA643" s="32" t="n">
        <x:v>5</x:v>
      </x:c>
      <x:c r="AB643" s="32" t="str">
        <x:v>Blue Wool Scale / UV 150h</x:v>
      </x:c>
      <x:c r="AC643" t="str">
        <x:v>#38463B</x:v>
      </x:c>
      <x:c r="AD643" s="34" t="n">
        <x:v>56</x:v>
      </x:c>
      <x:c r="AE643" s="34" t="n">
        <x:v>70</x:v>
      </x:c>
      <x:c r="AF643" s="34" t="n">
        <x:v>59</x:v>
      </x:c>
      <x:c r="AG643" s="32" t="n">
        <x:v>132.86</x:v>
      </x:c>
      <x:c r="AH643" s="32" t="n">
        <x:v>11.11</x:v>
      </x:c>
      <x:c r="AI643" s="32" t="n">
        <x:v>24.71</x:v>
      </x:c>
      <x:c r="AJ643" s="32" t="n">
        <x:v>28.21</x:v>
      </x:c>
      <x:c r="AK643" s="32" t="n">
        <x:v>-8.22</x:v>
      </x:c>
      <x:c r="AL643" s="32" t="n">
        <x:v>4.79</x:v>
      </x:c>
      <x:c r="AM643" s="32" t="str">
        <x:v>#FFFFFF</x:v>
      </x:c>
      <x:c r="AN643" s="32" t="str">
        <x:v>White</x:v>
      </x:c>
      <x:c r="AO643" s="32" t="n">
        <x:v>9.97</x:v>
      </x:c>
      <x:c r="AP643" s="32" t="n">
        <x:v>2.11</x:v>
      </x:c>
      <x:c r="AQ643" s="32" t="n">
        <x:v>9.97</x:v>
      </x:c>
      <x:c r="AR643" s="32" t="n">
        <x:v>0.055368</x:v>
      </x:c>
      <x:c r="AS643" t="str">
        <x:v>PASS</x:v>
      </x:c>
      <x:c r="AT643" t="str">
        <x:v>--cda-pstp-719</x:v>
      </x:c>
      <x:c r="AU643" t="str">
        <x:v>var(--cda-pstp-719)</x:v>
      </x:c>
      <x:c r="AV643" t="str">
        <x:v>Median RGB from official PDF swatch (screen reference only)</x:v>
      </x:c>
      <x:c r="AW643" t="str">
        <x:v>https://www.carandache.com/content_files/uploaded_doc/product/10985/Colour_Chart_Pastel_Pencil.pdf</x:v>
      </x:c>
      <x:c r="AX643" t="n">
        <x:v>1</x:v>
      </x:c>
      <x:c r="AY643" t="str">
        <x:v>Official</x:v>
      </x:c>
      <x:c r="AZ643" t="str">
        <x:v>Official where available; curated Traditional Chinese/Japanese otherwise</x:v>
      </x:c>
      <x:c r="BA643" t="str">
        <x:v>Verified from official chart; digital HEX is approximate</x:v>
      </x:c>
      <x:c r="BB643" t="str">
        <x:v>Physical media appearance varies by paper, pressure, layering, water and scan/display profile.</x:v>
      </x:c>
    </x:row>
    <x:row r="644">
      <x:c r="A644" t="str">
        <x:f>G644&amp;"|"&amp;L644</x:f>
        <x:v>PSTP|180</x:v>
      </x:c>
      <x:c r="B644" t="str">
        <x:v>264f092b-eb1c-5955-9dc0-00aaa2fd1e18</x:v>
      </x:c>
      <x:c r="C644" t="str">
        <x:v>CDA-PSTP-180</x:v>
      </x:c>
      <x:c r="D644" t="str">
        <x:v>4231c496-9609-55e3-b7b2-f62a8cae5f25</x:v>
      </x:c>
      <x:c r="E644" t="str">
        <x:v>CDA-CODE-180</x:v>
      </x:c>
      <x:c r="F644" t="str">
        <x:v>Caran d’Ache</x:v>
      </x:c>
      <x:c r="G644" t="str">
        <x:v>PSTP</x:v>
      </x:c>
      <x:c r="H644" t="str">
        <x:v>PASTEL PENCILS</x:v>
      </x:c>
      <x:c r="I644" t="str">
        <x:v>Extra-fine dry pastel pencil</x:v>
      </x:c>
      <x:c r="J644" t="str">
        <x:v>Professional</x:v>
      </x:c>
      <x:c r="K644" s="30" t="n">
        <x:v>47</x:v>
      </x:c>
      <x:c r="L644" s="30" t="str">
        <x:v>180</x:v>
      </x:c>
      <x:c r="M644" t="str">
        <x:v>Malachite green</x:v>
      </x:c>
      <x:c r="N644" t="str">
        <x:v>孔雀石綠</x:v>
      </x:c>
      <x:c r="O644" t="str">
        <x:v>マラカイトグリーン</x:v>
      </x:c>
      <x:c r="P644" t="str"/>
      <x:c r="Q644" t="str">
        <x:v>Vert malachite</x:v>
      </x:c>
      <x:c r="R644" t="str">
        <x:v>Malachitgrün</x:v>
      </x:c>
      <x:c r="S644" t="str">
        <x:v>Verde malachite</x:v>
      </x:c>
      <x:c r="T644" t="str">
        <x:v>Verde malaquita</x:v>
      </x:c>
      <x:c r="U644" t="str">
        <x:v>Verde malaquite</x:v>
      </x:c>
      <x:c r="V644" t="str"/>
      <x:c r="W644" t="str">
        <x:v>PB15/PY3/PBk7</x:v>
      </x:c>
      <x:c r="X644" t="n">
        <x:f>IF(W644="",0,LEN(W644)-LEN(SUBSTITUTE(W644,"/",""))+1)</x:f>
        <x:v>3</x:v>
      </x:c>
      <x:c r="Y644" t="str">
        <x:v>HH</x:v>
      </x:c>
      <x:c r="Z644" s="32" t="n">
        <x:v>2</x:v>
      </x:c>
      <x:c r="AA644" s="32" t="n">
        <x:v>5</x:v>
      </x:c>
      <x:c r="AB644" s="32" t="str">
        <x:v>Blue Wool Scale / UV 150h</x:v>
      </x:c>
      <x:c r="AC644" t="str">
        <x:v>#0B5E6C</x:v>
      </x:c>
      <x:c r="AD644" s="34" t="n">
        <x:v>11</x:v>
      </x:c>
      <x:c r="AE644" s="34" t="n">
        <x:v>94</x:v>
      </x:c>
      <x:c r="AF644" s="34" t="n">
        <x:v>108</x:v>
      </x:c>
      <x:c r="AG644" s="32" t="n">
        <x:v>188.66</x:v>
      </x:c>
      <x:c r="AH644" s="32" t="n">
        <x:v>81.51</x:v>
      </x:c>
      <x:c r="AI644" s="32" t="n">
        <x:v>23.33</x:v>
      </x:c>
      <x:c r="AJ644" s="32" t="n">
        <x:v>36.29</x:v>
      </x:c>
      <x:c r="AK644" s="32" t="n">
        <x:v>-17.34</x:v>
      </x:c>
      <x:c r="AL644" s="32" t="n">
        <x:v>-14.48</x:v>
      </x:c>
      <x:c r="AM644" s="32" t="str">
        <x:v>#FFFFFF</x:v>
      </x:c>
      <x:c r="AN644" s="32" t="str">
        <x:v>White</x:v>
      </x:c>
      <x:c r="AO644" s="32" t="n">
        <x:v>7.42</x:v>
      </x:c>
      <x:c r="AP644" s="32" t="n">
        <x:v>2.83</x:v>
      </x:c>
      <x:c r="AQ644" s="32" t="n">
        <x:v>7.42</x:v>
      </x:c>
      <x:c r="AR644" s="32" t="n">
        <x:v>0.091593</x:v>
      </x:c>
      <x:c r="AS644" t="str">
        <x:v>PASS</x:v>
      </x:c>
      <x:c r="AT644" t="str">
        <x:v>--cda-pstp-180</x:v>
      </x:c>
      <x:c r="AU644" t="str">
        <x:v>var(--cda-pstp-180)</x:v>
      </x:c>
      <x:c r="AV644" t="str">
        <x:v>Median RGB from official PDF swatch (screen reference only)</x:v>
      </x:c>
      <x:c r="AW644" t="str">
        <x:v>https://www.carandache.com/content_files/uploaded_doc/product/10985/Colour_Chart_Pastel_Pencil.pdf</x:v>
      </x:c>
      <x:c r="AX644" t="n">
        <x:v>1</x:v>
      </x:c>
      <x:c r="AY644" t="str">
        <x:v>Official</x:v>
      </x:c>
      <x:c r="AZ644" t="str">
        <x:v>Official where available; curated Traditional Chinese/Japanese otherwise</x:v>
      </x:c>
      <x:c r="BA644" t="str">
        <x:v>Verified from official chart; digital HEX is approximate</x:v>
      </x:c>
      <x:c r="BB644" t="str">
        <x:v>Physical media appearance varies by paper, pressure, layering, water and scan/display profile.</x:v>
      </x:c>
    </x:row>
    <x:row r="645">
      <x:c r="A645" t="str">
        <x:f>G645&amp;"|"&amp;L645</x:f>
        <x:v>PSTP|214</x:v>
      </x:c>
      <x:c r="B645" t="str">
        <x:v>fd27ef83-c0b8-5d14-815f-e78a3f691fa7</x:v>
      </x:c>
      <x:c r="C645" t="str">
        <x:v>CDA-PSTP-214</x:v>
      </x:c>
      <x:c r="D645" t="str">
        <x:v>0176cdf8-a3fa-5528-ae60-e5daa068acaa</x:v>
      </x:c>
      <x:c r="E645" t="str">
        <x:v>CDA-CODE-214</x:v>
      </x:c>
      <x:c r="F645" t="str">
        <x:v>Caran d’Ache</x:v>
      </x:c>
      <x:c r="G645" t="str">
        <x:v>PSTP</x:v>
      </x:c>
      <x:c r="H645" t="str">
        <x:v>PASTEL PENCILS</x:v>
      </x:c>
      <x:c r="I645" t="str">
        <x:v>Extra-fine dry pastel pencil</x:v>
      </x:c>
      <x:c r="J645" t="str">
        <x:v>Professional</x:v>
      </x:c>
      <x:c r="K645" s="30" t="n">
        <x:v>48</x:v>
      </x:c>
      <x:c r="L645" s="30" t="str">
        <x:v>214</x:v>
      </x:c>
      <x:c r="M645" t="str">
        <x:v>Beryl green</x:v>
      </x:c>
      <x:c r="N645" t="str">
        <x:v>綠柱石綠</x:v>
      </x:c>
      <x:c r="O645" t="str">
        <x:v>ベリルグリーン</x:v>
      </x:c>
      <x:c r="P645" t="str"/>
      <x:c r="Q645" t="str">
        <x:v>Vert Béryl</x:v>
      </x:c>
      <x:c r="R645" t="str">
        <x:v>Berylgrün</x:v>
      </x:c>
      <x:c r="S645" t="str">
        <x:v>Verde Beryl</x:v>
      </x:c>
      <x:c r="T645" t="str">
        <x:v>Verde Beryl</x:v>
      </x:c>
      <x:c r="U645" t="str">
        <x:v>Verde Beryl</x:v>
      </x:c>
      <x:c r="V645" t="str"/>
      <x:c r="W645" t="str">
        <x:v>PG7</x:v>
      </x:c>
      <x:c r="X645" t="n">
        <x:f>IF(W645="",0,LEN(W645)-LEN(SUBSTITUTE(W645,"/",""))+1)</x:f>
        <x:v>1</x:v>
      </x:c>
      <x:c r="Y645" t="str">
        <x:v>HH</x:v>
      </x:c>
      <x:c r="Z645" s="32" t="n">
        <x:v>2</x:v>
      </x:c>
      <x:c r="AA645" s="32" t="n">
        <x:v>5</x:v>
      </x:c>
      <x:c r="AB645" s="32" t="str">
        <x:v>Blue Wool Scale / UV 150h</x:v>
      </x:c>
      <x:c r="AC645" t="str">
        <x:v>#15928A</x:v>
      </x:c>
      <x:c r="AD645" s="34" t="n">
        <x:v>21</x:v>
      </x:c>
      <x:c r="AE645" s="34" t="n">
        <x:v>146</x:v>
      </x:c>
      <x:c r="AF645" s="34" t="n">
        <x:v>138</x:v>
      </x:c>
      <x:c r="AG645" s="32" t="n">
        <x:v>176.16</x:v>
      </x:c>
      <x:c r="AH645" s="32" t="n">
        <x:v>74.85</x:v>
      </x:c>
      <x:c r="AI645" s="32" t="n">
        <x:v>32.75</x:v>
      </x:c>
      <x:c r="AJ645" s="32" t="n">
        <x:v>54.61</x:v>
      </x:c>
      <x:c r="AK645" s="32" t="n">
        <x:v>-33.1</x:v>
      </x:c>
      <x:c r="AL645" s="32" t="n">
        <x:v>-4.83</x:v>
      </x:c>
      <x:c r="AM645" s="32" t="str">
        <x:v>#000000</x:v>
      </x:c>
      <x:c r="AN645" s="32" t="str">
        <x:v>Black</x:v>
      </x:c>
      <x:c r="AO645" s="32" t="n">
        <x:v>5.51</x:v>
      </x:c>
      <x:c r="AP645" s="32" t="n">
        <x:v>5.51</x:v>
      </x:c>
      <x:c r="AQ645" s="32" t="n">
        <x:v>3.81</x:v>
      </x:c>
      <x:c r="AR645" s="32" t="n">
        <x:v>0.225522</x:v>
      </x:c>
      <x:c r="AS645" t="str">
        <x:v>PASS</x:v>
      </x:c>
      <x:c r="AT645" t="str">
        <x:v>--cda-pstp-214</x:v>
      </x:c>
      <x:c r="AU645" t="str">
        <x:v>var(--cda-pstp-214)</x:v>
      </x:c>
      <x:c r="AV645" t="str">
        <x:v>Median RGB from official PDF swatch (screen reference only)</x:v>
      </x:c>
      <x:c r="AW645" t="str">
        <x:v>https://www.carandache.com/content_files/uploaded_doc/product/10985/Colour_Chart_Pastel_Pencil.pdf</x:v>
      </x:c>
      <x:c r="AX645" t="n">
        <x:v>1</x:v>
      </x:c>
      <x:c r="AY645" t="str">
        <x:v>Official</x:v>
      </x:c>
      <x:c r="AZ645" t="str">
        <x:v>Official where available; curated Traditional Chinese/Japanese otherwise</x:v>
      </x:c>
      <x:c r="BA645" t="str">
        <x:v>Verified from official chart; digital HEX is approximate</x:v>
      </x:c>
      <x:c r="BB645" t="str">
        <x:v>Physical media appearance varies by paper, pressure, layering, water and scan/display profile.</x:v>
      </x:c>
    </x:row>
    <x:row r="646">
      <x:c r="A646" t="str">
        <x:f>G646&amp;"|"&amp;L646</x:f>
        <x:v>PSTP|711</x:v>
      </x:c>
      <x:c r="B646" t="str">
        <x:v>3190d288-22d3-503c-9d1f-b8dd01e18559</x:v>
      </x:c>
      <x:c r="C646" t="str">
        <x:v>CDA-PSTP-711</x:v>
      </x:c>
      <x:c r="D646" t="str">
        <x:v>7756c06d-ee9e-54d5-8835-3ba6ee02ae35</x:v>
      </x:c>
      <x:c r="E646" t="str">
        <x:v>CDA-CODE-711</x:v>
      </x:c>
      <x:c r="F646" t="str">
        <x:v>Caran d’Ache</x:v>
      </x:c>
      <x:c r="G646" t="str">
        <x:v>PSTP</x:v>
      </x:c>
      <x:c r="H646" t="str">
        <x:v>PASTEL PENCILS</x:v>
      </x:c>
      <x:c r="I646" t="str">
        <x:v>Extra-fine dry pastel pencil</x:v>
      </x:c>
      <x:c r="J646" t="str">
        <x:v>Professional</x:v>
      </x:c>
      <x:c r="K646" s="30" t="n">
        <x:v>49</x:v>
      </x:c>
      <x:c r="L646" s="30" t="str">
        <x:v>711</x:v>
      </x:c>
      <x:c r="M646" t="str">
        <x:v>Earth green</x:v>
      </x:c>
      <x:c r="N646" t="str">
        <x:v>土綠色</x:v>
      </x:c>
      <x:c r="O646" t="str">
        <x:v>アースグリーン</x:v>
      </x:c>
      <x:c r="P646" t="str"/>
      <x:c r="Q646" t="str">
        <x:v>Terre verte</x:v>
      </x:c>
      <x:c r="R646" t="str">
        <x:v>Grünerde</x:v>
      </x:c>
      <x:c r="S646" t="str">
        <x:v>Terra verde</x:v>
      </x:c>
      <x:c r="T646" t="str">
        <x:v>Tierra verde</x:v>
      </x:c>
      <x:c r="U646" t="str">
        <x:v>Terra verde</x:v>
      </x:c>
      <x:c r="V646" t="str"/>
      <x:c r="W646" t="str">
        <x:v>PG23</x:v>
      </x:c>
      <x:c r="X646" t="n">
        <x:f>IF(W646="",0,LEN(W646)-LEN(SUBSTITUTE(W646,"/",""))+1)</x:f>
        <x:v>1</x:v>
      </x:c>
      <x:c r="Y646" t="str">
        <x:v>HHH</x:v>
      </x:c>
      <x:c r="Z646" s="32" t="n">
        <x:v>3</x:v>
      </x:c>
      <x:c r="AA646" s="32" t="n">
        <x:v>5</x:v>
      </x:c>
      <x:c r="AB646" s="32" t="str">
        <x:v>Blue Wool Scale / UV 150h</x:v>
      </x:c>
      <x:c r="AC646" t="str">
        <x:v>#B8C4B5</x:v>
      </x:c>
      <x:c r="AD646" s="34" t="n">
        <x:v>184</x:v>
      </x:c>
      <x:c r="AE646" s="34" t="n">
        <x:v>196</x:v>
      </x:c>
      <x:c r="AF646" s="34" t="n">
        <x:v>181</x:v>
      </x:c>
      <x:c r="AG646" s="32" t="n">
        <x:v>108</x:v>
      </x:c>
      <x:c r="AH646" s="32" t="n">
        <x:v>11.28</x:v>
      </x:c>
      <x:c r="AI646" s="32" t="n">
        <x:v>73.92</x:v>
      </x:c>
      <x:c r="AJ646" s="32" t="n">
        <x:v>77.88</x:v>
      </x:c>
      <x:c r="AK646" s="32" t="n">
        <x:v>-6.9</x:v>
      </x:c>
      <x:c r="AL646" s="32" t="n">
        <x:v>6.11</x:v>
      </x:c>
      <x:c r="AM646" s="32" t="str">
        <x:v>#000000</x:v>
      </x:c>
      <x:c r="AN646" s="32" t="str">
        <x:v>Black</x:v>
      </x:c>
      <x:c r="AO646" s="32" t="n">
        <x:v>11.6</x:v>
      </x:c>
      <x:c r="AP646" s="32" t="n">
        <x:v>11.6</x:v>
      </x:c>
      <x:c r="AQ646" s="32" t="n">
        <x:v>1.81</x:v>
      </x:c>
      <x:c r="AR646" s="32" t="n">
        <x:v>0.530064</x:v>
      </x:c>
      <x:c r="AS646" t="str">
        <x:v>PASS</x:v>
      </x:c>
      <x:c r="AT646" t="str">
        <x:v>--cda-pstp-711</x:v>
      </x:c>
      <x:c r="AU646" t="str">
        <x:v>var(--cda-pstp-711)</x:v>
      </x:c>
      <x:c r="AV646" t="str">
        <x:v>Median RGB from official PDF swatch (screen reference only)</x:v>
      </x:c>
      <x:c r="AW646" t="str">
        <x:v>https://www.carandache.com/content_files/uploaded_doc/product/10985/Colour_Chart_Pastel_Pencil.pdf</x:v>
      </x:c>
      <x:c r="AX646" t="n">
        <x:v>1</x:v>
      </x:c>
      <x:c r="AY646" t="str">
        <x:v>Official</x:v>
      </x:c>
      <x:c r="AZ646" t="str">
        <x:v>Official where available; curated Traditional Chinese/Japanese otherwise</x:v>
      </x:c>
      <x:c r="BA646" t="str">
        <x:v>Verified from official chart; digital HEX is approximate</x:v>
      </x:c>
      <x:c r="BB646" t="str">
        <x:v>Physical media appearance varies by paper, pressure, layering, water and scan/display profile.</x:v>
      </x:c>
    </x:row>
    <x:row r="647">
      <x:c r="A647" t="str">
        <x:f>G647&amp;"|"&amp;L647</x:f>
        <x:v>PSTP|712</x:v>
      </x:c>
      <x:c r="B647" t="str">
        <x:v>f375d32a-0b33-5be8-bacc-96d643227667</x:v>
      </x:c>
      <x:c r="C647" t="str">
        <x:v>CDA-PSTP-712</x:v>
      </x:c>
      <x:c r="D647" t="str">
        <x:v>6c5f3fda-0825-5449-9b88-408baed70f76</x:v>
      </x:c>
      <x:c r="E647" t="str">
        <x:v>CDA-CODE-712</x:v>
      </x:c>
      <x:c r="F647" t="str">
        <x:v>Caran d’Ache</x:v>
      </x:c>
      <x:c r="G647" t="str">
        <x:v>PSTP</x:v>
      </x:c>
      <x:c r="H647" t="str">
        <x:v>PASTEL PENCILS</x:v>
      </x:c>
      <x:c r="I647" t="str">
        <x:v>Extra-fine dry pastel pencil</x:v>
      </x:c>
      <x:c r="J647" t="str">
        <x:v>Professional</x:v>
      </x:c>
      <x:c r="K647" s="30" t="n">
        <x:v>50</x:v>
      </x:c>
      <x:c r="L647" s="30" t="str">
        <x:v>712</x:v>
      </x:c>
      <x:c r="M647" t="str">
        <x:v>Verdigris</x:v>
      </x:c>
      <x:c r="N647" t="str">
        <x:v>銅綠</x:v>
      </x:c>
      <x:c r="O647" t="str">
        <x:v>バーディグリス</x:v>
      </x:c>
      <x:c r="P647" t="str"/>
      <x:c r="Q647" t="str">
        <x:v>Vert de gris</x:v>
      </x:c>
      <x:c r="R647" t="str">
        <x:v>Grüngrau</x:v>
      </x:c>
      <x:c r="S647" t="str">
        <x:v>Verde rame</x:v>
      </x:c>
      <x:c r="T647" t="str">
        <x:v>Verde gris</x:v>
      </x:c>
      <x:c r="U647" t="str">
        <x:v>Verde pátina</x:v>
      </x:c>
      <x:c r="V647" t="str"/>
      <x:c r="W647" t="str">
        <x:v>PG17/PB28</x:v>
      </x:c>
      <x:c r="X647" t="n">
        <x:f>IF(W647="",0,LEN(W647)-LEN(SUBSTITUTE(W647,"/",""))+1)</x:f>
        <x:v>2</x:v>
      </x:c>
      <x:c r="Y647" t="str">
        <x:v>HHH</x:v>
      </x:c>
      <x:c r="Z647" s="32" t="n">
        <x:v>3</x:v>
      </x:c>
      <x:c r="AA647" s="32" t="n">
        <x:v>5</x:v>
      </x:c>
      <x:c r="AB647" s="32" t="str">
        <x:v>Blue Wool Scale / UV 150h</x:v>
      </x:c>
      <x:c r="AC647" t="str">
        <x:v>#C0C9BF</x:v>
      </x:c>
      <x:c r="AD647" s="34" t="n">
        <x:v>192</x:v>
      </x:c>
      <x:c r="AE647" s="34" t="n">
        <x:v>201</x:v>
      </x:c>
      <x:c r="AF647" s="34" t="n">
        <x:v>191</x:v>
      </x:c>
      <x:c r="AG647" s="32" t="n">
        <x:v>114</x:v>
      </x:c>
      <x:c r="AH647" s="32" t="n">
        <x:v>8.47</x:v>
      </x:c>
      <x:c r="AI647" s="32" t="n">
        <x:v>76.86</x:v>
      </x:c>
      <x:c r="AJ647" s="32" t="n">
        <x:v>80.03</x:v>
      </x:c>
      <x:c r="AK647" s="32" t="n">
        <x:v>-4.93</x:v>
      </x:c>
      <x:c r="AL647" s="32" t="n">
        <x:v>3.92</x:v>
      </x:c>
      <x:c r="AM647" s="32" t="str">
        <x:v>#000000</x:v>
      </x:c>
      <x:c r="AN647" s="32" t="str">
        <x:v>Black</x:v>
      </x:c>
      <x:c r="AO647" s="32" t="n">
        <x:v>12.35</x:v>
      </x:c>
      <x:c r="AP647" s="32" t="n">
        <x:v>12.35</x:v>
      </x:c>
      <x:c r="AQ647" s="32" t="n">
        <x:v>1.7</x:v>
      </x:c>
      <x:c r="AR647" s="32" t="n">
        <x:v>0.567413</x:v>
      </x:c>
      <x:c r="AS647" t="str">
        <x:v>PASS</x:v>
      </x:c>
      <x:c r="AT647" t="str">
        <x:v>--cda-pstp-712</x:v>
      </x:c>
      <x:c r="AU647" t="str">
        <x:v>var(--cda-pstp-712)</x:v>
      </x:c>
      <x:c r="AV647" t="str">
        <x:v>Median RGB from official PDF swatch (screen reference only)</x:v>
      </x:c>
      <x:c r="AW647" t="str">
        <x:v>https://www.carandache.com/content_files/uploaded_doc/product/10985/Colour_Chart_Pastel_Pencil.pdf</x:v>
      </x:c>
      <x:c r="AX647" t="n">
        <x:v>1</x:v>
      </x:c>
      <x:c r="AY647" t="str">
        <x:v>Official</x:v>
      </x:c>
      <x:c r="AZ647" t="str">
        <x:v>Official where available; curated Traditional Chinese/Japanese otherwise</x:v>
      </x:c>
      <x:c r="BA647" t="str">
        <x:v>Verified from official chart; digital HEX is approximate</x:v>
      </x:c>
      <x:c r="BB647" t="str">
        <x:v>Physical media appearance varies by paper, pressure, layering, water and scan/display profile.</x:v>
      </x:c>
    </x:row>
    <x:row r="648">
      <x:c r="A648" t="str">
        <x:f>G648&amp;"|"&amp;L648</x:f>
        <x:v>PSTP|212</x:v>
      </x:c>
      <x:c r="B648" t="str">
        <x:v>ff1531b5-dc71-5031-b0de-5beda976999f</x:v>
      </x:c>
      <x:c r="C648" t="str">
        <x:v>CDA-PSTP-212</x:v>
      </x:c>
      <x:c r="D648" t="str">
        <x:v>c4654ab2-e8d8-51fb-bafc-1edaae0fcf72</x:v>
      </x:c>
      <x:c r="E648" t="str">
        <x:v>CDA-CODE-212</x:v>
      </x:c>
      <x:c r="F648" t="str">
        <x:v>Caran d’Ache</x:v>
      </x:c>
      <x:c r="G648" t="str">
        <x:v>PSTP</x:v>
      </x:c>
      <x:c r="H648" t="str">
        <x:v>PASTEL PENCILS</x:v>
      </x:c>
      <x:c r="I648" t="str">
        <x:v>Extra-fine dry pastel pencil</x:v>
      </x:c>
      <x:c r="J648" t="str">
        <x:v>Professional</x:v>
      </x:c>
      <x:c r="K648" s="30" t="n">
        <x:v>51</x:v>
      </x:c>
      <x:c r="L648" s="30" t="str">
        <x:v>212</x:v>
      </x:c>
      <x:c r="M648" t="str">
        <x:v>Chromium oxyde green</x:v>
      </x:c>
      <x:c r="N648" t="str">
        <x:v>氧化鉻綠</x:v>
      </x:c>
      <x:c r="O648" t="str">
        <x:v>クロムオキサイドグリーン</x:v>
      </x:c>
      <x:c r="P648" t="str"/>
      <x:c r="Q648" t="str">
        <x:v>Vert oxyde de chrome</x:v>
      </x:c>
      <x:c r="R648" t="str">
        <x:v>Chromoxydgrün</x:v>
      </x:c>
      <x:c r="S648" t="str">
        <x:v>Ossido di cromo verde</x:v>
      </x:c>
      <x:c r="T648" t="str">
        <x:v>Oxido de cromo verde</x:v>
      </x:c>
      <x:c r="U648" t="str">
        <x:v>Verde óxido de cromo</x:v>
      </x:c>
      <x:c r="V648" t="str"/>
      <x:c r="W648" t="str">
        <x:v>PG17</x:v>
      </x:c>
      <x:c r="X648" t="n">
        <x:f>IF(W648="",0,LEN(W648)-LEN(SUBSTITUTE(W648,"/",""))+1)</x:f>
        <x:v>1</x:v>
      </x:c>
      <x:c r="Y648" t="str">
        <x:v>HHH</x:v>
      </x:c>
      <x:c r="Z648" s="32" t="n">
        <x:v>3</x:v>
      </x:c>
      <x:c r="AA648" s="32" t="n">
        <x:v>5</x:v>
      </x:c>
      <x:c r="AB648" s="32" t="str">
        <x:v>Blue Wool Scale / UV 150h</x:v>
      </x:c>
      <x:c r="AC648" t="str">
        <x:v>#859F7C</x:v>
      </x:c>
      <x:c r="AD648" s="34" t="n">
        <x:v>133</x:v>
      </x:c>
      <x:c r="AE648" s="34" t="n">
        <x:v>159</x:v>
      </x:c>
      <x:c r="AF648" s="34" t="n">
        <x:v>124</x:v>
      </x:c>
      <x:c r="AG648" s="32" t="n">
        <x:v>104.57</x:v>
      </x:c>
      <x:c r="AH648" s="32" t="n">
        <x:v>15.42</x:v>
      </x:c>
      <x:c r="AI648" s="32" t="n">
        <x:v>55.49</x:v>
      </x:c>
      <x:c r="AJ648" s="32" t="n">
        <x:v>62.71</x:v>
      </x:c>
      <x:c r="AK648" s="32" t="n">
        <x:v>-15.9</x:v>
      </x:c>
      <x:c r="AL648" s="32" t="n">
        <x:v>15.33</x:v>
      </x:c>
      <x:c r="AM648" s="32" t="str">
        <x:v>#000000</x:v>
      </x:c>
      <x:c r="AN648" s="32" t="str">
        <x:v>Black</x:v>
      </x:c>
      <x:c r="AO648" s="32" t="n">
        <x:v>7.25</x:v>
      </x:c>
      <x:c r="AP648" s="32" t="n">
        <x:v>7.25</x:v>
      </x:c>
      <x:c r="AQ648" s="32" t="n">
        <x:v>2.9</x:v>
      </x:c>
      <x:c r="AR648" s="32" t="n">
        <x:v>0.312381</x:v>
      </x:c>
      <x:c r="AS648" t="str">
        <x:v>PASS</x:v>
      </x:c>
      <x:c r="AT648" t="str">
        <x:v>--cda-pstp-212</x:v>
      </x:c>
      <x:c r="AU648" t="str">
        <x:v>var(--cda-pstp-212)</x:v>
      </x:c>
      <x:c r="AV648" t="str">
        <x:v>Median RGB from official PDF swatch (screen reference only)</x:v>
      </x:c>
      <x:c r="AW648" t="str">
        <x:v>https://www.carandache.com/content_files/uploaded_doc/product/10985/Colour_Chart_Pastel_Pencil.pdf</x:v>
      </x:c>
      <x:c r="AX648" t="n">
        <x:v>1</x:v>
      </x:c>
      <x:c r="AY648" t="str">
        <x:v>Official</x:v>
      </x:c>
      <x:c r="AZ648" t="str">
        <x:v>Official where available; curated Traditional Chinese/Japanese otherwise</x:v>
      </x:c>
      <x:c r="BA648" t="str">
        <x:v>Verified from official chart; digital HEX is approximate</x:v>
      </x:c>
      <x:c r="BB648" t="str">
        <x:v>Physical media appearance varies by paper, pressure, layering, water and scan/display profile.</x:v>
      </x:c>
    </x:row>
    <x:row r="649">
      <x:c r="A649" t="str">
        <x:f>G649&amp;"|"&amp;L649</x:f>
        <x:v>PSTP|732</x:v>
      </x:c>
      <x:c r="B649" t="str">
        <x:v>99d2351c-4bab-5334-a494-c08d252a4588</x:v>
      </x:c>
      <x:c r="C649" t="str">
        <x:v>CDA-PSTP-732</x:v>
      </x:c>
      <x:c r="D649" t="str">
        <x:v>6d12cdba-3e12-5fc3-9fbd-401d578575d8</x:v>
      </x:c>
      <x:c r="E649" t="str">
        <x:v>CDA-CODE-732</x:v>
      </x:c>
      <x:c r="F649" t="str">
        <x:v>Caran d’Ache</x:v>
      </x:c>
      <x:c r="G649" t="str">
        <x:v>PSTP</x:v>
      </x:c>
      <x:c r="H649" t="str">
        <x:v>PASTEL PENCILS</x:v>
      </x:c>
      <x:c r="I649" t="str">
        <x:v>Extra-fine dry pastel pencil</x:v>
      </x:c>
      <x:c r="J649" t="str">
        <x:v>Professional</x:v>
      </x:c>
      <x:c r="K649" s="30" t="n">
        <x:v>52</x:v>
      </x:c>
      <x:c r="L649" s="30" t="str">
        <x:v>732</x:v>
      </x:c>
      <x:c r="M649" t="str">
        <x:v>Brown Olive 10%</x:v>
      </x:c>
      <x:c r="N649" t="str">
        <x:v>棕橄欖色 10%</x:v>
      </x:c>
      <x:c r="O649" t="str">
        <x:v>ブラウンオリーブ 10%</x:v>
      </x:c>
      <x:c r="P649" t="str"/>
      <x:c r="Q649" t="str">
        <x:v>Olive brunâtre 10%</x:v>
      </x:c>
      <x:c r="R649" t="str">
        <x:v>Braunoliv 10%</x:v>
      </x:c>
      <x:c r="S649" t="str">
        <x:v>Oliva bruna 10%</x:v>
      </x:c>
      <x:c r="T649" t="str">
        <x:v>Oliva marrón 10%</x:v>
      </x:c>
      <x:c r="U649" t="str">
        <x:v>Castanho Azeitona 10%</x:v>
      </x:c>
      <x:c r="V649" t="str"/>
      <x:c r="W649" t="str">
        <x:v>PY42/PBk6</x:v>
      </x:c>
      <x:c r="X649" t="n">
        <x:f>IF(W649="",0,LEN(W649)-LEN(SUBSTITUTE(W649,"/",""))+1)</x:f>
        <x:v>2</x:v>
      </x:c>
      <x:c r="Y649" t="str">
        <x:v>HHH</x:v>
      </x:c>
      <x:c r="Z649" s="32" t="n">
        <x:v>3</x:v>
      </x:c>
      <x:c r="AA649" s="32" t="n">
        <x:v>5</x:v>
      </x:c>
      <x:c r="AB649" s="32" t="str">
        <x:v>Blue Wool Scale / UV 150h</x:v>
      </x:c>
      <x:c r="AC649" t="str">
        <x:v>#C7C0A4</x:v>
      </x:c>
      <x:c r="AD649" s="34" t="n">
        <x:v>199</x:v>
      </x:c>
      <x:c r="AE649" s="34" t="n">
        <x:v>192</x:v>
      </x:c>
      <x:c r="AF649" s="34" t="n">
        <x:v>164</x:v>
      </x:c>
      <x:c r="AG649" s="32" t="n">
        <x:v>48</x:v>
      </x:c>
      <x:c r="AH649" s="32" t="n">
        <x:v>23.81</x:v>
      </x:c>
      <x:c r="AI649" s="32" t="n">
        <x:v>71.18</x:v>
      </x:c>
      <x:c r="AJ649" s="32" t="n">
        <x:v>77.59</x:v>
      </x:c>
      <x:c r="AK649" s="32" t="n">
        <x:v>-2.21</x:v>
      </x:c>
      <x:c r="AL649" s="32" t="n">
        <x:v>15.01</x:v>
      </x:c>
      <x:c r="AM649" s="32" t="str">
        <x:v>#000000</x:v>
      </x:c>
      <x:c r="AN649" s="32" t="str">
        <x:v>Black</x:v>
      </x:c>
      <x:c r="AO649" s="32" t="n">
        <x:v>11.5</x:v>
      </x:c>
      <x:c r="AP649" s="32" t="n">
        <x:v>11.5</x:v>
      </x:c>
      <x:c r="AQ649" s="32" t="n">
        <x:v>1.83</x:v>
      </x:c>
      <x:c r="AR649" s="32" t="n">
        <x:v>0.525217</x:v>
      </x:c>
      <x:c r="AS649" t="str">
        <x:v>PASS</x:v>
      </x:c>
      <x:c r="AT649" t="str">
        <x:v>--cda-pstp-732</x:v>
      </x:c>
      <x:c r="AU649" t="str">
        <x:v>var(--cda-pstp-732)</x:v>
      </x:c>
      <x:c r="AV649" t="str">
        <x:v>Median RGB from official PDF swatch (screen reference only)</x:v>
      </x:c>
      <x:c r="AW649" t="str">
        <x:v>https://www.carandache.com/content_files/uploaded_doc/product/10985/Colour_Chart_Pastel_Pencil.pdf</x:v>
      </x:c>
      <x:c r="AX649" t="n">
        <x:v>1</x:v>
      </x:c>
      <x:c r="AY649" t="str">
        <x:v>Official</x:v>
      </x:c>
      <x:c r="AZ649" t="str">
        <x:v>Official where available; curated Traditional Chinese/Japanese otherwise</x:v>
      </x:c>
      <x:c r="BA649" t="str">
        <x:v>Verified from official chart; digital HEX is approximate</x:v>
      </x:c>
      <x:c r="BB649" t="str">
        <x:v>Physical media appearance varies by paper, pressure, layering, water and scan/display profile.</x:v>
      </x:c>
    </x:row>
    <x:row r="650">
      <x:c r="A650" t="str">
        <x:f>G650&amp;"|"&amp;L650</x:f>
        <x:v>PSTP|736</x:v>
      </x:c>
      <x:c r="B650" t="str">
        <x:v>af9cd1ed-1523-5265-942d-596ee4344697</x:v>
      </x:c>
      <x:c r="C650" t="str">
        <x:v>CDA-PSTP-736</x:v>
      </x:c>
      <x:c r="D650" t="str">
        <x:v>d40b9436-8b9d-5cce-9be9-a1f17bad987d</x:v>
      </x:c>
      <x:c r="E650" t="str">
        <x:v>CDA-CODE-736</x:v>
      </x:c>
      <x:c r="F650" t="str">
        <x:v>Caran d’Ache</x:v>
      </x:c>
      <x:c r="G650" t="str">
        <x:v>PSTP</x:v>
      </x:c>
      <x:c r="H650" t="str">
        <x:v>PASTEL PENCILS</x:v>
      </x:c>
      <x:c r="I650" t="str">
        <x:v>Extra-fine dry pastel pencil</x:v>
      </x:c>
      <x:c r="J650" t="str">
        <x:v>Professional</x:v>
      </x:c>
      <x:c r="K650" s="30" t="n">
        <x:v>53</x:v>
      </x:c>
      <x:c r="L650" s="30" t="str">
        <x:v>736</x:v>
      </x:c>
      <x:c r="M650" t="str">
        <x:v>Brown Olive 50%</x:v>
      </x:c>
      <x:c r="N650" t="str">
        <x:v>棕橄欖色 50%</x:v>
      </x:c>
      <x:c r="O650" t="str">
        <x:v>ブラウンオリーブ 50%</x:v>
      </x:c>
      <x:c r="P650" t="str"/>
      <x:c r="Q650" t="str">
        <x:v>Olive brunâtre 50%</x:v>
      </x:c>
      <x:c r="R650" t="str">
        <x:v>Braunoliv 50%</x:v>
      </x:c>
      <x:c r="S650" t="str">
        <x:v>Oliva bruna 50%</x:v>
      </x:c>
      <x:c r="T650" t="str">
        <x:v>Oliva marrón 50%</x:v>
      </x:c>
      <x:c r="U650" t="str">
        <x:v>Castanho Azeitona 50%</x:v>
      </x:c>
      <x:c r="V650" t="str"/>
      <x:c r="W650" t="str">
        <x:v>PY42/PBk6</x:v>
      </x:c>
      <x:c r="X650" t="n">
        <x:f>IF(W650="",0,LEN(W650)-LEN(SUBSTITUTE(W650,"/",""))+1)</x:f>
        <x:v>2</x:v>
      </x:c>
      <x:c r="Y650" t="str">
        <x:v>HHH</x:v>
      </x:c>
      <x:c r="Z650" s="32" t="n">
        <x:v>3</x:v>
      </x:c>
      <x:c r="AA650" s="32" t="n">
        <x:v>5</x:v>
      </x:c>
      <x:c r="AB650" s="32" t="str">
        <x:v>Blue Wool Scale / UV 150h</x:v>
      </x:c>
      <x:c r="AC650" t="str">
        <x:v>#AD9461</x:v>
      </x:c>
      <x:c r="AD650" s="34" t="n">
        <x:v>173</x:v>
      </x:c>
      <x:c r="AE650" s="34" t="n">
        <x:v>148</x:v>
      </x:c>
      <x:c r="AF650" s="34" t="n">
        <x:v>97</x:v>
      </x:c>
      <x:c r="AG650" s="32" t="n">
        <x:v>40.26</x:v>
      </x:c>
      <x:c r="AH650" s="32" t="n">
        <x:v>31.67</x:v>
      </x:c>
      <x:c r="AI650" s="32" t="n">
        <x:v>52.94</x:v>
      </x:c>
      <x:c r="AJ650" s="32" t="n">
        <x:v>62.45</x:v>
      </x:c>
      <x:c r="AK650" s="32" t="n">
        <x:v>2.23</x:v>
      </x:c>
      <x:c r="AL650" s="32" t="n">
        <x:v>30.38</x:v>
      </x:c>
      <x:c r="AM650" s="32" t="str">
        <x:v>#000000</x:v>
      </x:c>
      <x:c r="AN650" s="32" t="str">
        <x:v>Black</x:v>
      </x:c>
      <x:c r="AO650" s="32" t="n">
        <x:v>7.19</x:v>
      </x:c>
      <x:c r="AP650" s="32" t="n">
        <x:v>7.19</x:v>
      </x:c>
      <x:c r="AQ650" s="32" t="n">
        <x:v>2.92</x:v>
      </x:c>
      <x:c r="AR650" s="32" t="n">
        <x:v>0.309271</x:v>
      </x:c>
      <x:c r="AS650" t="str">
        <x:v>PASS</x:v>
      </x:c>
      <x:c r="AT650" t="str">
        <x:v>--cda-pstp-736</x:v>
      </x:c>
      <x:c r="AU650" t="str">
        <x:v>var(--cda-pstp-736)</x:v>
      </x:c>
      <x:c r="AV650" t="str">
        <x:v>Median RGB from official PDF swatch (screen reference only)</x:v>
      </x:c>
      <x:c r="AW650" t="str">
        <x:v>https://www.carandache.com/content_files/uploaded_doc/product/10985/Colour_Chart_Pastel_Pencil.pdf</x:v>
      </x:c>
      <x:c r="AX650" t="n">
        <x:v>1</x:v>
      </x:c>
      <x:c r="AY650" t="str">
        <x:v>Official</x:v>
      </x:c>
      <x:c r="AZ650" t="str">
        <x:v>Official where available; curated Traditional Chinese/Japanese otherwise</x:v>
      </x:c>
      <x:c r="BA650" t="str">
        <x:v>Verified from official chart; digital HEX is approximate</x:v>
      </x:c>
      <x:c r="BB650" t="str">
        <x:v>Physical media appearance varies by paper, pressure, layering, water and scan/display profile.</x:v>
      </x:c>
    </x:row>
    <x:row r="651">
      <x:c r="A651" t="str">
        <x:f>G651&amp;"|"&amp;L651</x:f>
        <x:v>PSTP|039</x:v>
      </x:c>
      <x:c r="B651" t="str">
        <x:v>09e36f3e-79d4-5958-b39a-d239fb12c178</x:v>
      </x:c>
      <x:c r="C651" t="str">
        <x:v>CDA-PSTP-039</x:v>
      </x:c>
      <x:c r="D651" t="str">
        <x:v>f03df3aa-e67d-56c5-88be-9f28d0654f47</x:v>
      </x:c>
      <x:c r="E651" t="str">
        <x:v>CDA-CODE-039</x:v>
      </x:c>
      <x:c r="F651" t="str">
        <x:v>Caran d’Ache</x:v>
      </x:c>
      <x:c r="G651" t="str">
        <x:v>PSTP</x:v>
      </x:c>
      <x:c r="H651" t="str">
        <x:v>PASTEL PENCILS</x:v>
      </x:c>
      <x:c r="I651" t="str">
        <x:v>Extra-fine dry pastel pencil</x:v>
      </x:c>
      <x:c r="J651" t="str">
        <x:v>Professional</x:v>
      </x:c>
      <x:c r="K651" s="30" t="n">
        <x:v>54</x:v>
      </x:c>
      <x:c r="L651" s="30" t="str">
        <x:v>039</x:v>
      </x:c>
      <x:c r="M651" t="str">
        <x:v>Olive brown</x:v>
      </x:c>
      <x:c r="N651" t="str">
        <x:v>橄欖棕</x:v>
      </x:c>
      <x:c r="O651" t="str">
        <x:v>オリーブブラウン</x:v>
      </x:c>
      <x:c r="P651" t="str"/>
      <x:c r="Q651" t="str">
        <x:v>Olive brunâtre</x:v>
      </x:c>
      <x:c r="R651" t="str">
        <x:v>Olivbraun</x:v>
      </x:c>
      <x:c r="S651" t="str">
        <x:v>Oliva bruna</x:v>
      </x:c>
      <x:c r="T651" t="str">
        <x:v>Pardo Oliva</x:v>
      </x:c>
      <x:c r="U651" t="str">
        <x:v>Castanho esverdeado</x:v>
      </x:c>
      <x:c r="V651" t="str"/>
      <x:c r="W651" t="str">
        <x:v>PY42/PBk6</x:v>
      </x:c>
      <x:c r="X651" t="n">
        <x:f>IF(W651="",0,LEN(W651)-LEN(SUBSTITUTE(W651,"/",""))+1)</x:f>
        <x:v>2</x:v>
      </x:c>
      <x:c r="Y651" t="str">
        <x:v>HHH</x:v>
      </x:c>
      <x:c r="Z651" s="32" t="n">
        <x:v>3</x:v>
      </x:c>
      <x:c r="AA651" s="32" t="n">
        <x:v>5</x:v>
      </x:c>
      <x:c r="AB651" s="32" t="str">
        <x:v>Blue Wool Scale / UV 150h</x:v>
      </x:c>
      <x:c r="AC651" t="str">
        <x:v>#977D42</x:v>
      </x:c>
      <x:c r="AD651" s="34" t="n">
        <x:v>151</x:v>
      </x:c>
      <x:c r="AE651" s="34" t="n">
        <x:v>125</x:v>
      </x:c>
      <x:c r="AF651" s="34" t="n">
        <x:v>66</x:v>
      </x:c>
      <x:c r="AG651" s="32" t="n">
        <x:v>41.65</x:v>
      </x:c>
      <x:c r="AH651" s="32" t="n">
        <x:v>39.17</x:v>
      </x:c>
      <x:c r="AI651" s="32" t="n">
        <x:v>42.55</x:v>
      </x:c>
      <x:c r="AJ651" s="32" t="n">
        <x:v>53.64</x:v>
      </x:c>
      <x:c r="AK651" s="32" t="n">
        <x:v>2.47</x:v>
      </x:c>
      <x:c r="AL651" s="32" t="n">
        <x:v>35.55</x:v>
      </x:c>
      <x:c r="AM651" s="32" t="str">
        <x:v>#000000</x:v>
      </x:c>
      <x:c r="AN651" s="32" t="str">
        <x:v>Black</x:v>
      </x:c>
      <x:c r="AO651" s="32" t="n">
        <x:v>5.33</x:v>
      </x:c>
      <x:c r="AP651" s="32" t="n">
        <x:v>5.33</x:v>
      </x:c>
      <x:c r="AQ651" s="32" t="n">
        <x:v>3.94</x:v>
      </x:c>
      <x:c r="AR651" s="32" t="n">
        <x:v>0.216399</x:v>
      </x:c>
      <x:c r="AS651" t="str">
        <x:v>PASS</x:v>
      </x:c>
      <x:c r="AT651" t="str">
        <x:v>--cda-pstp-039</x:v>
      </x:c>
      <x:c r="AU651" t="str">
        <x:v>var(--cda-pstp-039)</x:v>
      </x:c>
      <x:c r="AV651" t="str">
        <x:v>Median RGB from official PDF swatch (screen reference only)</x:v>
      </x:c>
      <x:c r="AW651" t="str">
        <x:v>https://www.carandache.com/content_files/uploaded_doc/product/10985/Colour_Chart_Pastel_Pencil.pdf</x:v>
      </x:c>
      <x:c r="AX651" t="n">
        <x:v>1</x:v>
      </x:c>
      <x:c r="AY651" t="str">
        <x:v>Official</x:v>
      </x:c>
      <x:c r="AZ651" t="str">
        <x:v>Official where available; curated Traditional Chinese/Japanese otherwise</x:v>
      </x:c>
      <x:c r="BA651" t="str">
        <x:v>Verified from official chart; digital HEX is approximate</x:v>
      </x:c>
      <x:c r="BB651" t="str">
        <x:v>Physical media appearance varies by paper, pressure, layering, water and scan/display profile.</x:v>
      </x:c>
    </x:row>
    <x:row r="652">
      <x:c r="A652" t="str">
        <x:f>G652&amp;"|"&amp;L652</x:f>
        <x:v>PSTP|033</x:v>
      </x:c>
      <x:c r="B652" t="str">
        <x:v>b840b015-e765-5fc8-a62d-adfd26f214db</x:v>
      </x:c>
      <x:c r="C652" t="str">
        <x:v>CDA-PSTP-033</x:v>
      </x:c>
      <x:c r="D652" t="str">
        <x:v>167a875a-a8c7-5497-a065-fd7076f6139c</x:v>
      </x:c>
      <x:c r="E652" t="str">
        <x:v>CDA-CODE-033</x:v>
      </x:c>
      <x:c r="F652" t="str">
        <x:v>Caran d’Ache</x:v>
      </x:c>
      <x:c r="G652" t="str">
        <x:v>PSTP</x:v>
      </x:c>
      <x:c r="H652" t="str">
        <x:v>PASTEL PENCILS</x:v>
      </x:c>
      <x:c r="I652" t="str">
        <x:v>Extra-fine dry pastel pencil</x:v>
      </x:c>
      <x:c r="J652" t="str">
        <x:v>Professional</x:v>
      </x:c>
      <x:c r="K652" s="30" t="n">
        <x:v>55</x:v>
      </x:c>
      <x:c r="L652" s="30" t="str">
        <x:v>033</x:v>
      </x:c>
      <x:c r="M652" t="str">
        <x:v>Golden ochre</x:v>
      </x:c>
      <x:c r="N652" t="str">
        <x:v>金赭色</x:v>
      </x:c>
      <x:c r="O652" t="str">
        <x:v>ゴールデンオーカー</x:v>
      </x:c>
      <x:c r="P652" t="str"/>
      <x:c r="Q652" t="str">
        <x:v>Ocre d’or</x:v>
      </x:c>
      <x:c r="R652" t="str">
        <x:v>Goldocker</x:v>
      </x:c>
      <x:c r="S652" t="str">
        <x:v>Ocra d’oro</x:v>
      </x:c>
      <x:c r="T652" t="str">
        <x:v>Ocre oro</x:v>
      </x:c>
      <x:c r="U652" t="str">
        <x:v>Ocre dourado</x:v>
      </x:c>
      <x:c r="V652" t="str"/>
      <x:c r="W652" t="str">
        <x:v>PY42/PY74/PBk11/PR101/PBk7</x:v>
      </x:c>
      <x:c r="X652" t="n">
        <x:f>IF(W652="",0,LEN(W652)-LEN(SUBSTITUTE(W652,"/",""))+1)</x:f>
        <x:v>5</x:v>
      </x:c>
      <x:c r="Y652" t="str">
        <x:v>HHH</x:v>
      </x:c>
      <x:c r="Z652" s="32" t="n">
        <x:v>3</x:v>
      </x:c>
      <x:c r="AA652" s="32" t="n">
        <x:v>5</x:v>
      </x:c>
      <x:c r="AB652" s="32" t="str">
        <x:v>Blue Wool Scale / UV 150h</x:v>
      </x:c>
      <x:c r="AC652" t="str">
        <x:v>#B07D21</x:v>
      </x:c>
      <x:c r="AD652" s="34" t="n">
        <x:v>176</x:v>
      </x:c>
      <x:c r="AE652" s="34" t="n">
        <x:v>125</x:v>
      </x:c>
      <x:c r="AF652" s="34" t="n">
        <x:v>33</x:v>
      </x:c>
      <x:c r="AG652" s="32" t="n">
        <x:v>38.6</x:v>
      </x:c>
      <x:c r="AH652" s="32" t="n">
        <x:v>68.42</x:v>
      </x:c>
      <x:c r="AI652" s="32" t="n">
        <x:v>40.98</x:v>
      </x:c>
      <x:c r="AJ652" s="32" t="n">
        <x:v>56.1</x:v>
      </x:c>
      <x:c r="AK652" s="32" t="n">
        <x:v>11.78</x:v>
      </x:c>
      <x:c r="AL652" s="32" t="n">
        <x:v>54</x:v>
      </x:c>
      <x:c r="AM652" s="32" t="str">
        <x:v>#000000</x:v>
      </x:c>
      <x:c r="AN652" s="32" t="str">
        <x:v>Black</x:v>
      </x:c>
      <x:c r="AO652" s="32" t="n">
        <x:v>5.8</x:v>
      </x:c>
      <x:c r="AP652" s="32" t="n">
        <x:v>5.8</x:v>
      </x:c>
      <x:c r="AQ652" s="32" t="n">
        <x:v>3.62</x:v>
      </x:c>
      <x:c r="AR652" s="32" t="n">
        <x:v>0.240071</x:v>
      </x:c>
      <x:c r="AS652" t="str">
        <x:v>PASS</x:v>
      </x:c>
      <x:c r="AT652" t="str">
        <x:v>--cda-pstp-033</x:v>
      </x:c>
      <x:c r="AU652" t="str">
        <x:v>var(--cda-pstp-033)</x:v>
      </x:c>
      <x:c r="AV652" t="str">
        <x:v>Median RGB from official PDF swatch (screen reference only)</x:v>
      </x:c>
      <x:c r="AW652" t="str">
        <x:v>https://www.carandache.com/content_files/uploaded_doc/product/10985/Colour_Chart_Pastel_Pencil.pdf</x:v>
      </x:c>
      <x:c r="AX652" t="n">
        <x:v>1</x:v>
      </x:c>
      <x:c r="AY652" t="str">
        <x:v>Official</x:v>
      </x:c>
      <x:c r="AZ652" t="str">
        <x:v>Official where available; curated Traditional Chinese/Japanese otherwise</x:v>
      </x:c>
      <x:c r="BA652" t="str">
        <x:v>Verified from official chart; digital HEX is approximate</x:v>
      </x:c>
      <x:c r="BB652" t="str">
        <x:v>Physical media appearance varies by paper, pressure, layering, water and scan/display profile.</x:v>
      </x:c>
    </x:row>
    <x:row r="653">
      <x:c r="A653" t="str">
        <x:f>G653&amp;"|"&amp;L653</x:f>
        <x:v>PSTP|035</x:v>
      </x:c>
      <x:c r="B653" t="str">
        <x:v>65a3fd1a-373e-5489-a0c8-dc04b7ca1839</x:v>
      </x:c>
      <x:c r="C653" t="str">
        <x:v>CDA-PSTP-035</x:v>
      </x:c>
      <x:c r="D653" t="str">
        <x:v>e6cc537a-bb6e-50c6-99e9-ab46db58910a</x:v>
      </x:c>
      <x:c r="E653" t="str">
        <x:v>CDA-CODE-035</x:v>
      </x:c>
      <x:c r="F653" t="str">
        <x:v>Caran d’Ache</x:v>
      </x:c>
      <x:c r="G653" t="str">
        <x:v>PSTP</x:v>
      </x:c>
      <x:c r="H653" t="str">
        <x:v>PASTEL PENCILS</x:v>
      </x:c>
      <x:c r="I653" t="str">
        <x:v>Extra-fine dry pastel pencil</x:v>
      </x:c>
      <x:c r="J653" t="str">
        <x:v>Professional</x:v>
      </x:c>
      <x:c r="K653" s="30" t="n">
        <x:v>56</x:v>
      </x:c>
      <x:c r="L653" s="30" t="str">
        <x:v>035</x:v>
      </x:c>
      <x:c r="M653" t="str">
        <x:v>Ochre</x:v>
      </x:c>
      <x:c r="N653" t="str">
        <x:v>赭色</x:v>
      </x:c>
      <x:c r="O653" t="str">
        <x:v>オーカー</x:v>
      </x:c>
      <x:c r="P653" t="str"/>
      <x:c r="Q653" t="str">
        <x:v>Ocre</x:v>
      </x:c>
      <x:c r="R653" t="str">
        <x:v>Ocker</x:v>
      </x:c>
      <x:c r="S653" t="str">
        <x:v>Ocra</x:v>
      </x:c>
      <x:c r="T653" t="str">
        <x:v>Ocre</x:v>
      </x:c>
      <x:c r="U653" t="str">
        <x:v>Ocre</x:v>
      </x:c>
      <x:c r="V653" t="str"/>
      <x:c r="W653" t="str">
        <x:v>PY42/PY3/PY74/PB15/PO67</x:v>
      </x:c>
      <x:c r="X653" t="n">
        <x:f>IF(W653="",0,LEN(W653)-LEN(SUBSTITUTE(W653,"/",""))+1)</x:f>
        <x:v>5</x:v>
      </x:c>
      <x:c r="Y653" t="str">
        <x:v>HH</x:v>
      </x:c>
      <x:c r="Z653" s="32" t="n">
        <x:v>2</x:v>
      </x:c>
      <x:c r="AA653" s="32" t="n">
        <x:v>5</x:v>
      </x:c>
      <x:c r="AB653" s="32" t="str">
        <x:v>Blue Wool Scale / UV 150h</x:v>
      </x:c>
      <x:c r="AC653" t="str">
        <x:v>#D6A116</x:v>
      </x:c>
      <x:c r="AD653" s="34" t="n">
        <x:v>214</x:v>
      </x:c>
      <x:c r="AE653" s="34" t="n">
        <x:v>161</x:v>
      </x:c>
      <x:c r="AF653" s="34" t="n">
        <x:v>22</x:v>
      </x:c>
      <x:c r="AG653" s="32" t="n">
        <x:v>43.44</x:v>
      </x:c>
      <x:c r="AH653" s="32" t="n">
        <x:v>81.36</x:v>
      </x:c>
      <x:c r="AI653" s="32" t="n">
        <x:v>46.27</x:v>
      </x:c>
      <x:c r="AJ653" s="32" t="n">
        <x:v>69.36</x:v>
      </x:c>
      <x:c r="AK653" s="32" t="n">
        <x:v>8.7</x:v>
      </x:c>
      <x:c r="AL653" s="32" t="n">
        <x:v>69.77</x:v>
      </x:c>
      <x:c r="AM653" s="32" t="str">
        <x:v>#000000</x:v>
      </x:c>
      <x:c r="AN653" s="32" t="str">
        <x:v>Black</x:v>
      </x:c>
      <x:c r="AO653" s="32" t="n">
        <x:v>8.97</x:v>
      </x:c>
      <x:c r="AP653" s="32" t="n">
        <x:v>8.97</x:v>
      </x:c>
      <x:c r="AQ653" s="32" t="n">
        <x:v>2.34</x:v>
      </x:c>
      <x:c r="AR653" s="32" t="n">
        <x:v>0.398438</x:v>
      </x:c>
      <x:c r="AS653" t="str">
        <x:v>PASS</x:v>
      </x:c>
      <x:c r="AT653" t="str">
        <x:v>--cda-pstp-035</x:v>
      </x:c>
      <x:c r="AU653" t="str">
        <x:v>var(--cda-pstp-035)</x:v>
      </x:c>
      <x:c r="AV653" t="str">
        <x:v>Median RGB from official PDF swatch (screen reference only)</x:v>
      </x:c>
      <x:c r="AW653" t="str">
        <x:v>https://www.carandache.com/content_files/uploaded_doc/product/10985/Colour_Chart_Pastel_Pencil.pdf</x:v>
      </x:c>
      <x:c r="AX653" t="n">
        <x:v>1</x:v>
      </x:c>
      <x:c r="AY653" t="str">
        <x:v>Official</x:v>
      </x:c>
      <x:c r="AZ653" t="str">
        <x:v>Official where available; curated Traditional Chinese/Japanese otherwise</x:v>
      </x:c>
      <x:c r="BA653" t="str">
        <x:v>Verified from official chart; digital HEX is approximate</x:v>
      </x:c>
      <x:c r="BB653" t="str">
        <x:v>Physical media appearance varies by paper, pressure, layering, water and scan/display profile.</x:v>
      </x:c>
    </x:row>
    <x:row r="654">
      <x:c r="A654" t="str">
        <x:f>G654&amp;"|"&amp;L654</x:f>
        <x:v>PSTP|036</x:v>
      </x:c>
      <x:c r="B654" t="str">
        <x:v>08fe3cd5-a7d5-5da2-97e6-9b2c0db3c983</x:v>
      </x:c>
      <x:c r="C654" t="str">
        <x:v>CDA-PSTP-036</x:v>
      </x:c>
      <x:c r="D654" t="str">
        <x:v>0f5afcdf-d0ec-594e-9317-d048151338ad</x:v>
      </x:c>
      <x:c r="E654" t="str">
        <x:v>CDA-CODE-036</x:v>
      </x:c>
      <x:c r="F654" t="str">
        <x:v>Caran d’Ache</x:v>
      </x:c>
      <x:c r="G654" t="str">
        <x:v>PSTP</x:v>
      </x:c>
      <x:c r="H654" t="str">
        <x:v>PASTEL PENCILS</x:v>
      </x:c>
      <x:c r="I654" t="str">
        <x:v>Extra-fine dry pastel pencil</x:v>
      </x:c>
      <x:c r="J654" t="str">
        <x:v>Professional</x:v>
      </x:c>
      <x:c r="K654" s="30" t="n">
        <x:v>57</x:v>
      </x:c>
      <x:c r="L654" s="30" t="str">
        <x:v>036</x:v>
      </x:c>
      <x:c r="M654" t="str">
        <x:v>Raw sienna</x:v>
      </x:c>
      <x:c r="N654" t="str">
        <x:v>生赭色</x:v>
      </x:c>
      <x:c r="O654" t="str">
        <x:v>ローシェンナ</x:v>
      </x:c>
      <x:c r="P654" t="str"/>
      <x:c r="Q654" t="str">
        <x:v>Sienne naturelle</x:v>
      </x:c>
      <x:c r="R654" t="str">
        <x:v>Siena natur</x:v>
      </x:c>
      <x:c r="S654" t="str">
        <x:v>Terra di Siena naturale</x:v>
      </x:c>
      <x:c r="T654" t="str">
        <x:v>Siena natural</x:v>
      </x:c>
      <x:c r="U654" t="str">
        <x:v>Siena natural</x:v>
      </x:c>
      <x:c r="V654" t="str"/>
      <x:c r="W654" t="str">
        <x:v>PY42/PY1/PR3/PBk7</x:v>
      </x:c>
      <x:c r="X654" t="n">
        <x:f>IF(W654="",0,LEN(W654)-LEN(SUBSTITUTE(W654,"/",""))+1)</x:f>
        <x:v>4</x:v>
      </x:c>
      <x:c r="Y654" t="str">
        <x:v>HH</x:v>
      </x:c>
      <x:c r="Z654" s="32" t="n">
        <x:v>2</x:v>
      </x:c>
      <x:c r="AA654" s="32" t="n">
        <x:v>5</x:v>
      </x:c>
      <x:c r="AB654" s="32" t="str">
        <x:v>Blue Wool Scale / UV 150h</x:v>
      </x:c>
      <x:c r="AC654" t="str">
        <x:v>#AD7D32</x:v>
      </x:c>
      <x:c r="AD654" s="34" t="n">
        <x:v>173</x:v>
      </x:c>
      <x:c r="AE654" s="34" t="n">
        <x:v>125</x:v>
      </x:c>
      <x:c r="AF654" s="34" t="n">
        <x:v>50</x:v>
      </x:c>
      <x:c r="AG654" s="32" t="n">
        <x:v>36.59</x:v>
      </x:c>
      <x:c r="AH654" s="32" t="n">
        <x:v>55.16</x:v>
      </x:c>
      <x:c r="AI654" s="32" t="n">
        <x:v>43.73</x:v>
      </x:c>
      <x:c r="AJ654" s="32" t="n">
        <x:v>55.87</x:v>
      </x:c>
      <x:c r="AK654" s="32" t="n">
        <x:v>11.19</x:v>
      </x:c>
      <x:c r="AL654" s="32" t="n">
        <x:v>46.63</x:v>
      </x:c>
      <x:c r="AM654" s="32" t="str">
        <x:v>#000000</x:v>
      </x:c>
      <x:c r="AN654" s="32" t="str">
        <x:v>Black</x:v>
      </x:c>
      <x:c r="AO654" s="32" t="n">
        <x:v>5.76</x:v>
      </x:c>
      <x:c r="AP654" s="32" t="n">
        <x:v>5.76</x:v>
      </x:c>
      <x:c r="AQ654" s="32" t="n">
        <x:v>3.65</x:v>
      </x:c>
      <x:c r="AR654" s="32" t="n">
        <x:v>0.237818</x:v>
      </x:c>
      <x:c r="AS654" t="str">
        <x:v>PASS</x:v>
      </x:c>
      <x:c r="AT654" t="str">
        <x:v>--cda-pstp-036</x:v>
      </x:c>
      <x:c r="AU654" t="str">
        <x:v>var(--cda-pstp-036)</x:v>
      </x:c>
      <x:c r="AV654" t="str">
        <x:v>Median RGB from official PDF swatch (screen reference only)</x:v>
      </x:c>
      <x:c r="AW654" t="str">
        <x:v>https://www.carandache.com/content_files/uploaded_doc/product/10985/Colour_Chart_Pastel_Pencil.pdf</x:v>
      </x:c>
      <x:c r="AX654" t="n">
        <x:v>1</x:v>
      </x:c>
      <x:c r="AY654" t="str">
        <x:v>Official</x:v>
      </x:c>
      <x:c r="AZ654" t="str">
        <x:v>Official where available; curated Traditional Chinese/Japanese otherwise</x:v>
      </x:c>
      <x:c r="BA654" t="str">
        <x:v>Verified from official chart; digital HEX is approximate</x:v>
      </x:c>
      <x:c r="BB654" t="str">
        <x:v>Physical media appearance varies by paper, pressure, layering, water and scan/display profile.</x:v>
      </x:c>
    </x:row>
    <x:row r="655">
      <x:c r="A655" t="str">
        <x:f>G655&amp;"|"&amp;L655</x:f>
        <x:v>PSTP|047</x:v>
      </x:c>
      <x:c r="B655" t="str">
        <x:v>da9f5cd0-bd6e-5d96-8115-5c312baf076b</x:v>
      </x:c>
      <x:c r="C655" t="str">
        <x:v>CDA-PSTP-047</x:v>
      </x:c>
      <x:c r="D655" t="str">
        <x:v>6cac1bff-68a3-5a47-a94c-682a0339a8d5</x:v>
      </x:c>
      <x:c r="E655" t="str">
        <x:v>CDA-CODE-047</x:v>
      </x:c>
      <x:c r="F655" t="str">
        <x:v>Caran d’Ache</x:v>
      </x:c>
      <x:c r="G655" t="str">
        <x:v>PSTP</x:v>
      </x:c>
      <x:c r="H655" t="str">
        <x:v>PASTEL PENCILS</x:v>
      </x:c>
      <x:c r="I655" t="str">
        <x:v>Extra-fine dry pastel pencil</x:v>
      </x:c>
      <x:c r="J655" t="str">
        <x:v>Professional</x:v>
      </x:c>
      <x:c r="K655" s="30" t="n">
        <x:v>58</x:v>
      </x:c>
      <x:c r="L655" s="30" t="str">
        <x:v>047</x:v>
      </x:c>
      <x:c r="M655" t="str">
        <x:v>Bistre</x:v>
      </x:c>
      <x:c r="N655" t="str">
        <x:v>煙褐色</x:v>
      </x:c>
      <x:c r="O655" t="str">
        <x:v>ビスター</x:v>
      </x:c>
      <x:c r="P655" t="str"/>
      <x:c r="Q655" t="str">
        <x:v>Bistre</x:v>
      </x:c>
      <x:c r="R655" t="str">
        <x:v>Bister</x:v>
      </x:c>
      <x:c r="S655" t="str">
        <x:v>Bistro</x:v>
      </x:c>
      <x:c r="T655" t="str">
        <x:v>Bistre</x:v>
      </x:c>
      <x:c r="U655" t="str">
        <x:v>Bistre</x:v>
      </x:c>
      <x:c r="V655" t="str"/>
      <x:c r="W655" t="str">
        <x:v>PY74/PBk11/PY42/PR101</x:v>
      </x:c>
      <x:c r="X655" t="n">
        <x:f>IF(W655="",0,LEN(W655)-LEN(SUBSTITUTE(W655,"/",""))+1)</x:f>
        <x:v>4</x:v>
      </x:c>
      <x:c r="Y655" t="str">
        <x:v>HH</x:v>
      </x:c>
      <x:c r="Z655" s="32" t="n">
        <x:v>2</x:v>
      </x:c>
      <x:c r="AA655" s="32" t="n">
        <x:v>5</x:v>
      </x:c>
      <x:c r="AB655" s="32" t="str">
        <x:v>Blue Wool Scale / UV 150h</x:v>
      </x:c>
      <x:c r="AC655" t="str">
        <x:v>#896039</x:v>
      </x:c>
      <x:c r="AD655" s="34" t="n">
        <x:v>137</x:v>
      </x:c>
      <x:c r="AE655" s="34" t="n">
        <x:v>96</x:v>
      </x:c>
      <x:c r="AF655" s="34" t="n">
        <x:v>57</x:v>
      </x:c>
      <x:c r="AG655" s="32" t="n">
        <x:v>29.25</x:v>
      </x:c>
      <x:c r="AH655" s="32" t="n">
        <x:v>41.24</x:v>
      </x:c>
      <x:c r="AI655" s="32" t="n">
        <x:v>38.04</x:v>
      </x:c>
      <x:c r="AJ655" s="32" t="n">
        <x:v>44.21</x:v>
      </x:c>
      <x:c r="AK655" s="32" t="n">
        <x:v>12.12</x:v>
      </x:c>
      <x:c r="AL655" s="32" t="n">
        <x:v>28.7</x:v>
      </x:c>
      <x:c r="AM655" s="32" t="str">
        <x:v>#FFFFFF</x:v>
      </x:c>
      <x:c r="AN655" s="32" t="str">
        <x:v>White</x:v>
      </x:c>
      <x:c r="AO655" s="32" t="n">
        <x:v>5.53</x:v>
      </x:c>
      <x:c r="AP655" s="32" t="n">
        <x:v>3.8</x:v>
      </x:c>
      <x:c r="AQ655" s="32" t="n">
        <x:v>5.53</x:v>
      </x:c>
      <x:c r="AR655" s="32" t="n">
        <x:v>0.139795</x:v>
      </x:c>
      <x:c r="AS655" t="str">
        <x:v>PASS</x:v>
      </x:c>
      <x:c r="AT655" t="str">
        <x:v>--cda-pstp-047</x:v>
      </x:c>
      <x:c r="AU655" t="str">
        <x:v>var(--cda-pstp-047)</x:v>
      </x:c>
      <x:c r="AV655" t="str">
        <x:v>Median RGB from official PDF swatch (screen reference only)</x:v>
      </x:c>
      <x:c r="AW655" t="str">
        <x:v>https://www.carandache.com/content_files/uploaded_doc/product/10985/Colour_Chart_Pastel_Pencil.pdf</x:v>
      </x:c>
      <x:c r="AX655" t="n">
        <x:v>1</x:v>
      </x:c>
      <x:c r="AY655" t="str">
        <x:v>Official</x:v>
      </x:c>
      <x:c r="AZ655" t="str">
        <x:v>Official where available; curated Traditional Chinese/Japanese otherwise</x:v>
      </x:c>
      <x:c r="BA655" t="str">
        <x:v>Verified from official chart; digital HEX is approximate</x:v>
      </x:c>
      <x:c r="BB655" t="str">
        <x:v>Physical media appearance varies by paper, pressure, layering, water and scan/display profile.</x:v>
      </x:c>
    </x:row>
    <x:row r="656">
      <x:c r="A656" t="str">
        <x:f>G656&amp;"|"&amp;L656</x:f>
        <x:v>PSTP|746</x:v>
      </x:c>
      <x:c r="B656" t="str">
        <x:v>4a932f17-c0a2-5a87-83ec-a1cc4cebf131</x:v>
      </x:c>
      <x:c r="C656" t="str">
        <x:v>CDA-PSTP-746</x:v>
      </x:c>
      <x:c r="D656" t="str">
        <x:v>1c5a3b98-9174-57d0-bd87-a6f4469fcb6c</x:v>
      </x:c>
      <x:c r="E656" t="str">
        <x:v>CDA-CODE-746</x:v>
      </x:c>
      <x:c r="F656" t="str">
        <x:v>Caran d’Ache</x:v>
      </x:c>
      <x:c r="G656" t="str">
        <x:v>PSTP</x:v>
      </x:c>
      <x:c r="H656" t="str">
        <x:v>PASTEL PENCILS</x:v>
      </x:c>
      <x:c r="I656" t="str">
        <x:v>Extra-fine dry pastel pencil</x:v>
      </x:c>
      <x:c r="J656" t="str">
        <x:v>Professional</x:v>
      </x:c>
      <x:c r="K656" s="30" t="n">
        <x:v>59</x:v>
      </x:c>
      <x:c r="L656" s="30" t="str">
        <x:v>746</x:v>
      </x:c>
      <x:c r="M656" t="str">
        <x:v>Dark flesh 50%</x:v>
      </x:c>
      <x:c r="N656" t="str">
        <x:v>深膚色 50%</x:v>
      </x:c>
      <x:c r="O656" t="str">
        <x:v>ダークフレッシュ 50%</x:v>
      </x:c>
      <x:c r="P656" t="str"/>
      <x:c r="Q656" t="str">
        <x:v>Chair foncée 50%</x:v>
      </x:c>
      <x:c r="R656" t="str">
        <x:v>Dunkel fleischfarbig 50%</x:v>
      </x:c>
      <x:c r="S656" t="str">
        <x:v>Incarnato scuro 50%</x:v>
      </x:c>
      <x:c r="T656" t="str">
        <x:v>Carne oscuro 50%</x:v>
      </x:c>
      <x:c r="U656" t="str">
        <x:v>Carne escuro 50%</x:v>
      </x:c>
      <x:c r="V656" t="str"/>
      <x:c r="W656" t="str">
        <x:v>PR101/PO82/PBk7/PBr7/PBk11/PY42/PR101</x:v>
      </x:c>
      <x:c r="X656" t="n">
        <x:f>IF(W656="",0,LEN(W656)-LEN(SUBSTITUTE(W656,"/",""))+1)</x:f>
        <x:v>7</x:v>
      </x:c>
      <x:c r="Y656" t="str">
        <x:v>HHH</x:v>
      </x:c>
      <x:c r="Z656" s="32" t="n">
        <x:v>3</x:v>
      </x:c>
      <x:c r="AA656" s="32" t="n">
        <x:v>5</x:v>
      </x:c>
      <x:c r="AB656" s="32" t="str">
        <x:v>Blue Wool Scale / UV 150h</x:v>
      </x:c>
      <x:c r="AC656" t="str">
        <x:v>#9A7D72</x:v>
      </x:c>
      <x:c r="AD656" s="34" t="n">
        <x:v>154</x:v>
      </x:c>
      <x:c r="AE656" s="34" t="n">
        <x:v>125</x:v>
      </x:c>
      <x:c r="AF656" s="34" t="n">
        <x:v>114</x:v>
      </x:c>
      <x:c r="AG656" s="32" t="n">
        <x:v>16.5</x:v>
      </x:c>
      <x:c r="AH656" s="32" t="n">
        <x:v>16.53</x:v>
      </x:c>
      <x:c r="AI656" s="32" t="n">
        <x:v>52.55</x:v>
      </x:c>
      <x:c r="AJ656" s="32" t="n">
        <x:v>54.82</x:v>
      </x:c>
      <x:c r="AK656" s="32" t="n">
        <x:v>9.45</x:v>
      </x:c>
      <x:c r="AL656" s="32" t="n">
        <x:v>10.22</x:v>
      </x:c>
      <x:c r="AM656" s="32" t="str">
        <x:v>#000000</x:v>
      </x:c>
      <x:c r="AN656" s="32" t="str">
        <x:v>Black</x:v>
      </x:c>
      <x:c r="AO656" s="32" t="n">
        <x:v>5.55</x:v>
      </x:c>
      <x:c r="AP656" s="32" t="n">
        <x:v>5.55</x:v>
      </x:c>
      <x:c r="AQ656" s="32" t="n">
        <x:v>3.78</x:v>
      </x:c>
      <x:c r="AR656" s="32" t="n">
        <x:v>0.227522</x:v>
      </x:c>
      <x:c r="AS656" t="str">
        <x:v>PASS</x:v>
      </x:c>
      <x:c r="AT656" t="str">
        <x:v>--cda-pstp-746</x:v>
      </x:c>
      <x:c r="AU656" t="str">
        <x:v>var(--cda-pstp-746)</x:v>
      </x:c>
      <x:c r="AV656" t="str">
        <x:v>Median RGB from official PDF swatch (screen reference only)</x:v>
      </x:c>
      <x:c r="AW656" t="str">
        <x:v>https://www.carandache.com/content_files/uploaded_doc/product/10985/Colour_Chart_Pastel_Pencil.pdf</x:v>
      </x:c>
      <x:c r="AX656" t="n">
        <x:v>1</x:v>
      </x:c>
      <x:c r="AY656" t="str">
        <x:v>Official</x:v>
      </x:c>
      <x:c r="AZ656" t="str">
        <x:v>Official where available; curated Traditional Chinese/Japanese otherwise</x:v>
      </x:c>
      <x:c r="BA656" t="str">
        <x:v>Verified from official chart; digital HEX is approximate</x:v>
      </x:c>
      <x:c r="BB656" t="str">
        <x:v>Physical media appearance varies by paper, pressure, layering, water and scan/display profile.</x:v>
      </x:c>
    </x:row>
    <x:row r="657">
      <x:c r="A657" t="str">
        <x:f>G657&amp;"|"&amp;L657</x:f>
        <x:v>PSTP|745</x:v>
      </x:c>
      <x:c r="B657" t="str">
        <x:v>cfc095e0-39e6-519c-ab2e-c02a04e371be</x:v>
      </x:c>
      <x:c r="C657" t="str">
        <x:v>CDA-PSTP-745</x:v>
      </x:c>
      <x:c r="D657" t="str">
        <x:v>e36ade24-7ba9-537a-8819-c1869a018fcd</x:v>
      </x:c>
      <x:c r="E657" t="str">
        <x:v>CDA-CODE-745</x:v>
      </x:c>
      <x:c r="F657" t="str">
        <x:v>Caran d’Ache</x:v>
      </x:c>
      <x:c r="G657" t="str">
        <x:v>PSTP</x:v>
      </x:c>
      <x:c r="H657" t="str">
        <x:v>PASTEL PENCILS</x:v>
      </x:c>
      <x:c r="I657" t="str">
        <x:v>Extra-fine dry pastel pencil</x:v>
      </x:c>
      <x:c r="J657" t="str">
        <x:v>Professional</x:v>
      </x:c>
      <x:c r="K657" s="30" t="n">
        <x:v>60</x:v>
      </x:c>
      <x:c r="L657" s="30" t="str">
        <x:v>745</x:v>
      </x:c>
      <x:c r="M657" t="str">
        <x:v>Dark flesh 40%</x:v>
      </x:c>
      <x:c r="N657" t="str">
        <x:v>深膚色 40%</x:v>
      </x:c>
      <x:c r="O657" t="str">
        <x:v>ダークフレッシュ 40%</x:v>
      </x:c>
      <x:c r="P657" t="str"/>
      <x:c r="Q657" t="str">
        <x:v>Chair foncée 40%</x:v>
      </x:c>
      <x:c r="R657" t="str">
        <x:v>Dunkel fleischfarbig 40%</x:v>
      </x:c>
      <x:c r="S657" t="str">
        <x:v>Incarnato scuro 40%</x:v>
      </x:c>
      <x:c r="T657" t="str">
        <x:v>Carne oscuro 40%</x:v>
      </x:c>
      <x:c r="U657" t="str">
        <x:v>Carne escuro 40%</x:v>
      </x:c>
      <x:c r="V657" t="str"/>
      <x:c r="W657" t="str">
        <x:v>PR101/PO82/PBk7/PBr7/PBk11/PY42/PR101</x:v>
      </x:c>
      <x:c r="X657" t="n">
        <x:f>IF(W657="",0,LEN(W657)-LEN(SUBSTITUTE(W657,"/",""))+1)</x:f>
        <x:v>7</x:v>
      </x:c>
      <x:c r="Y657" t="str">
        <x:v>HHH</x:v>
      </x:c>
      <x:c r="Z657" s="32" t="n">
        <x:v>3</x:v>
      </x:c>
      <x:c r="AA657" s="32" t="n">
        <x:v>5</x:v>
      </x:c>
      <x:c r="AB657" s="32" t="str">
        <x:v>Blue Wool Scale / UV 150h</x:v>
      </x:c>
      <x:c r="AC657" t="str">
        <x:v>#A37F6F</x:v>
      </x:c>
      <x:c r="AD657" s="34" t="n">
        <x:v>163</x:v>
      </x:c>
      <x:c r="AE657" s="34" t="n">
        <x:v>127</x:v>
      </x:c>
      <x:c r="AF657" s="34" t="n">
        <x:v>111</x:v>
      </x:c>
      <x:c r="AG657" s="32" t="n">
        <x:v>18.46</x:v>
      </x:c>
      <x:c r="AH657" s="32" t="n">
        <x:v>22.03</x:v>
      </x:c>
      <x:c r="AI657" s="32" t="n">
        <x:v>53.73</x:v>
      </x:c>
      <x:c r="AJ657" s="32" t="n">
        <x:v>56.2</x:v>
      </x:c>
      <x:c r="AK657" s="32" t="n">
        <x:v>11.53</x:v>
      </x:c>
      <x:c r="AL657" s="32" t="n">
        <x:v>14.03</x:v>
      </x:c>
      <x:c r="AM657" s="32" t="str">
        <x:v>#000000</x:v>
      </x:c>
      <x:c r="AN657" s="32" t="str">
        <x:v>Black</x:v>
      </x:c>
      <x:c r="AO657" s="32" t="n">
        <x:v>5.82</x:v>
      </x:c>
      <x:c r="AP657" s="32" t="n">
        <x:v>5.82</x:v>
      </x:c>
      <x:c r="AQ657" s="32" t="n">
        <x:v>3.61</x:v>
      </x:c>
      <x:c r="AR657" s="32" t="n">
        <x:v>0.24113</x:v>
      </x:c>
      <x:c r="AS657" t="str">
        <x:v>PASS</x:v>
      </x:c>
      <x:c r="AT657" t="str">
        <x:v>--cda-pstp-745</x:v>
      </x:c>
      <x:c r="AU657" t="str">
        <x:v>var(--cda-pstp-745)</x:v>
      </x:c>
      <x:c r="AV657" t="str">
        <x:v>Median RGB from official PDF swatch (screen reference only)</x:v>
      </x:c>
      <x:c r="AW657" t="str">
        <x:v>https://www.carandache.com/content_files/uploaded_doc/product/10985/Colour_Chart_Pastel_Pencil.pdf</x:v>
      </x:c>
      <x:c r="AX657" t="n">
        <x:v>1</x:v>
      </x:c>
      <x:c r="AY657" t="str">
        <x:v>Official</x:v>
      </x:c>
      <x:c r="AZ657" t="str">
        <x:v>Official where available; curated Traditional Chinese/Japanese otherwise</x:v>
      </x:c>
      <x:c r="BA657" t="str">
        <x:v>Verified from official chart; digital HEX is approximate</x:v>
      </x:c>
      <x:c r="BB657" t="str">
        <x:v>Physical media appearance varies by paper, pressure, layering, water and scan/display profile.</x:v>
      </x:c>
    </x:row>
    <x:row r="658">
      <x:c r="A658" t="str">
        <x:f>G658&amp;"|"&amp;L658</x:f>
        <x:v>PSTP|541</x:v>
      </x:c>
      <x:c r="B658" t="str">
        <x:v>079bd575-d506-5ed5-8621-a325674126be</x:v>
      </x:c>
      <x:c r="C658" t="str">
        <x:v>CDA-PSTP-541</x:v>
      </x:c>
      <x:c r="D658" t="str">
        <x:v>fa5b3bb5-f9dc-5118-89a0-79634009ed1c</x:v>
      </x:c>
      <x:c r="E658" t="str">
        <x:v>CDA-CODE-541</x:v>
      </x:c>
      <x:c r="F658" t="str">
        <x:v>Caran d’Ache</x:v>
      </x:c>
      <x:c r="G658" t="str">
        <x:v>PSTP</x:v>
      </x:c>
      <x:c r="H658" t="str">
        <x:v>PASTEL PENCILS</x:v>
      </x:c>
      <x:c r="I658" t="str">
        <x:v>Extra-fine dry pastel pencil</x:v>
      </x:c>
      <x:c r="J658" t="str">
        <x:v>Professional</x:v>
      </x:c>
      <x:c r="K658" s="30" t="n">
        <x:v>61</x:v>
      </x:c>
      <x:c r="L658" s="30" t="str">
        <x:v>541</x:v>
      </x:c>
      <x:c r="M658" t="str">
        <x:v>Light flesh 5%</x:v>
      </x:c>
      <x:c r="N658" t="str">
        <x:v>淺膚色 5%</x:v>
      </x:c>
      <x:c r="O658" t="str">
        <x:v>ライトフレッシュ 5%</x:v>
      </x:c>
      <x:c r="P658" t="str"/>
      <x:c r="Q658" t="str">
        <x:v>Chair claire 5%</x:v>
      </x:c>
      <x:c r="R658" t="str">
        <x:v>Hellfleischfarbig 5%</x:v>
      </x:c>
      <x:c r="S658" t="str">
        <x:v>Incarnato chiaro 5%</x:v>
      </x:c>
      <x:c r="T658" t="str">
        <x:v>Carne claro 5%</x:v>
      </x:c>
      <x:c r="U658" t="str">
        <x:v>Carne claro 5%</x:v>
      </x:c>
      <x:c r="V658" t="str"/>
      <x:c r="W658" t="str">
        <x:v>PO82/PR259</x:v>
      </x:c>
      <x:c r="X658" t="n">
        <x:f>IF(W658="",0,LEN(W658)-LEN(SUBSTITUTE(W658,"/",""))+1)</x:f>
        <x:v>2</x:v>
      </x:c>
      <x:c r="Y658" t="str">
        <x:v>HH</x:v>
      </x:c>
      <x:c r="Z658" s="32" t="n">
        <x:v>2</x:v>
      </x:c>
      <x:c r="AA658" s="32" t="n">
        <x:v>5</x:v>
      </x:c>
      <x:c r="AB658" s="32" t="str">
        <x:v>Blue Wool Scale / UV 150h</x:v>
      </x:c>
      <x:c r="AC658" t="str">
        <x:v>#E6DAC5</x:v>
      </x:c>
      <x:c r="AD658" s="34" t="n">
        <x:v>230</x:v>
      </x:c>
      <x:c r="AE658" s="34" t="n">
        <x:v>218</x:v>
      </x:c>
      <x:c r="AF658" s="34" t="n">
        <x:v>197</x:v>
      </x:c>
      <x:c r="AG658" s="32" t="n">
        <x:v>38.18</x:v>
      </x:c>
      <x:c r="AH658" s="32" t="n">
        <x:v>39.76</x:v>
      </x:c>
      <x:c r="AI658" s="32" t="n">
        <x:v>83.73</x:v>
      </x:c>
      <x:c r="AJ658" s="32" t="n">
        <x:v>87.48</x:v>
      </x:c>
      <x:c r="AK658" s="32" t="n">
        <x:v>0.66</x:v>
      </x:c>
      <x:c r="AL658" s="32" t="n">
        <x:v>11.81</x:v>
      </x:c>
      <x:c r="AM658" s="32" t="str">
        <x:v>#000000</x:v>
      </x:c>
      <x:c r="AN658" s="32" t="str">
        <x:v>Black</x:v>
      </x:c>
      <x:c r="AO658" s="32" t="n">
        <x:v>15.2</x:v>
      </x:c>
      <x:c r="AP658" s="32" t="n">
        <x:v>15.2</x:v>
      </x:c>
      <x:c r="AQ658" s="32" t="n">
        <x:v>1.38</x:v>
      </x:c>
      <x:c r="AR658" s="32" t="n">
        <x:v>0.70997</x:v>
      </x:c>
      <x:c r="AS658" t="str">
        <x:v>PASS</x:v>
      </x:c>
      <x:c r="AT658" t="str">
        <x:v>--cda-pstp-541</x:v>
      </x:c>
      <x:c r="AU658" t="str">
        <x:v>var(--cda-pstp-541)</x:v>
      </x:c>
      <x:c r="AV658" t="str">
        <x:v>Median RGB from official PDF swatch (screen reference only)</x:v>
      </x:c>
      <x:c r="AW658" t="str">
        <x:v>https://www.carandache.com/content_files/uploaded_doc/product/10985/Colour_Chart_Pastel_Pencil.pdf</x:v>
      </x:c>
      <x:c r="AX658" t="n">
        <x:v>1</x:v>
      </x:c>
      <x:c r="AY658" t="str">
        <x:v>Official</x:v>
      </x:c>
      <x:c r="AZ658" t="str">
        <x:v>Official where available; curated Traditional Chinese/Japanese otherwise</x:v>
      </x:c>
      <x:c r="BA658" t="str">
        <x:v>Verified from official chart; digital HEX is approximate</x:v>
      </x:c>
      <x:c r="BB658" t="str">
        <x:v>Physical media appearance varies by paper, pressure, layering, water and scan/display profile.</x:v>
      </x:c>
    </x:row>
    <x:row r="659">
      <x:c r="A659" t="str">
        <x:f>G659&amp;"|"&amp;L659</x:f>
        <x:v>PSTP|542</x:v>
      </x:c>
      <x:c r="B659" t="str">
        <x:v>a9a32402-04a7-5c47-a2e5-4cf29fafcb81</x:v>
      </x:c>
      <x:c r="C659" t="str">
        <x:v>CDA-PSTP-542</x:v>
      </x:c>
      <x:c r="D659" t="str">
        <x:v>e6b97c63-44ad-5921-912c-ff40fdb5df56</x:v>
      </x:c>
      <x:c r="E659" t="str">
        <x:v>CDA-CODE-542</x:v>
      </x:c>
      <x:c r="F659" t="str">
        <x:v>Caran d’Ache</x:v>
      </x:c>
      <x:c r="G659" t="str">
        <x:v>PSTP</x:v>
      </x:c>
      <x:c r="H659" t="str">
        <x:v>PASTEL PENCILS</x:v>
      </x:c>
      <x:c r="I659" t="str">
        <x:v>Extra-fine dry pastel pencil</x:v>
      </x:c>
      <x:c r="J659" t="str">
        <x:v>Professional</x:v>
      </x:c>
      <x:c r="K659" s="30" t="n">
        <x:v>62</x:v>
      </x:c>
      <x:c r="L659" s="30" t="str">
        <x:v>542</x:v>
      </x:c>
      <x:c r="M659" t="str">
        <x:v>Light flesh 10%</x:v>
      </x:c>
      <x:c r="N659" t="str">
        <x:v>淺膚色 10%</x:v>
      </x:c>
      <x:c r="O659" t="str">
        <x:v>ライトフレッシュ 10%</x:v>
      </x:c>
      <x:c r="P659" t="str"/>
      <x:c r="Q659" t="str">
        <x:v>Chair claire 10%</x:v>
      </x:c>
      <x:c r="R659" t="str">
        <x:v>Hellfleischfarbig 10%</x:v>
      </x:c>
      <x:c r="S659" t="str">
        <x:v>Incarnato chiaro 10%</x:v>
      </x:c>
      <x:c r="T659" t="str">
        <x:v>Carne claro 10%</x:v>
      </x:c>
      <x:c r="U659" t="str">
        <x:v>Carne claro 10%</x:v>
      </x:c>
      <x:c r="V659" t="str"/>
      <x:c r="W659" t="str">
        <x:v>PO82</x:v>
      </x:c>
      <x:c r="X659" t="n">
        <x:f>IF(W659="",0,LEN(W659)-LEN(SUBSTITUTE(W659,"/",""))+1)</x:f>
        <x:v>1</x:v>
      </x:c>
      <x:c r="Y659" t="str">
        <x:v>HHH</x:v>
      </x:c>
      <x:c r="Z659" s="32" t="n">
        <x:v>3</x:v>
      </x:c>
      <x:c r="AA659" s="32" t="n">
        <x:v>5</x:v>
      </x:c>
      <x:c r="AB659" s="32" t="str">
        <x:v>Blue Wool Scale / UV 150h</x:v>
      </x:c>
      <x:c r="AC659" t="str">
        <x:v>#E5CA9F</x:v>
      </x:c>
      <x:c r="AD659" s="34" t="n">
        <x:v>229</x:v>
      </x:c>
      <x:c r="AE659" s="34" t="n">
        <x:v>202</x:v>
      </x:c>
      <x:c r="AF659" s="34" t="n">
        <x:v>159</x:v>
      </x:c>
      <x:c r="AG659" s="32" t="n">
        <x:v>36.86</x:v>
      </x:c>
      <x:c r="AH659" s="32" t="n">
        <x:v>57.38</x:v>
      </x:c>
      <x:c r="AI659" s="32" t="n">
        <x:v>76.08</x:v>
      </x:c>
      <x:c r="AJ659" s="32" t="n">
        <x:v>82.6</x:v>
      </x:c>
      <x:c r="AK659" s="32" t="n">
        <x:v>3.2</x:v>
      </x:c>
      <x:c r="AL659" s="32" t="n">
        <x:v>24.98</x:v>
      </x:c>
      <x:c r="AM659" s="32" t="str">
        <x:v>#000000</x:v>
      </x:c>
      <x:c r="AN659" s="32" t="str">
        <x:v>Black</x:v>
      </x:c>
      <x:c r="AO659" s="32" t="n">
        <x:v>13.28</x:v>
      </x:c>
      <x:c r="AP659" s="32" t="n">
        <x:v>13.28</x:v>
      </x:c>
      <x:c r="AQ659" s="32" t="n">
        <x:v>1.58</x:v>
      </x:c>
      <x:c r="AR659" s="32" t="n">
        <x:v>0.614023</x:v>
      </x:c>
      <x:c r="AS659" t="str">
        <x:v>PASS</x:v>
      </x:c>
      <x:c r="AT659" t="str">
        <x:v>--cda-pstp-542</x:v>
      </x:c>
      <x:c r="AU659" t="str">
        <x:v>var(--cda-pstp-542)</x:v>
      </x:c>
      <x:c r="AV659" t="str">
        <x:v>Median RGB from official PDF swatch (screen reference only)</x:v>
      </x:c>
      <x:c r="AW659" t="str">
        <x:v>https://www.carandache.com/content_files/uploaded_doc/product/10985/Colour_Chart_Pastel_Pencil.pdf</x:v>
      </x:c>
      <x:c r="AX659" t="n">
        <x:v>1</x:v>
      </x:c>
      <x:c r="AY659" t="str">
        <x:v>Official</x:v>
      </x:c>
      <x:c r="AZ659" t="str">
        <x:v>Official where available; curated Traditional Chinese/Japanese otherwise</x:v>
      </x:c>
      <x:c r="BA659" t="str">
        <x:v>Verified from official chart; digital HEX is approximate</x:v>
      </x:c>
      <x:c r="BB659" t="str">
        <x:v>Physical media appearance varies by paper, pressure, layering, water and scan/display profile.</x:v>
      </x:c>
    </x:row>
    <x:row r="660">
      <x:c r="A660" t="str">
        <x:f>G660&amp;"|"&amp;L660</x:f>
        <x:v>PSTP|042</x:v>
      </x:c>
      <x:c r="B660" t="str">
        <x:v>b31fb3b6-6f2a-5e34-be77-77b366ed8cf9</x:v>
      </x:c>
      <x:c r="C660" t="str">
        <x:v>CDA-PSTP-042</x:v>
      </x:c>
      <x:c r="D660" t="str">
        <x:v>0f40623c-865b-5ad0-8bcf-8dc04765b592</x:v>
      </x:c>
      <x:c r="E660" t="str">
        <x:v>CDA-CODE-042</x:v>
      </x:c>
      <x:c r="F660" t="str">
        <x:v>Caran d’Ache</x:v>
      </x:c>
      <x:c r="G660" t="str">
        <x:v>PSTP</x:v>
      </x:c>
      <x:c r="H660" t="str">
        <x:v>PASTEL PENCILS</x:v>
      </x:c>
      <x:c r="I660" t="str">
        <x:v>Extra-fine dry pastel pencil</x:v>
      </x:c>
      <x:c r="J660" t="str">
        <x:v>Professional</x:v>
      </x:c>
      <x:c r="K660" s="30" t="n">
        <x:v>63</x:v>
      </x:c>
      <x:c r="L660" s="30" t="str">
        <x:v>042</x:v>
      </x:c>
      <x:c r="M660" t="str">
        <x:v>Flesh</x:v>
      </x:c>
      <x:c r="N660" t="str">
        <x:v>膚色</x:v>
      </x:c>
      <x:c r="O660" t="str">
        <x:v>フレッシュ</x:v>
      </x:c>
      <x:c r="P660" t="str"/>
      <x:c r="Q660" t="str">
        <x:v>Chair</x:v>
      </x:c>
      <x:c r="R660" t="str">
        <x:v>Fleischfarbig</x:v>
      </x:c>
      <x:c r="S660" t="str">
        <x:v>Incarnato</x:v>
      </x:c>
      <x:c r="T660" t="str">
        <x:v>Carne</x:v>
      </x:c>
      <x:c r="U660" t="str">
        <x:v>Carne</x:v>
      </x:c>
      <x:c r="V660" t="str"/>
      <x:c r="W660" t="str">
        <x:v>PO82/PR101</x:v>
      </x:c>
      <x:c r="X660" t="n">
        <x:f>IF(W660="",0,LEN(W660)-LEN(SUBSTITUTE(W660,"/",""))+1)</x:f>
        <x:v>2</x:v>
      </x:c>
      <x:c r="Y660" t="str">
        <x:v>HH</x:v>
      </x:c>
      <x:c r="Z660" s="32" t="n">
        <x:v>2</x:v>
      </x:c>
      <x:c r="AA660" s="32" t="n">
        <x:v>5</x:v>
      </x:c>
      <x:c r="AB660" s="32" t="str">
        <x:v>Blue Wool Scale / UV 150h</x:v>
      </x:c>
      <x:c r="AC660" t="str">
        <x:v>#EDBB88</x:v>
      </x:c>
      <x:c r="AD660" s="34" t="n">
        <x:v>237</x:v>
      </x:c>
      <x:c r="AE660" s="34" t="n">
        <x:v>187</x:v>
      </x:c>
      <x:c r="AF660" s="34" t="n">
        <x:v>136</x:v>
      </x:c>
      <x:c r="AG660" s="32" t="n">
        <x:v>30.3</x:v>
      </x:c>
      <x:c r="AH660" s="32" t="n">
        <x:v>73.72</x:v>
      </x:c>
      <x:c r="AI660" s="32" t="n">
        <x:v>73.14</x:v>
      </x:c>
      <x:c r="AJ660" s="32" t="n">
        <x:v>79.23</x:v>
      </x:c>
      <x:c r="AK660" s="32" t="n">
        <x:v>11.53</x:v>
      </x:c>
      <x:c r="AL660" s="32" t="n">
        <x:v>32.68</x:v>
      </x:c>
      <x:c r="AM660" s="32" t="str">
        <x:v>#000000</x:v>
      </x:c>
      <x:c r="AN660" s="32" t="str">
        <x:v>Black</x:v>
      </x:c>
      <x:c r="AO660" s="32" t="n">
        <x:v>12.06</x:v>
      </x:c>
      <x:c r="AP660" s="32" t="n">
        <x:v>12.06</x:v>
      </x:c>
      <x:c r="AQ660" s="32" t="n">
        <x:v>1.74</x:v>
      </x:c>
      <x:c r="AR660" s="32" t="n">
        <x:v>0.553227</x:v>
      </x:c>
      <x:c r="AS660" t="str">
        <x:v>PASS</x:v>
      </x:c>
      <x:c r="AT660" t="str">
        <x:v>--cda-pstp-042</x:v>
      </x:c>
      <x:c r="AU660" t="str">
        <x:v>var(--cda-pstp-042)</x:v>
      </x:c>
      <x:c r="AV660" t="str">
        <x:v>Median RGB from official PDF swatch (screen reference only)</x:v>
      </x:c>
      <x:c r="AW660" t="str">
        <x:v>https://www.carandache.com/content_files/uploaded_doc/product/10985/Colour_Chart_Pastel_Pencil.pdf</x:v>
      </x:c>
      <x:c r="AX660" t="n">
        <x:v>1</x:v>
      </x:c>
      <x:c r="AY660" t="str">
        <x:v>Official</x:v>
      </x:c>
      <x:c r="AZ660" t="str">
        <x:v>Official where available; curated Traditional Chinese/Japanese otherwise</x:v>
      </x:c>
      <x:c r="BA660" t="str">
        <x:v>Verified from official chart; digital HEX is approximate</x:v>
      </x:c>
      <x:c r="BB660" t="str">
        <x:v>Physical media appearance varies by paper, pressure, layering, water and scan/display profile.</x:v>
      </x:c>
    </x:row>
    <x:row r="661">
      <x:c r="A661" t="str">
        <x:f>G661&amp;"|"&amp;L661</x:f>
        <x:v>PSTP|052</x:v>
      </x:c>
      <x:c r="B661" t="str">
        <x:v>d7e66a4b-d923-53cc-9e5f-5853a3a98b38</x:v>
      </x:c>
      <x:c r="C661" t="str">
        <x:v>CDA-PSTP-052</x:v>
      </x:c>
      <x:c r="D661" t="str">
        <x:v>c578249b-2849-5910-b333-baf5c652e1b3</x:v>
      </x:c>
      <x:c r="E661" t="str">
        <x:v>CDA-CODE-052</x:v>
      </x:c>
      <x:c r="F661" t="str">
        <x:v>Caran d’Ache</x:v>
      </x:c>
      <x:c r="G661" t="str">
        <x:v>PSTP</x:v>
      </x:c>
      <x:c r="H661" t="str">
        <x:v>PASTEL PENCILS</x:v>
      </x:c>
      <x:c r="I661" t="str">
        <x:v>Extra-fine dry pastel pencil</x:v>
      </x:c>
      <x:c r="J661" t="str">
        <x:v>Professional</x:v>
      </x:c>
      <x:c r="K661" s="30" t="n">
        <x:v>64</x:v>
      </x:c>
      <x:c r="L661" s="30" t="str">
        <x:v>052</x:v>
      </x:c>
      <x:c r="M661" t="str">
        <x:v>Saffron</x:v>
      </x:c>
      <x:c r="N661" t="str">
        <x:v>藏紅花黃</x:v>
      </x:c>
      <x:c r="O661" t="str">
        <x:v>サフラン</x:v>
      </x:c>
      <x:c r="P661" t="str"/>
      <x:c r="Q661" t="str">
        <x:v>Safran</x:v>
      </x:c>
      <x:c r="R661" t="str">
        <x:v>Safran</x:v>
      </x:c>
      <x:c r="S661" t="str">
        <x:v>Zafferano</x:v>
      </x:c>
      <x:c r="T661" t="str">
        <x:v>Azafrán</x:v>
      </x:c>
      <x:c r="U661" t="str">
        <x:v>Açafrão</x:v>
      </x:c>
      <x:c r="V661" t="str"/>
      <x:c r="W661" t="str">
        <x:v>PY1/PR4/PR101</x:v>
      </x:c>
      <x:c r="X661" t="n">
        <x:f>IF(W661="",0,LEN(W661)-LEN(SUBSTITUTE(W661,"/",""))+1)</x:f>
        <x:v>3</x:v>
      </x:c>
      <x:c r="Y661" t="str">
        <x:v>H</x:v>
      </x:c>
      <x:c r="Z661" s="32" t="n">
        <x:v>1</x:v>
      </x:c>
      <x:c r="AA661" s="32" t="n">
        <x:v>5</x:v>
      </x:c>
      <x:c r="AB661" s="32" t="str">
        <x:v>Blue Wool Scale / UV 150h</x:v>
      </x:c>
      <x:c r="AC661" t="str">
        <x:v>#CD8543</x:v>
      </x:c>
      <x:c r="AD661" s="34" t="n">
        <x:v>205</x:v>
      </x:c>
      <x:c r="AE661" s="34" t="n">
        <x:v>133</x:v>
      </x:c>
      <x:c r="AF661" s="34" t="n">
        <x:v>67</x:v>
      </x:c>
      <x:c r="AG661" s="32" t="n">
        <x:v>28.7</x:v>
      </x:c>
      <x:c r="AH661" s="32" t="n">
        <x:v>57.98</x:v>
      </x:c>
      <x:c r="AI661" s="32" t="n">
        <x:v>53.33</x:v>
      </x:c>
      <x:c r="AJ661" s="32" t="n">
        <x:v>61.79</x:v>
      </x:c>
      <x:c r="AK661" s="32" t="n">
        <x:v>21.62</x:v>
      </x:c>
      <x:c r="AL661" s="32" t="n">
        <x:v>46.02</x:v>
      </x:c>
      <x:c r="AM661" s="32" t="str">
        <x:v>#000000</x:v>
      </x:c>
      <x:c r="AN661" s="32" t="str">
        <x:v>Black</x:v>
      </x:c>
      <x:c r="AO661" s="32" t="n">
        <x:v>7.03</x:v>
      </x:c>
      <x:c r="AP661" s="32" t="n">
        <x:v>7.03</x:v>
      </x:c>
      <x:c r="AQ661" s="32" t="n">
        <x:v>2.99</x:v>
      </x:c>
      <x:c r="AR661" s="32" t="n">
        <x:v>0.301594</x:v>
      </x:c>
      <x:c r="AS661" t="str">
        <x:v>PASS</x:v>
      </x:c>
      <x:c r="AT661" t="str">
        <x:v>--cda-pstp-052</x:v>
      </x:c>
      <x:c r="AU661" t="str">
        <x:v>var(--cda-pstp-052)</x:v>
      </x:c>
      <x:c r="AV661" t="str">
        <x:v>Median RGB from official PDF swatch (screen reference only)</x:v>
      </x:c>
      <x:c r="AW661" t="str">
        <x:v>https://www.carandache.com/content_files/uploaded_doc/product/10985/Colour_Chart_Pastel_Pencil.pdf</x:v>
      </x:c>
      <x:c r="AX661" t="n">
        <x:v>1</x:v>
      </x:c>
      <x:c r="AY661" t="str">
        <x:v>Official</x:v>
      </x:c>
      <x:c r="AZ661" t="str">
        <x:v>Official where available; curated Traditional Chinese/Japanese otherwise</x:v>
      </x:c>
      <x:c r="BA661" t="str">
        <x:v>Verified from official chart; digital HEX is approximate</x:v>
      </x:c>
      <x:c r="BB661" t="str">
        <x:v>Physical media appearance varies by paper, pressure, layering, water and scan/display profile.</x:v>
      </x:c>
    </x:row>
    <x:row r="662">
      <x:c r="A662" t="str">
        <x:f>G662&amp;"|"&amp;L662</x:f>
        <x:v>PSTP|068</x:v>
      </x:c>
      <x:c r="B662" t="str">
        <x:v>b85a98d4-4d73-5a48-b872-89114adc1ef0</x:v>
      </x:c>
      <x:c r="C662" t="str">
        <x:v>CDA-PSTP-068</x:v>
      </x:c>
      <x:c r="D662" t="str">
        <x:v>cf74a785-f5e0-5e2c-bf77-3f77f5dd6745</x:v>
      </x:c>
      <x:c r="E662" t="str">
        <x:v>CDA-CODE-068</x:v>
      </x:c>
      <x:c r="F662" t="str">
        <x:v>Caran d’Ache</x:v>
      </x:c>
      <x:c r="G662" t="str">
        <x:v>PSTP</x:v>
      </x:c>
      <x:c r="H662" t="str">
        <x:v>PASTEL PENCILS</x:v>
      </x:c>
      <x:c r="I662" t="str">
        <x:v>Extra-fine dry pastel pencil</x:v>
      </x:c>
      <x:c r="J662" t="str">
        <x:v>Professional</x:v>
      </x:c>
      <x:c r="K662" s="30" t="n">
        <x:v>65</x:v>
      </x:c>
      <x:c r="L662" s="30" t="str">
        <x:v>068</x:v>
      </x:c>
      <x:c r="M662" t="str">
        <x:v>Herculanum red</x:v>
      </x:c>
      <x:c r="N662" t="str">
        <x:v>赫庫蘭尼姆紅</x:v>
      </x:c>
      <x:c r="O662" t="str">
        <x:v>ヘルクラネウムレッド</x:v>
      </x:c>
      <x:c r="P662" t="str"/>
      <x:c r="Q662" t="str">
        <x:v>Rouge herculanum</x:v>
      </x:c>
      <x:c r="R662" t="str">
        <x:v>Herculanumrot</x:v>
      </x:c>
      <x:c r="S662" t="str">
        <x:v>Rosso Ercolano</x:v>
      </x:c>
      <x:c r="T662" t="str">
        <x:v>Rojo Herculanum</x:v>
      </x:c>
      <x:c r="U662" t="str">
        <x:v>Vermelho Herculano</x:v>
      </x:c>
      <x:c r="V662" t="str"/>
      <x:c r="W662" t="str">
        <x:v>PR101</x:v>
      </x:c>
      <x:c r="X662" t="n">
        <x:f>IF(W662="",0,LEN(W662)-LEN(SUBSTITUTE(W662,"/",""))+1)</x:f>
        <x:v>1</x:v>
      </x:c>
      <x:c r="Y662" t="str">
        <x:v>HHH</x:v>
      </x:c>
      <x:c r="Z662" s="32" t="n">
        <x:v>3</x:v>
      </x:c>
      <x:c r="AA662" s="32" t="n">
        <x:v>5</x:v>
      </x:c>
      <x:c r="AB662" s="32" t="str">
        <x:v>Blue Wool Scale / UV 150h</x:v>
      </x:c>
      <x:c r="AC662" t="str">
        <x:v>#EDAA95</x:v>
      </x:c>
      <x:c r="AD662" s="34" t="n">
        <x:v>237</x:v>
      </x:c>
      <x:c r="AE662" s="34" t="n">
        <x:v>170</x:v>
      </x:c>
      <x:c r="AF662" s="34" t="n">
        <x:v>149</x:v>
      </x:c>
      <x:c r="AG662" s="32" t="n">
        <x:v>14.32</x:v>
      </x:c>
      <x:c r="AH662" s="32" t="n">
        <x:v>70.97</x:v>
      </x:c>
      <x:c r="AI662" s="32" t="n">
        <x:v>75.69</x:v>
      </x:c>
      <x:c r="AJ662" s="32" t="n">
        <x:v>75.41</x:v>
      </x:c>
      <x:c r="AK662" s="32" t="n">
        <x:v>21.97</x:v>
      </x:c>
      <x:c r="AL662" s="32" t="n">
        <x:v>20.61</x:v>
      </x:c>
      <x:c r="AM662" s="32" t="str">
        <x:v>#000000</x:v>
      </x:c>
      <x:c r="AN662" s="32" t="str">
        <x:v>Black</x:v>
      </x:c>
      <x:c r="AO662" s="32" t="n">
        <x:v>10.78</x:v>
      </x:c>
      <x:c r="AP662" s="32" t="n">
        <x:v>10.78</x:v>
      </x:c>
      <x:c r="AQ662" s="32" t="n">
        <x:v>1.95</x:v>
      </x:c>
      <x:c r="AR662" s="32" t="n">
        <x:v>0.489239</x:v>
      </x:c>
      <x:c r="AS662" t="str">
        <x:v>PASS</x:v>
      </x:c>
      <x:c r="AT662" t="str">
        <x:v>--cda-pstp-068</x:v>
      </x:c>
      <x:c r="AU662" t="str">
        <x:v>var(--cda-pstp-068)</x:v>
      </x:c>
      <x:c r="AV662" t="str">
        <x:v>Median RGB from official PDF swatch (screen reference only)</x:v>
      </x:c>
      <x:c r="AW662" t="str">
        <x:v>https://www.carandache.com/content_files/uploaded_doc/product/10985/Colour_Chart_Pastel_Pencil.pdf</x:v>
      </x:c>
      <x:c r="AX662" t="n">
        <x:v>1</x:v>
      </x:c>
      <x:c r="AY662" t="str">
        <x:v>Official</x:v>
      </x:c>
      <x:c r="AZ662" t="str">
        <x:v>Official where available; curated Traditional Chinese/Japanese otherwise</x:v>
      </x:c>
      <x:c r="BA662" t="str">
        <x:v>Verified from official chart; digital HEX is approximate</x:v>
      </x:c>
      <x:c r="BB662" t="str">
        <x:v>Physical media appearance varies by paper, pressure, layering, water and scan/display profile.</x:v>
      </x:c>
    </x:row>
    <x:row r="663">
      <x:c r="A663" t="str">
        <x:f>G663&amp;"|"&amp;L663</x:f>
        <x:v>PSTP|741</x:v>
      </x:c>
      <x:c r="B663" t="str">
        <x:v>46c12dbb-f6f8-5643-af70-2887cea324bb</x:v>
      </x:c>
      <x:c r="C663" t="str">
        <x:v>CDA-PSTP-741</x:v>
      </x:c>
      <x:c r="D663" t="str">
        <x:v>8874dcef-a9da-5c2f-af73-bf0af94ebb38</x:v>
      </x:c>
      <x:c r="E663" t="str">
        <x:v>CDA-CODE-741</x:v>
      </x:c>
      <x:c r="F663" t="str">
        <x:v>Caran d’Ache</x:v>
      </x:c>
      <x:c r="G663" t="str">
        <x:v>PSTP</x:v>
      </x:c>
      <x:c r="H663" t="str">
        <x:v>PASTEL PENCILS</x:v>
      </x:c>
      <x:c r="I663" t="str">
        <x:v>Extra-fine dry pastel pencil</x:v>
      </x:c>
      <x:c r="J663" t="str">
        <x:v>Professional</x:v>
      </x:c>
      <x:c r="K663" s="30" t="n">
        <x:v>66</x:v>
      </x:c>
      <x:c r="L663" s="30" t="str">
        <x:v>741</x:v>
      </x:c>
      <x:c r="M663" t="str">
        <x:v>Dark flesh 5%</x:v>
      </x:c>
      <x:c r="N663" t="str">
        <x:v>深膚色 5%</x:v>
      </x:c>
      <x:c r="O663" t="str">
        <x:v>ダークフレッシュ 5%</x:v>
      </x:c>
      <x:c r="P663" t="str"/>
      <x:c r="Q663" t="str">
        <x:v>Chair foncée 5%</x:v>
      </x:c>
      <x:c r="R663" t="str">
        <x:v>Dunkel fleischfarbig 5%</x:v>
      </x:c>
      <x:c r="S663" t="str">
        <x:v>Incarnato scuro 5%</x:v>
      </x:c>
      <x:c r="T663" t="str">
        <x:v>Carne oscuro 5%</x:v>
      </x:c>
      <x:c r="U663" t="str">
        <x:v>Carne escuro 5%</x:v>
      </x:c>
      <x:c r="V663" t="str"/>
      <x:c r="W663" t="str">
        <x:v>PR101/PO82/PBk7/PBr7/PBk11/PY42/PR101</x:v>
      </x:c>
      <x:c r="X663" t="n">
        <x:f>IF(W663="",0,LEN(W663)-LEN(SUBSTITUTE(W663,"/",""))+1)</x:f>
        <x:v>7</x:v>
      </x:c>
      <x:c r="Y663" t="str">
        <x:v>HHH</x:v>
      </x:c>
      <x:c r="Z663" s="32" t="n">
        <x:v>3</x:v>
      </x:c>
      <x:c r="AA663" s="32" t="n">
        <x:v>5</x:v>
      </x:c>
      <x:c r="AB663" s="32" t="str">
        <x:v>Blue Wool Scale / UV 150h</x:v>
      </x:c>
      <x:c r="AC663" t="str">
        <x:v>#CF9E87</x:v>
      </x:c>
      <x:c r="AD663" s="34" t="n">
        <x:v>207</x:v>
      </x:c>
      <x:c r="AE663" s="34" t="n">
        <x:v>158</x:v>
      </x:c>
      <x:c r="AF663" s="34" t="n">
        <x:v>135</x:v>
      </x:c>
      <x:c r="AG663" s="32" t="n">
        <x:v>19.17</x:v>
      </x:c>
      <x:c r="AH663" s="32" t="n">
        <x:v>42.86</x:v>
      </x:c>
      <x:c r="AI663" s="32" t="n">
        <x:v>67.06</x:v>
      </x:c>
      <x:c r="AJ663" s="32" t="n">
        <x:v>69.09</x:v>
      </x:c>
      <x:c r="AK663" s="32" t="n">
        <x:v>15.07</x:v>
      </x:c>
      <x:c r="AL663" s="32" t="n">
        <x:v>19.06</x:v>
      </x:c>
      <x:c r="AM663" s="32" t="str">
        <x:v>#000000</x:v>
      </x:c>
      <x:c r="AN663" s="32" t="str">
        <x:v>Black</x:v>
      </x:c>
      <x:c r="AO663" s="32" t="n">
        <x:v>8.89</x:v>
      </x:c>
      <x:c r="AP663" s="32" t="n">
        <x:v>8.89</x:v>
      </x:c>
      <x:c r="AQ663" s="32" t="n">
        <x:v>2.36</x:v>
      </x:c>
      <x:c r="AR663" s="32" t="n">
        <x:v>0.394684</x:v>
      </x:c>
      <x:c r="AS663" t="str">
        <x:v>PASS</x:v>
      </x:c>
      <x:c r="AT663" t="str">
        <x:v>--cda-pstp-741</x:v>
      </x:c>
      <x:c r="AU663" t="str">
        <x:v>var(--cda-pstp-741)</x:v>
      </x:c>
      <x:c r="AV663" t="str">
        <x:v>Median RGB from official PDF swatch (screen reference only)</x:v>
      </x:c>
      <x:c r="AW663" t="str">
        <x:v>https://www.carandache.com/content_files/uploaded_doc/product/10985/Colour_Chart_Pastel_Pencil.pdf</x:v>
      </x:c>
      <x:c r="AX663" t="n">
        <x:v>1</x:v>
      </x:c>
      <x:c r="AY663" t="str">
        <x:v>Official</x:v>
      </x:c>
      <x:c r="AZ663" t="str">
        <x:v>Official where available; curated Traditional Chinese/Japanese otherwise</x:v>
      </x:c>
      <x:c r="BA663" t="str">
        <x:v>Verified from official chart; digital HEX is approximate</x:v>
      </x:c>
      <x:c r="BB663" t="str">
        <x:v>Physical media appearance varies by paper, pressure, layering, water and scan/display profile.</x:v>
      </x:c>
    </x:row>
    <x:row r="664">
      <x:c r="A664" t="str">
        <x:f>G664&amp;"|"&amp;L664</x:f>
        <x:v>PSTP|044</x:v>
      </x:c>
      <x:c r="B664" t="str">
        <x:v>f42d2f24-a066-5143-8b48-e738415333f7</x:v>
      </x:c>
      <x:c r="C664" t="str">
        <x:v>CDA-PSTP-044</x:v>
      </x:c>
      <x:c r="D664" t="str">
        <x:v>a055982d-ba3a-5326-a9f9-53708f4fbbec</x:v>
      </x:c>
      <x:c r="E664" t="str">
        <x:v>CDA-CODE-044</x:v>
      </x:c>
      <x:c r="F664" t="str">
        <x:v>Caran d’Ache</x:v>
      </x:c>
      <x:c r="G664" t="str">
        <x:v>PSTP</x:v>
      </x:c>
      <x:c r="H664" t="str">
        <x:v>PASTEL PENCILS</x:v>
      </x:c>
      <x:c r="I664" t="str">
        <x:v>Extra-fine dry pastel pencil</x:v>
      </x:c>
      <x:c r="J664" t="str">
        <x:v>Professional</x:v>
      </x:c>
      <x:c r="K664" s="30" t="n">
        <x:v>67</x:v>
      </x:c>
      <x:c r="L664" s="30" t="str">
        <x:v>044</x:v>
      </x:c>
      <x:c r="M664" t="str">
        <x:v>Terracotta</x:v>
      </x:c>
      <x:c r="N664" t="str">
        <x:v>赤陶色</x:v>
      </x:c>
      <x:c r="O664" t="str">
        <x:v>テラコッタ</x:v>
      </x:c>
      <x:c r="P664" t="str"/>
      <x:c r="Q664" t="str">
        <x:v>Terracotta</x:v>
      </x:c>
      <x:c r="R664" t="str">
        <x:v>Terracotta</x:v>
      </x:c>
      <x:c r="S664" t="str">
        <x:v>Terracotta</x:v>
      </x:c>
      <x:c r="T664" t="str">
        <x:v>Terracotta</x:v>
      </x:c>
      <x:c r="U664" t="str">
        <x:v>Terracotta</x:v>
      </x:c>
      <x:c r="V664" t="str"/>
      <x:c r="W664" t="str">
        <x:v>PR101/PO82</x:v>
      </x:c>
      <x:c r="X664" t="n">
        <x:f>IF(W664="",0,LEN(W664)-LEN(SUBSTITUTE(W664,"/",""))+1)</x:f>
        <x:v>2</x:v>
      </x:c>
      <x:c r="Y664" t="str">
        <x:v>HH</x:v>
      </x:c>
      <x:c r="Z664" s="32" t="n">
        <x:v>2</x:v>
      </x:c>
      <x:c r="AA664" s="32" t="n">
        <x:v>5</x:v>
      </x:c>
      <x:c r="AB664" s="32" t="str">
        <x:v>Blue Wool Scale / UV 150h</x:v>
      </x:c>
      <x:c r="AC664" t="str">
        <x:v>#C56C52</x:v>
      </x:c>
      <x:c r="AD664" s="34" t="n">
        <x:v>197</x:v>
      </x:c>
      <x:c r="AE664" s="34" t="n">
        <x:v>108</x:v>
      </x:c>
      <x:c r="AF664" s="34" t="n">
        <x:v>82</x:v>
      </x:c>
      <x:c r="AG664" s="32" t="n">
        <x:v>13.57</x:v>
      </x:c>
      <x:c r="AH664" s="32" t="n">
        <x:v>49.78</x:v>
      </x:c>
      <x:c r="AI664" s="32" t="n">
        <x:v>54.71</x:v>
      </x:c>
      <x:c r="AJ664" s="32" t="n">
        <x:v>55.29</x:v>
      </x:c>
      <x:c r="AK664" s="32" t="n">
        <x:v>32.84</x:v>
      </x:c>
      <x:c r="AL664" s="32" t="n">
        <x:v>30.08</x:v>
      </x:c>
      <x:c r="AM664" s="32" t="str">
        <x:v>#000000</x:v>
      </x:c>
      <x:c r="AN664" s="32" t="str">
        <x:v>Black</x:v>
      </x:c>
      <x:c r="AO664" s="32" t="n">
        <x:v>5.64</x:v>
      </x:c>
      <x:c r="AP664" s="32" t="n">
        <x:v>5.64</x:v>
      </x:c>
      <x:c r="AQ664" s="32" t="n">
        <x:v>3.72</x:v>
      </x:c>
      <x:c r="AR664" s="32" t="n">
        <x:v>0.232046</x:v>
      </x:c>
      <x:c r="AS664" t="str">
        <x:v>PASS</x:v>
      </x:c>
      <x:c r="AT664" t="str">
        <x:v>--cda-pstp-044</x:v>
      </x:c>
      <x:c r="AU664" t="str">
        <x:v>var(--cda-pstp-044)</x:v>
      </x:c>
      <x:c r="AV664" t="str">
        <x:v>Median RGB from official PDF swatch (screen reference only)</x:v>
      </x:c>
      <x:c r="AW664" t="str">
        <x:v>https://www.carandache.com/content_files/uploaded_doc/product/10985/Colour_Chart_Pastel_Pencil.pdf</x:v>
      </x:c>
      <x:c r="AX664" t="n">
        <x:v>1</x:v>
      </x:c>
      <x:c r="AY664" t="str">
        <x:v>Official</x:v>
      </x:c>
      <x:c r="AZ664" t="str">
        <x:v>Official where available; curated Traditional Chinese/Japanese otherwise</x:v>
      </x:c>
      <x:c r="BA664" t="str">
        <x:v>Verified from official chart; digital HEX is approximate</x:v>
      </x:c>
      <x:c r="BB664" t="str">
        <x:v>Physical media appearance varies by paper, pressure, layering, water and scan/display profile.</x:v>
      </x:c>
    </x:row>
    <x:row r="665">
      <x:c r="A665" t="str">
        <x:f>G665&amp;"|"&amp;L665</x:f>
        <x:v>PSTP|066</x:v>
      </x:c>
      <x:c r="B665" t="str">
        <x:v>8835eda1-520b-501b-9b53-5e1460156709</x:v>
      </x:c>
      <x:c r="C665" t="str">
        <x:v>CDA-PSTP-066</x:v>
      </x:c>
      <x:c r="D665" t="str">
        <x:v>cfebfd0a-f69b-5df4-993d-c0405164ccbf</x:v>
      </x:c>
      <x:c r="E665" t="str">
        <x:v>CDA-CODE-066</x:v>
      </x:c>
      <x:c r="F665" t="str">
        <x:v>Caran d’Ache</x:v>
      </x:c>
      <x:c r="G665" t="str">
        <x:v>PSTP</x:v>
      </x:c>
      <x:c r="H665" t="str">
        <x:v>PASTEL PENCILS</x:v>
      </x:c>
      <x:c r="I665" t="str">
        <x:v>Extra-fine dry pastel pencil</x:v>
      </x:c>
      <x:c r="J665" t="str">
        <x:v>Professional</x:v>
      </x:c>
      <x:c r="K665" s="30" t="n">
        <x:v>68</x:v>
      </x:c>
      <x:c r="L665" s="30" t="str">
        <x:v>066</x:v>
      </x:c>
      <x:c r="M665" t="str">
        <x:v>Raw Russet</x:v>
      </x:c>
      <x:c r="N665" t="str">
        <x:v>生赤褐</x:v>
      </x:c>
      <x:c r="O665" t="str">
        <x:v>ローラセット</x:v>
      </x:c>
      <x:c r="P665" t="str"/>
      <x:c r="Q665" t="str">
        <x:v>Sanguine naturelle</x:v>
      </x:c>
      <x:c r="R665" t="str">
        <x:v>Rotbraun natur</x:v>
      </x:c>
      <x:c r="S665" t="str">
        <x:v>Sanguigna naturale</x:v>
      </x:c>
      <x:c r="T665" t="str">
        <x:v>Sanguina natural</x:v>
      </x:c>
      <x:c r="U665" t="str">
        <x:v>Sanguínea natural</x:v>
      </x:c>
      <x:c r="V665" t="str"/>
      <x:c r="W665" t="str">
        <x:v>PR101</x:v>
      </x:c>
      <x:c r="X665" t="n">
        <x:f>IF(W665="",0,LEN(W665)-LEN(SUBSTITUTE(W665,"/",""))+1)</x:f>
        <x:v>1</x:v>
      </x:c>
      <x:c r="Y665" t="str">
        <x:v>HHH</x:v>
      </x:c>
      <x:c r="Z665" s="32" t="n">
        <x:v>3</x:v>
      </x:c>
      <x:c r="AA665" s="32" t="n">
        <x:v>5</x:v>
      </x:c>
      <x:c r="AB665" s="32" t="str">
        <x:v>Blue Wool Scale / UV 150h</x:v>
      </x:c>
      <x:c r="AC665" t="str">
        <x:v>#B84523</x:v>
      </x:c>
      <x:c r="AD665" s="34" t="n">
        <x:v>184</x:v>
      </x:c>
      <x:c r="AE665" s="34" t="n">
        <x:v>69</x:v>
      </x:c>
      <x:c r="AF665" s="34" t="n">
        <x:v>35</x:v>
      </x:c>
      <x:c r="AG665" s="32" t="n">
        <x:v>13.69</x:v>
      </x:c>
      <x:c r="AH665" s="32" t="n">
        <x:v>68.04</x:v>
      </x:c>
      <x:c r="AI665" s="32" t="n">
        <x:v>42.94</x:v>
      </x:c>
      <x:c r="AJ665" s="32" t="n">
        <x:v>45.04</x:v>
      </x:c>
      <x:c r="AK665" s="32" t="n">
        <x:v>44.82</x:v>
      </x:c>
      <x:c r="AL665" s="32" t="n">
        <x:v>43.31</x:v>
      </x:c>
      <x:c r="AM665" s="32" t="str">
        <x:v>#FFFFFF</x:v>
      </x:c>
      <x:c r="AN665" s="32" t="str">
        <x:v>White</x:v>
      </x:c>
      <x:c r="AO665" s="32" t="n">
        <x:v>5.37</x:v>
      </x:c>
      <x:c r="AP665" s="32" t="n">
        <x:v>3.91</x:v>
      </x:c>
      <x:c r="AQ665" s="32" t="n">
        <x:v>5.37</x:v>
      </x:c>
      <x:c r="AR665" s="32" t="n">
        <x:v>0.145679</x:v>
      </x:c>
      <x:c r="AS665" t="str">
        <x:v>PASS</x:v>
      </x:c>
      <x:c r="AT665" t="str">
        <x:v>--cda-pstp-066</x:v>
      </x:c>
      <x:c r="AU665" t="str">
        <x:v>var(--cda-pstp-066)</x:v>
      </x:c>
      <x:c r="AV665" t="str">
        <x:v>Median RGB from official PDF swatch (screen reference only)</x:v>
      </x:c>
      <x:c r="AW665" t="str">
        <x:v>https://www.carandache.com/content_files/uploaded_doc/product/10985/Colour_Chart_Pastel_Pencil.pdf</x:v>
      </x:c>
      <x:c r="AX665" t="n">
        <x:v>1</x:v>
      </x:c>
      <x:c r="AY665" t="str">
        <x:v>Official</x:v>
      </x:c>
      <x:c r="AZ665" t="str">
        <x:v>Official where available; curated Traditional Chinese/Japanese otherwise</x:v>
      </x:c>
      <x:c r="BA665" t="str">
        <x:v>Verified from official chart; digital HEX is approximate</x:v>
      </x:c>
      <x:c r="BB665" t="str">
        <x:v>Physical media appearance varies by paper, pressure, layering, water and scan/display profile.</x:v>
      </x:c>
    </x:row>
    <x:row r="666">
      <x:c r="A666" t="str">
        <x:f>G666&amp;"|"&amp;L666</x:f>
        <x:v>PSTP|064</x:v>
      </x:c>
      <x:c r="B666" t="str">
        <x:v>7b8b02ff-01cf-56a5-8d82-43bee2574893</x:v>
      </x:c>
      <x:c r="C666" t="str">
        <x:v>CDA-PSTP-064</x:v>
      </x:c>
      <x:c r="D666" t="str">
        <x:v>eca82c70-1fbb-58b4-b1ba-0e54739439d0</x:v>
      </x:c>
      <x:c r="E666" t="str">
        <x:v>CDA-CODE-064</x:v>
      </x:c>
      <x:c r="F666" t="str">
        <x:v>Caran d’Ache</x:v>
      </x:c>
      <x:c r="G666" t="str">
        <x:v>PSTP</x:v>
      </x:c>
      <x:c r="H666" t="str">
        <x:v>PASTEL PENCILS</x:v>
      </x:c>
      <x:c r="I666" t="str">
        <x:v>Extra-fine dry pastel pencil</x:v>
      </x:c>
      <x:c r="J666" t="str">
        <x:v>Professional</x:v>
      </x:c>
      <x:c r="K666" s="30" t="n">
        <x:v>69</x:v>
      </x:c>
      <x:c r="L666" s="30" t="str">
        <x:v>064</x:v>
      </x:c>
      <x:c r="M666" t="str">
        <x:v>Medium russet</x:v>
      </x:c>
      <x:c r="N666" t="str">
        <x:v>中度赤褐</x:v>
      </x:c>
      <x:c r="O666" t="str">
        <x:v>ミディアムラセット</x:v>
      </x:c>
      <x:c r="P666" t="str"/>
      <x:c r="Q666" t="str">
        <x:v>Sanguine moyenne</x:v>
      </x:c>
      <x:c r="R666" t="str">
        <x:v>Mittelrotbraun</x:v>
      </x:c>
      <x:c r="S666" t="str">
        <x:v>Sanguigna medio</x:v>
      </x:c>
      <x:c r="T666" t="str">
        <x:v>Sanguina medio</x:v>
      </x:c>
      <x:c r="U666" t="str">
        <x:v>Sanguínea médio</x:v>
      </x:c>
      <x:c r="V666" t="str"/>
      <x:c r="W666" t="str">
        <x:v>PR101/PBk11</x:v>
      </x:c>
      <x:c r="X666" t="n">
        <x:f>IF(W666="",0,LEN(W666)-LEN(SUBSTITUTE(W666,"/",""))+1)</x:f>
        <x:v>2</x:v>
      </x:c>
      <x:c r="Y666" t="str">
        <x:v>HH</x:v>
      </x:c>
      <x:c r="Z666" s="32" t="n">
        <x:v>2</x:v>
      </x:c>
      <x:c r="AA666" s="32" t="n">
        <x:v>5</x:v>
      </x:c>
      <x:c r="AB666" s="32" t="str">
        <x:v>Blue Wool Scale / UV 150h</x:v>
      </x:c>
      <x:c r="AC666" t="str">
        <x:v>#A54820</x:v>
      </x:c>
      <x:c r="AD666" s="34" t="n">
        <x:v>165</x:v>
      </x:c>
      <x:c r="AE666" s="34" t="n">
        <x:v>72</x:v>
      </x:c>
      <x:c r="AF666" s="34" t="n">
        <x:v>32</x:v>
      </x:c>
      <x:c r="AG666" s="32" t="n">
        <x:v>18.05</x:v>
      </x:c>
      <x:c r="AH666" s="32" t="n">
        <x:v>67.51</x:v>
      </x:c>
      <x:c r="AI666" s="32" t="n">
        <x:v>38.63</x:v>
      </x:c>
      <x:c r="AJ666" s="32" t="n">
        <x:v>42.37</x:v>
      </x:c>
      <x:c r="AK666" s="32" t="n">
        <x:v>36.05</x:v>
      </x:c>
      <x:c r="AL666" s="32" t="n">
        <x:v>41.1</x:v>
      </x:c>
      <x:c r="AM666" s="32" t="str">
        <x:v>#FFFFFF</x:v>
      </x:c>
      <x:c r="AN666" s="32" t="str">
        <x:v>White</x:v>
      </x:c>
      <x:c r="AO666" s="32" t="n">
        <x:v>5.92</x:v>
      </x:c>
      <x:c r="AP666" s="32" t="n">
        <x:v>3.55</x:v>
      </x:c>
      <x:c r="AQ666" s="32" t="n">
        <x:v>5.92</x:v>
      </x:c>
      <x:c r="AR666" s="32" t="n">
        <x:v>0.127383</x:v>
      </x:c>
      <x:c r="AS666" t="str">
        <x:v>PASS</x:v>
      </x:c>
      <x:c r="AT666" t="str">
        <x:v>--cda-pstp-064</x:v>
      </x:c>
      <x:c r="AU666" t="str">
        <x:v>var(--cda-pstp-064)</x:v>
      </x:c>
      <x:c r="AV666" t="str">
        <x:v>Median RGB from official PDF swatch (screen reference only)</x:v>
      </x:c>
      <x:c r="AW666" t="str">
        <x:v>https://www.carandache.com/content_files/uploaded_doc/product/10985/Colour_Chart_Pastel_Pencil.pdf</x:v>
      </x:c>
      <x:c r="AX666" t="n">
        <x:v>1</x:v>
      </x:c>
      <x:c r="AY666" t="str">
        <x:v>Official</x:v>
      </x:c>
      <x:c r="AZ666" t="str">
        <x:v>Official where available; curated Traditional Chinese/Japanese otherwise</x:v>
      </x:c>
      <x:c r="BA666" t="str">
        <x:v>Verified from official chart; digital HEX is approximate</x:v>
      </x:c>
      <x:c r="BB666" t="str">
        <x:v>Physical media appearance varies by paper, pressure, layering, water and scan/display profile.</x:v>
      </x:c>
    </x:row>
    <x:row r="667">
      <x:c r="A667" t="str">
        <x:f>G667&amp;"|"&amp;L667</x:f>
        <x:v>PSTP|069</x:v>
      </x:c>
      <x:c r="B667" t="str">
        <x:v>53599814-7c10-5a5d-bbb2-d39637c76f30</x:v>
      </x:c>
      <x:c r="C667" t="str">
        <x:v>CDA-PSTP-069</x:v>
      </x:c>
      <x:c r="D667" t="str">
        <x:v>cc93e1eb-34d0-5610-9562-5e234935f63d</x:v>
      </x:c>
      <x:c r="E667" t="str">
        <x:v>CDA-CODE-069</x:v>
      </x:c>
      <x:c r="F667" t="str">
        <x:v>Caran d’Ache</x:v>
      </x:c>
      <x:c r="G667" t="str">
        <x:v>PSTP</x:v>
      </x:c>
      <x:c r="H667" t="str">
        <x:v>PASTEL PENCILS</x:v>
      </x:c>
      <x:c r="I667" t="str">
        <x:v>Extra-fine dry pastel pencil</x:v>
      </x:c>
      <x:c r="J667" t="str">
        <x:v>Professional</x:v>
      </x:c>
      <x:c r="K667" s="30" t="n">
        <x:v>70</x:v>
      </x:c>
      <x:c r="L667" s="30" t="str">
        <x:v>069</x:v>
      </x:c>
      <x:c r="M667" t="str">
        <x:v>Burnt sienna</x:v>
      </x:c>
      <x:c r="N667" t="str">
        <x:v>熟赭紅</x:v>
      </x:c>
      <x:c r="O667" t="str">
        <x:v>バーントシェンナ</x:v>
      </x:c>
      <x:c r="P667" t="str"/>
      <x:c r="Q667" t="str">
        <x:v>Sienne brûlée</x:v>
      </x:c>
      <x:c r="R667" t="str">
        <x:v>Siena gebrannt</x:v>
      </x:c>
      <x:c r="S667" t="str">
        <x:v>Siena bruciata</x:v>
      </x:c>
      <x:c r="T667" t="str">
        <x:v>Siena quemada</x:v>
      </x:c>
      <x:c r="U667" t="str">
        <x:v>Siena queimado</x:v>
      </x:c>
      <x:c r="V667" t="str"/>
      <x:c r="W667" t="str">
        <x:v>PBk6/PR101</x:v>
      </x:c>
      <x:c r="X667" t="n">
        <x:f>IF(W667="",0,LEN(W667)-LEN(SUBSTITUTE(W667,"/",""))+1)</x:f>
        <x:v>2</x:v>
      </x:c>
      <x:c r="Y667" t="str">
        <x:v>HHH</x:v>
      </x:c>
      <x:c r="Z667" s="32" t="n">
        <x:v>3</x:v>
      </x:c>
      <x:c r="AA667" s="32" t="n">
        <x:v>5</x:v>
      </x:c>
      <x:c r="AB667" s="32" t="str">
        <x:v>Blue Wool Scale / UV 150h</x:v>
      </x:c>
      <x:c r="AC667" t="str">
        <x:v>#85413A</x:v>
      </x:c>
      <x:c r="AD667" s="34" t="n">
        <x:v>133</x:v>
      </x:c>
      <x:c r="AE667" s="34" t="n">
        <x:v>65</x:v>
      </x:c>
      <x:c r="AF667" s="34" t="n">
        <x:v>58</x:v>
      </x:c>
      <x:c r="AG667" s="32" t="n">
        <x:v>5.6</x:v>
      </x:c>
      <x:c r="AH667" s="32" t="n">
        <x:v>39.27</x:v>
      </x:c>
      <x:c r="AI667" s="32" t="n">
        <x:v>37.45</x:v>
      </x:c>
      <x:c r="AJ667" s="32" t="n">
        <x:v>36.13</x:v>
      </x:c>
      <x:c r="AK667" s="32" t="n">
        <x:v>28.41</x:v>
      </x:c>
      <x:c r="AL667" s="32" t="n">
        <x:v>17.76</x:v>
      </x:c>
      <x:c r="AM667" s="32" t="str">
        <x:v>#FFFFFF</x:v>
      </x:c>
      <x:c r="AN667" s="32" t="str">
        <x:v>White</x:v>
      </x:c>
      <x:c r="AO667" s="32" t="n">
        <x:v>7.46</x:v>
      </x:c>
      <x:c r="AP667" s="32" t="n">
        <x:v>2.81</x:v>
      </x:c>
      <x:c r="AQ667" s="32" t="n">
        <x:v>7.46</x:v>
      </x:c>
      <x:c r="AR667" s="32" t="n">
        <x:v>0.090726</x:v>
      </x:c>
      <x:c r="AS667" t="str">
        <x:v>PASS</x:v>
      </x:c>
      <x:c r="AT667" t="str">
        <x:v>--cda-pstp-069</x:v>
      </x:c>
      <x:c r="AU667" t="str">
        <x:v>var(--cda-pstp-069)</x:v>
      </x:c>
      <x:c r="AV667" t="str">
        <x:v>Median RGB from official PDF swatch (screen reference only)</x:v>
      </x:c>
      <x:c r="AW667" t="str">
        <x:v>https://www.carandache.com/content_files/uploaded_doc/product/10985/Colour_Chart_Pastel_Pencil.pdf</x:v>
      </x:c>
      <x:c r="AX667" t="n">
        <x:v>1</x:v>
      </x:c>
      <x:c r="AY667" t="str">
        <x:v>Official</x:v>
      </x:c>
      <x:c r="AZ667" t="str">
        <x:v>Official where available; curated Traditional Chinese/Japanese otherwise</x:v>
      </x:c>
      <x:c r="BA667" t="str">
        <x:v>Verified from official chart; digital HEX is approximate</x:v>
      </x:c>
      <x:c r="BB667" t="str">
        <x:v>Physical media appearance varies by paper, pressure, layering, water and scan/display profile.</x:v>
      </x:c>
    </x:row>
    <x:row r="668">
      <x:c r="A668" t="str">
        <x:f>G668&amp;"|"&amp;L668</x:f>
        <x:v>PSTP|089</x:v>
      </x:c>
      <x:c r="B668" t="str">
        <x:v>f669dfb6-2778-5b13-9f6f-2483ced4fa8f</x:v>
      </x:c>
      <x:c r="C668" t="str">
        <x:v>CDA-PSTP-089</x:v>
      </x:c>
      <x:c r="D668" t="str">
        <x:v>3159f625-d33c-5af9-a012-e3105a2781ee</x:v>
      </x:c>
      <x:c r="E668" t="str">
        <x:v>CDA-CODE-089</x:v>
      </x:c>
      <x:c r="F668" t="str">
        <x:v>Caran d’Ache</x:v>
      </x:c>
      <x:c r="G668" t="str">
        <x:v>PSTP</x:v>
      </x:c>
      <x:c r="H668" t="str">
        <x:v>PASTEL PENCILS</x:v>
      </x:c>
      <x:c r="I668" t="str">
        <x:v>Extra-fine dry pastel pencil</x:v>
      </x:c>
      <x:c r="J668" t="str">
        <x:v>Professional</x:v>
      </x:c>
      <x:c r="K668" s="30" t="n">
        <x:v>71</x:v>
      </x:c>
      <x:c r="L668" s="30" t="str">
        <x:v>089</x:v>
      </x:c>
      <x:c r="M668" t="str">
        <x:v>Dark carmine</x:v>
      </x:c>
      <x:c r="N668" t="str">
        <x:v>深胭脂紅</x:v>
      </x:c>
      <x:c r="O668" t="str">
        <x:v>ダークカーマイン</x:v>
      </x:c>
      <x:c r="P668" t="str"/>
      <x:c r="Q668" t="str">
        <x:v>Carmin foncé</x:v>
      </x:c>
      <x:c r="R668" t="str">
        <x:v>Dunkelkarmin</x:v>
      </x:c>
      <x:c r="S668" t="str">
        <x:v>Carminio scuro</x:v>
      </x:c>
      <x:c r="T668" t="str">
        <x:v>Carmín oscuro</x:v>
      </x:c>
      <x:c r="U668" t="str">
        <x:v>Carmin escuro</x:v>
      </x:c>
      <x:c r="V668" t="str"/>
      <x:c r="W668" t="str">
        <x:v>PR254/PBK11/PY42/PR101/PBK7/PBr7</x:v>
      </x:c>
      <x:c r="X668" t="n">
        <x:f>IF(W668="",0,LEN(W668)-LEN(SUBSTITUTE(W668,"/",""))+1)</x:f>
        <x:v>6</x:v>
      </x:c>
      <x:c r="Y668" t="str">
        <x:v>HHH</x:v>
      </x:c>
      <x:c r="Z668" s="32" t="n">
        <x:v>3</x:v>
      </x:c>
      <x:c r="AA668" s="32" t="n">
        <x:v>5</x:v>
      </x:c>
      <x:c r="AB668" s="32" t="str">
        <x:v>Blue Wool Scale / UV 150h</x:v>
      </x:c>
      <x:c r="AC668" t="str">
        <x:v>#6E303A</x:v>
      </x:c>
      <x:c r="AD668" s="34" t="n">
        <x:v>110</x:v>
      </x:c>
      <x:c r="AE668" s="34" t="n">
        <x:v>48</x:v>
      </x:c>
      <x:c r="AF668" s="34" t="n">
        <x:v>58</x:v>
      </x:c>
      <x:c r="AG668" s="32" t="n">
        <x:v>350.32</x:v>
      </x:c>
      <x:c r="AH668" s="32" t="n">
        <x:v>39.24</x:v>
      </x:c>
      <x:c r="AI668" s="32" t="n">
        <x:v>30.98</x:v>
      </x:c>
      <x:c r="AJ668" s="32" t="n">
        <x:v>28.73</x:v>
      </x:c>
      <x:c r="AK668" s="32" t="n">
        <x:v>28.58</x:v>
      </x:c>
      <x:c r="AL668" s="32" t="n">
        <x:v>7.1</x:v>
      </x:c>
      <x:c r="AM668" s="32" t="str">
        <x:v>#FFFFFF</x:v>
      </x:c>
      <x:c r="AN668" s="32" t="str">
        <x:v>White</x:v>
      </x:c>
      <x:c r="AO668" s="32" t="n">
        <x:v>9.78</x:v>
      </x:c>
      <x:c r="AP668" s="32" t="n">
        <x:v>2.15</x:v>
      </x:c>
      <x:c r="AQ668" s="32" t="n">
        <x:v>9.78</x:v>
      </x:c>
      <x:c r="AR668" s="32" t="n">
        <x:v>0.057344</x:v>
      </x:c>
      <x:c r="AS668" t="str">
        <x:v>PASS</x:v>
      </x:c>
      <x:c r="AT668" t="str">
        <x:v>--cda-pstp-089</x:v>
      </x:c>
      <x:c r="AU668" t="str">
        <x:v>var(--cda-pstp-089)</x:v>
      </x:c>
      <x:c r="AV668" t="str">
        <x:v>Median RGB from official PDF swatch (screen reference only)</x:v>
      </x:c>
      <x:c r="AW668" t="str">
        <x:v>https://www.carandache.com/content_files/uploaded_doc/product/10985/Colour_Chart_Pastel_Pencil.pdf</x:v>
      </x:c>
      <x:c r="AX668" t="n">
        <x:v>1</x:v>
      </x:c>
      <x:c r="AY668" t="str">
        <x:v>Official</x:v>
      </x:c>
      <x:c r="AZ668" t="str">
        <x:v>Official where available; curated Traditional Chinese/Japanese otherwise</x:v>
      </x:c>
      <x:c r="BA668" t="str">
        <x:v>Verified from official chart; digital HEX is approximate</x:v>
      </x:c>
      <x:c r="BB668" t="str">
        <x:v>Physical media appearance varies by paper, pressure, layering, water and scan/display profile.</x:v>
      </x:c>
    </x:row>
    <x:row r="669">
      <x:c r="A669" t="str">
        <x:f>G669&amp;"|"&amp;L669</x:f>
        <x:v>PSTP|093</x:v>
      </x:c>
      <x:c r="B669" t="str">
        <x:v>2f2f4002-e065-520e-9143-e890ab15cfb4</x:v>
      </x:c>
      <x:c r="C669" t="str">
        <x:v>CDA-PSTP-093</x:v>
      </x:c>
      <x:c r="D669" t="str">
        <x:v>e538ef64-8d9e-5a65-841e-49a8b475568d</x:v>
      </x:c>
      <x:c r="E669" t="str">
        <x:v>CDA-CODE-093</x:v>
      </x:c>
      <x:c r="F669" t="str">
        <x:v>Caran d’Ache</x:v>
      </x:c>
      <x:c r="G669" t="str">
        <x:v>PSTP</x:v>
      </x:c>
      <x:c r="H669" t="str">
        <x:v>PASTEL PENCILS</x:v>
      </x:c>
      <x:c r="I669" t="str">
        <x:v>Extra-fine dry pastel pencil</x:v>
      </x:c>
      <x:c r="J669" t="str">
        <x:v>Professional</x:v>
      </x:c>
      <x:c r="K669" s="30" t="n">
        <x:v>72</x:v>
      </x:c>
      <x:c r="L669" s="30" t="str">
        <x:v>093</x:v>
      </x:c>
      <x:c r="M669" t="str">
        <x:v>Violet grey</x:v>
      </x:c>
      <x:c r="N669" t="str">
        <x:v>紫灰色</x:v>
      </x:c>
      <x:c r="O669" t="str">
        <x:v>バイオレットグレー</x:v>
      </x:c>
      <x:c r="P669" t="str"/>
      <x:c r="Q669" t="str">
        <x:v>Gris Violet</x:v>
      </x:c>
      <x:c r="R669" t="str">
        <x:v>Grauviolett</x:v>
      </x:c>
      <x:c r="S669" t="str">
        <x:v>Viola grigiastro</x:v>
      </x:c>
      <x:c r="T669" t="str">
        <x:v>Gris violeta</x:v>
      </x:c>
      <x:c r="U669" t="str">
        <x:v>Violeta Cinza</x:v>
      </x:c>
      <x:c r="V669" t="str"/>
      <x:c r="W669" t="str">
        <x:v>PB15/PBk11/PV16/PR101</x:v>
      </x:c>
      <x:c r="X669" t="n">
        <x:f>IF(W669="",0,LEN(W669)-LEN(SUBSTITUTE(W669,"/",""))+1)</x:f>
        <x:v>4</x:v>
      </x:c>
      <x:c r="Y669" t="str">
        <x:v>H</x:v>
      </x:c>
      <x:c r="Z669" s="32" t="n">
        <x:v>1</x:v>
      </x:c>
      <x:c r="AA669" s="32" t="n">
        <x:v>5</x:v>
      </x:c>
      <x:c r="AB669" s="32" t="str">
        <x:v>Blue Wool Scale / UV 150h</x:v>
      </x:c>
      <x:c r="AC669" t="str">
        <x:v>#635556</x:v>
      </x:c>
      <x:c r="AD669" s="34" t="n">
        <x:v>99</x:v>
      </x:c>
      <x:c r="AE669" s="34" t="n">
        <x:v>85</x:v>
      </x:c>
      <x:c r="AF669" s="34" t="n">
        <x:v>86</x:v>
      </x:c>
      <x:c r="AG669" s="32" t="n">
        <x:v>355.71</x:v>
      </x:c>
      <x:c r="AH669" s="32" t="n">
        <x:v>7.61</x:v>
      </x:c>
      <x:c r="AI669" s="32" t="n">
        <x:v>36.08</x:v>
      </x:c>
      <x:c r="AJ669" s="32" t="n">
        <x:v>37.52</x:v>
      </x:c>
      <x:c r="AK669" s="32" t="n">
        <x:v>5.93</x:v>
      </x:c>
      <x:c r="AL669" s="32" t="n">
        <x:v>1.54</x:v>
      </x:c>
      <x:c r="AM669" s="32" t="str">
        <x:v>#FFFFFF</x:v>
      </x:c>
      <x:c r="AN669" s="32" t="str">
        <x:v>White</x:v>
      </x:c>
      <x:c r="AO669" s="32" t="n">
        <x:v>7.08</x:v>
      </x:c>
      <x:c r="AP669" s="32" t="n">
        <x:v>2.96</x:v>
      </x:c>
      <x:c r="AQ669" s="32" t="n">
        <x:v>7.08</x:v>
      </x:c>
      <x:c r="AR669" s="32" t="n">
        <x:v>0.098215</x:v>
      </x:c>
      <x:c r="AS669" t="str">
        <x:v>PASS</x:v>
      </x:c>
      <x:c r="AT669" t="str">
        <x:v>--cda-pstp-093</x:v>
      </x:c>
      <x:c r="AU669" t="str">
        <x:v>var(--cda-pstp-093)</x:v>
      </x:c>
      <x:c r="AV669" t="str">
        <x:v>Median RGB from official PDF swatch (screen reference only)</x:v>
      </x:c>
      <x:c r="AW669" t="str">
        <x:v>https://www.carandache.com/content_files/uploaded_doc/product/10985/Colour_Chart_Pastel_Pencil.pdf</x:v>
      </x:c>
      <x:c r="AX669" t="n">
        <x:v>1</x:v>
      </x:c>
      <x:c r="AY669" t="str">
        <x:v>Official</x:v>
      </x:c>
      <x:c r="AZ669" t="str">
        <x:v>Official where available; curated Traditional Chinese/Japanese otherwise</x:v>
      </x:c>
      <x:c r="BA669" t="str">
        <x:v>Verified from official chart; digital HEX is approximate</x:v>
      </x:c>
      <x:c r="BB669" t="str">
        <x:v>Physical media appearance varies by paper, pressure, layering, water and scan/display profile.</x:v>
      </x:c>
    </x:row>
    <x:row r="670">
      <x:c r="A670" t="str">
        <x:f>G670&amp;"|"&amp;L670</x:f>
        <x:v>PSTP|802</x:v>
      </x:c>
      <x:c r="B670" t="str">
        <x:v>ba9de38c-dd3d-5759-abd2-19013aa26552</x:v>
      </x:c>
      <x:c r="C670" t="str">
        <x:v>CDA-PSTP-802</x:v>
      </x:c>
      <x:c r="D670" t="str">
        <x:v>023df18c-2712-55f0-b5ac-834e355cf2bf</x:v>
      </x:c>
      <x:c r="E670" t="str">
        <x:v>CDA-CODE-802</x:v>
      </x:c>
      <x:c r="F670" t="str">
        <x:v>Caran d’Ache</x:v>
      </x:c>
      <x:c r="G670" t="str">
        <x:v>PSTP</x:v>
      </x:c>
      <x:c r="H670" t="str">
        <x:v>PASTEL PENCILS</x:v>
      </x:c>
      <x:c r="I670" t="str">
        <x:v>Extra-fine dry pastel pencil</x:v>
      </x:c>
      <x:c r="J670" t="str">
        <x:v>Professional</x:v>
      </x:c>
      <x:c r="K670" s="30" t="n">
        <x:v>73</x:v>
      </x:c>
      <x:c r="L670" s="30" t="str">
        <x:v>802</x:v>
      </x:c>
      <x:c r="M670" t="str">
        <x:v>French grey 10%</x:v>
      </x:c>
      <x:c r="N670" t="str">
        <x:v>法國灰 10%</x:v>
      </x:c>
      <x:c r="O670" t="str">
        <x:v>フレンチグレー 10%</x:v>
      </x:c>
      <x:c r="P670" t="str"/>
      <x:c r="Q670" t="str">
        <x:v>Gris français 10%</x:v>
      </x:c>
      <x:c r="R670" t="str">
        <x:v>Französischgrau 10%</x:v>
      </x:c>
      <x:c r="S670" t="str">
        <x:v>Grigio francese 10%</x:v>
      </x:c>
      <x:c r="T670" t="str">
        <x:v>Gris Francés 10%</x:v>
      </x:c>
      <x:c r="U670" t="str">
        <x:v>Cinzento Francês 10%</x:v>
      </x:c>
      <x:c r="V670" t="str"/>
      <x:c r="W670" t="str"/>
      <x:c r="X670" t="n">
        <x:f>IF(W670="",0,LEN(W670)-LEN(SUBSTITUTE(W670,"/",""))+1)</x:f>
        <x:v>0</x:v>
      </x:c>
      <x:c r="Y670" t="str">
        <x:v>HHH</x:v>
      </x:c>
      <x:c r="Z670" s="32" t="n">
        <x:v>3</x:v>
      </x:c>
      <x:c r="AA670" s="32" t="n">
        <x:v>5</x:v>
      </x:c>
      <x:c r="AB670" s="32" t="str">
        <x:v>Blue Wool Scale / UV 150h</x:v>
      </x:c>
      <x:c r="AC670" t="str">
        <x:v>#A19B97</x:v>
      </x:c>
      <x:c r="AD670" s="34" t="n">
        <x:v>161</x:v>
      </x:c>
      <x:c r="AE670" s="34" t="n">
        <x:v>155</x:v>
      </x:c>
      <x:c r="AF670" s="34" t="n">
        <x:v>151</x:v>
      </x:c>
      <x:c r="AG670" s="32" t="n">
        <x:v>24</x:v>
      </x:c>
      <x:c r="AH670" s="32" t="n">
        <x:v>5.05</x:v>
      </x:c>
      <x:c r="AI670" s="32" t="n">
        <x:v>61.18</x:v>
      </x:c>
      <x:c r="AJ670" s="32" t="n">
        <x:v>64.37</x:v>
      </x:c>
      <x:c r="AK670" s="32" t="n">
        <x:v>1.45</x:v>
      </x:c>
      <x:c r="AL670" s="32" t="n">
        <x:v>2.87</x:v>
      </x:c>
      <x:c r="AM670" s="32" t="str">
        <x:v>#000000</x:v>
      </x:c>
      <x:c r="AN670" s="32" t="str">
        <x:v>Black</x:v>
      </x:c>
      <x:c r="AO670" s="32" t="n">
        <x:v>7.65</x:v>
      </x:c>
      <x:c r="AP670" s="32" t="n">
        <x:v>7.65</x:v>
      </x:c>
      <x:c r="AQ670" s="32" t="n">
        <x:v>2.74</x:v>
      </x:c>
      <x:c r="AR670" s="32" t="n">
        <x:v>0.332541</x:v>
      </x:c>
      <x:c r="AS670" t="str">
        <x:v>PASS</x:v>
      </x:c>
      <x:c r="AT670" t="str">
        <x:v>--cda-pstp-802</x:v>
      </x:c>
      <x:c r="AU670" t="str">
        <x:v>var(--cda-pstp-802)</x:v>
      </x:c>
      <x:c r="AV670" t="str">
        <x:v>Median RGB from official PDF swatch (screen reference only)</x:v>
      </x:c>
      <x:c r="AW670" t="str">
        <x:v>https://www.carandache.com/content_files/uploaded_doc/product/10985/Colour_Chart_Pastel_Pencil.pdf</x:v>
      </x:c>
      <x:c r="AX670" t="n">
        <x:v>1</x:v>
      </x:c>
      <x:c r="AY670" t="str">
        <x:v>Official</x:v>
      </x:c>
      <x:c r="AZ670" t="str">
        <x:v>Official where available; curated Traditional Chinese/Japanese otherwise</x:v>
      </x:c>
      <x:c r="BA670" t="str">
        <x:v>Verified from official chart; digital HEX is approximate</x:v>
      </x:c>
      <x:c r="BB670" t="str">
        <x:v>Physical media appearance varies by paper, pressure, layering, water and scan/display profile.</x:v>
      </x:c>
    </x:row>
    <x:row r="671">
      <x:c r="A671" t="str">
        <x:f>G671&amp;"|"&amp;L671</x:f>
        <x:v>PSTP|002</x:v>
      </x:c>
      <x:c r="B671" t="str">
        <x:v>2ca5ffca-e6c6-5234-b491-e4ff65c889b1</x:v>
      </x:c>
      <x:c r="C671" t="str">
        <x:v>CDA-PSTP-002</x:v>
      </x:c>
      <x:c r="D671" t="str">
        <x:v>5bb6a1fa-d374-5bae-b129-520775dd165f</x:v>
      </x:c>
      <x:c r="E671" t="str">
        <x:v>CDA-CODE-002</x:v>
      </x:c>
      <x:c r="F671" t="str">
        <x:v>Caran d’Ache</x:v>
      </x:c>
      <x:c r="G671" t="str">
        <x:v>PSTP</x:v>
      </x:c>
      <x:c r="H671" t="str">
        <x:v>PASTEL PENCILS</x:v>
      </x:c>
      <x:c r="I671" t="str">
        <x:v>Extra-fine dry pastel pencil</x:v>
      </x:c>
      <x:c r="J671" t="str">
        <x:v>Professional</x:v>
      </x:c>
      <x:c r="K671" s="30" t="n">
        <x:v>74</x:v>
      </x:c>
      <x:c r="L671" s="30" t="str">
        <x:v>002</x:v>
      </x:c>
      <x:c r="M671" t="str">
        <x:v>Silver grey</x:v>
      </x:c>
      <x:c r="N671" t="str">
        <x:v>銀灰色</x:v>
      </x:c>
      <x:c r="O671" t="str">
        <x:v>シルバーグレー</x:v>
      </x:c>
      <x:c r="P671" t="str"/>
      <x:c r="Q671" t="str">
        <x:v>Gris argenté</x:v>
      </x:c>
      <x:c r="R671" t="str">
        <x:v>Silbergrau</x:v>
      </x:c>
      <x:c r="S671" t="str">
        <x:v>Grigio argento</x:v>
      </x:c>
      <x:c r="T671" t="str">
        <x:v>Gris plateado</x:v>
      </x:c>
      <x:c r="U671" t="str">
        <x:v>Cinzento prateado</x:v>
      </x:c>
      <x:c r="V671" t="str"/>
      <x:c r="W671" t="str">
        <x:v>PB15/PBk6</x:v>
      </x:c>
      <x:c r="X671" t="n">
        <x:f>IF(W671="",0,LEN(W671)-LEN(SUBSTITUTE(W671,"/",""))+1)</x:f>
        <x:v>2</x:v>
      </x:c>
      <x:c r="Y671" t="str">
        <x:v>H</x:v>
      </x:c>
      <x:c r="Z671" s="32" t="n">
        <x:v>1</x:v>
      </x:c>
      <x:c r="AA671" s="32" t="n">
        <x:v>5</x:v>
      </x:c>
      <x:c r="AB671" s="32" t="str">
        <x:v>Blue Wool Scale / UV 150h</x:v>
      </x:c>
      <x:c r="AC671" t="str">
        <x:v>#C6D1D7</x:v>
      </x:c>
      <x:c r="AD671" s="34" t="n">
        <x:v>198</x:v>
      </x:c>
      <x:c r="AE671" s="34" t="n">
        <x:v>209</x:v>
      </x:c>
      <x:c r="AF671" s="34" t="n">
        <x:v>215</x:v>
      </x:c>
      <x:c r="AG671" s="32" t="n">
        <x:v>201.18</x:v>
      </x:c>
      <x:c r="AH671" s="32" t="n">
        <x:v>17.53</x:v>
      </x:c>
      <x:c r="AI671" s="32" t="n">
        <x:v>80.98</x:v>
      </x:c>
      <x:c r="AJ671" s="32" t="n">
        <x:v>83.19</x:v>
      </x:c>
      <x:c r="AK671" s="32" t="n">
        <x:v>-2.57</x:v>
      </x:c>
      <x:c r="AL671" s="32" t="n">
        <x:v>-4.25</x:v>
      </x:c>
      <x:c r="AM671" s="32" t="str">
        <x:v>#000000</x:v>
      </x:c>
      <x:c r="AN671" s="32" t="str">
        <x:v>Black</x:v>
      </x:c>
      <x:c r="AO671" s="32" t="n">
        <x:v>13.5</x:v>
      </x:c>
      <x:c r="AP671" s="32" t="n">
        <x:v>13.5</x:v>
      </x:c>
      <x:c r="AQ671" s="32" t="n">
        <x:v>1.56</x:v>
      </x:c>
      <x:c r="AR671" s="32" t="n">
        <x:v>0.62513</x:v>
      </x:c>
      <x:c r="AS671" t="str">
        <x:v>PASS</x:v>
      </x:c>
      <x:c r="AT671" t="str">
        <x:v>--cda-pstp-002</x:v>
      </x:c>
      <x:c r="AU671" t="str">
        <x:v>var(--cda-pstp-002)</x:v>
      </x:c>
      <x:c r="AV671" t="str">
        <x:v>Median RGB from official PDF swatch (screen reference only)</x:v>
      </x:c>
      <x:c r="AW671" t="str">
        <x:v>https://www.carandache.com/content_files/uploaded_doc/product/10985/Colour_Chart_Pastel_Pencil.pdf</x:v>
      </x:c>
      <x:c r="AX671" t="n">
        <x:v>1</x:v>
      </x:c>
      <x:c r="AY671" t="str">
        <x:v>Official</x:v>
      </x:c>
      <x:c r="AZ671" t="str">
        <x:v>Official where available; curated Traditional Chinese/Japanese otherwise</x:v>
      </x:c>
      <x:c r="BA671" t="str">
        <x:v>Verified from official chart; digital HEX is approximate</x:v>
      </x:c>
      <x:c r="BB671" t="str">
        <x:v>Physical media appearance varies by paper, pressure, layering, water and scan/display profile.</x:v>
      </x:c>
    </x:row>
    <x:row r="672">
      <x:c r="A672" t="str">
        <x:f>G672&amp;"|"&amp;L672</x:f>
        <x:v>PSTP|003</x:v>
      </x:c>
      <x:c r="B672" t="str">
        <x:v>08000210-97e4-5e4d-8a6c-a20ec97ce1dc</x:v>
      </x:c>
      <x:c r="C672" t="str">
        <x:v>CDA-PSTP-003</x:v>
      </x:c>
      <x:c r="D672" t="str">
        <x:v>0babc0cb-de09-5293-abe4-84adda5ee171</x:v>
      </x:c>
      <x:c r="E672" t="str">
        <x:v>CDA-CODE-003</x:v>
      </x:c>
      <x:c r="F672" t="str">
        <x:v>Caran d’Ache</x:v>
      </x:c>
      <x:c r="G672" t="str">
        <x:v>PSTP</x:v>
      </x:c>
      <x:c r="H672" t="str">
        <x:v>PASTEL PENCILS</x:v>
      </x:c>
      <x:c r="I672" t="str">
        <x:v>Extra-fine dry pastel pencil</x:v>
      </x:c>
      <x:c r="J672" t="str">
        <x:v>Professional</x:v>
      </x:c>
      <x:c r="K672" s="30" t="n">
        <x:v>75</x:v>
      </x:c>
      <x:c r="L672" s="30" t="str">
        <x:v>003</x:v>
      </x:c>
      <x:c r="M672" t="str">
        <x:v>Light grey</x:v>
      </x:c>
      <x:c r="N672" t="str">
        <x:v>淺灰色</x:v>
      </x:c>
      <x:c r="O672" t="str">
        <x:v>ライトグレー</x:v>
      </x:c>
      <x:c r="P672" t="str"/>
      <x:c r="Q672" t="str">
        <x:v>Gris clair</x:v>
      </x:c>
      <x:c r="R672" t="str">
        <x:v>Hellgrau</x:v>
      </x:c>
      <x:c r="S672" t="str">
        <x:v>Grigio chiaro</x:v>
      </x:c>
      <x:c r="T672" t="str">
        <x:v>Gris claro</x:v>
      </x:c>
      <x:c r="U672" t="str">
        <x:v>Cinzento claro</x:v>
      </x:c>
      <x:c r="V672" t="str"/>
      <x:c r="W672" t="str"/>
      <x:c r="X672" t="n">
        <x:f>IF(W672="",0,LEN(W672)-LEN(SUBSTITUTE(W672,"/",""))+1)</x:f>
        <x:v>0</x:v>
      </x:c>
      <x:c r="Y672" t="str">
        <x:v>HH</x:v>
      </x:c>
      <x:c r="Z672" s="32" t="n">
        <x:v>2</x:v>
      </x:c>
      <x:c r="AA672" s="32" t="n">
        <x:v>5</x:v>
      </x:c>
      <x:c r="AB672" s="32" t="str">
        <x:v>Blue Wool Scale / UV 150h</x:v>
      </x:c>
      <x:c r="AC672" t="str">
        <x:v>#9DAFBA</x:v>
      </x:c>
      <x:c r="AD672" s="34" t="n">
        <x:v>157</x:v>
      </x:c>
      <x:c r="AE672" s="34" t="n">
        <x:v>175</x:v>
      </x:c>
      <x:c r="AF672" s="34" t="n">
        <x:v>186</x:v>
      </x:c>
      <x:c r="AG672" s="32" t="n">
        <x:v>202.76</x:v>
      </x:c>
      <x:c r="AH672" s="32" t="n">
        <x:v>17.37</x:v>
      </x:c>
      <x:c r="AI672" s="32" t="n">
        <x:v>67.25</x:v>
      </x:c>
      <x:c r="AJ672" s="32" t="n">
        <x:v>70.44</x:v>
      </x:c>
      <x:c r="AK672" s="32" t="n">
        <x:v>-3.92</x:v>
      </x:c>
      <x:c r="AL672" s="32" t="n">
        <x:v>-7.73</x:v>
      </x:c>
      <x:c r="AM672" s="32" t="str">
        <x:v>#000000</x:v>
      </x:c>
      <x:c r="AN672" s="32" t="str">
        <x:v>Black</x:v>
      </x:c>
      <x:c r="AO672" s="32" t="n">
        <x:v>9.27</x:v>
      </x:c>
      <x:c r="AP672" s="32" t="n">
        <x:v>9.27</x:v>
      </x:c>
      <x:c r="AQ672" s="32" t="n">
        <x:v>2.26</x:v>
      </x:c>
      <x:c r="AR672" s="32" t="n">
        <x:v>0.413732</x:v>
      </x:c>
      <x:c r="AS672" t="str">
        <x:v>PASS</x:v>
      </x:c>
      <x:c r="AT672" t="str">
        <x:v>--cda-pstp-003</x:v>
      </x:c>
      <x:c r="AU672" t="str">
        <x:v>var(--cda-pstp-003)</x:v>
      </x:c>
      <x:c r="AV672" t="str">
        <x:v>Median RGB from official PDF swatch (screen reference only)</x:v>
      </x:c>
      <x:c r="AW672" t="str">
        <x:v>https://www.carandache.com/content_files/uploaded_doc/product/10985/Colour_Chart_Pastel_Pencil.pdf</x:v>
      </x:c>
      <x:c r="AX672" t="n">
        <x:v>1</x:v>
      </x:c>
      <x:c r="AY672" t="str">
        <x:v>Official</x:v>
      </x:c>
      <x:c r="AZ672" t="str">
        <x:v>Official where available; curated Traditional Chinese/Japanese otherwise</x:v>
      </x:c>
      <x:c r="BA672" t="str">
        <x:v>Verified from official chart; digital HEX is approximate</x:v>
      </x:c>
      <x:c r="BB672" t="str">
        <x:v>Physical media appearance varies by paper, pressure, layering, water and scan/display profile.</x:v>
      </x:c>
    </x:row>
    <x:row r="673">
      <x:c r="A673" t="str">
        <x:f>G673&amp;"|"&amp;L673</x:f>
        <x:v>PSTP|004</x:v>
      </x:c>
      <x:c r="B673" t="str">
        <x:v>322cfa88-c822-5410-b558-a31dd9458b59</x:v>
      </x:c>
      <x:c r="C673" t="str">
        <x:v>CDA-PSTP-004</x:v>
      </x:c>
      <x:c r="D673" t="str">
        <x:v>de4df521-dec4-520d-ab19-51053b9c58ea</x:v>
      </x:c>
      <x:c r="E673" t="str">
        <x:v>CDA-CODE-004</x:v>
      </x:c>
      <x:c r="F673" t="str">
        <x:v>Caran d’Ache</x:v>
      </x:c>
      <x:c r="G673" t="str">
        <x:v>PSTP</x:v>
      </x:c>
      <x:c r="H673" t="str">
        <x:v>PASTEL PENCILS</x:v>
      </x:c>
      <x:c r="I673" t="str">
        <x:v>Extra-fine dry pastel pencil</x:v>
      </x:c>
      <x:c r="J673" t="str">
        <x:v>Professional</x:v>
      </x:c>
      <x:c r="K673" s="30" t="n">
        <x:v>76</x:v>
      </x:c>
      <x:c r="L673" s="30" t="str">
        <x:v>004</x:v>
      </x:c>
      <x:c r="M673" t="str">
        <x:v>Steel grey</x:v>
      </x:c>
      <x:c r="N673" t="str">
        <x:v>鋼灰色</x:v>
      </x:c>
      <x:c r="O673" t="str">
        <x:v>スチールグレー</x:v>
      </x:c>
      <x:c r="P673" t="str"/>
      <x:c r="Q673" t="str">
        <x:v>Gris acier</x:v>
      </x:c>
      <x:c r="R673" t="str">
        <x:v>Stahlgrau</x:v>
      </x:c>
      <x:c r="S673" t="str">
        <x:v>Grigio acciaio</x:v>
      </x:c>
      <x:c r="T673" t="str">
        <x:v>Gris acero</x:v>
      </x:c>
      <x:c r="U673" t="str">
        <x:v>Cinzento aço</x:v>
      </x:c>
      <x:c r="V673" t="str"/>
      <x:c r="W673" t="str">
        <x:v>PB15/PBk6</x:v>
      </x:c>
      <x:c r="X673" t="n">
        <x:f>IF(W673="",0,LEN(W673)-LEN(SUBSTITUTE(W673,"/",""))+1)</x:f>
        <x:v>2</x:v>
      </x:c>
      <x:c r="Y673" t="str">
        <x:v>HH</x:v>
      </x:c>
      <x:c r="Z673" s="32" t="n">
        <x:v>2</x:v>
      </x:c>
      <x:c r="AA673" s="32" t="n">
        <x:v>5</x:v>
      </x:c>
      <x:c r="AB673" s="32" t="str">
        <x:v>Blue Wool Scale / UV 150h</x:v>
      </x:c>
      <x:c r="AC673" t="str">
        <x:v>#909BA7</x:v>
      </x:c>
      <x:c r="AD673" s="34" t="n">
        <x:v>144</x:v>
      </x:c>
      <x:c r="AE673" s="34" t="n">
        <x:v>155</x:v>
      </x:c>
      <x:c r="AF673" s="34" t="n">
        <x:v>167</x:v>
      </x:c>
      <x:c r="AG673" s="32" t="n">
        <x:v>211.3</x:v>
      </x:c>
      <x:c r="AH673" s="32" t="n">
        <x:v>11.56</x:v>
      </x:c>
      <x:c r="AI673" s="32" t="n">
        <x:v>60.98</x:v>
      </x:c>
      <x:c r="AJ673" s="32" t="n">
        <x:v>63.48</x:v>
      </x:c>
      <x:c r="AK673" s="32" t="n">
        <x:v>-1.4</x:v>
      </x:c>
      <x:c r="AL673" s="32" t="n">
        <x:v>-7.59</x:v>
      </x:c>
      <x:c r="AM673" s="32" t="str">
        <x:v>#000000</x:v>
      </x:c>
      <x:c r="AN673" s="32" t="str">
        <x:v>Black</x:v>
      </x:c>
      <x:c r="AO673" s="32" t="n">
        <x:v>7.43</x:v>
      </x:c>
      <x:c r="AP673" s="32" t="n">
        <x:v>7.43</x:v>
      </x:c>
      <x:c r="AQ673" s="32" t="n">
        <x:v>2.83</x:v>
      </x:c>
      <x:c r="AR673" s="32" t="n">
        <x:v>0.32162</x:v>
      </x:c>
      <x:c r="AS673" t="str">
        <x:v>PASS</x:v>
      </x:c>
      <x:c r="AT673" t="str">
        <x:v>--cda-pstp-004</x:v>
      </x:c>
      <x:c r="AU673" t="str">
        <x:v>var(--cda-pstp-004)</x:v>
      </x:c>
      <x:c r="AV673" t="str">
        <x:v>Median RGB from official PDF swatch (screen reference only)</x:v>
      </x:c>
      <x:c r="AW673" t="str">
        <x:v>https://www.carandache.com/content_files/uploaded_doc/product/10985/Colour_Chart_Pastel_Pencil.pdf</x:v>
      </x:c>
      <x:c r="AX673" t="n">
        <x:v>1</x:v>
      </x:c>
      <x:c r="AY673" t="str">
        <x:v>Official</x:v>
      </x:c>
      <x:c r="AZ673" t="str">
        <x:v>Official where available; curated Traditional Chinese/Japanese otherwise</x:v>
      </x:c>
      <x:c r="BA673" t="str">
        <x:v>Verified from official chart; digital HEX is approximate</x:v>
      </x:c>
      <x:c r="BB673" t="str">
        <x:v>Physical media appearance varies by paper, pressure, layering, water and scan/display profile.</x:v>
      </x:c>
    </x:row>
    <x:row r="674">
      <x:c r="A674" t="str">
        <x:f>G674&amp;"|"&amp;L674</x:f>
        <x:v>PSTP|506</x:v>
      </x:c>
      <x:c r="B674" t="str">
        <x:v>6f9e493d-7a56-5acc-aaf2-afb3be608d9d</x:v>
      </x:c>
      <x:c r="C674" t="str">
        <x:v>CDA-PSTP-506</x:v>
      </x:c>
      <x:c r="D674" t="str">
        <x:v>e9000de0-6e08-51b1-a546-501e5d5e1bc9</x:v>
      </x:c>
      <x:c r="E674" t="str">
        <x:v>CDA-CODE-506</x:v>
      </x:c>
      <x:c r="F674" t="str">
        <x:v>Caran d’Ache</x:v>
      </x:c>
      <x:c r="G674" t="str">
        <x:v>PSTP</x:v>
      </x:c>
      <x:c r="H674" t="str">
        <x:v>PASTEL PENCILS</x:v>
      </x:c>
      <x:c r="I674" t="str">
        <x:v>Extra-fine dry pastel pencil</x:v>
      </x:c>
      <x:c r="J674" t="str">
        <x:v>Professional</x:v>
      </x:c>
      <x:c r="K674" s="30" t="n">
        <x:v>77</x:v>
      </x:c>
      <x:c r="L674" s="30" t="str">
        <x:v>506</x:v>
      </x:c>
      <x:c r="M674" t="str">
        <x:v>Payne’s grey 50%</x:v>
      </x:c>
      <x:c r="N674" t="str">
        <x:v>佩恩灰 50%</x:v>
      </x:c>
      <x:c r="O674" t="str">
        <x:v>ペインズグレー 50%</x:v>
      </x:c>
      <x:c r="P674" t="str"/>
      <x:c r="Q674" t="str">
        <x:v>Gris de Payne 50%</x:v>
      </x:c>
      <x:c r="R674" t="str">
        <x:v>Paynesgrau 50%</x:v>
      </x:c>
      <x:c r="S674" t="str">
        <x:v>Grigio di Payne 50%</x:v>
      </x:c>
      <x:c r="T674" t="str">
        <x:v>Gris de Payne 50%</x:v>
      </x:c>
      <x:c r="U674" t="str">
        <x:v>Cinzento de Payne 50%</x:v>
      </x:c>
      <x:c r="V674" t="str"/>
      <x:c r="W674" t="str"/>
      <x:c r="X674" t="n">
        <x:f>IF(W674="",0,LEN(W674)-LEN(SUBSTITUTE(W674,"/",""))+1)</x:f>
        <x:v>0</x:v>
      </x:c>
      <x:c r="Y674" t="str">
        <x:v>HH</x:v>
      </x:c>
      <x:c r="Z674" s="32" t="n">
        <x:v>2</x:v>
      </x:c>
      <x:c r="AA674" s="32" t="n">
        <x:v>5</x:v>
      </x:c>
      <x:c r="AB674" s="32" t="str">
        <x:v>Blue Wool Scale / UV 150h</x:v>
      </x:c>
      <x:c r="AC674" t="str">
        <x:v>#536278</x:v>
      </x:c>
      <x:c r="AD674" s="34" t="n">
        <x:v>83</x:v>
      </x:c>
      <x:c r="AE674" s="34" t="n">
        <x:v>98</x:v>
      </x:c>
      <x:c r="AF674" s="34" t="n">
        <x:v>120</x:v>
      </x:c>
      <x:c r="AG674" s="32" t="n">
        <x:v>215.68</x:v>
      </x:c>
      <x:c r="AH674" s="32" t="n">
        <x:v>18.23</x:v>
      </x:c>
      <x:c r="AI674" s="32" t="n">
        <x:v>39.8</x:v>
      </x:c>
      <x:c r="AJ674" s="32" t="n">
        <x:v>41.1</x:v>
      </x:c>
      <x:c r="AK674" s="32" t="n">
        <x:v>-0.11</x:v>
      </x:c>
      <x:c r="AL674" s="32" t="n">
        <x:v>-14.22</x:v>
      </x:c>
      <x:c r="AM674" s="32" t="str">
        <x:v>#FFFFFF</x:v>
      </x:c>
      <x:c r="AN674" s="32" t="str">
        <x:v>White</x:v>
      </x:c>
      <x:c r="AO674" s="32" t="n">
        <x:v>6.2</x:v>
      </x:c>
      <x:c r="AP674" s="32" t="n">
        <x:v>3.39</x:v>
      </x:c>
      <x:c r="AQ674" s="32" t="n">
        <x:v>6.2</x:v>
      </x:c>
      <x:c r="AR674" s="32" t="n">
        <x:v>0.119304</x:v>
      </x:c>
      <x:c r="AS674" t="str">
        <x:v>PASS</x:v>
      </x:c>
      <x:c r="AT674" t="str">
        <x:v>--cda-pstp-506</x:v>
      </x:c>
      <x:c r="AU674" t="str">
        <x:v>var(--cda-pstp-506)</x:v>
      </x:c>
      <x:c r="AV674" t="str">
        <x:v>Median RGB from official PDF swatch (screen reference only)</x:v>
      </x:c>
      <x:c r="AW674" t="str">
        <x:v>https://www.carandache.com/content_files/uploaded_doc/product/10985/Colour_Chart_Pastel_Pencil.pdf</x:v>
      </x:c>
      <x:c r="AX674" t="n">
        <x:v>1</x:v>
      </x:c>
      <x:c r="AY674" t="str">
        <x:v>Official</x:v>
      </x:c>
      <x:c r="AZ674" t="str">
        <x:v>Official where available; curated Traditional Chinese/Japanese otherwise</x:v>
      </x:c>
      <x:c r="BA674" t="str">
        <x:v>Verified from official chart; digital HEX is approximate</x:v>
      </x:c>
      <x:c r="BB674" t="str">
        <x:v>Physical media appearance varies by paper, pressure, layering, water and scan/display profile.</x:v>
      </x:c>
    </x:row>
    <x:row r="675">
      <x:c r="A675" t="str">
        <x:f>G675&amp;"|"&amp;L675</x:f>
        <x:v>PSTP|008</x:v>
      </x:c>
      <x:c r="B675" t="str">
        <x:v>5c754f3e-cd2a-5a33-b993-7b3c22ad27f8</x:v>
      </x:c>
      <x:c r="C675" t="str">
        <x:v>CDA-PSTP-008</x:v>
      </x:c>
      <x:c r="D675" t="str">
        <x:v>062a6ddd-d99c-52e4-9ee7-c99c9dc90fe3</x:v>
      </x:c>
      <x:c r="E675" t="str">
        <x:v>CDA-CODE-008</x:v>
      </x:c>
      <x:c r="F675" t="str">
        <x:v>Caran d’Ache</x:v>
      </x:c>
      <x:c r="G675" t="str">
        <x:v>PSTP</x:v>
      </x:c>
      <x:c r="H675" t="str">
        <x:v>PASTEL PENCILS</x:v>
      </x:c>
      <x:c r="I675" t="str">
        <x:v>Extra-fine dry pastel pencil</x:v>
      </x:c>
      <x:c r="J675" t="str">
        <x:v>Professional</x:v>
      </x:c>
      <x:c r="K675" s="30" t="n">
        <x:v>78</x:v>
      </x:c>
      <x:c r="L675" s="30" t="str">
        <x:v>008</x:v>
      </x:c>
      <x:c r="M675" t="str">
        <x:v>Greyish black</x:v>
      </x:c>
      <x:c r="N675" t="str">
        <x:v>灰黑色</x:v>
      </x:c>
      <x:c r="O675" t="str">
        <x:v>グレイッシュブラック</x:v>
      </x:c>
      <x:c r="P675" t="str"/>
      <x:c r="Q675" t="str">
        <x:v>Gris noir</x:v>
      </x:c>
      <x:c r="R675" t="str">
        <x:v>Grauschwarz</x:v>
      </x:c>
      <x:c r="S675" t="str">
        <x:v>Grigio nero</x:v>
      </x:c>
      <x:c r="T675" t="str">
        <x:v>Gris negro</x:v>
      </x:c>
      <x:c r="U675" t="str">
        <x:v>Cinzento preto</x:v>
      </x:c>
      <x:c r="V675" t="str"/>
      <x:c r="W675" t="str">
        <x:v>PB15/PBk6</x:v>
      </x:c>
      <x:c r="X675" t="n">
        <x:f>IF(W675="",0,LEN(W675)-LEN(SUBSTITUTE(W675,"/",""))+1)</x:f>
        <x:v>2</x:v>
      </x:c>
      <x:c r="Y675" t="str">
        <x:v>HHH</x:v>
      </x:c>
      <x:c r="Z675" s="32" t="n">
        <x:v>3</x:v>
      </x:c>
      <x:c r="AA675" s="32" t="n">
        <x:v>5</x:v>
      </x:c>
      <x:c r="AB675" s="32" t="str">
        <x:v>Blue Wool Scale / UV 150h</x:v>
      </x:c>
      <x:c r="AC675" t="str">
        <x:v>#3B4752</x:v>
      </x:c>
      <x:c r="AD675" s="34" t="n">
        <x:v>59</x:v>
      </x:c>
      <x:c r="AE675" s="34" t="n">
        <x:v>71</x:v>
      </x:c>
      <x:c r="AF675" s="34" t="n">
        <x:v>82</x:v>
      </x:c>
      <x:c r="AG675" s="32" t="n">
        <x:v>208.7</x:v>
      </x:c>
      <x:c r="AH675" s="32" t="n">
        <x:v>16.31</x:v>
      </x:c>
      <x:c r="AI675" s="32" t="n">
        <x:v>27.65</x:v>
      </x:c>
      <x:c r="AJ675" s="32" t="n">
        <x:v>29.53</x:v>
      </x:c>
      <x:c r="AK675" s="32" t="n">
        <x:v>-1.91</x:v>
      </x:c>
      <x:c r="AL675" s="32" t="n">
        <x:v>-8.15</x:v>
      </x:c>
      <x:c r="AM675" s="32" t="str">
        <x:v>#FFFFFF</x:v>
      </x:c>
      <x:c r="AN675" s="32" t="str">
        <x:v>White</x:v>
      </x:c>
      <x:c r="AO675" s="32" t="n">
        <x:v>9.51</x:v>
      </x:c>
      <x:c r="AP675" s="32" t="n">
        <x:v>2.21</x:v>
      </x:c>
      <x:c r="AQ675" s="32" t="n">
        <x:v>9.51</x:v>
      </x:c>
      <x:c r="AR675" s="32" t="n">
        <x:v>0.060455</x:v>
      </x:c>
      <x:c r="AS675" t="str">
        <x:v>PASS</x:v>
      </x:c>
      <x:c r="AT675" t="str">
        <x:v>--cda-pstp-008</x:v>
      </x:c>
      <x:c r="AU675" t="str">
        <x:v>var(--cda-pstp-008)</x:v>
      </x:c>
      <x:c r="AV675" t="str">
        <x:v>Median RGB from official PDF swatch (screen reference only)</x:v>
      </x:c>
      <x:c r="AW675" t="str">
        <x:v>https://www.carandache.com/content_files/uploaded_doc/product/10985/Colour_Chart_Pastel_Pencil.pdf</x:v>
      </x:c>
      <x:c r="AX675" t="n">
        <x:v>1</x:v>
      </x:c>
      <x:c r="AY675" t="str">
        <x:v>Official</x:v>
      </x:c>
      <x:c r="AZ675" t="str">
        <x:v>Official where available; curated Traditional Chinese/Japanese otherwise</x:v>
      </x:c>
      <x:c r="BA675" t="str">
        <x:v>Verified from official chart; digital HEX is approximate</x:v>
      </x:c>
      <x:c r="BB675" t="str">
        <x:v>Physical media appearance varies by paper, pressure, layering, water and scan/display profile.</x:v>
      </x:c>
    </x:row>
    <x:row r="676">
      <x:c r="A676" t="str">
        <x:f>G676&amp;"|"&amp;L676</x:f>
        <x:v>PSTP|808</x:v>
      </x:c>
      <x:c r="B676" t="str">
        <x:v>68370291-2267-557e-be0c-5de313484f08</x:v>
      </x:c>
      <x:c r="C676" t="str">
        <x:v>CDA-PSTP-808</x:v>
      </x:c>
      <x:c r="D676" t="str">
        <x:v>6cbb1dd3-e8e7-5b5f-a6af-10bc7843d2f6</x:v>
      </x:c>
      <x:c r="E676" t="str">
        <x:v>CDA-CODE-808</x:v>
      </x:c>
      <x:c r="F676" t="str">
        <x:v>Caran d’Ache</x:v>
      </x:c>
      <x:c r="G676" t="str">
        <x:v>PSTP</x:v>
      </x:c>
      <x:c r="H676" t="str">
        <x:v>PASTEL PENCILS</x:v>
      </x:c>
      <x:c r="I676" t="str">
        <x:v>Extra-fine dry pastel pencil</x:v>
      </x:c>
      <x:c r="J676" t="str">
        <x:v>Professional</x:v>
      </x:c>
      <x:c r="K676" s="30" t="n">
        <x:v>79</x:v>
      </x:c>
      <x:c r="L676" s="30" t="str">
        <x:v>808</x:v>
      </x:c>
      <x:c r="M676" t="str">
        <x:v>French grey</x:v>
      </x:c>
      <x:c r="N676" t="str">
        <x:v>法國灰</x:v>
      </x:c>
      <x:c r="O676" t="str">
        <x:v>フレンチグレー</x:v>
      </x:c>
      <x:c r="P676" t="str"/>
      <x:c r="Q676" t="str">
        <x:v>Gris français</x:v>
      </x:c>
      <x:c r="R676" t="str">
        <x:v>Französischgrau</x:v>
      </x:c>
      <x:c r="S676" t="str">
        <x:v>Grigio francese</x:v>
      </x:c>
      <x:c r="T676" t="str">
        <x:v>Gris Francés</x:v>
      </x:c>
      <x:c r="U676" t="str">
        <x:v>Cinzento Francês</x:v>
      </x:c>
      <x:c r="V676" t="str"/>
      <x:c r="W676" t="str"/>
      <x:c r="X676" t="n">
        <x:f>IF(W676="",0,LEN(W676)-LEN(SUBSTITUTE(W676,"/",""))+1)</x:f>
        <x:v>0</x:v>
      </x:c>
      <x:c r="Y676" t="str">
        <x:v>HHH</x:v>
      </x:c>
      <x:c r="Z676" s="32" t="n">
        <x:v>3</x:v>
      </x:c>
      <x:c r="AA676" s="32" t="n">
        <x:v>5</x:v>
      </x:c>
      <x:c r="AB676" s="32" t="str">
        <x:v>Blue Wool Scale / UV 150h</x:v>
      </x:c>
      <x:c r="AC676" t="str">
        <x:v>#6E665A</x:v>
      </x:c>
      <x:c r="AD676" s="34" t="n">
        <x:v>110</x:v>
      </x:c>
      <x:c r="AE676" s="34" t="n">
        <x:v>102</x:v>
      </x:c>
      <x:c r="AF676" s="34" t="n">
        <x:v>90</x:v>
      </x:c>
      <x:c r="AG676" s="32" t="n">
        <x:v>36</x:v>
      </x:c>
      <x:c r="AH676" s="32" t="n">
        <x:v>10</x:v>
      </x:c>
      <x:c r="AI676" s="32" t="n">
        <x:v>39.22</x:v>
      </x:c>
      <x:c r="AJ676" s="32" t="n">
        <x:v>43.59</x:v>
      </x:c>
      <x:c r="AK676" s="32" t="n">
        <x:v>0.94</x:v>
      </x:c>
      <x:c r="AL676" s="32" t="n">
        <x:v>7.93</x:v>
      </x:c>
      <x:c r="AM676" s="32" t="str">
        <x:v>#FFFFFF</x:v>
      </x:c>
      <x:c r="AN676" s="32" t="str">
        <x:v>White</x:v>
      </x:c>
      <x:c r="AO676" s="32" t="n">
        <x:v>5.66</x:v>
      </x:c>
      <x:c r="AP676" s="32" t="n">
        <x:v>3.71</x:v>
      </x:c>
      <x:c r="AQ676" s="32" t="n">
        <x:v>5.66</x:v>
      </x:c>
      <x:c r="AR676" s="32" t="n">
        <x:v>0.135559</x:v>
      </x:c>
      <x:c r="AS676" t="str">
        <x:v>PASS</x:v>
      </x:c>
      <x:c r="AT676" t="str">
        <x:v>--cda-pstp-808</x:v>
      </x:c>
      <x:c r="AU676" t="str">
        <x:v>var(--cda-pstp-808)</x:v>
      </x:c>
      <x:c r="AV676" t="str">
        <x:v>Median RGB from official PDF swatch (screen reference only)</x:v>
      </x:c>
      <x:c r="AW676" t="str">
        <x:v>https://www.carandache.com/content_files/uploaded_doc/product/10985/Colour_Chart_Pastel_Pencil.pdf</x:v>
      </x:c>
      <x:c r="AX676" t="n">
        <x:v>1</x:v>
      </x:c>
      <x:c r="AY676" t="str">
        <x:v>Official</x:v>
      </x:c>
      <x:c r="AZ676" t="str">
        <x:v>Official where available; curated Traditional Chinese/Japanese otherwise</x:v>
      </x:c>
      <x:c r="BA676" t="str">
        <x:v>Verified from official chart; digital HEX is approximate</x:v>
      </x:c>
      <x:c r="BB676" t="str">
        <x:v>Physical media appearance varies by paper, pressure, layering, water and scan/display profile.</x:v>
      </x:c>
    </x:row>
    <x:row r="677">
      <x:c r="A677" t="str">
        <x:f>G677&amp;"|"&amp;L677</x:f>
        <x:v>PSTP|495</x:v>
      </x:c>
      <x:c r="B677" t="str">
        <x:v>3931c617-613e-5d37-ba2c-249432f983d3</x:v>
      </x:c>
      <x:c r="C677" t="str">
        <x:v>CDA-PSTP-495</x:v>
      </x:c>
      <x:c r="D677" t="str">
        <x:v>2389d9d0-ecac-5dc3-922c-5004968271df</x:v>
      </x:c>
      <x:c r="E677" t="str">
        <x:v>CDA-CODE-495</x:v>
      </x:c>
      <x:c r="F677" t="str">
        <x:v>Caran d’Ache</x:v>
      </x:c>
      <x:c r="G677" t="str">
        <x:v>PSTP</x:v>
      </x:c>
      <x:c r="H677" t="str">
        <x:v>PASTEL PENCILS</x:v>
      </x:c>
      <x:c r="I677" t="str">
        <x:v>Extra-fine dry pastel pencil</x:v>
      </x:c>
      <x:c r="J677" t="str">
        <x:v>Professional</x:v>
      </x:c>
      <x:c r="K677" s="30" t="n">
        <x:v>80</x:v>
      </x:c>
      <x:c r="L677" s="30" t="str">
        <x:v>495</x:v>
      </x:c>
      <x:c r="M677" t="str">
        <x:v>Slate grey</x:v>
      </x:c>
      <x:c r="N677" t="str">
        <x:v>板岩灰</x:v>
      </x:c>
      <x:c r="O677" t="str">
        <x:v>スレートグレー</x:v>
      </x:c>
      <x:c r="P677" t="str"/>
      <x:c r="Q677" t="str">
        <x:v>Gris ardoise</x:v>
      </x:c>
      <x:c r="R677" t="str">
        <x:v>Schiefergrau</x:v>
      </x:c>
      <x:c r="S677" t="str">
        <x:v>Grigio ardesia</x:v>
      </x:c>
      <x:c r="T677" t="str">
        <x:v>Gris pizarra</x:v>
      </x:c>
      <x:c r="U677" t="str">
        <x:v>Cinzento ardósia</x:v>
      </x:c>
      <x:c r="V677" t="str"/>
      <x:c r="W677" t="str">
        <x:v>PBk9</x:v>
      </x:c>
      <x:c r="X677" t="n">
        <x:f>IF(W677="",0,LEN(W677)-LEN(SUBSTITUTE(W677,"/",""))+1)</x:f>
        <x:v>1</x:v>
      </x:c>
      <x:c r="Y677" t="str">
        <x:v>HHH</x:v>
      </x:c>
      <x:c r="Z677" s="32" t="n">
        <x:v>3</x:v>
      </x:c>
      <x:c r="AA677" s="32" t="n">
        <x:v>5</x:v>
      </x:c>
      <x:c r="AB677" s="32" t="str">
        <x:v>Blue Wool Scale / UV 150h</x:v>
      </x:c>
      <x:c r="AC677" t="str">
        <x:v>#524C48</x:v>
      </x:c>
      <x:c r="AD677" s="34" t="n">
        <x:v>82</x:v>
      </x:c>
      <x:c r="AE677" s="34" t="n">
        <x:v>76</x:v>
      </x:c>
      <x:c r="AF677" s="34" t="n">
        <x:v>72</x:v>
      </x:c>
      <x:c r="AG677" s="32" t="n">
        <x:v>24</x:v>
      </x:c>
      <x:c r="AH677" s="32" t="n">
        <x:v>6.49</x:v>
      </x:c>
      <x:c r="AI677" s="32" t="n">
        <x:v>30.2</x:v>
      </x:c>
      <x:c r="AJ677" s="32" t="n">
        <x:v>32.77</x:v>
      </x:c>
      <x:c r="AK677" s="32" t="n">
        <x:v>1.68</x:v>
      </x:c>
      <x:c r="AL677" s="32" t="n">
        <x:v>3.27</x:v>
      </x:c>
      <x:c r="AM677" s="32" t="str">
        <x:v>#FFFFFF</x:v>
      </x:c>
      <x:c r="AN677" s="32" t="str">
        <x:v>White</x:v>
      </x:c>
      <x:c r="AO677" s="32" t="n">
        <x:v>8.45</x:v>
      </x:c>
      <x:c r="AP677" s="32" t="n">
        <x:v>2.49</x:v>
      </x:c>
      <x:c r="AQ677" s="32" t="n">
        <x:v>8.45</x:v>
      </x:c>
      <x:c r="AR677" s="32" t="n">
        <x:v>0.074306</x:v>
      </x:c>
      <x:c r="AS677" t="str">
        <x:v>PASS</x:v>
      </x:c>
      <x:c r="AT677" t="str">
        <x:v>--cda-pstp-495</x:v>
      </x:c>
      <x:c r="AU677" t="str">
        <x:v>var(--cda-pstp-495)</x:v>
      </x:c>
      <x:c r="AV677" t="str">
        <x:v>Median RGB from official PDF swatch (screen reference only)</x:v>
      </x:c>
      <x:c r="AW677" t="str">
        <x:v>https://www.carandache.com/content_files/uploaded_doc/product/10985/Colour_Chart_Pastel_Pencil.pdf</x:v>
      </x:c>
      <x:c r="AX677" t="n">
        <x:v>1</x:v>
      </x:c>
      <x:c r="AY677" t="str">
        <x:v>Official</x:v>
      </x:c>
      <x:c r="AZ677" t="str">
        <x:v>Official where available; curated Traditional Chinese/Japanese otherwise</x:v>
      </x:c>
      <x:c r="BA677" t="str">
        <x:v>Verified from official chart; digital HEX is approximate</x:v>
      </x:c>
      <x:c r="BB677" t="str">
        <x:v>Physical media appearance varies by paper, pressure, layering, water and scan/display profile.</x:v>
      </x:c>
    </x:row>
    <x:row r="678">
      <x:c r="A678" t="str">
        <x:f>G678&amp;"|"&amp;L678</x:f>
        <x:v>PSTP|046</x:v>
      </x:c>
      <x:c r="B678" t="str">
        <x:v>e0fb3c47-e596-5aa7-86d7-a44f0d0c28c8</x:v>
      </x:c>
      <x:c r="C678" t="str">
        <x:v>CDA-PSTP-046</x:v>
      </x:c>
      <x:c r="D678" t="str">
        <x:v>d6092a56-5cb2-52a3-93d7-9c1109a5f21e</x:v>
      </x:c>
      <x:c r="E678" t="str">
        <x:v>CDA-CODE-046</x:v>
      </x:c>
      <x:c r="F678" t="str">
        <x:v>Caran d’Ache</x:v>
      </x:c>
      <x:c r="G678" t="str">
        <x:v>PSTP</x:v>
      </x:c>
      <x:c r="H678" t="str">
        <x:v>PASTEL PENCILS</x:v>
      </x:c>
      <x:c r="I678" t="str">
        <x:v>Extra-fine dry pastel pencil</x:v>
      </x:c>
      <x:c r="J678" t="str">
        <x:v>Professional</x:v>
      </x:c>
      <x:c r="K678" s="30" t="n">
        <x:v>81</x:v>
      </x:c>
      <x:c r="L678" s="30" t="str">
        <x:v>046</x:v>
      </x:c>
      <x:c r="M678" t="str">
        <x:v>Cassel earth</x:v>
      </x:c>
      <x:c r="N678" t="str">
        <x:v>卡塞爾土色</x:v>
      </x:c>
      <x:c r="O678" t="str">
        <x:v>カッセルアース</x:v>
      </x:c>
      <x:c r="P678" t="str"/>
      <x:c r="Q678" t="str">
        <x:v>Terre de Cassel</x:v>
      </x:c>
      <x:c r="R678" t="str">
        <x:v>Kasseler Erde</x:v>
      </x:c>
      <x:c r="S678" t="str">
        <x:v>Terra di Kassel</x:v>
      </x:c>
      <x:c r="T678" t="str">
        <x:v>Tierra de Cassel</x:v>
      </x:c>
      <x:c r="U678" t="str">
        <x:v>Terra de Cassel</x:v>
      </x:c>
      <x:c r="V678" t="str"/>
      <x:c r="W678" t="str"/>
      <x:c r="X678" t="n">
        <x:f>IF(W678="",0,LEN(W678)-LEN(SUBSTITUTE(W678,"/",""))+1)</x:f>
        <x:v>0</x:v>
      </x:c>
      <x:c r="Y678" t="str">
        <x:v>HHH</x:v>
      </x:c>
      <x:c r="Z678" s="32" t="n">
        <x:v>3</x:v>
      </x:c>
      <x:c r="AA678" s="32" t="n">
        <x:v>5</x:v>
      </x:c>
      <x:c r="AB678" s="32" t="str">
        <x:v>Blue Wool Scale / UV 150h</x:v>
      </x:c>
      <x:c r="AC678" t="str">
        <x:v>#584439</x:v>
      </x:c>
      <x:c r="AD678" s="34" t="n">
        <x:v>88</x:v>
      </x:c>
      <x:c r="AE678" s="34" t="n">
        <x:v>68</x:v>
      </x:c>
      <x:c r="AF678" s="34" t="n">
        <x:v>57</x:v>
      </x:c>
      <x:c r="AG678" s="32" t="n">
        <x:v>21.29</x:v>
      </x:c>
      <x:c r="AH678" s="32" t="n">
        <x:v>21.38</x:v>
      </x:c>
      <x:c r="AI678" s="32" t="n">
        <x:v>28.43</x:v>
      </x:c>
      <x:c r="AJ678" s="32" t="n">
        <x:v>30.65</x:v>
      </x:c>
      <x:c r="AK678" s="32" t="n">
        <x:v>6.79</x:v>
      </x:c>
      <x:c r="AL678" s="32" t="n">
        <x:v>9.95</x:v>
      </x:c>
      <x:c r="AM678" s="32" t="str">
        <x:v>#FFFFFF</x:v>
      </x:c>
      <x:c r="AN678" s="32" t="str">
        <x:v>White</x:v>
      </x:c>
      <x:c r="AO678" s="32" t="n">
        <x:v>9.13</x:v>
      </x:c>
      <x:c r="AP678" s="32" t="n">
        <x:v>2.3</x:v>
      </x:c>
      <x:c r="AQ678" s="32" t="n">
        <x:v>9.13</x:v>
      </x:c>
      <x:c r="AR678" s="32" t="n">
        <x:v>0.065044</x:v>
      </x:c>
      <x:c r="AS678" t="str">
        <x:v>PASS</x:v>
      </x:c>
      <x:c r="AT678" t="str">
        <x:v>--cda-pstp-046</x:v>
      </x:c>
      <x:c r="AU678" t="str">
        <x:v>var(--cda-pstp-046)</x:v>
      </x:c>
      <x:c r="AV678" t="str">
        <x:v>Median RGB from official PDF swatch (screen reference only)</x:v>
      </x:c>
      <x:c r="AW678" t="str">
        <x:v>https://www.carandache.com/content_files/uploaded_doc/product/10985/Colour_Chart_Pastel_Pencil.pdf</x:v>
      </x:c>
      <x:c r="AX678" t="n">
        <x:v>1</x:v>
      </x:c>
      <x:c r="AY678" t="str">
        <x:v>Official</x:v>
      </x:c>
      <x:c r="AZ678" t="str">
        <x:v>Official where available; curated Traditional Chinese/Japanese otherwise</x:v>
      </x:c>
      <x:c r="BA678" t="str">
        <x:v>Verified from official chart; digital HEX is approximate</x:v>
      </x:c>
      <x:c r="BB678" t="str">
        <x:v>Physical media appearance varies by paper, pressure, layering, water and scan/display profile.</x:v>
      </x:c>
    </x:row>
    <x:row r="679">
      <x:c r="A679" t="str">
        <x:f>G679&amp;"|"&amp;L679</x:f>
        <x:v>PSTP|748</x:v>
      </x:c>
      <x:c r="B679" t="str">
        <x:v>c38bdfc0-aa44-57e4-bf6a-7021f192f7fd</x:v>
      </x:c>
      <x:c r="C679" t="str">
        <x:v>CDA-PSTP-748</x:v>
      </x:c>
      <x:c r="D679" t="str">
        <x:v>fb8b22bf-931a-5020-aba1-6e2f47b4542f</x:v>
      </x:c>
      <x:c r="E679" t="str">
        <x:v>CDA-CODE-748</x:v>
      </x:c>
      <x:c r="F679" t="str">
        <x:v>Caran d’Ache</x:v>
      </x:c>
      <x:c r="G679" t="str">
        <x:v>PSTP</x:v>
      </x:c>
      <x:c r="H679" t="str">
        <x:v>PASTEL PENCILS</x:v>
      </x:c>
      <x:c r="I679" t="str">
        <x:v>Extra-fine dry pastel pencil</x:v>
      </x:c>
      <x:c r="J679" t="str">
        <x:v>Professional</x:v>
      </x:c>
      <x:c r="K679" s="30" t="n">
        <x:v>82</x:v>
      </x:c>
      <x:c r="L679" s="30" t="str">
        <x:v>748</x:v>
      </x:c>
      <x:c r="M679" t="str">
        <x:v>Dark flesh</x:v>
      </x:c>
      <x:c r="N679" t="str">
        <x:v>深膚色</x:v>
      </x:c>
      <x:c r="O679" t="str">
        <x:v>ダークフレッシュ</x:v>
      </x:c>
      <x:c r="P679" t="str"/>
      <x:c r="Q679" t="str">
        <x:v>Chair foncée</x:v>
      </x:c>
      <x:c r="R679" t="str">
        <x:v>Dunkel Fleischfarbig</x:v>
      </x:c>
      <x:c r="S679" t="str">
        <x:v>Incarnato scuro</x:v>
      </x:c>
      <x:c r="T679" t="str">
        <x:v>Carne oscuro</x:v>
      </x:c>
      <x:c r="U679" t="str">
        <x:v>Carne escuro</x:v>
      </x:c>
      <x:c r="V679" t="str"/>
      <x:c r="W679" t="str">
        <x:v>PR179/PBk7/PBr7/PBk11/PY42/PR101</x:v>
      </x:c>
      <x:c r="X679" t="n">
        <x:f>IF(W679="",0,LEN(W679)-LEN(SUBSTITUTE(W679,"/",""))+1)</x:f>
        <x:v>6</x:v>
      </x:c>
      <x:c r="Y679" t="str">
        <x:v>HHH</x:v>
      </x:c>
      <x:c r="Z679" s="32" t="n">
        <x:v>3</x:v>
      </x:c>
      <x:c r="AA679" s="32" t="n">
        <x:v>5</x:v>
      </x:c>
      <x:c r="AB679" s="32" t="str">
        <x:v>Blue Wool Scale / UV 150h</x:v>
      </x:c>
      <x:c r="AC679" t="str">
        <x:v>#43302D</x:v>
      </x:c>
      <x:c r="AD679" s="34" t="n">
        <x:v>67</x:v>
      </x:c>
      <x:c r="AE679" s="34" t="n">
        <x:v>48</x:v>
      </x:c>
      <x:c r="AF679" s="34" t="n">
        <x:v>45</x:v>
      </x:c>
      <x:c r="AG679" s="32" t="n">
        <x:v>8.18</x:v>
      </x:c>
      <x:c r="AH679" s="32" t="n">
        <x:v>19.64</x:v>
      </x:c>
      <x:c r="AI679" s="32" t="n">
        <x:v>21.96</x:v>
      </x:c>
      <x:c r="AJ679" s="32" t="n">
        <x:v>21.93</x:v>
      </x:c>
      <x:c r="AK679" s="32" t="n">
        <x:v>8.14</x:v>
      </x:c>
      <x:c r="AL679" s="32" t="n">
        <x:v>5.3</x:v>
      </x:c>
      <x:c r="AM679" s="32" t="str">
        <x:v>#FFFFFF</x:v>
      </x:c>
      <x:c r="AN679" s="32" t="str">
        <x:v>White</x:v>
      </x:c>
      <x:c r="AO679" s="32" t="n">
        <x:v>12.36</x:v>
      </x:c>
      <x:c r="AP679" s="32" t="n">
        <x:v>1.7</x:v>
      </x:c>
      <x:c r="AQ679" s="32" t="n">
        <x:v>12.36</x:v>
      </x:c>
      <x:c r="AR679" s="32" t="n">
        <x:v>0.034967</x:v>
      </x:c>
      <x:c r="AS679" t="str">
        <x:v>PASS</x:v>
      </x:c>
      <x:c r="AT679" t="str">
        <x:v>--cda-pstp-748</x:v>
      </x:c>
      <x:c r="AU679" t="str">
        <x:v>var(--cda-pstp-748)</x:v>
      </x:c>
      <x:c r="AV679" t="str">
        <x:v>Median RGB from official PDF swatch (screen reference only)</x:v>
      </x:c>
      <x:c r="AW679" t="str">
        <x:v>https://www.carandache.com/content_files/uploaded_doc/product/10985/Colour_Chart_Pastel_Pencil.pdf</x:v>
      </x:c>
      <x:c r="AX679" t="n">
        <x:v>1</x:v>
      </x:c>
      <x:c r="AY679" t="str">
        <x:v>Official</x:v>
      </x:c>
      <x:c r="AZ679" t="str">
        <x:v>Official where available; curated Traditional Chinese/Japanese otherwise</x:v>
      </x:c>
      <x:c r="BA679" t="str">
        <x:v>Verified from official chart; digital HEX is approximate</x:v>
      </x:c>
      <x:c r="BB679" t="str">
        <x:v>Physical media appearance varies by paper, pressure, layering, water and scan/display profile.</x:v>
      </x:c>
    </x:row>
    <x:row r="680">
      <x:c r="A680" t="str">
        <x:f>G680&amp;"|"&amp;L680</x:f>
        <x:v>PSTP|408</x:v>
      </x:c>
      <x:c r="B680" t="str">
        <x:v>d4c74825-5ef5-556d-a24c-82be8a03fdfd</x:v>
      </x:c>
      <x:c r="C680" t="str">
        <x:v>CDA-PSTP-408</x:v>
      </x:c>
      <x:c r="D680" t="str">
        <x:v>7a98f2fc-d14c-5f7a-be39-a7e7c879131c</x:v>
      </x:c>
      <x:c r="E680" t="str">
        <x:v>CDA-CODE-408</x:v>
      </x:c>
      <x:c r="F680" t="str">
        <x:v>Caran d’Ache</x:v>
      </x:c>
      <x:c r="G680" t="str">
        <x:v>PSTP</x:v>
      </x:c>
      <x:c r="H680" t="str">
        <x:v>PASTEL PENCILS</x:v>
      </x:c>
      <x:c r="I680" t="str">
        <x:v>Extra-fine dry pastel pencil</x:v>
      </x:c>
      <x:c r="J680" t="str">
        <x:v>Professional</x:v>
      </x:c>
      <x:c r="K680" s="30" t="n">
        <x:v>83</x:v>
      </x:c>
      <x:c r="L680" s="30" t="str">
        <x:v>408</x:v>
      </x:c>
      <x:c r="M680" t="str">
        <x:v>Dark Sepia</x:v>
      </x:c>
      <x:c r="N680" t="str">
        <x:v>深褐棕</x:v>
      </x:c>
      <x:c r="O680" t="str">
        <x:v>ダークセピア</x:v>
      </x:c>
      <x:c r="P680" t="str"/>
      <x:c r="Q680" t="str">
        <x:v>Sépia foncé</x:v>
      </x:c>
      <x:c r="R680" t="str">
        <x:v>Dunkel Sepia</x:v>
      </x:c>
      <x:c r="S680" t="str">
        <x:v>Seppia scuro</x:v>
      </x:c>
      <x:c r="T680" t="str">
        <x:v>Sepia oscuro</x:v>
      </x:c>
      <x:c r="U680" t="str">
        <x:v>Sépia escuro</x:v>
      </x:c>
      <x:c r="V680" t="str"/>
      <x:c r="W680" t="str"/>
      <x:c r="X680" t="n">
        <x:f>IF(W680="",0,LEN(W680)-LEN(SUBSTITUTE(W680,"/",""))+1)</x:f>
        <x:v>0</x:v>
      </x:c>
      <x:c r="Y680" t="str">
        <x:v>HHH</x:v>
      </x:c>
      <x:c r="Z680" s="32" t="n">
        <x:v>3</x:v>
      </x:c>
      <x:c r="AA680" s="32" t="n">
        <x:v>5</x:v>
      </x:c>
      <x:c r="AB680" s="32" t="str">
        <x:v>Blue Wool Scale / UV 150h</x:v>
      </x:c>
      <x:c r="AC680" t="str">
        <x:v>#3A2F2B</x:v>
      </x:c>
      <x:c r="AD680" s="34" t="n">
        <x:v>58</x:v>
      </x:c>
      <x:c r="AE680" s="34" t="n">
        <x:v>47</x:v>
      </x:c>
      <x:c r="AF680" s="34" t="n">
        <x:v>43</x:v>
      </x:c>
      <x:c r="AG680" s="32" t="n">
        <x:v>16</x:v>
      </x:c>
      <x:c r="AH680" s="32" t="n">
        <x:v>14.85</x:v>
      </x:c>
      <x:c r="AI680" s="32" t="n">
        <x:v>19.8</x:v>
      </x:c>
      <x:c r="AJ680" s="32" t="n">
        <x:v>20.47</x:v>
      </x:c>
      <x:c r="AK680" s="32" t="n">
        <x:v>4.22</x:v>
      </x:c>
      <x:c r="AL680" s="32" t="n">
        <x:v>4.44</x:v>
      </x:c>
      <x:c r="AM680" s="32" t="str">
        <x:v>#FFFFFF</x:v>
      </x:c>
      <x:c r="AN680" s="32" t="str">
        <x:v>White</x:v>
      </x:c>
      <x:c r="AO680" s="32" t="n">
        <x:v>12.95</x:v>
      </x:c>
      <x:c r="AP680" s="32" t="n">
        <x:v>1.62</x:v>
      </x:c>
      <x:c r="AQ680" s="32" t="n">
        <x:v>12.95</x:v>
      </x:c>
      <x:c r="AR680" s="32" t="n">
        <x:v>0.03107</x:v>
      </x:c>
      <x:c r="AS680" t="str">
        <x:v>PASS</x:v>
      </x:c>
      <x:c r="AT680" t="str">
        <x:v>--cda-pstp-408</x:v>
      </x:c>
      <x:c r="AU680" t="str">
        <x:v>var(--cda-pstp-408)</x:v>
      </x:c>
      <x:c r="AV680" t="str">
        <x:v>Median RGB from official PDF swatch (screen reference only)</x:v>
      </x:c>
      <x:c r="AW680" t="str">
        <x:v>https://www.carandache.com/content_files/uploaded_doc/product/10985/Colour_Chart_Pastel_Pencil.pdf</x:v>
      </x:c>
      <x:c r="AX680" t="n">
        <x:v>1</x:v>
      </x:c>
      <x:c r="AY680" t="str">
        <x:v>Official</x:v>
      </x:c>
      <x:c r="AZ680" t="str">
        <x:v>Official where available; curated Traditional Chinese/Japanese otherwise</x:v>
      </x:c>
      <x:c r="BA680" t="str">
        <x:v>Verified from official chart; digital HEX is approximate</x:v>
      </x:c>
      <x:c r="BB680" t="str">
        <x:v>Physical media appearance varies by paper, pressure, layering, water and scan/display profile.</x:v>
      </x:c>
    </x:row>
    <x:row r="681">
      <x:c r="A681" t="str">
        <x:f>G681&amp;"|"&amp;L681</x:f>
        <x:v>PSTP|009</x:v>
      </x:c>
      <x:c r="B681" t="str">
        <x:v>919ce3ee-330e-59cf-9348-a88c565a04b4</x:v>
      </x:c>
      <x:c r="C681" t="str">
        <x:v>CDA-PSTP-009</x:v>
      </x:c>
      <x:c r="D681" t="str">
        <x:v>2d957d29-ed22-5cec-97bd-83295e45a493</x:v>
      </x:c>
      <x:c r="E681" t="str">
        <x:v>CDA-CODE-009</x:v>
      </x:c>
      <x:c r="F681" t="str">
        <x:v>Caran d’Ache</x:v>
      </x:c>
      <x:c r="G681" t="str">
        <x:v>PSTP</x:v>
      </x:c>
      <x:c r="H681" t="str">
        <x:v>PASTEL PENCILS</x:v>
      </x:c>
      <x:c r="I681" t="str">
        <x:v>Extra-fine dry pastel pencil</x:v>
      </x:c>
      <x:c r="J681" t="str">
        <x:v>Professional</x:v>
      </x:c>
      <x:c r="K681" s="30" t="n">
        <x:v>84</x:v>
      </x:c>
      <x:c r="L681" s="30" t="str">
        <x:v>009</x:v>
      </x:c>
      <x:c r="M681" t="str">
        <x:v>Black</x:v>
      </x:c>
      <x:c r="N681" t="str">
        <x:v>黑色</x:v>
      </x:c>
      <x:c r="O681" t="str">
        <x:v>ブラック</x:v>
      </x:c>
      <x:c r="P681" t="str"/>
      <x:c r="Q681" t="str">
        <x:v>Noir</x:v>
      </x:c>
      <x:c r="R681" t="str">
        <x:v>Schwarz</x:v>
      </x:c>
      <x:c r="S681" t="str">
        <x:v>Nero</x:v>
      </x:c>
      <x:c r="T681" t="str">
        <x:v>Negro</x:v>
      </x:c>
      <x:c r="U681" t="str">
        <x:v>Preto</x:v>
      </x:c>
      <x:c r="V681" t="str"/>
      <x:c r="W681" t="str">
        <x:v>PBk7</x:v>
      </x:c>
      <x:c r="X681" t="n">
        <x:f>IF(W681="",0,LEN(W681)-LEN(SUBSTITUTE(W681,"/",""))+1)</x:f>
        <x:v>1</x:v>
      </x:c>
      <x:c r="Y681" t="str">
        <x:v>HHH</x:v>
      </x:c>
      <x:c r="Z681" s="32" t="n">
        <x:v>3</x:v>
      </x:c>
      <x:c r="AA681" s="32" t="n">
        <x:v>5</x:v>
      </x:c>
      <x:c r="AB681" s="32" t="str">
        <x:v>Blue Wool Scale / UV 150h</x:v>
      </x:c>
      <x:c r="AC681" t="str">
        <x:v>#363538</x:v>
      </x:c>
      <x:c r="AD681" s="34" t="n">
        <x:v>54</x:v>
      </x:c>
      <x:c r="AE681" s="34" t="n">
        <x:v>53</x:v>
      </x:c>
      <x:c r="AF681" s="34" t="n">
        <x:v>56</x:v>
      </x:c>
      <x:c r="AG681" s="32" t="n">
        <x:v>260</x:v>
      </x:c>
      <x:c r="AH681" s="32" t="n">
        <x:v>2.75</x:v>
      </x:c>
      <x:c r="AI681" s="32" t="n">
        <x:v>21.37</x:v>
      </x:c>
      <x:c r="AJ681" s="32" t="n">
        <x:v>22.36</x:v>
      </x:c>
      <x:c r="AK681" s="32" t="n">
        <x:v>1.13</x:v>
      </x:c>
      <x:c r="AL681" s="32" t="n">
        <x:v>-1.73</x:v>
      </x:c>
      <x:c r="AM681" s="32" t="str">
        <x:v>#FFFFFF</x:v>
      </x:c>
      <x:c r="AN681" s="32" t="str">
        <x:v>White</x:v>
      </x:c>
      <x:c r="AO681" s="32" t="n">
        <x:v>12.19</x:v>
      </x:c>
      <x:c r="AP681" s="32" t="n">
        <x:v>1.72</x:v>
      </x:c>
      <x:c r="AQ681" s="32" t="n">
        <x:v>12.19</x:v>
      </x:c>
      <x:c r="AR681" s="32" t="n">
        <x:v>0.03616</x:v>
      </x:c>
      <x:c r="AS681" t="str">
        <x:v>PASS</x:v>
      </x:c>
      <x:c r="AT681" t="str">
        <x:v>--cda-pstp-009</x:v>
      </x:c>
      <x:c r="AU681" t="str">
        <x:v>var(--cda-pstp-009)</x:v>
      </x:c>
      <x:c r="AV681" t="str">
        <x:v>Median RGB from official PDF swatch (screen reference only)</x:v>
      </x:c>
      <x:c r="AW681" t="str">
        <x:v>https://www.carandache.com/content_files/uploaded_doc/product/10985/Colour_Chart_Pastel_Pencil.pdf</x:v>
      </x:c>
      <x:c r="AX681" t="n">
        <x:v>1</x:v>
      </x:c>
      <x:c r="AY681" t="str">
        <x:v>Official</x:v>
      </x:c>
      <x:c r="AZ681" t="str">
        <x:v>Official where available; curated Traditional Chinese/Japanese otherwise</x:v>
      </x:c>
      <x:c r="BA681" t="str">
        <x:v>Verified from official chart; digital HEX is approximate</x:v>
      </x:c>
      <x:c r="BB681" t="str">
        <x:v>Physical media appearance varies by paper, pressure, layering, water and scan/display profile.</x:v>
      </x:c>
    </x:row>
    <x:row r="682">
      <x:c r="A682" t="str">
        <x:f>G682&amp;"|"&amp;L682</x:f>
        <x:v>PSTC|901</x:v>
      </x:c>
      <x:c r="B682" t="str">
        <x:v>45688f4c-5d17-59c8-977d-db3cff54bd53</x:v>
      </x:c>
      <x:c r="C682" t="str">
        <x:v>CDA-PSTC-901</x:v>
      </x:c>
      <x:c r="D682" t="str">
        <x:v>6b457299-3ab3-5f84-8ba0-62aedfe48c61</x:v>
      </x:c>
      <x:c r="E682" t="str">
        <x:v>CDA-CODE-901</x:v>
      </x:c>
      <x:c r="F682" t="str">
        <x:v>Caran d’Ache</x:v>
      </x:c>
      <x:c r="G682" t="str">
        <x:v>PSTC</x:v>
      </x:c>
      <x:c r="H682" t="str">
        <x:v>PASTEL CUBES</x:v>
      </x:c>
      <x:c r="I682" t="str">
        <x:v>Extra-fine dry pastel cube</x:v>
      </x:c>
      <x:c r="J682" t="str">
        <x:v>Professional</x:v>
      </x:c>
      <x:c r="K682" s="30" t="n">
        <x:v>1</x:v>
      </x:c>
      <x:c r="L682" s="30" t="str">
        <x:v>901</x:v>
      </x:c>
      <x:c r="M682" t="str">
        <x:v>Chinese White</x:v>
      </x:c>
      <x:c r="N682" t="str">
        <x:v>中國白</x:v>
      </x:c>
      <x:c r="O682" t="str">
        <x:v>チャイニーズホワイト</x:v>
      </x:c>
      <x:c r="P682" t="str"/>
      <x:c r="Q682" t="str">
        <x:v>Blanc de Chine</x:v>
      </x:c>
      <x:c r="R682" t="str">
        <x:v>Chinaweiss</x:v>
      </x:c>
      <x:c r="S682" t="str">
        <x:v>Bianco di cina</x:v>
      </x:c>
      <x:c r="T682" t="str">
        <x:v>Blanco de China</x:v>
      </x:c>
      <x:c r="U682" t="str">
        <x:v>Branco permanente</x:v>
      </x:c>
      <x:c r="V682" t="str"/>
      <x:c r="W682" t="str">
        <x:v>PW6</x:v>
      </x:c>
      <x:c r="X682" t="n">
        <x:f>IF(W682="",0,LEN(W682)-LEN(SUBSTITUTE(W682,"/",""))+1)</x:f>
        <x:v>1</x:v>
      </x:c>
      <x:c r="Y682" t="str">
        <x:v>HHH</x:v>
      </x:c>
      <x:c r="Z682" s="32" t="n">
        <x:v>3</x:v>
      </x:c>
      <x:c r="AA682" s="32" t="n">
        <x:v>5</x:v>
      </x:c>
      <x:c r="AB682" s="32" t="str">
        <x:v>Blue Wool Scale / UV 150h</x:v>
      </x:c>
      <x:c r="AC682" t="str">
        <x:v>#EEEDEE</x:v>
      </x:c>
      <x:c r="AD682" s="34" t="n">
        <x:v>238</x:v>
      </x:c>
      <x:c r="AE682" s="34" t="n">
        <x:v>237</x:v>
      </x:c>
      <x:c r="AF682" s="34" t="n">
        <x:v>238</x:v>
      </x:c>
      <x:c r="AG682" s="32" t="n">
        <x:v>300</x:v>
      </x:c>
      <x:c r="AH682" s="32" t="n">
        <x:v>2.86</x:v>
      </x:c>
      <x:c r="AI682" s="32" t="n">
        <x:v>93.14</x:v>
      </x:c>
      <x:c r="AJ682" s="32" t="n">
        <x:v>93.85</x:v>
      </x:c>
      <x:c r="AK682" s="32" t="n">
        <x:v>0.51</x:v>
      </x:c>
      <x:c r="AL682" s="32" t="n">
        <x:v>-0.36</x:v>
      </x:c>
      <x:c r="AM682" s="32" t="str">
        <x:v>#000000</x:v>
      </x:c>
      <x:c r="AN682" s="32" t="str">
        <x:v>Black</x:v>
      </x:c>
      <x:c r="AO682" s="32" t="n">
        <x:v>17.98</x:v>
      </x:c>
      <x:c r="AP682" s="32" t="n">
        <x:v>17.98</x:v>
      </x:c>
      <x:c r="AQ682" s="32" t="n">
        <x:v>1.17</x:v>
      </x:c>
      <x:c r="AR682" s="32" t="n">
        <x:v>0.849186</x:v>
      </x:c>
      <x:c r="AS682" t="str">
        <x:v>PASS</x:v>
      </x:c>
      <x:c r="AT682" t="str">
        <x:v>--cda-pstc-901</x:v>
      </x:c>
      <x:c r="AU682" t="str">
        <x:v>var(--cda-pstc-901)</x:v>
      </x:c>
      <x:c r="AV682" t="str">
        <x:v>Median RGB from official PDF swatch (screen reference only)</x:v>
      </x:c>
      <x:c r="AW682" t="str">
        <x:v>https://www.carandache.com/content_files/uploaded_doc/product/10985/Colour_Chart_Pastel_Pencil.pdf</x:v>
      </x:c>
      <x:c r="AX682" t="n">
        <x:v>1</x:v>
      </x:c>
      <x:c r="AY682" t="str">
        <x:v>Official</x:v>
      </x:c>
      <x:c r="AZ682" t="str">
        <x:v>Official where available; curated Traditional Chinese/Japanese otherwise</x:v>
      </x:c>
      <x:c r="BA682" t="str">
        <x:v>Verified from official chart; digital HEX is approximate</x:v>
      </x:c>
      <x:c r="BB682" t="str">
        <x:v>Shares the same 84-colour palette as PASTEL PENCILS; physical application differs by format.</x:v>
      </x:c>
    </x:row>
    <x:row r="683">
      <x:c r="A683" t="str">
        <x:f>G683&amp;"|"&amp;L683</x:f>
        <x:v>PSTC|811</x:v>
      </x:c>
      <x:c r="B683" t="str">
        <x:v>e2f179cd-6781-5ba8-ae11-27302bf87a54</x:v>
      </x:c>
      <x:c r="C683" t="str">
        <x:v>CDA-PSTC-811</x:v>
      </x:c>
      <x:c r="D683" t="str">
        <x:v>68b3f090-65b0-5df9-a1a2-1a0d6c86c9d3</x:v>
      </x:c>
      <x:c r="E683" t="str">
        <x:v>CDA-CODE-811</x:v>
      </x:c>
      <x:c r="F683" t="str">
        <x:v>Caran d’Ache</x:v>
      </x:c>
      <x:c r="G683" t="str">
        <x:v>PSTC</x:v>
      </x:c>
      <x:c r="H683" t="str">
        <x:v>PASTEL CUBES</x:v>
      </x:c>
      <x:c r="I683" t="str">
        <x:v>Extra-fine dry pastel cube</x:v>
      </x:c>
      <x:c r="J683" t="str">
        <x:v>Professional</x:v>
      </x:c>
      <x:c r="K683" s="30" t="n">
        <x:v>2</x:v>
      </x:c>
      <x:c r="L683" s="30" t="str">
        <x:v>811</x:v>
      </x:c>
      <x:c r="M683" t="str">
        <x:v>Bismuth white</x:v>
      </x:c>
      <x:c r="N683" t="str">
        <x:v>鉍白</x:v>
      </x:c>
      <x:c r="O683" t="str">
        <x:v>ビスマスホワイト</x:v>
      </x:c>
      <x:c r="P683" t="str"/>
      <x:c r="Q683" t="str">
        <x:v>Blanc bismuthé</x:v>
      </x:c>
      <x:c r="R683" t="str">
        <x:v>Bismuthweiss</x:v>
      </x:c>
      <x:c r="S683" t="str">
        <x:v>Bianco Bismuth</x:v>
      </x:c>
      <x:c r="T683" t="str">
        <x:v>Blanco Bismuth</x:v>
      </x:c>
      <x:c r="U683" t="str">
        <x:v>Branco Bismuth</x:v>
      </x:c>
      <x:c r="V683" t="str"/>
      <x:c r="W683" t="str">
        <x:v>PW6/PY184</x:v>
      </x:c>
      <x:c r="X683" t="n">
        <x:f>IF(W683="",0,LEN(W683)-LEN(SUBSTITUTE(W683,"/",""))+1)</x:f>
        <x:v>2</x:v>
      </x:c>
      <x:c r="Y683" t="str">
        <x:v>HHH</x:v>
      </x:c>
      <x:c r="Z683" s="32" t="n">
        <x:v>3</x:v>
      </x:c>
      <x:c r="AA683" s="32" t="n">
        <x:v>5</x:v>
      </x:c>
      <x:c r="AB683" s="32" t="str">
        <x:v>Blue Wool Scale / UV 150h</x:v>
      </x:c>
      <x:c r="AC683" t="str">
        <x:v>#D9D6CB</x:v>
      </x:c>
      <x:c r="AD683" s="34" t="n">
        <x:v>217</x:v>
      </x:c>
      <x:c r="AE683" s="34" t="n">
        <x:v>214</x:v>
      </x:c>
      <x:c r="AF683" s="34" t="n">
        <x:v>203</x:v>
      </x:c>
      <x:c r="AG683" s="32" t="n">
        <x:v>47.14</x:v>
      </x:c>
      <x:c r="AH683" s="32" t="n">
        <x:v>15.56</x:v>
      </x:c>
      <x:c r="AI683" s="32" t="n">
        <x:v>82.35</x:v>
      </x:c>
      <x:c r="AJ683" s="32" t="n">
        <x:v>85.58</x:v>
      </x:c>
      <x:c r="AK683" s="32" t="n">
        <x:v>-0.9</x:v>
      </x:c>
      <x:c r="AL683" s="32" t="n">
        <x:v>5.79</x:v>
      </x:c>
      <x:c r="AM683" s="32" t="str">
        <x:v>#000000</x:v>
      </x:c>
      <x:c r="AN683" s="32" t="str">
        <x:v>Black</x:v>
      </x:c>
      <x:c r="AO683" s="32" t="n">
        <x:v>14.43</x:v>
      </x:c>
      <x:c r="AP683" s="32" t="n">
        <x:v>14.43</x:v>
      </x:c>
      <x:c r="AQ683" s="32" t="n">
        <x:v>1.46</x:v>
      </x:c>
      <x:c r="AR683" s="32" t="n">
        <x:v>0.671566</x:v>
      </x:c>
      <x:c r="AS683" t="str">
        <x:v>PASS</x:v>
      </x:c>
      <x:c r="AT683" t="str">
        <x:v>--cda-pstc-811</x:v>
      </x:c>
      <x:c r="AU683" t="str">
        <x:v>var(--cda-pstc-811)</x:v>
      </x:c>
      <x:c r="AV683" t="str">
        <x:v>Median RGB from official PDF swatch (screen reference only)</x:v>
      </x:c>
      <x:c r="AW683" t="str">
        <x:v>https://www.carandache.com/content_files/uploaded_doc/product/10985/Colour_Chart_Pastel_Pencil.pdf</x:v>
      </x:c>
      <x:c r="AX683" t="n">
        <x:v>1</x:v>
      </x:c>
      <x:c r="AY683" t="str">
        <x:v>Official</x:v>
      </x:c>
      <x:c r="AZ683" t="str">
        <x:v>Official where available; curated Traditional Chinese/Japanese otherwise</x:v>
      </x:c>
      <x:c r="BA683" t="str">
        <x:v>Verified from official chart; digital HEX is approximate</x:v>
      </x:c>
      <x:c r="BB683" t="str">
        <x:v>Shares the same 84-colour palette as PASTEL PENCILS; physical application differs by format.</x:v>
      </x:c>
    </x:row>
    <x:row r="684">
      <x:c r="A684" t="str">
        <x:f>G684&amp;"|"&amp;L684</x:f>
        <x:v>PSTC|011</x:v>
      </x:c>
      <x:c r="B684" t="str">
        <x:v>7504675a-9e10-5c4d-ab8f-5d34c94d2a4f</x:v>
      </x:c>
      <x:c r="C684" t="str">
        <x:v>CDA-PSTC-011</x:v>
      </x:c>
      <x:c r="D684" t="str">
        <x:v>43a8d005-d4eb-5d75-b7e7-67ed5cabd5f4</x:v>
      </x:c>
      <x:c r="E684" t="str">
        <x:v>CDA-CODE-011</x:v>
      </x:c>
      <x:c r="F684" t="str">
        <x:v>Caran d’Ache</x:v>
      </x:c>
      <x:c r="G684" t="str">
        <x:v>PSTC</x:v>
      </x:c>
      <x:c r="H684" t="str">
        <x:v>PASTEL CUBES</x:v>
      </x:c>
      <x:c r="I684" t="str">
        <x:v>Extra-fine dry pastel cube</x:v>
      </x:c>
      <x:c r="J684" t="str">
        <x:v>Professional</x:v>
      </x:c>
      <x:c r="K684" s="30" t="n">
        <x:v>3</x:v>
      </x:c>
      <x:c r="L684" s="30" t="str">
        <x:v>011</x:v>
      </x:c>
      <x:c r="M684" t="str">
        <x:v>Pale yellow</x:v>
      </x:c>
      <x:c r="N684" t="str">
        <x:v>淡黃色</x:v>
      </x:c>
      <x:c r="O684" t="str">
        <x:v>ペールイエロー</x:v>
      </x:c>
      <x:c r="P684" t="str"/>
      <x:c r="Q684" t="str">
        <x:v>Jaune lumière</x:v>
      </x:c>
      <x:c r="R684" t="str">
        <x:v>Lichtgelb</x:v>
      </x:c>
      <x:c r="S684" t="str">
        <x:v>Giallo Chiaro</x:v>
      </x:c>
      <x:c r="T684" t="str">
        <x:v>Amarillo luminoso</x:v>
      </x:c>
      <x:c r="U684" t="str">
        <x:v>Amarelo luminoso</x:v>
      </x:c>
      <x:c r="V684" t="str"/>
      <x:c r="W684" t="str">
        <x:v>PY151/PY42</x:v>
      </x:c>
      <x:c r="X684" t="n">
        <x:f>IF(W684="",0,LEN(W684)-LEN(SUBSTITUTE(W684,"/",""))+1)</x:f>
        <x:v>2</x:v>
      </x:c>
      <x:c r="Y684" t="str">
        <x:v>H</x:v>
      </x:c>
      <x:c r="Z684" s="32" t="n">
        <x:v>1</x:v>
      </x:c>
      <x:c r="AA684" s="32" t="n">
        <x:v>5</x:v>
      </x:c>
      <x:c r="AB684" s="32" t="str">
        <x:v>Blue Wool Scale / UV 150h</x:v>
      </x:c>
      <x:c r="AC684" t="str">
        <x:v>#F4ECC7</x:v>
      </x:c>
      <x:c r="AD684" s="34" t="n">
        <x:v>244</x:v>
      </x:c>
      <x:c r="AE684" s="34" t="n">
        <x:v>236</x:v>
      </x:c>
      <x:c r="AF684" s="34" t="n">
        <x:v>199</x:v>
      </x:c>
      <x:c r="AG684" s="32" t="n">
        <x:v>49.33</x:v>
      </x:c>
      <x:c r="AH684" s="32" t="n">
        <x:v>67.16</x:v>
      </x:c>
      <x:c r="AI684" s="32" t="n">
        <x:v>86.86</x:v>
      </x:c>
      <x:c r="AJ684" s="32" t="n">
        <x:v>93.17</x:v>
      </x:c>
      <x:c r="AK684" s="32" t="n">
        <x:v>-3.21</x:v>
      </x:c>
      <x:c r="AL684" s="32" t="n">
        <x:v>18.94</x:v>
      </x:c>
      <x:c r="AM684" s="32" t="str">
        <x:v>#000000</x:v>
      </x:c>
      <x:c r="AN684" s="32" t="str">
        <x:v>Black</x:v>
      </x:c>
      <x:c r="AO684" s="32" t="n">
        <x:v>17.67</x:v>
      </x:c>
      <x:c r="AP684" s="32" t="n">
        <x:v>17.67</x:v>
      </x:c>
      <x:c r="AQ684" s="32" t="n">
        <x:v>1.19</x:v>
      </x:c>
      <x:c r="AR684" s="32" t="n">
        <x:v>0.833475</x:v>
      </x:c>
      <x:c r="AS684" t="str">
        <x:v>PASS</x:v>
      </x:c>
      <x:c r="AT684" t="str">
        <x:v>--cda-pstc-011</x:v>
      </x:c>
      <x:c r="AU684" t="str">
        <x:v>var(--cda-pstc-011)</x:v>
      </x:c>
      <x:c r="AV684" t="str">
        <x:v>Median RGB from official PDF swatch (screen reference only)</x:v>
      </x:c>
      <x:c r="AW684" t="str">
        <x:v>https://www.carandache.com/content_files/uploaded_doc/product/10985/Colour_Chart_Pastel_Pencil.pdf</x:v>
      </x:c>
      <x:c r="AX684" t="n">
        <x:v>1</x:v>
      </x:c>
      <x:c r="AY684" t="str">
        <x:v>Official</x:v>
      </x:c>
      <x:c r="AZ684" t="str">
        <x:v>Official where available; curated Traditional Chinese/Japanese otherwise</x:v>
      </x:c>
      <x:c r="BA684" t="str">
        <x:v>Verified from official chart; digital HEX is approximate</x:v>
      </x:c>
      <x:c r="BB684" t="str">
        <x:v>Shares the same 84-colour palette as PASTEL PENCILS; physical application differs by format.</x:v>
      </x:c>
    </x:row>
    <x:row r="685">
      <x:c r="A685" t="str">
        <x:f>G685&amp;"|"&amp;L685</x:f>
        <x:v>PSTC|241</x:v>
      </x:c>
      <x:c r="B685" t="str">
        <x:v>928ea63b-8390-5ce2-a47f-7ed38a9c69d6</x:v>
      </x:c>
      <x:c r="C685" t="str">
        <x:v>CDA-PSTC-241</x:v>
      </x:c>
      <x:c r="D685" t="str">
        <x:v>1c68f8d1-8f6d-5e99-9049-4955fb2973de</x:v>
      </x:c>
      <x:c r="E685" t="str">
        <x:v>CDA-CODE-241</x:v>
      </x:c>
      <x:c r="F685" t="str">
        <x:v>Caran d’Ache</x:v>
      </x:c>
      <x:c r="G685" t="str">
        <x:v>PSTC</x:v>
      </x:c>
      <x:c r="H685" t="str">
        <x:v>PASTEL CUBES</x:v>
      </x:c>
      <x:c r="I685" t="str">
        <x:v>Extra-fine dry pastel cube</x:v>
      </x:c>
      <x:c r="J685" t="str">
        <x:v>Professional</x:v>
      </x:c>
      <x:c r="K685" s="30" t="n">
        <x:v>4</x:v>
      </x:c>
      <x:c r="L685" s="30" t="str">
        <x:v>241</x:v>
      </x:c>
      <x:c r="M685" t="str">
        <x:v>Light lemon yellow</x:v>
      </x:c>
      <x:c r="N685" t="str">
        <x:v>淺檸檬黃</x:v>
      </x:c>
      <x:c r="O685" t="str">
        <x:v>ライトレモンイエロー</x:v>
      </x:c>
      <x:c r="P685" t="str"/>
      <x:c r="Q685" t="str">
        <x:v>Jaune citron clair</x:v>
      </x:c>
      <x:c r="R685" t="str">
        <x:v>Hellzitronengelb</x:v>
      </x:c>
      <x:c r="S685" t="str">
        <x:v>Giallo limone chiaro</x:v>
      </x:c>
      <x:c r="T685" t="str">
        <x:v>Amarilo limón claro</x:v>
      </x:c>
      <x:c r="U685" t="str">
        <x:v>Amarelo limão claro</x:v>
      </x:c>
      <x:c r="V685" t="str"/>
      <x:c r="W685" t="str">
        <x:v>PY53</x:v>
      </x:c>
      <x:c r="X685" t="n">
        <x:f>IF(W685="",0,LEN(W685)-LEN(SUBSTITUTE(W685,"/",""))+1)</x:f>
        <x:v>1</x:v>
      </x:c>
      <x:c r="Y685" t="str">
        <x:v>HHH</x:v>
      </x:c>
      <x:c r="Z685" s="32" t="n">
        <x:v>3</x:v>
      </x:c>
      <x:c r="AA685" s="32" t="n">
        <x:v>5</x:v>
      </x:c>
      <x:c r="AB685" s="32" t="str">
        <x:v>Blue Wool Scale / UV 150h</x:v>
      </x:c>
      <x:c r="AC685" t="str">
        <x:v>#E2DF9C</x:v>
      </x:c>
      <x:c r="AD685" s="34" t="n">
        <x:v>226</x:v>
      </x:c>
      <x:c r="AE685" s="34" t="n">
        <x:v>223</x:v>
      </x:c>
      <x:c r="AF685" s="34" t="n">
        <x:v>156</x:v>
      </x:c>
      <x:c r="AG685" s="32" t="n">
        <x:v>57.43</x:v>
      </x:c>
      <x:c r="AH685" s="32" t="n">
        <x:v>54.69</x:v>
      </x:c>
      <x:c r="AI685" s="32" t="n">
        <x:v>74.9</x:v>
      </x:c>
      <x:c r="AJ685" s="32" t="n">
        <x:v>87.65</x:v>
      </x:c>
      <x:c r="AK685" s="32" t="n">
        <x:v>-9.1</x:v>
      </x:c>
      <x:c r="AL685" s="32" t="n">
        <x:v>33.29</x:v>
      </x:c>
      <x:c r="AM685" s="32" t="str">
        <x:v>#000000</x:v>
      </x:c>
      <x:c r="AN685" s="32" t="str">
        <x:v>Black</x:v>
      </x:c>
      <x:c r="AO685" s="32" t="n">
        <x:v>15.27</x:v>
      </x:c>
      <x:c r="AP685" s="32" t="n">
        <x:v>15.27</x:v>
      </x:c>
      <x:c r="AQ685" s="32" t="n">
        <x:v>1.38</x:v>
      </x:c>
      <x:c r="AR685" s="32" t="n">
        <x:v>0.713444</x:v>
      </x:c>
      <x:c r="AS685" t="str">
        <x:v>PASS</x:v>
      </x:c>
      <x:c r="AT685" t="str">
        <x:v>--cda-pstc-241</x:v>
      </x:c>
      <x:c r="AU685" t="str">
        <x:v>var(--cda-pstc-241)</x:v>
      </x:c>
      <x:c r="AV685" t="str">
        <x:v>Median RGB from official PDF swatch (screen reference only)</x:v>
      </x:c>
      <x:c r="AW685" t="str">
        <x:v>https://www.carandache.com/content_files/uploaded_doc/product/10985/Colour_Chart_Pastel_Pencil.pdf</x:v>
      </x:c>
      <x:c r="AX685" t="n">
        <x:v>1</x:v>
      </x:c>
      <x:c r="AY685" t="str">
        <x:v>Official</x:v>
      </x:c>
      <x:c r="AZ685" t="str">
        <x:v>Official where available; curated Traditional Chinese/Japanese otherwise</x:v>
      </x:c>
      <x:c r="BA685" t="str">
        <x:v>Verified from official chart; digital HEX is approximate</x:v>
      </x:c>
      <x:c r="BB685" t="str">
        <x:v>Shares the same 84-colour palette as PASTEL PENCILS; physical application differs by format.</x:v>
      </x:c>
    </x:row>
    <x:row r="686">
      <x:c r="A686" t="str">
        <x:f>G686&amp;"|"&amp;L686</x:f>
        <x:v>PSTC|821</x:v>
      </x:c>
      <x:c r="B686" t="str">
        <x:v>0c80ff2f-e6a8-5d83-9356-1c5d0b6a273c</x:v>
      </x:c>
      <x:c r="C686" t="str">
        <x:v>CDA-PSTC-821</x:v>
      </x:c>
      <x:c r="D686" t="str">
        <x:v>8f496119-5511-5a03-a0f0-fa98ae1f777b</x:v>
      </x:c>
      <x:c r="E686" t="str">
        <x:v>CDA-CODE-821</x:v>
      </x:c>
      <x:c r="F686" t="str">
        <x:v>Caran d’Ache</x:v>
      </x:c>
      <x:c r="G686" t="str">
        <x:v>PSTC</x:v>
      </x:c>
      <x:c r="H686" t="str">
        <x:v>PASTEL CUBES</x:v>
      </x:c>
      <x:c r="I686" t="str">
        <x:v>Extra-fine dry pastel cube</x:v>
      </x:c>
      <x:c r="J686" t="str">
        <x:v>Professional</x:v>
      </x:c>
      <x:c r="K686" s="30" t="n">
        <x:v>5</x:v>
      </x:c>
      <x:c r="L686" s="30" t="str">
        <x:v>821</x:v>
      </x:c>
      <x:c r="M686" t="str">
        <x:v>Naples ochre</x:v>
      </x:c>
      <x:c r="N686" t="str">
        <x:v>那不勒斯赭黃</x:v>
      </x:c>
      <x:c r="O686" t="str">
        <x:v>ネープルスオーカー</x:v>
      </x:c>
      <x:c r="P686" t="str"/>
      <x:c r="Q686" t="str">
        <x:v>Ocre de Naples</x:v>
      </x:c>
      <x:c r="R686" t="str">
        <x:v>Neapelocker</x:v>
      </x:c>
      <x:c r="S686" t="str">
        <x:v>Ocra di napoli</x:v>
      </x:c>
      <x:c r="T686" t="str">
        <x:v>Ocre de Nápoles</x:v>
      </x:c>
      <x:c r="U686" t="str">
        <x:v>Ocre Napoles</x:v>
      </x:c>
      <x:c r="V686" t="str"/>
      <x:c r="W686" t="str">
        <x:v>PY184/PY42/PY3</x:v>
      </x:c>
      <x:c r="X686" t="n">
        <x:f>IF(W686="",0,LEN(W686)-LEN(SUBSTITUTE(W686,"/",""))+1)</x:f>
        <x:v>3</x:v>
      </x:c>
      <x:c r="Y686" t="str">
        <x:v>HHH</x:v>
      </x:c>
      <x:c r="Z686" s="32" t="n">
        <x:v>3</x:v>
      </x:c>
      <x:c r="AA686" s="32" t="n">
        <x:v>5</x:v>
      </x:c>
      <x:c r="AB686" s="32" t="str">
        <x:v>Blue Wool Scale / UV 150h</x:v>
      </x:c>
      <x:c r="AC686" t="str">
        <x:v>#E9D48F</x:v>
      </x:c>
      <x:c r="AD686" s="34" t="n">
        <x:v>233</x:v>
      </x:c>
      <x:c r="AE686" s="34" t="n">
        <x:v>212</x:v>
      </x:c>
      <x:c r="AF686" s="34" t="n">
        <x:v>143</x:v>
      </x:c>
      <x:c r="AG686" s="32" t="n">
        <x:v>46</x:v>
      </x:c>
      <x:c r="AH686" s="32" t="n">
        <x:v>67.16</x:v>
      </x:c>
      <x:c r="AI686" s="32" t="n">
        <x:v>73.73</x:v>
      </x:c>
      <x:c r="AJ686" s="32" t="n">
        <x:v>85.2</x:v>
      </x:c>
      <x:c r="AK686" s="32" t="n">
        <x:v>-2.32</x:v>
      </x:c>
      <x:c r="AL686" s="32" t="n">
        <x:v>36.79</x:v>
      </x:c>
      <x:c r="AM686" s="32" t="str">
        <x:v>#000000</x:v>
      </x:c>
      <x:c r="AN686" s="32" t="str">
        <x:v>Black</x:v>
      </x:c>
      <x:c r="AO686" s="32" t="n">
        <x:v>14.28</x:v>
      </x:c>
      <x:c r="AP686" s="32" t="n">
        <x:v>14.28</x:v>
      </x:c>
      <x:c r="AQ686" s="32" t="n">
        <x:v>1.47</x:v>
      </x:c>
      <x:c r="AR686" s="32" t="n">
        <x:v>0.663938</x:v>
      </x:c>
      <x:c r="AS686" t="str">
        <x:v>PASS</x:v>
      </x:c>
      <x:c r="AT686" t="str">
        <x:v>--cda-pstc-821</x:v>
      </x:c>
      <x:c r="AU686" t="str">
        <x:v>var(--cda-pstc-821)</x:v>
      </x:c>
      <x:c r="AV686" t="str">
        <x:v>Median RGB from official PDF swatch (screen reference only)</x:v>
      </x:c>
      <x:c r="AW686" t="str">
        <x:v>https://www.carandache.com/content_files/uploaded_doc/product/10985/Colour_Chart_Pastel_Pencil.pdf</x:v>
      </x:c>
      <x:c r="AX686" t="n">
        <x:v>1</x:v>
      </x:c>
      <x:c r="AY686" t="str">
        <x:v>Official</x:v>
      </x:c>
      <x:c r="AZ686" t="str">
        <x:v>Official where available; curated Traditional Chinese/Japanese otherwise</x:v>
      </x:c>
      <x:c r="BA686" t="str">
        <x:v>Verified from official chart; digital HEX is approximate</x:v>
      </x:c>
      <x:c r="BB686" t="str">
        <x:v>Shares the same 84-colour palette as PASTEL PENCILS; physical application differs by format.</x:v>
      </x:c>
    </x:row>
    <x:row r="687">
      <x:c r="A687" t="str">
        <x:f>G687&amp;"|"&amp;L687</x:f>
        <x:v>PSTC|240</x:v>
      </x:c>
      <x:c r="B687" t="str">
        <x:v>a1e640d4-d305-5320-a539-19b08625eacf</x:v>
      </x:c>
      <x:c r="C687" t="str">
        <x:v>CDA-PSTC-240</x:v>
      </x:c>
      <x:c r="D687" t="str">
        <x:v>e71849e5-e37c-518f-99a0-9189b6af2b63</x:v>
      </x:c>
      <x:c r="E687" t="str">
        <x:v>CDA-CODE-240</x:v>
      </x:c>
      <x:c r="F687" t="str">
        <x:v>Caran d’Ache</x:v>
      </x:c>
      <x:c r="G687" t="str">
        <x:v>PSTC</x:v>
      </x:c>
      <x:c r="H687" t="str">
        <x:v>PASTEL CUBES</x:v>
      </x:c>
      <x:c r="I687" t="str">
        <x:v>Extra-fine dry pastel cube</x:v>
      </x:c>
      <x:c r="J687" t="str">
        <x:v>Professional</x:v>
      </x:c>
      <x:c r="K687" s="30" t="n">
        <x:v>6</x:v>
      </x:c>
      <x:c r="L687" s="30" t="str">
        <x:v>240</x:v>
      </x:c>
      <x:c r="M687" t="str">
        <x:v>Lemon Yellow</x:v>
      </x:c>
      <x:c r="N687" t="str">
        <x:v>檸檬黃</x:v>
      </x:c>
      <x:c r="O687" t="str">
        <x:v>レモンイエロー</x:v>
      </x:c>
      <x:c r="P687" t="str"/>
      <x:c r="Q687" t="str">
        <x:v>Jaune Citron</x:v>
      </x:c>
      <x:c r="R687" t="str">
        <x:v>Zitronengelb</x:v>
      </x:c>
      <x:c r="S687" t="str">
        <x:v>Giallo limone</x:v>
      </x:c>
      <x:c r="T687" t="str">
        <x:v>Amarillo limón</x:v>
      </x:c>
      <x:c r="U687" t="str">
        <x:v>Amarelo limão</x:v>
      </x:c>
      <x:c r="V687" t="str"/>
      <x:c r="W687" t="str">
        <x:v>PY3</x:v>
      </x:c>
      <x:c r="X687" t="n">
        <x:f>IF(W687="",0,LEN(W687)-LEN(SUBSTITUTE(W687,"/",""))+1)</x:f>
        <x:v>1</x:v>
      </x:c>
      <x:c r="Y687" t="str">
        <x:v>HH</x:v>
      </x:c>
      <x:c r="Z687" s="32" t="n">
        <x:v>2</x:v>
      </x:c>
      <x:c r="AA687" s="32" t="n">
        <x:v>5</x:v>
      </x:c>
      <x:c r="AB687" s="32" t="str">
        <x:v>Blue Wool Scale / UV 150h</x:v>
      </x:c>
      <x:c r="AC687" t="str">
        <x:v>#E3D35B</x:v>
      </x:c>
      <x:c r="AD687" s="34" t="n">
        <x:v>227</x:v>
      </x:c>
      <x:c r="AE687" s="34" t="n">
        <x:v>211</x:v>
      </x:c>
      <x:c r="AF687" s="34" t="n">
        <x:v>91</x:v>
      </x:c>
      <x:c r="AG687" s="32" t="n">
        <x:v>52.94</x:v>
      </x:c>
      <x:c r="AH687" s="32" t="n">
        <x:v>70.83</x:v>
      </x:c>
      <x:c r="AI687" s="32" t="n">
        <x:v>62.35</x:v>
      </x:c>
      <x:c r="AJ687" s="32" t="n">
        <x:v>83.8</x:v>
      </x:c>
      <x:c r="AK687" s="32" t="n">
        <x:v>-8.85</x:v>
      </x:c>
      <x:c r="AL687" s="32" t="n">
        <x:v>59.93</x:v>
      </x:c>
      <x:c r="AM687" s="32" t="str">
        <x:v>#000000</x:v>
      </x:c>
      <x:c r="AN687" s="32" t="str">
        <x:v>Black</x:v>
      </x:c>
      <x:c r="AO687" s="32" t="n">
        <x:v>13.73</x:v>
      </x:c>
      <x:c r="AP687" s="32" t="n">
        <x:v>13.73</x:v>
      </x:c>
      <x:c r="AQ687" s="32" t="n">
        <x:v>1.53</x:v>
      </x:c>
      <x:c r="AR687" s="32" t="n">
        <x:v>0.636748</x:v>
      </x:c>
      <x:c r="AS687" t="str">
        <x:v>PASS</x:v>
      </x:c>
      <x:c r="AT687" t="str">
        <x:v>--cda-pstc-240</x:v>
      </x:c>
      <x:c r="AU687" t="str">
        <x:v>var(--cda-pstc-240)</x:v>
      </x:c>
      <x:c r="AV687" t="str">
        <x:v>Median RGB from official PDF swatch (screen reference only)</x:v>
      </x:c>
      <x:c r="AW687" t="str">
        <x:v>https://www.carandache.com/content_files/uploaded_doc/product/10985/Colour_Chart_Pastel_Pencil.pdf</x:v>
      </x:c>
      <x:c r="AX687" t="n">
        <x:v>1</x:v>
      </x:c>
      <x:c r="AY687" t="str">
        <x:v>Official</x:v>
      </x:c>
      <x:c r="AZ687" t="str">
        <x:v>Official where available; curated Traditional Chinese/Japanese otherwise</x:v>
      </x:c>
      <x:c r="BA687" t="str">
        <x:v>Verified from official chart; digital HEX is approximate</x:v>
      </x:c>
      <x:c r="BB687" t="str">
        <x:v>Shares the same 84-colour palette as PASTEL PENCILS; physical application differs by format.</x:v>
      </x:c>
    </x:row>
    <x:row r="688">
      <x:c r="A688" t="str">
        <x:f>G688&amp;"|"&amp;L688</x:f>
        <x:v>PSTC|820</x:v>
      </x:c>
      <x:c r="B688" t="str">
        <x:v>9c272957-bd5e-5662-afa4-cfa06a828f7d</x:v>
      </x:c>
      <x:c r="C688" t="str">
        <x:v>CDA-PSTC-820</x:v>
      </x:c>
      <x:c r="D688" t="str">
        <x:v>e522fab8-c1e9-5474-a9fa-56c1771de26c</x:v>
      </x:c>
      <x:c r="E688" t="str">
        <x:v>CDA-CODE-820</x:v>
      </x:c>
      <x:c r="F688" t="str">
        <x:v>Caran d’Ache</x:v>
      </x:c>
      <x:c r="G688" t="str">
        <x:v>PSTC</x:v>
      </x:c>
      <x:c r="H688" t="str">
        <x:v>PASTEL CUBES</x:v>
      </x:c>
      <x:c r="I688" t="str">
        <x:v>Extra-fine dry pastel cube</x:v>
      </x:c>
      <x:c r="J688" t="str">
        <x:v>Professional</x:v>
      </x:c>
      <x:c r="K688" s="30" t="n">
        <x:v>7</x:v>
      </x:c>
      <x:c r="L688" s="30" t="str">
        <x:v>820</x:v>
      </x:c>
      <x:c r="M688" t="str">
        <x:v>Golden Bismuth yellow</x:v>
      </x:c>
      <x:c r="N688" t="str">
        <x:v>金鉍黃</x:v>
      </x:c>
      <x:c r="O688" t="str">
        <x:v>ゴールデンビスマスイエロー</x:v>
      </x:c>
      <x:c r="P688" t="str"/>
      <x:c r="Q688" t="str">
        <x:v>Jaune Bismuth doré</x:v>
      </x:c>
      <x:c r="R688" t="str">
        <x:v>Gold Bismuthgelb</x:v>
      </x:c>
      <x:c r="S688" t="str">
        <x:v>Giallo bismuth dorato</x:v>
      </x:c>
      <x:c r="T688" t="str">
        <x:v>Amarillo Bismuth dorado</x:v>
      </x:c>
      <x:c r="U688" t="str">
        <x:v>Amarelo Bismuto dourado</x:v>
      </x:c>
      <x:c r="V688" t="str"/>
      <x:c r="W688" t="str">
        <x:v>PY184</x:v>
      </x:c>
      <x:c r="X688" t="n">
        <x:f>IF(W688="",0,LEN(W688)-LEN(SUBSTITUTE(W688,"/",""))+1)</x:f>
        <x:v>1</x:v>
      </x:c>
      <x:c r="Y688" t="str">
        <x:v>HHH</x:v>
      </x:c>
      <x:c r="Z688" s="32" t="n">
        <x:v>3</x:v>
      </x:c>
      <x:c r="AA688" s="32" t="n">
        <x:v>5</x:v>
      </x:c>
      <x:c r="AB688" s="32" t="str">
        <x:v>Blue Wool Scale / UV 150h</x:v>
      </x:c>
      <x:c r="AC688" t="str">
        <x:v>#DFBE50</x:v>
      </x:c>
      <x:c r="AD688" s="34" t="n">
        <x:v>223</x:v>
      </x:c>
      <x:c r="AE688" s="34" t="n">
        <x:v>190</x:v>
      </x:c>
      <x:c r="AF688" s="34" t="n">
        <x:v>80</x:v>
      </x:c>
      <x:c r="AG688" s="32" t="n">
        <x:v>46.15</x:v>
      </x:c>
      <x:c r="AH688" s="32" t="n">
        <x:v>69.08</x:v>
      </x:c>
      <x:c r="AI688" s="32" t="n">
        <x:v>59.41</x:v>
      </x:c>
      <x:c r="AJ688" s="32" t="n">
        <x:v>77.93</x:v>
      </x:c>
      <x:c r="AK688" s="32" t="n">
        <x:v>-0.46</x:v>
      </x:c>
      <x:c r="AL688" s="32" t="n">
        <x:v>58.23</x:v>
      </x:c>
      <x:c r="AM688" s="32" t="str">
        <x:v>#000000</x:v>
      </x:c>
      <x:c r="AN688" s="32" t="str">
        <x:v>Black</x:v>
      </x:c>
      <x:c r="AO688" s="32" t="n">
        <x:v>11.62</x:v>
      </x:c>
      <x:c r="AP688" s="32" t="n">
        <x:v>11.62</x:v>
      </x:c>
      <x:c r="AQ688" s="32" t="n">
        <x:v>1.81</x:v>
      </x:c>
      <x:c r="AR688" s="32" t="n">
        <x:v>0.530941</x:v>
      </x:c>
      <x:c r="AS688" t="str">
        <x:v>PASS</x:v>
      </x:c>
      <x:c r="AT688" t="str">
        <x:v>--cda-pstc-820</x:v>
      </x:c>
      <x:c r="AU688" t="str">
        <x:v>var(--cda-pstc-820)</x:v>
      </x:c>
      <x:c r="AV688" t="str">
        <x:v>Median RGB from official PDF swatch (screen reference only)</x:v>
      </x:c>
      <x:c r="AW688" t="str">
        <x:v>https://www.carandache.com/content_files/uploaded_doc/product/10985/Colour_Chart_Pastel_Pencil.pdf</x:v>
      </x:c>
      <x:c r="AX688" t="n">
        <x:v>1</x:v>
      </x:c>
      <x:c r="AY688" t="str">
        <x:v>Official</x:v>
      </x:c>
      <x:c r="AZ688" t="str">
        <x:v>Official where available; curated Traditional Chinese/Japanese otherwise</x:v>
      </x:c>
      <x:c r="BA688" t="str">
        <x:v>Verified from official chart; digital HEX is approximate</x:v>
      </x:c>
      <x:c r="BB688" t="str">
        <x:v>Shares the same 84-colour palette as PASTEL PENCILS; physical application differs by format.</x:v>
      </x:c>
    </x:row>
    <x:row r="689">
      <x:c r="A689" t="str">
        <x:f>G689&amp;"|"&amp;L689</x:f>
        <x:v>PSTC|512</x:v>
      </x:c>
      <x:c r="B689" t="str">
        <x:v>ed005b49-3e4d-5062-844a-7ae86ed3f774</x:v>
      </x:c>
      <x:c r="C689" t="str">
        <x:v>CDA-PSTC-512</x:v>
      </x:c>
      <x:c r="D689" t="str">
        <x:v>ef3f1cf0-2053-5807-97ac-68a6bafc21e7</x:v>
      </x:c>
      <x:c r="E689" t="str">
        <x:v>CDA-CODE-512</x:v>
      </x:c>
      <x:c r="F689" t="str">
        <x:v>Caran d’Ache</x:v>
      </x:c>
      <x:c r="G689" t="str">
        <x:v>PSTC</x:v>
      </x:c>
      <x:c r="H689" t="str">
        <x:v>PASTEL CUBES</x:v>
      </x:c>
      <x:c r="I689" t="str">
        <x:v>Extra-fine dry pastel cube</x:v>
      </x:c>
      <x:c r="J689" t="str">
        <x:v>Professional</x:v>
      </x:c>
      <x:c r="K689" s="30" t="n">
        <x:v>8</x:v>
      </x:c>
      <x:c r="L689" s="30" t="str">
        <x:v>512</x:v>
      </x:c>
      <x:c r="M689" t="str">
        <x:v>Light cadmium yellow</x:v>
      </x:c>
      <x:c r="N689" t="str">
        <x:v>淺鎘黃</x:v>
      </x:c>
      <x:c r="O689" t="str">
        <x:v>ライトカドミウムイエロー</x:v>
      </x:c>
      <x:c r="P689" t="str"/>
      <x:c r="Q689" t="str">
        <x:v>Jaune de cadmium clair</x:v>
      </x:c>
      <x:c r="R689" t="str">
        <x:v>Kadmiumgelb hell</x:v>
      </x:c>
      <x:c r="S689" t="str">
        <x:v>Giallo di cadmio chiaro</x:v>
      </x:c>
      <x:c r="T689" t="str">
        <x:v>Amarillo cadmio claro</x:v>
      </x:c>
      <x:c r="U689" t="str">
        <x:v>Amarelo cádmio claro</x:v>
      </x:c>
      <x:c r="V689" t="str"/>
      <x:c r="W689" t="str">
        <x:v>PY3/PY74</x:v>
      </x:c>
      <x:c r="X689" t="n">
        <x:f>IF(W689="",0,LEN(W689)-LEN(SUBSTITUTE(W689,"/",""))+1)</x:f>
        <x:v>2</x:v>
      </x:c>
      <x:c r="Y689" t="str">
        <x:v>HH</x:v>
      </x:c>
      <x:c r="Z689" s="32" t="n">
        <x:v>2</x:v>
      </x:c>
      <x:c r="AA689" s="32" t="n">
        <x:v>5</x:v>
      </x:c>
      <x:c r="AB689" s="32" t="str">
        <x:v>Blue Wool Scale / UV 150h</x:v>
      </x:c>
      <x:c r="AC689" t="str">
        <x:v>#CFB930</x:v>
      </x:c>
      <x:c r="AD689" s="34" t="n">
        <x:v>207</x:v>
      </x:c>
      <x:c r="AE689" s="34" t="n">
        <x:v>185</x:v>
      </x:c>
      <x:c r="AF689" s="34" t="n">
        <x:v>48</x:v>
      </x:c>
      <x:c r="AG689" s="32" t="n">
        <x:v>51.7</x:v>
      </x:c>
      <x:c r="AH689" s="32" t="n">
        <x:v>62.35</x:v>
      </x:c>
      <x:c r="AI689" s="32" t="n">
        <x:v>50</x:v>
      </x:c>
      <x:c r="AJ689" s="32" t="n">
        <x:v>74.94</x:v>
      </x:c>
      <x:c r="AK689" s="32" t="n">
        <x:v>-6.31</x:v>
      </x:c>
      <x:c r="AL689" s="32" t="n">
        <x:v>67.17</x:v>
      </x:c>
      <x:c r="AM689" s="32" t="str">
        <x:v>#000000</x:v>
      </x:c>
      <x:c r="AN689" s="32" t="str">
        <x:v>Black</x:v>
      </x:c>
      <x:c r="AO689" s="32" t="n">
        <x:v>10.64</x:v>
      </x:c>
      <x:c r="AP689" s="32" t="n">
        <x:v>10.64</x:v>
      </x:c>
      <x:c r="AQ689" s="32" t="n">
        <x:v>1.97</x:v>
      </x:c>
      <x:c r="AR689" s="32" t="n">
        <x:v>0.481767</x:v>
      </x:c>
      <x:c r="AS689" t="str">
        <x:v>PASS</x:v>
      </x:c>
      <x:c r="AT689" t="str">
        <x:v>--cda-pstc-512</x:v>
      </x:c>
      <x:c r="AU689" t="str">
        <x:v>var(--cda-pstc-512)</x:v>
      </x:c>
      <x:c r="AV689" t="str">
        <x:v>Median RGB from official PDF swatch (screen reference only)</x:v>
      </x:c>
      <x:c r="AW689" t="str">
        <x:v>https://www.carandache.com/content_files/uploaded_doc/product/10985/Colour_Chart_Pastel_Pencil.pdf</x:v>
      </x:c>
      <x:c r="AX689" t="n">
        <x:v>1</x:v>
      </x:c>
      <x:c r="AY689" t="str">
        <x:v>Official</x:v>
      </x:c>
      <x:c r="AZ689" t="str">
        <x:v>Official where available; curated Traditional Chinese/Japanese otherwise</x:v>
      </x:c>
      <x:c r="BA689" t="str">
        <x:v>Verified from official chart; digital HEX is approximate</x:v>
      </x:c>
      <x:c r="BB689" t="str">
        <x:v>Shares the same 84-colour palette as PASTEL PENCILS; physical application differs by format.</x:v>
      </x:c>
    </x:row>
    <x:row r="690">
      <x:c r="A690" t="str">
        <x:f>G690&amp;"|"&amp;L690</x:f>
        <x:v>PSTC|530</x:v>
      </x:c>
      <x:c r="B690" t="str">
        <x:v>60321c47-b70a-5b4a-bb58-b9b567828630</x:v>
      </x:c>
      <x:c r="C690" t="str">
        <x:v>CDA-PSTC-530</x:v>
      </x:c>
      <x:c r="D690" t="str">
        <x:v>10923d99-7757-55a9-b1f4-db9c8bd7d6be</x:v>
      </x:c>
      <x:c r="E690" t="str">
        <x:v>CDA-CODE-530</x:v>
      </x:c>
      <x:c r="F690" t="str">
        <x:v>Caran d’Ache</x:v>
      </x:c>
      <x:c r="G690" t="str">
        <x:v>PSTC</x:v>
      </x:c>
      <x:c r="H690" t="str">
        <x:v>PASTEL CUBES</x:v>
      </x:c>
      <x:c r="I690" t="str">
        <x:v>Extra-fine dry pastel cube</x:v>
      </x:c>
      <x:c r="J690" t="str">
        <x:v>Professional</x:v>
      </x:c>
      <x:c r="K690" s="30" t="n">
        <x:v>9</x:v>
      </x:c>
      <x:c r="L690" s="30" t="str">
        <x:v>530</x:v>
      </x:c>
      <x:c r="M690" t="str">
        <x:v>Gold Cadmium Yellow</x:v>
      </x:c>
      <x:c r="N690" t="str">
        <x:v>金鎘黃</x:v>
      </x:c>
      <x:c r="O690" t="str">
        <x:v>ゴールドカドミウムイエロー</x:v>
      </x:c>
      <x:c r="P690" t="str"/>
      <x:c r="Q690" t="str">
        <x:v>Jaune cadmium doré</x:v>
      </x:c>
      <x:c r="R690" t="str">
        <x:v>Gold Kadmiumgelb</x:v>
      </x:c>
      <x:c r="S690" t="str">
        <x:v>Giallo di cadmio dorato</x:v>
      </x:c>
      <x:c r="T690" t="str">
        <x:v>Amarillo cadmio dorado</x:v>
      </x:c>
      <x:c r="U690" t="str">
        <x:v>Amarelo cádmio dourado</x:v>
      </x:c>
      <x:c r="V690" t="str"/>
      <x:c r="W690" t="str">
        <x:v>PY3/PY74/PO62</x:v>
      </x:c>
      <x:c r="X690" t="n">
        <x:f>IF(W690="",0,LEN(W690)-LEN(SUBSTITUTE(W690,"/",""))+1)</x:f>
        <x:v>3</x:v>
      </x:c>
      <x:c r="Y690" t="str">
        <x:v>HH</x:v>
      </x:c>
      <x:c r="Z690" s="32" t="n">
        <x:v>2</x:v>
      </x:c>
      <x:c r="AA690" s="32" t="n">
        <x:v>5</x:v>
      </x:c>
      <x:c r="AB690" s="32" t="str">
        <x:v>Blue Wool Scale / UV 150h</x:v>
      </x:c>
      <x:c r="AC690" t="str">
        <x:v>#DCB61F</x:v>
      </x:c>
      <x:c r="AD690" s="34" t="n">
        <x:v>220</x:v>
      </x:c>
      <x:c r="AE690" s="34" t="n">
        <x:v>182</x:v>
      </x:c>
      <x:c r="AF690" s="34" t="n">
        <x:v>31</x:v>
      </x:c>
      <x:c r="AG690" s="32" t="n">
        <x:v>47.94</x:v>
      </x:c>
      <x:c r="AH690" s="32" t="n">
        <x:v>75.3</x:v>
      </x:c>
      <x:c r="AI690" s="32" t="n">
        <x:v>49.22</x:v>
      </x:c>
      <x:c r="AJ690" s="32" t="n">
        <x:v>75.31</x:v>
      </x:c>
      <x:c r="AK690" s="32" t="n">
        <x:v>0.38</x:v>
      </x:c>
      <x:c r="AL690" s="32" t="n">
        <x:v>72.76</x:v>
      </x:c>
      <x:c r="AM690" s="32" t="str">
        <x:v>#000000</x:v>
      </x:c>
      <x:c r="AN690" s="32" t="str">
        <x:v>Black</x:v>
      </x:c>
      <x:c r="AO690" s="32" t="n">
        <x:v>10.75</x:v>
      </x:c>
      <x:c r="AP690" s="32" t="n">
        <x:v>10.75</x:v>
      </x:c>
      <x:c r="AQ690" s="32" t="n">
        <x:v>1.95</x:v>
      </x:c>
      <x:c r="AR690" s="32" t="n">
        <x:v>0.487705</x:v>
      </x:c>
      <x:c r="AS690" t="str">
        <x:v>PASS</x:v>
      </x:c>
      <x:c r="AT690" t="str">
        <x:v>--cda-pstc-530</x:v>
      </x:c>
      <x:c r="AU690" t="str">
        <x:v>var(--cda-pstc-530)</x:v>
      </x:c>
      <x:c r="AV690" t="str">
        <x:v>Median RGB from official PDF swatch (screen reference only)</x:v>
      </x:c>
      <x:c r="AW690" t="str">
        <x:v>https://www.carandache.com/content_files/uploaded_doc/product/10985/Colour_Chart_Pastel_Pencil.pdf</x:v>
      </x:c>
      <x:c r="AX690" t="n">
        <x:v>1</x:v>
      </x:c>
      <x:c r="AY690" t="str">
        <x:v>Official</x:v>
      </x:c>
      <x:c r="AZ690" t="str">
        <x:v>Official where available; curated Traditional Chinese/Japanese otherwise</x:v>
      </x:c>
      <x:c r="BA690" t="str">
        <x:v>Verified from official chart; digital HEX is approximate</x:v>
      </x:c>
      <x:c r="BB690" t="str">
        <x:v>Shares the same 84-colour palette as PASTEL PENCILS; physical application differs by format.</x:v>
      </x:c>
    </x:row>
    <x:row r="691">
      <x:c r="A691" t="str">
        <x:f>G691&amp;"|"&amp;L691</x:f>
        <x:v>PSTC|300</x:v>
      </x:c>
      <x:c r="B691" t="str">
        <x:v>70b96546-1785-5b63-b21d-c2c99711e9fc</x:v>
      </x:c>
      <x:c r="C691" t="str">
        <x:v>CDA-PSTC-300</x:v>
      </x:c>
      <x:c r="D691" t="str">
        <x:v>a0ce686f-7535-53f8-b53e-5ecadedba3d5</x:v>
      </x:c>
      <x:c r="E691" t="str">
        <x:v>CDA-CODE-300</x:v>
      </x:c>
      <x:c r="F691" t="str">
        <x:v>Caran d’Ache</x:v>
      </x:c>
      <x:c r="G691" t="str">
        <x:v>PSTC</x:v>
      </x:c>
      <x:c r="H691" t="str">
        <x:v>PASTEL CUBES</x:v>
      </x:c>
      <x:c r="I691" t="str">
        <x:v>Extra-fine dry pastel cube</x:v>
      </x:c>
      <x:c r="J691" t="str">
        <x:v>Professional</x:v>
      </x:c>
      <x:c r="K691" s="30" t="n">
        <x:v>10</x:v>
      </x:c>
      <x:c r="L691" s="30" t="str">
        <x:v>300</x:v>
      </x:c>
      <x:c r="M691" t="str">
        <x:v>Fast orange</x:v>
      </x:c>
      <x:c r="N691" t="str">
        <x:v>耐久橙</x:v>
      </x:c>
      <x:c r="O691" t="str">
        <x:v>ファストオレンジ</x:v>
      </x:c>
      <x:c r="P691" t="str"/>
      <x:c r="Q691" t="str">
        <x:v>Orange solide</x:v>
      </x:c>
      <x:c r="R691" t="str">
        <x:v>Echtorange</x:v>
      </x:c>
      <x:c r="S691" t="str">
        <x:v>Arancio permanente</x:v>
      </x:c>
      <x:c r="T691" t="str">
        <x:v>Naranja sólido</x:v>
      </x:c>
      <x:c r="U691" t="str">
        <x:v>Laranja permanente</x:v>
      </x:c>
      <x:c r="V691" t="str"/>
      <x:c r="W691" t="str">
        <x:v>PO62</x:v>
      </x:c>
      <x:c r="X691" t="n">
        <x:f>IF(W691="",0,LEN(W691)-LEN(SUBSTITUTE(W691,"/",""))+1)</x:f>
        <x:v>1</x:v>
      </x:c>
      <x:c r="Y691" t="str">
        <x:v>HHH</x:v>
      </x:c>
      <x:c r="Z691" s="32" t="n">
        <x:v>3</x:v>
      </x:c>
      <x:c r="AA691" s="32" t="n">
        <x:v>5</x:v>
      </x:c>
      <x:c r="AB691" s="32" t="str">
        <x:v>Blue Wool Scale / UV 150h</x:v>
      </x:c>
      <x:c r="AC691" t="str">
        <x:v>#D9951C</x:v>
      </x:c>
      <x:c r="AD691" s="34" t="n">
        <x:v>217</x:v>
      </x:c>
      <x:c r="AE691" s="34" t="n">
        <x:v>149</x:v>
      </x:c>
      <x:c r="AF691" s="34" t="n">
        <x:v>28</x:v>
      </x:c>
      <x:c r="AG691" s="32" t="n">
        <x:v>38.41</x:v>
      </x:c>
      <x:c r="AH691" s="32" t="n">
        <x:v>77.14</x:v>
      </x:c>
      <x:c r="AI691" s="32" t="n">
        <x:v>48.04</x:v>
      </x:c>
      <x:c r="AJ691" s="32" t="n">
        <x:v>66.77</x:v>
      </x:c>
      <x:c r="AK691" s="32" t="n">
        <x:v>16.58</x:v>
      </x:c>
      <x:c r="AL691" s="32" t="n">
        <x:v>66.49</x:v>
      </x:c>
      <x:c r="AM691" s="32" t="str">
        <x:v>#000000</x:v>
      </x:c>
      <x:c r="AN691" s="32" t="str">
        <x:v>Black</x:v>
      </x:c>
      <x:c r="AO691" s="32" t="n">
        <x:v>8.27</x:v>
      </x:c>
      <x:c r="AP691" s="32" t="n">
        <x:v>8.27</x:v>
      </x:c>
      <x:c r="AQ691" s="32" t="n">
        <x:v>2.54</x:v>
      </x:c>
      <x:c r="AR691" s="32" t="n">
        <x:v>0.363304</x:v>
      </x:c>
      <x:c r="AS691" t="str">
        <x:v>PASS</x:v>
      </x:c>
      <x:c r="AT691" t="str">
        <x:v>--cda-pstc-300</x:v>
      </x:c>
      <x:c r="AU691" t="str">
        <x:v>var(--cda-pstc-300)</x:v>
      </x:c>
      <x:c r="AV691" t="str">
        <x:v>Median RGB from official PDF swatch (screen reference only)</x:v>
      </x:c>
      <x:c r="AW691" t="str">
        <x:v>https://www.carandache.com/content_files/uploaded_doc/product/10985/Colour_Chart_Pastel_Pencil.pdf</x:v>
      </x:c>
      <x:c r="AX691" t="n">
        <x:v>1</x:v>
      </x:c>
      <x:c r="AY691" t="str">
        <x:v>Official</x:v>
      </x:c>
      <x:c r="AZ691" t="str">
        <x:v>Official where available; curated Traditional Chinese/Japanese otherwise</x:v>
      </x:c>
      <x:c r="BA691" t="str">
        <x:v>Verified from official chart; digital HEX is approximate</x:v>
      </x:c>
      <x:c r="BB691" t="str">
        <x:v>Shares the same 84-colour palette as PASTEL PENCILS; physical application differs by format.</x:v>
      </x:c>
    </x:row>
    <x:row r="692">
      <x:c r="A692" t="str">
        <x:f>G692&amp;"|"&amp;L692</x:f>
        <x:v>PSTC|050</x:v>
      </x:c>
      <x:c r="B692" t="str">
        <x:v>11c8e490-40f4-53da-97e3-d6713c464f1c</x:v>
      </x:c>
      <x:c r="C692" t="str">
        <x:v>CDA-PSTC-050</x:v>
      </x:c>
      <x:c r="D692" t="str">
        <x:v>b1fdf016-f65e-52a7-837f-bacfacf86acf</x:v>
      </x:c>
      <x:c r="E692" t="str">
        <x:v>CDA-CODE-050</x:v>
      </x:c>
      <x:c r="F692" t="str">
        <x:v>Caran d’Ache</x:v>
      </x:c>
      <x:c r="G692" t="str">
        <x:v>PSTC</x:v>
      </x:c>
      <x:c r="H692" t="str">
        <x:v>PASTEL CUBES</x:v>
      </x:c>
      <x:c r="I692" t="str">
        <x:v>Extra-fine dry pastel cube</x:v>
      </x:c>
      <x:c r="J692" t="str">
        <x:v>Professional</x:v>
      </x:c>
      <x:c r="K692" s="30" t="n">
        <x:v>11</x:v>
      </x:c>
      <x:c r="L692" s="30" t="str">
        <x:v>050</x:v>
      </x:c>
      <x:c r="M692" t="str">
        <x:v>Flame red</x:v>
      </x:c>
      <x:c r="N692" t="str">
        <x:v>火焰紅</x:v>
      </x:c>
      <x:c r="O692" t="str">
        <x:v>フレームレッド</x:v>
      </x:c>
      <x:c r="P692" t="str"/>
      <x:c r="Q692" t="str">
        <x:v>Rouge orangé</x:v>
      </x:c>
      <x:c r="R692" t="str">
        <x:v>Rotorange</x:v>
      </x:c>
      <x:c r="S692" t="str">
        <x:v>Rosso arancio</x:v>
      </x:c>
      <x:c r="T692" t="str">
        <x:v>Rojo anaranjado</x:v>
      </x:c>
      <x:c r="U692" t="str">
        <x:v>Vermelho alaranjado</x:v>
      </x:c>
      <x:c r="V692" t="str"/>
      <x:c r="W692" t="str">
        <x:v>PO67</x:v>
      </x:c>
      <x:c r="X692" t="n">
        <x:f>IF(W692="",0,LEN(W692)-LEN(SUBSTITUTE(W692,"/",""))+1)</x:f>
        <x:v>1</x:v>
      </x:c>
      <x:c r="Y692" t="str">
        <x:v>HHH</x:v>
      </x:c>
      <x:c r="Z692" s="32" t="n">
        <x:v>3</x:v>
      </x:c>
      <x:c r="AA692" s="32" t="n">
        <x:v>5</x:v>
      </x:c>
      <x:c r="AB692" s="32" t="str">
        <x:v>Blue Wool Scale / UV 150h</x:v>
      </x:c>
      <x:c r="AC692" t="str">
        <x:v>#D36234</x:v>
      </x:c>
      <x:c r="AD692" s="34" t="n">
        <x:v>211</x:v>
      </x:c>
      <x:c r="AE692" s="34" t="n">
        <x:v>98</x:v>
      </x:c>
      <x:c r="AF692" s="34" t="n">
        <x:v>52</x:v>
      </x:c>
      <x:c r="AG692" s="32" t="n">
        <x:v>17.36</x:v>
      </x:c>
      <x:c r="AH692" s="32" t="n">
        <x:v>64.37</x:v>
      </x:c>
      <x:c r="AI692" s="32" t="n">
        <x:v>51.57</x:v>
      </x:c>
      <x:c r="AJ692" s="32" t="n">
        <x:v>54.9</x:v>
      </x:c>
      <x:c r="AK692" s="32" t="n">
        <x:v>41.69</x:v>
      </x:c>
      <x:c r="AL692" s="32" t="n">
        <x:v>46.23</x:v>
      </x:c>
      <x:c r="AM692" s="32" t="str">
        <x:v>#000000</x:v>
      </x:c>
      <x:c r="AN692" s="32" t="str">
        <x:v>Black</x:v>
      </x:c>
      <x:c r="AO692" s="32" t="n">
        <x:v>5.57</x:v>
      </x:c>
      <x:c r="AP692" s="32" t="n">
        <x:v>5.57</x:v>
      </x:c>
      <x:c r="AQ692" s="32" t="n">
        <x:v>3.77</x:v>
      </x:c>
      <x:c r="AR692" s="32" t="n">
        <x:v>0.228322</x:v>
      </x:c>
      <x:c r="AS692" t="str">
        <x:v>PASS</x:v>
      </x:c>
      <x:c r="AT692" t="str">
        <x:v>--cda-pstc-050</x:v>
      </x:c>
      <x:c r="AU692" t="str">
        <x:v>var(--cda-pstc-050)</x:v>
      </x:c>
      <x:c r="AV692" t="str">
        <x:v>Median RGB from official PDF swatch (screen reference only)</x:v>
      </x:c>
      <x:c r="AW692" t="str">
        <x:v>https://www.carandache.com/content_files/uploaded_doc/product/10985/Colour_Chart_Pastel_Pencil.pdf</x:v>
      </x:c>
      <x:c r="AX692" t="n">
        <x:v>1</x:v>
      </x:c>
      <x:c r="AY692" t="str">
        <x:v>Official</x:v>
      </x:c>
      <x:c r="AZ692" t="str">
        <x:v>Official where available; curated Traditional Chinese/Japanese otherwise</x:v>
      </x:c>
      <x:c r="BA692" t="str">
        <x:v>Verified from official chart; digital HEX is approximate</x:v>
      </x:c>
      <x:c r="BB692" t="str">
        <x:v>Shares the same 84-colour palette as PASTEL PENCILS; physical application differs by format.</x:v>
      </x:c>
    </x:row>
    <x:row r="693">
      <x:c r="A693" t="str">
        <x:f>G693&amp;"|"&amp;L693</x:f>
        <x:v>PSTC|060</x:v>
      </x:c>
      <x:c r="B693" t="str">
        <x:v>e38f006e-81c0-5362-999b-b16b95082765</x:v>
      </x:c>
      <x:c r="C693" t="str">
        <x:v>CDA-PSTC-060</x:v>
      </x:c>
      <x:c r="D693" t="str">
        <x:v>332db2c4-d0e9-5445-b3ee-924c107cece4</x:v>
      </x:c>
      <x:c r="E693" t="str">
        <x:v>CDA-CODE-060</x:v>
      </x:c>
      <x:c r="F693" t="str">
        <x:v>Caran d’Ache</x:v>
      </x:c>
      <x:c r="G693" t="str">
        <x:v>PSTC</x:v>
      </x:c>
      <x:c r="H693" t="str">
        <x:v>PASTEL CUBES</x:v>
      </x:c>
      <x:c r="I693" t="str">
        <x:v>Extra-fine dry pastel cube</x:v>
      </x:c>
      <x:c r="J693" t="str">
        <x:v>Professional</x:v>
      </x:c>
      <x:c r="K693" s="30" t="n">
        <x:v>12</x:v>
      </x:c>
      <x:c r="L693" s="30" t="str">
        <x:v>060</x:v>
      </x:c>
      <x:c r="M693" t="str">
        <x:v>Vermilion</x:v>
      </x:c>
      <x:c r="N693" t="str">
        <x:v>朱紅</x:v>
      </x:c>
      <x:c r="O693" t="str">
        <x:v>バーミリオン</x:v>
      </x:c>
      <x:c r="P693" t="str"/>
      <x:c r="Q693" t="str">
        <x:v>Vermillon</x:v>
      </x:c>
      <x:c r="R693" t="str">
        <x:v>Zinnoberrot</x:v>
      </x:c>
      <x:c r="S693" t="str">
        <x:v>Vermiglione</x:v>
      </x:c>
      <x:c r="T693" t="str">
        <x:v>Bermellón</x:v>
      </x:c>
      <x:c r="U693" t="str">
        <x:v>Vermelhão</x:v>
      </x:c>
      <x:c r="V693" t="str"/>
      <x:c r="W693" t="str">
        <x:v>PR254/PO82/PY3</x:v>
      </x:c>
      <x:c r="X693" t="n">
        <x:f>IF(W693="",0,LEN(W693)-LEN(SUBSTITUTE(W693,"/",""))+1)</x:f>
        <x:v>3</x:v>
      </x:c>
      <x:c r="Y693" t="str">
        <x:v>H</x:v>
      </x:c>
      <x:c r="Z693" s="32" t="n">
        <x:v>1</x:v>
      </x:c>
      <x:c r="AA693" s="32" t="n">
        <x:v>5</x:v>
      </x:c>
      <x:c r="AB693" s="32" t="str">
        <x:v>Blue Wool Scale / UV 150h</x:v>
      </x:c>
      <x:c r="AC693" t="str">
        <x:v>#D34733</x:v>
      </x:c>
      <x:c r="AD693" s="34" t="n">
        <x:v>211</x:v>
      </x:c>
      <x:c r="AE693" s="34" t="n">
        <x:v>71</x:v>
      </x:c>
      <x:c r="AF693" s="34" t="n">
        <x:v>51</x:v>
      </x:c>
      <x:c r="AG693" s="32" t="n">
        <x:v>7.5</x:v>
      </x:c>
      <x:c r="AH693" s="32" t="n">
        <x:v>64.52</x:v>
      </x:c>
      <x:c r="AI693" s="32" t="n">
        <x:v>51.37</x:v>
      </x:c>
      <x:c r="AJ693" s="32" t="n">
        <x:v>50.21</x:v>
      </x:c>
      <x:c r="AK693" s="32" t="n">
        <x:v>53.96</x:v>
      </x:c>
      <x:c r="AL693" s="32" t="n">
        <x:v>41.8</x:v>
      </x:c>
      <x:c r="AM693" s="32" t="str">
        <x:v>#000000</x:v>
      </x:c>
      <x:c r="AN693" s="32" t="str">
        <x:v>Black</x:v>
      </x:c>
      <x:c r="AO693" s="32" t="n">
        <x:v>4.72</x:v>
      </x:c>
      <x:c r="AP693" s="32" t="n">
        <x:v>4.72</x:v>
      </x:c>
      <x:c r="AQ693" s="32" t="n">
        <x:v>4.45</x:v>
      </x:c>
      <x:c r="AR693" s="32" t="n">
        <x:v>0.185944</x:v>
      </x:c>
      <x:c r="AS693" t="str">
        <x:v>PASS</x:v>
      </x:c>
      <x:c r="AT693" t="str">
        <x:v>--cda-pstc-060</x:v>
      </x:c>
      <x:c r="AU693" t="str">
        <x:v>var(--cda-pstc-060)</x:v>
      </x:c>
      <x:c r="AV693" t="str">
        <x:v>Median RGB from official PDF swatch (screen reference only)</x:v>
      </x:c>
      <x:c r="AW693" t="str">
        <x:v>https://www.carandache.com/content_files/uploaded_doc/product/10985/Colour_Chart_Pastel_Pencil.pdf</x:v>
      </x:c>
      <x:c r="AX693" t="n">
        <x:v>1</x:v>
      </x:c>
      <x:c r="AY693" t="str">
        <x:v>Official</x:v>
      </x:c>
      <x:c r="AZ693" t="str">
        <x:v>Official where available; curated Traditional Chinese/Japanese otherwise</x:v>
      </x:c>
      <x:c r="BA693" t="str">
        <x:v>Verified from official chart; digital HEX is approximate</x:v>
      </x:c>
      <x:c r="BB693" t="str">
        <x:v>Shares the same 84-colour palette as PASTEL PENCILS; physical application differs by format.</x:v>
      </x:c>
    </x:row>
    <x:row r="694">
      <x:c r="A694" t="str">
        <x:f>G694&amp;"|"&amp;L694</x:f>
        <x:v>PSTC|581</x:v>
      </x:c>
      <x:c r="B694" t="str">
        <x:v>59896849-d92d-5618-918b-592d5aba6273</x:v>
      </x:c>
      <x:c r="C694" t="str">
        <x:v>CDA-PSTC-581</x:v>
      </x:c>
      <x:c r="D694" t="str">
        <x:v>d612d7ac-3f3b-585f-921d-ba2432829883</x:v>
      </x:c>
      <x:c r="E694" t="str">
        <x:v>CDA-CODE-581</x:v>
      </x:c>
      <x:c r="F694" t="str">
        <x:v>Caran d’Ache</x:v>
      </x:c>
      <x:c r="G694" t="str">
        <x:v>PSTC</x:v>
      </x:c>
      <x:c r="H694" t="str">
        <x:v>PASTEL CUBES</x:v>
      </x:c>
      <x:c r="I694" t="str">
        <x:v>Extra-fine dry pastel cube</x:v>
      </x:c>
      <x:c r="J694" t="str">
        <x:v>Professional</x:v>
      </x:c>
      <x:c r="K694" s="30" t="n">
        <x:v>13</x:v>
      </x:c>
      <x:c r="L694" s="30" t="str">
        <x:v>581</x:v>
      </x:c>
      <x:c r="M694" t="str">
        <x:v>Pink white</x:v>
      </x:c>
      <x:c r="N694" t="str">
        <x:v>粉白色</x:v>
      </x:c>
      <x:c r="O694" t="str">
        <x:v>ピンクホワイト</x:v>
      </x:c>
      <x:c r="P694" t="str"/>
      <x:c r="Q694" t="str">
        <x:v>Blanc rosé</x:v>
      </x:c>
      <x:c r="R694" t="str">
        <x:v>Rosaweiss</x:v>
      </x:c>
      <x:c r="S694" t="str">
        <x:v>Bianco rosa</x:v>
      </x:c>
      <x:c r="T694" t="str">
        <x:v>Blanco rosa</x:v>
      </x:c>
      <x:c r="U694" t="str">
        <x:v>Branco rosa</x:v>
      </x:c>
      <x:c r="V694" t="str"/>
      <x:c r="W694" t="str">
        <x:v>PW6/PR101</x:v>
      </x:c>
      <x:c r="X694" t="n">
        <x:f>IF(W694="",0,LEN(W694)-LEN(SUBSTITUTE(W694,"/",""))+1)</x:f>
        <x:v>2</x:v>
      </x:c>
      <x:c r="Y694" t="str">
        <x:v>HHH</x:v>
      </x:c>
      <x:c r="Z694" s="32" t="n">
        <x:v>3</x:v>
      </x:c>
      <x:c r="AA694" s="32" t="n">
        <x:v>5</x:v>
      </x:c>
      <x:c r="AB694" s="32" t="str">
        <x:v>Blue Wool Scale / UV 150h</x:v>
      </x:c>
      <x:c r="AC694" t="str">
        <x:v>#C2B9B3</x:v>
      </x:c>
      <x:c r="AD694" s="34" t="n">
        <x:v>194</x:v>
      </x:c>
      <x:c r="AE694" s="34" t="n">
        <x:v>185</x:v>
      </x:c>
      <x:c r="AF694" s="34" t="n">
        <x:v>179</x:v>
      </x:c>
      <x:c r="AG694" s="32" t="n">
        <x:v>24</x:v>
      </x:c>
      <x:c r="AH694" s="32" t="n">
        <x:v>10.95</x:v>
      </x:c>
      <x:c r="AI694" s="32" t="n">
        <x:v>73.14</x:v>
      </x:c>
      <x:c r="AJ694" s="32" t="n">
        <x:v>75.71</x:v>
      </x:c>
      <x:c r="AK694" s="32" t="n">
        <x:v>2.12</x:v>
      </x:c>
      <x:c r="AL694" s="32" t="n">
        <x:v>4.17</x:v>
      </x:c>
      <x:c r="AM694" s="32" t="str">
        <x:v>#000000</x:v>
      </x:c>
      <x:c r="AN694" s="32" t="str">
        <x:v>Black</x:v>
      </x:c>
      <x:c r="AO694" s="32" t="n">
        <x:v>10.88</x:v>
      </x:c>
      <x:c r="AP694" s="32" t="n">
        <x:v>10.88</x:v>
      </x:c>
      <x:c r="AQ694" s="32" t="n">
        <x:v>1.93</x:v>
      </x:c>
      <x:c r="AR694" s="32" t="n">
        <x:v>0.494219</x:v>
      </x:c>
      <x:c r="AS694" t="str">
        <x:v>PASS</x:v>
      </x:c>
      <x:c r="AT694" t="str">
        <x:v>--cda-pstc-581</x:v>
      </x:c>
      <x:c r="AU694" t="str">
        <x:v>var(--cda-pstc-581)</x:v>
      </x:c>
      <x:c r="AV694" t="str">
        <x:v>Median RGB from official PDF swatch (screen reference only)</x:v>
      </x:c>
      <x:c r="AW694" t="str">
        <x:v>https://www.carandache.com/content_files/uploaded_doc/product/10985/Colour_Chart_Pastel_Pencil.pdf</x:v>
      </x:c>
      <x:c r="AX694" t="n">
        <x:v>1</x:v>
      </x:c>
      <x:c r="AY694" t="str">
        <x:v>Official</x:v>
      </x:c>
      <x:c r="AZ694" t="str">
        <x:v>Official where available; curated Traditional Chinese/Japanese otherwise</x:v>
      </x:c>
      <x:c r="BA694" t="str">
        <x:v>Verified from official chart; digital HEX is approximate</x:v>
      </x:c>
      <x:c r="BB694" t="str">
        <x:v>Shares the same 84-colour palette as PASTEL PENCILS; physical application differs by format.</x:v>
      </x:c>
    </x:row>
    <x:row r="695">
      <x:c r="A695" t="str">
        <x:f>G695&amp;"|"&amp;L695</x:f>
        <x:v>PSTC|583</x:v>
      </x:c>
      <x:c r="B695" t="str">
        <x:v>6aab3c8f-8d3d-5b2f-bf68-17113fde451a</x:v>
      </x:c>
      <x:c r="C695" t="str">
        <x:v>CDA-PSTC-583</x:v>
      </x:c>
      <x:c r="D695" t="str">
        <x:v>5780f78b-af0e-59ae-80af-4c20afd80775</x:v>
      </x:c>
      <x:c r="E695" t="str">
        <x:v>CDA-CODE-583</x:v>
      </x:c>
      <x:c r="F695" t="str">
        <x:v>Caran d’Ache</x:v>
      </x:c>
      <x:c r="G695" t="str">
        <x:v>PSTC</x:v>
      </x:c>
      <x:c r="H695" t="str">
        <x:v>PASTEL CUBES</x:v>
      </x:c>
      <x:c r="I695" t="str">
        <x:v>Extra-fine dry pastel cube</x:v>
      </x:c>
      <x:c r="J695" t="str">
        <x:v>Professional</x:v>
      </x:c>
      <x:c r="K695" s="30" t="n">
        <x:v>14</x:v>
      </x:c>
      <x:c r="L695" s="30" t="str">
        <x:v>583</x:v>
      </x:c>
      <x:c r="M695" t="str">
        <x:v>Violet pink</x:v>
      </x:c>
      <x:c r="N695" t="str">
        <x:v>紫粉紅</x:v>
      </x:c>
      <x:c r="O695" t="str">
        <x:v>バイオレットピンク</x:v>
      </x:c>
      <x:c r="P695" t="str"/>
      <x:c r="Q695" t="str">
        <x:v>Rose violine</x:v>
      </x:c>
      <x:c r="R695" t="str">
        <x:v>Violettrosa</x:v>
      </x:c>
      <x:c r="S695" t="str">
        <x:v>Rosa violetto</x:v>
      </x:c>
      <x:c r="T695" t="str">
        <x:v>Rosa violeta</x:v>
      </x:c>
      <x:c r="U695" t="str">
        <x:v>Rosa violino</x:v>
      </x:c>
      <x:c r="V695" t="str"/>
      <x:c r="W695" t="str">
        <x:v>PR101/PR168/PO82/PR122/PBk11/PY42/PBk7/PBr7</x:v>
      </x:c>
      <x:c r="X695" t="n">
        <x:f>IF(W695="",0,LEN(W695)-LEN(SUBSTITUTE(W695,"/",""))+1)</x:f>
        <x:v>8</x:v>
      </x:c>
      <x:c r="Y695" t="str">
        <x:v>H</x:v>
      </x:c>
      <x:c r="Z695" s="32" t="n">
        <x:v>1</x:v>
      </x:c>
      <x:c r="AA695" s="32" t="n">
        <x:v>5</x:v>
      </x:c>
      <x:c r="AB695" s="32" t="str">
        <x:v>Blue Wool Scale / UV 150h</x:v>
      </x:c>
      <x:c r="AC695" t="str">
        <x:v>#A56769</x:v>
      </x:c>
      <x:c r="AD695" s="34" t="n">
        <x:v>165</x:v>
      </x:c>
      <x:c r="AE695" s="34" t="n">
        <x:v>103</x:v>
      </x:c>
      <x:c r="AF695" s="34" t="n">
        <x:v>105</x:v>
      </x:c>
      <x:c r="AG695" s="32" t="n">
        <x:v>358.06</x:v>
      </x:c>
      <x:c r="AH695" s="32" t="n">
        <x:v>25.62</x:v>
      </x:c>
      <x:c r="AI695" s="32" t="n">
        <x:v>52.55</x:v>
      </x:c>
      <x:c r="AJ695" s="32" t="n">
        <x:v>50.36</x:v>
      </x:c>
      <x:c r="AK695" s="32" t="n">
        <x:v>25.17</x:v>
      </x:c>
      <x:c r="AL695" s="32" t="n">
        <x:v>9.39</x:v>
      </x:c>
      <x:c r="AM695" s="32" t="str">
        <x:v>#000000</x:v>
      </x:c>
      <x:c r="AN695" s="32" t="str">
        <x:v>Black</x:v>
      </x:c>
      <x:c r="AO695" s="32" t="n">
        <x:v>4.74</x:v>
      </x:c>
      <x:c r="AP695" s="32" t="n">
        <x:v>4.74</x:v>
      </x:c>
      <x:c r="AQ695" s="32" t="n">
        <x:v>4.43</x:v>
      </x:c>
      <x:c r="AR695" s="32" t="n">
        <x:v>0.187197</x:v>
      </x:c>
      <x:c r="AS695" t="str">
        <x:v>PASS</x:v>
      </x:c>
      <x:c r="AT695" t="str">
        <x:v>--cda-pstc-583</x:v>
      </x:c>
      <x:c r="AU695" t="str">
        <x:v>var(--cda-pstc-583)</x:v>
      </x:c>
      <x:c r="AV695" t="str">
        <x:v>Median RGB from official PDF swatch (screen reference only)</x:v>
      </x:c>
      <x:c r="AW695" t="str">
        <x:v>https://www.carandache.com/content_files/uploaded_doc/product/10985/Colour_Chart_Pastel_Pencil.pdf</x:v>
      </x:c>
      <x:c r="AX695" t="n">
        <x:v>1</x:v>
      </x:c>
      <x:c r="AY695" t="str">
        <x:v>Official</x:v>
      </x:c>
      <x:c r="AZ695" t="str">
        <x:v>Official where available; curated Traditional Chinese/Japanese otherwise</x:v>
      </x:c>
      <x:c r="BA695" t="str">
        <x:v>Verified from official chart; digital HEX is approximate</x:v>
      </x:c>
      <x:c r="BB695" t="str">
        <x:v>Shares the same 84-colour palette as PASTEL PENCILS; physical application differs by format.</x:v>
      </x:c>
    </x:row>
    <x:row r="696">
      <x:c r="A696" t="str">
        <x:f>G696&amp;"|"&amp;L696</x:f>
        <x:v>PSTC|070</x:v>
      </x:c>
      <x:c r="B696" t="str">
        <x:v>a333127d-6af5-553c-ba0d-800f9521aac7</x:v>
      </x:c>
      <x:c r="C696" t="str">
        <x:v>CDA-PSTC-070</x:v>
      </x:c>
      <x:c r="D696" t="str">
        <x:v>2dcedd03-0d82-5dc4-a34e-7ed1c317e71e</x:v>
      </x:c>
      <x:c r="E696" t="str">
        <x:v>CDA-CODE-070</x:v>
      </x:c>
      <x:c r="F696" t="str">
        <x:v>Caran d’Ache</x:v>
      </x:c>
      <x:c r="G696" t="str">
        <x:v>PSTC</x:v>
      </x:c>
      <x:c r="H696" t="str">
        <x:v>PASTEL CUBES</x:v>
      </x:c>
      <x:c r="I696" t="str">
        <x:v>Extra-fine dry pastel cube</x:v>
      </x:c>
      <x:c r="J696" t="str">
        <x:v>Professional</x:v>
      </x:c>
      <x:c r="K696" s="30" t="n">
        <x:v>15</x:v>
      </x:c>
      <x:c r="L696" s="30" t="str">
        <x:v>070</x:v>
      </x:c>
      <x:c r="M696" t="str">
        <x:v>Scarlet</x:v>
      </x:c>
      <x:c r="N696" t="str">
        <x:v>猩紅</x:v>
      </x:c>
      <x:c r="O696" t="str">
        <x:v>スカーレット</x:v>
      </x:c>
      <x:c r="P696" t="str"/>
      <x:c r="Q696" t="str">
        <x:v>Ecarlate</x:v>
      </x:c>
      <x:c r="R696" t="str">
        <x:v>Scharlachrot</x:v>
      </x:c>
      <x:c r="S696" t="str">
        <x:v>Scarlatto</x:v>
      </x:c>
      <x:c r="T696" t="str">
        <x:v>Escarlata</x:v>
      </x:c>
      <x:c r="U696" t="str">
        <x:v>Escarlate</x:v>
      </x:c>
      <x:c r="V696" t="str"/>
      <x:c r="W696" t="str">
        <x:v>PR254</x:v>
      </x:c>
      <x:c r="X696" t="n">
        <x:f>IF(W696="",0,LEN(W696)-LEN(SUBSTITUTE(W696,"/",""))+1)</x:f>
        <x:v>1</x:v>
      </x:c>
      <x:c r="Y696" t="str">
        <x:v>HHH</x:v>
      </x:c>
      <x:c r="Z696" s="32" t="n">
        <x:v>3</x:v>
      </x:c>
      <x:c r="AA696" s="32" t="n">
        <x:v>5</x:v>
      </x:c>
      <x:c r="AB696" s="32" t="str">
        <x:v>Blue Wool Scale / UV 150h</x:v>
      </x:c>
      <x:c r="AC696" t="str">
        <x:v>#BE1B2F</x:v>
      </x:c>
      <x:c r="AD696" s="34" t="n">
        <x:v>190</x:v>
      </x:c>
      <x:c r="AE696" s="34" t="n">
        <x:v>27</x:v>
      </x:c>
      <x:c r="AF696" s="34" t="n">
        <x:v>47</x:v>
      </x:c>
      <x:c r="AG696" s="32" t="n">
        <x:v>352.64</x:v>
      </x:c>
      <x:c r="AH696" s="32" t="n">
        <x:v>75.12</x:v>
      </x:c>
      <x:c r="AI696" s="32" t="n">
        <x:v>42.55</x:v>
      </x:c>
      <x:c r="AJ696" s="32" t="n">
        <x:v>41.12</x:v>
      </x:c>
      <x:c r="AK696" s="32" t="n">
        <x:v>61.45</x:v>
      </x:c>
      <x:c r="AL696" s="32" t="n">
        <x:v>32.97</x:v>
      </x:c>
      <x:c r="AM696" s="32" t="str">
        <x:v>#FFFFFF</x:v>
      </x:c>
      <x:c r="AN696" s="32" t="str">
        <x:v>White</x:v>
      </x:c>
      <x:c r="AO696" s="32" t="n">
        <x:v>6.2</x:v>
      </x:c>
      <x:c r="AP696" s="32" t="n">
        <x:v>3.39</x:v>
      </x:c>
      <x:c r="AQ696" s="32" t="n">
        <x:v>6.2</x:v>
      </x:c>
      <x:c r="AR696" s="32" t="n">
        <x:v>0.119363</x:v>
      </x:c>
      <x:c r="AS696" t="str">
        <x:v>PASS</x:v>
      </x:c>
      <x:c r="AT696" t="str">
        <x:v>--cda-pstc-070</x:v>
      </x:c>
      <x:c r="AU696" t="str">
        <x:v>var(--cda-pstc-070)</x:v>
      </x:c>
      <x:c r="AV696" t="str">
        <x:v>Median RGB from official PDF swatch (screen reference only)</x:v>
      </x:c>
      <x:c r="AW696" t="str">
        <x:v>https://www.carandache.com/content_files/uploaded_doc/product/10985/Colour_Chart_Pastel_Pencil.pdf</x:v>
      </x:c>
      <x:c r="AX696" t="n">
        <x:v>1</x:v>
      </x:c>
      <x:c r="AY696" t="str">
        <x:v>Official</x:v>
      </x:c>
      <x:c r="AZ696" t="str">
        <x:v>Official where available; curated Traditional Chinese/Japanese otherwise</x:v>
      </x:c>
      <x:c r="BA696" t="str">
        <x:v>Verified from official chart; digital HEX is approximate</x:v>
      </x:c>
      <x:c r="BB696" t="str">
        <x:v>Shares the same 84-colour palette as PASTEL PENCILS; physical application differs by format.</x:v>
      </x:c>
    </x:row>
    <x:row r="697">
      <x:c r="A697" t="str">
        <x:f>G697&amp;"|"&amp;L697</x:f>
        <x:v>PSTC|080</x:v>
      </x:c>
      <x:c r="B697" t="str">
        <x:v>1735126a-441a-5ee5-8a91-eb01c13d82ce</x:v>
      </x:c>
      <x:c r="C697" t="str">
        <x:v>CDA-PSTC-080</x:v>
      </x:c>
      <x:c r="D697" t="str">
        <x:v>8fc33401-4732-5074-a23a-104fe5efd12f</x:v>
      </x:c>
      <x:c r="E697" t="str">
        <x:v>CDA-CODE-080</x:v>
      </x:c>
      <x:c r="F697" t="str">
        <x:v>Caran d’Ache</x:v>
      </x:c>
      <x:c r="G697" t="str">
        <x:v>PSTC</x:v>
      </x:c>
      <x:c r="H697" t="str">
        <x:v>PASTEL CUBES</x:v>
      </x:c>
      <x:c r="I697" t="str">
        <x:v>Extra-fine dry pastel cube</x:v>
      </x:c>
      <x:c r="J697" t="str">
        <x:v>Professional</x:v>
      </x:c>
      <x:c r="K697" s="30" t="n">
        <x:v>16</x:v>
      </x:c>
      <x:c r="L697" s="30" t="str">
        <x:v>080</x:v>
      </x:c>
      <x:c r="M697" t="str">
        <x:v>Carmine Lake</x:v>
      </x:c>
      <x:c r="N697" t="str">
        <x:v>胭脂紅色淀</x:v>
      </x:c>
      <x:c r="O697" t="str">
        <x:v>カーマインレーキ</x:v>
      </x:c>
      <x:c r="P697" t="str"/>
      <x:c r="Q697" t="str">
        <x:v>Carmin</x:v>
      </x:c>
      <x:c r="R697" t="str">
        <x:v>Karmin</x:v>
      </x:c>
      <x:c r="S697" t="str">
        <x:v>Carminio</x:v>
      </x:c>
      <x:c r="T697" t="str">
        <x:v>Carmín</x:v>
      </x:c>
      <x:c r="U697" t="str">
        <x:v>Carmin</x:v>
      </x:c>
      <x:c r="V697" t="str"/>
      <x:c r="W697" t="str">
        <x:v>PR48:3/PR179</x:v>
      </x:c>
      <x:c r="X697" t="n">
        <x:f>IF(W697="",0,LEN(W697)-LEN(SUBSTITUTE(W697,"/",""))+1)</x:f>
        <x:v>2</x:v>
      </x:c>
      <x:c r="Y697" t="str">
        <x:v>H</x:v>
      </x:c>
      <x:c r="Z697" s="32" t="n">
        <x:v>1</x:v>
      </x:c>
      <x:c r="AA697" s="32" t="n">
        <x:v>5</x:v>
      </x:c>
      <x:c r="AB697" s="32" t="str">
        <x:v>Blue Wool Scale / UV 150h</x:v>
      </x:c>
      <x:c r="AC697" t="str">
        <x:v>#B81D33</x:v>
      </x:c>
      <x:c r="AD697" s="34" t="n">
        <x:v>184</x:v>
      </x:c>
      <x:c r="AE697" s="34" t="n">
        <x:v>29</x:v>
      </x:c>
      <x:c r="AF697" s="34" t="n">
        <x:v>51</x:v>
      </x:c>
      <x:c r="AG697" s="32" t="n">
        <x:v>351.48</x:v>
      </x:c>
      <x:c r="AH697" s="32" t="n">
        <x:v>72.77</x:v>
      </x:c>
      <x:c r="AI697" s="32" t="n">
        <x:v>41.76</x:v>
      </x:c>
      <x:c r="AJ697" s="32" t="n">
        <x:v>40.1</x:v>
      </x:c>
      <x:c r="AK697" s="32" t="n">
        <x:v>59.53</x:v>
      </x:c>
      <x:c r="AL697" s="32" t="n">
        <x:v>29.05</x:v>
      </x:c>
      <x:c r="AM697" s="32" t="str">
        <x:v>#FFFFFF</x:v>
      </x:c>
      <x:c r="AN697" s="32" t="str">
        <x:v>White</x:v>
      </x:c>
      <x:c r="AO697" s="32" t="n">
        <x:v>6.44</x:v>
      </x:c>
      <x:c r="AP697" s="32" t="n">
        <x:v>3.26</x:v>
      </x:c>
      <x:c r="AQ697" s="32" t="n">
        <x:v>6.44</x:v>
      </x:c>
      <x:c r="AR697" s="32" t="n">
        <x:v>0.113081</x:v>
      </x:c>
      <x:c r="AS697" t="str">
        <x:v>PASS</x:v>
      </x:c>
      <x:c r="AT697" t="str">
        <x:v>--cda-pstc-080</x:v>
      </x:c>
      <x:c r="AU697" t="str">
        <x:v>var(--cda-pstc-080)</x:v>
      </x:c>
      <x:c r="AV697" t="str">
        <x:v>Median RGB from official PDF swatch (screen reference only)</x:v>
      </x:c>
      <x:c r="AW697" t="str">
        <x:v>https://www.carandache.com/content_files/uploaded_doc/product/10985/Colour_Chart_Pastel_Pencil.pdf</x:v>
      </x:c>
      <x:c r="AX697" t="n">
        <x:v>1</x:v>
      </x:c>
      <x:c r="AY697" t="str">
        <x:v>Official</x:v>
      </x:c>
      <x:c r="AZ697" t="str">
        <x:v>Official where available; curated Traditional Chinese/Japanese otherwise</x:v>
      </x:c>
      <x:c r="BA697" t="str">
        <x:v>Verified from official chart; digital HEX is approximate</x:v>
      </x:c>
      <x:c r="BB697" t="str">
        <x:v>Shares the same 84-colour palette as PASTEL PENCILS; physical application differs by format.</x:v>
      </x:c>
    </x:row>
    <x:row r="698">
      <x:c r="A698" t="str">
        <x:f>G698&amp;"|"&amp;L698</x:f>
        <x:v>PSTC|585</x:v>
      </x:c>
      <x:c r="B698" t="str">
        <x:v>0ef544f6-c53d-5485-8537-f309671a2462</x:v>
      </x:c>
      <x:c r="C698" t="str">
        <x:v>CDA-PSTC-585</x:v>
      </x:c>
      <x:c r="D698" t="str">
        <x:v>191801bc-d7f5-59fc-95eb-bde93a74e9ef</x:v>
      </x:c>
      <x:c r="E698" t="str">
        <x:v>CDA-CODE-585</x:v>
      </x:c>
      <x:c r="F698" t="str">
        <x:v>Caran d’Ache</x:v>
      </x:c>
      <x:c r="G698" t="str">
        <x:v>PSTC</x:v>
      </x:c>
      <x:c r="H698" t="str">
        <x:v>PASTEL CUBES</x:v>
      </x:c>
      <x:c r="I698" t="str">
        <x:v>Extra-fine dry pastel cube</x:v>
      </x:c>
      <x:c r="J698" t="str">
        <x:v>Professional</x:v>
      </x:c>
      <x:c r="K698" s="30" t="n">
        <x:v>17</x:v>
      </x:c>
      <x:c r="L698" s="30" t="str">
        <x:v>585</x:v>
      </x:c>
      <x:c r="M698" t="str">
        <x:v>Perylene brown</x:v>
      </x:c>
      <x:c r="N698" t="str">
        <x:v>苝棕</x:v>
      </x:c>
      <x:c r="O698" t="str">
        <x:v>ペリレンブラウン</x:v>
      </x:c>
      <x:c r="P698" t="str"/>
      <x:c r="Q698" t="str">
        <x:v>Marron de pérylène</x:v>
      </x:c>
      <x:c r="R698" t="str">
        <x:v>Perylen braun</x:v>
      </x:c>
      <x:c r="S698" t="str">
        <x:v>Bruno di pérylène</x:v>
      </x:c>
      <x:c r="T698" t="str">
        <x:v>Marrón de peryleno</x:v>
      </x:c>
      <x:c r="U698" t="str">
        <x:v>Castanho Perylene</x:v>
      </x:c>
      <x:c r="V698" t="str"/>
      <x:c r="W698" t="str">
        <x:v>PR179</x:v>
      </x:c>
      <x:c r="X698" t="n">
        <x:f>IF(W698="",0,LEN(W698)-LEN(SUBSTITUTE(W698,"/",""))+1)</x:f>
        <x:v>1</x:v>
      </x:c>
      <x:c r="Y698" t="str">
        <x:v>HH</x:v>
      </x:c>
      <x:c r="Z698" s="32" t="n">
        <x:v>2</x:v>
      </x:c>
      <x:c r="AA698" s="32" t="n">
        <x:v>5</x:v>
      </x:c>
      <x:c r="AB698" s="32" t="str">
        <x:v>Blue Wool Scale / UV 150h</x:v>
      </x:c>
      <x:c r="AC698" t="str">
        <x:v>#A1353D</x:v>
      </x:c>
      <x:c r="AD698" s="34" t="n">
        <x:v>161</x:v>
      </x:c>
      <x:c r="AE698" s="34" t="n">
        <x:v>53</x:v>
      </x:c>
      <x:c r="AF698" s="34" t="n">
        <x:v>61</x:v>
      </x:c>
      <x:c r="AG698" s="32" t="n">
        <x:v>355.56</x:v>
      </x:c>
      <x:c r="AH698" s="32" t="n">
        <x:v>50.47</x:v>
      </x:c>
      <x:c r="AI698" s="32" t="n">
        <x:v>41.96</x:v>
      </x:c>
      <x:c r="AJ698" s="32" t="n">
        <x:v>38.66</x:v>
      </x:c>
      <x:c r="AK698" s="32" t="n">
        <x:v>45.08</x:v>
      </x:c>
      <x:c r="AL698" s="32" t="n">
        <x:v>20.1</x:v>
      </x:c>
      <x:c r="AM698" s="32" t="str">
        <x:v>#FFFFFF</x:v>
      </x:c>
      <x:c r="AN698" s="32" t="str">
        <x:v>White</x:v>
      </x:c>
      <x:c r="AO698" s="32" t="n">
        <x:v>6.79</x:v>
      </x:c>
      <x:c r="AP698" s="32" t="n">
        <x:v>3.09</x:v>
      </x:c>
      <x:c r="AQ698" s="32" t="n">
        <x:v>6.79</x:v>
      </x:c>
      <x:c r="AR698" s="32" t="n">
        <x:v>0.104602</x:v>
      </x:c>
      <x:c r="AS698" t="str">
        <x:v>PASS</x:v>
      </x:c>
      <x:c r="AT698" t="str">
        <x:v>--cda-pstc-585</x:v>
      </x:c>
      <x:c r="AU698" t="str">
        <x:v>var(--cda-pstc-585)</x:v>
      </x:c>
      <x:c r="AV698" t="str">
        <x:v>Median RGB from official PDF swatch (screen reference only)</x:v>
      </x:c>
      <x:c r="AW698" t="str">
        <x:v>https://www.carandache.com/content_files/uploaded_doc/product/10985/Colour_Chart_Pastel_Pencil.pdf</x:v>
      </x:c>
      <x:c r="AX698" t="n">
        <x:v>1</x:v>
      </x:c>
      <x:c r="AY698" t="str">
        <x:v>Official</x:v>
      </x:c>
      <x:c r="AZ698" t="str">
        <x:v>Official where available; curated Traditional Chinese/Japanese otherwise</x:v>
      </x:c>
      <x:c r="BA698" t="str">
        <x:v>Verified from official chart; digital HEX is approximate</x:v>
      </x:c>
      <x:c r="BB698" t="str">
        <x:v>Shares the same 84-colour palette as PASTEL PENCILS; physical application differs by format.</x:v>
      </x:c>
    </x:row>
    <x:row r="699">
      <x:c r="A699" t="str">
        <x:f>G699&amp;"|"&amp;L699</x:f>
        <x:v>PSTC|105</x:v>
      </x:c>
      <x:c r="B699" t="str">
        <x:v>e3f04b73-0c50-5ce5-936d-1e8b16fc3d86</x:v>
      </x:c>
      <x:c r="C699" t="str">
        <x:v>CDA-PSTC-105</x:v>
      </x:c>
      <x:c r="D699" t="str">
        <x:v>d02c5ac7-d0fe-509e-9736-1f2720d93a1a</x:v>
      </x:c>
      <x:c r="E699" t="str">
        <x:v>CDA-CODE-105</x:v>
      </x:c>
      <x:c r="F699" t="str">
        <x:v>Caran d’Ache</x:v>
      </x:c>
      <x:c r="G699" t="str">
        <x:v>PSTC</x:v>
      </x:c>
      <x:c r="H699" t="str">
        <x:v>PASTEL CUBES</x:v>
      </x:c>
      <x:c r="I699" t="str">
        <x:v>Extra-fine dry pastel cube</x:v>
      </x:c>
      <x:c r="J699" t="str">
        <x:v>Professional</x:v>
      </x:c>
      <x:c r="K699" s="30" t="n">
        <x:v>18</x:v>
      </x:c>
      <x:c r="L699" s="30" t="str">
        <x:v>105</x:v>
      </x:c>
      <x:c r="M699" t="str">
        <x:v>Plum</x:v>
      </x:c>
      <x:c r="N699" t="str">
        <x:v>梅紫色</x:v>
      </x:c>
      <x:c r="O699" t="str">
        <x:v>プラム</x:v>
      </x:c>
      <x:c r="P699" t="str"/>
      <x:c r="Q699" t="str">
        <x:v>Prune</x:v>
      </x:c>
      <x:c r="R699" t="str">
        <x:v>Pflaumenrot</x:v>
      </x:c>
      <x:c r="S699" t="str">
        <x:v>Prugna</x:v>
      </x:c>
      <x:c r="T699" t="str">
        <x:v>Ciruela</x:v>
      </x:c>
      <x:c r="U699" t="str">
        <x:v>Ameixa</x:v>
      </x:c>
      <x:c r="V699" t="str"/>
      <x:c r="W699" t="str">
        <x:v>PR3/PV23/PV19</x:v>
      </x:c>
      <x:c r="X699" t="n">
        <x:f>IF(W699="",0,LEN(W699)-LEN(SUBSTITUTE(W699,"/",""))+1)</x:f>
        <x:v>3</x:v>
      </x:c>
      <x:c r="Y699" t="str">
        <x:v>H</x:v>
      </x:c>
      <x:c r="Z699" s="32" t="n">
        <x:v>1</x:v>
      </x:c>
      <x:c r="AA699" s="32" t="n">
        <x:v>5</x:v>
      </x:c>
      <x:c r="AB699" s="32" t="str">
        <x:v>Blue Wool Scale / UV 150h</x:v>
      </x:c>
      <x:c r="AC699" t="str">
        <x:v>#5E374E</x:v>
      </x:c>
      <x:c r="AD699" s="34" t="n">
        <x:v>94</x:v>
      </x:c>
      <x:c r="AE699" s="34" t="n">
        <x:v>55</x:v>
      </x:c>
      <x:c r="AF699" s="34" t="n">
        <x:v>78</x:v>
      </x:c>
      <x:c r="AG699" s="32" t="n">
        <x:v>324.62</x:v>
      </x:c>
      <x:c r="AH699" s="32" t="n">
        <x:v>26.17</x:v>
      </x:c>
      <x:c r="AI699" s="32" t="n">
        <x:v>29.22</x:v>
      </x:c>
      <x:c r="AJ699" s="32" t="n">
        <x:v>28.54</x:v>
      </x:c>
      <x:c r="AK699" s="32" t="n">
        <x:v>21.09</x:v>
      </x:c>
      <x:c r="AL699" s="32" t="n">
        <x:v>-6.66</x:v>
      </x:c>
      <x:c r="AM699" s="32" t="str">
        <x:v>#FFFFFF</x:v>
      </x:c>
      <x:c r="AN699" s="32" t="str">
        <x:v>White</x:v>
      </x:c>
      <x:c r="AO699" s="32" t="n">
        <x:v>9.85</x:v>
      </x:c>
      <x:c r="AP699" s="32" t="n">
        <x:v>2.13</x:v>
      </x:c>
      <x:c r="AQ699" s="32" t="n">
        <x:v>9.85</x:v>
      </x:c>
      <x:c r="AR699" s="32" t="n">
        <x:v>0.056621</x:v>
      </x:c>
      <x:c r="AS699" t="str">
        <x:v>PASS</x:v>
      </x:c>
      <x:c r="AT699" t="str">
        <x:v>--cda-pstc-105</x:v>
      </x:c>
      <x:c r="AU699" t="str">
        <x:v>var(--cda-pstc-105)</x:v>
      </x:c>
      <x:c r="AV699" t="str">
        <x:v>Median RGB from official PDF swatch (screen reference only)</x:v>
      </x:c>
      <x:c r="AW699" t="str">
        <x:v>https://www.carandache.com/content_files/uploaded_doc/product/10985/Colour_Chart_Pastel_Pencil.pdf</x:v>
      </x:c>
      <x:c r="AX699" t="n">
        <x:v>1</x:v>
      </x:c>
      <x:c r="AY699" t="str">
        <x:v>Official</x:v>
      </x:c>
      <x:c r="AZ699" t="str">
        <x:v>Official where available; curated Traditional Chinese/Japanese otherwise</x:v>
      </x:c>
      <x:c r="BA699" t="str">
        <x:v>Verified from official chart; digital HEX is approximate</x:v>
      </x:c>
      <x:c r="BB699" t="str">
        <x:v>Shares the same 84-colour palette as PASTEL PENCILS; physical application differs by format.</x:v>
      </x:c>
    </x:row>
    <x:row r="700">
      <x:c r="A700" t="str">
        <x:f>G700&amp;"|"&amp;L700</x:f>
        <x:v>PSTC|099</x:v>
      </x:c>
      <x:c r="B700" t="str">
        <x:v>773ea0ce-2785-5107-9a5c-92c287c43c54</x:v>
      </x:c>
      <x:c r="C700" t="str">
        <x:v>CDA-PSTC-099</x:v>
      </x:c>
      <x:c r="D700" t="str">
        <x:v>b1a53e2d-72a1-560f-827c-7dd3d112decc</x:v>
      </x:c>
      <x:c r="E700" t="str">
        <x:v>CDA-CODE-099</x:v>
      </x:c>
      <x:c r="F700" t="str">
        <x:v>Caran d’Ache</x:v>
      </x:c>
      <x:c r="G700" t="str">
        <x:v>PSTC</x:v>
      </x:c>
      <x:c r="H700" t="str">
        <x:v>PASTEL CUBES</x:v>
      </x:c>
      <x:c r="I700" t="str">
        <x:v>Extra-fine dry pastel cube</x:v>
      </x:c>
      <x:c r="J700" t="str">
        <x:v>Professional</x:v>
      </x:c>
      <x:c r="K700" s="30" t="n">
        <x:v>19</x:v>
      </x:c>
      <x:c r="L700" s="30" t="str">
        <x:v>099</x:v>
      </x:c>
      <x:c r="M700" t="str">
        <x:v>Aubergine</x:v>
      </x:c>
      <x:c r="N700" t="str">
        <x:v>茄紫色</x:v>
      </x:c>
      <x:c r="O700" t="str">
        <x:v>オーベルジーヌ</x:v>
      </x:c>
      <x:c r="P700" t="str"/>
      <x:c r="Q700" t="str">
        <x:v>Aubergine</x:v>
      </x:c>
      <x:c r="R700" t="str">
        <x:v>Aubergine</x:v>
      </x:c>
      <x:c r="S700" t="str">
        <x:v>Melanzana</x:v>
      </x:c>
      <x:c r="T700" t="str">
        <x:v>Berenjena</x:v>
      </x:c>
      <x:c r="U700" t="str">
        <x:v>Beringela</x:v>
      </x:c>
      <x:c r="V700" t="str"/>
      <x:c r="W700" t="str">
        <x:v>PV19/PB15</x:v>
      </x:c>
      <x:c r="X700" t="n">
        <x:f>IF(W700="",0,LEN(W700)-LEN(SUBSTITUTE(W700,"/",""))+1)</x:f>
        <x:v>2</x:v>
      </x:c>
      <x:c r="Y700" t="str">
        <x:v>H</x:v>
      </x:c>
      <x:c r="Z700" s="32" t="n">
        <x:v>1</x:v>
      </x:c>
      <x:c r="AA700" s="32" t="n">
        <x:v>5</x:v>
      </x:c>
      <x:c r="AB700" s="32" t="str">
        <x:v>Blue Wool Scale / UV 150h</x:v>
      </x:c>
      <x:c r="AC700" t="str">
        <x:v>#99538F</x:v>
      </x:c>
      <x:c r="AD700" s="34" t="n">
        <x:v>153</x:v>
      </x:c>
      <x:c r="AE700" s="34" t="n">
        <x:v>83</x:v>
      </x:c>
      <x:c r="AF700" s="34" t="n">
        <x:v>143</x:v>
      </x:c>
      <x:c r="AG700" s="32" t="n">
        <x:v>308.57</x:v>
      </x:c>
      <x:c r="AH700" s="32" t="n">
        <x:v>29.66</x:v>
      </x:c>
      <x:c r="AI700" s="32" t="n">
        <x:v>46.27</x:v>
      </x:c>
      <x:c r="AJ700" s="32" t="n">
        <x:v>45.56</x:v>
      </x:c>
      <x:c r="AK700" s="32" t="n">
        <x:v>37.84</x:v>
      </x:c>
      <x:c r="AL700" s="32" t="n">
        <x:v>-20.67</x:v>
      </x:c>
      <x:c r="AM700" s="32" t="str">
        <x:v>#FFFFFF</x:v>
      </x:c>
      <x:c r="AN700" s="32" t="str">
        <x:v>White</x:v>
      </x:c>
      <x:c r="AO700" s="32" t="n">
        <x:v>5.27</x:v>
      </x:c>
      <x:c r="AP700" s="32" t="n">
        <x:v>3.99</x:v>
      </x:c>
      <x:c r="AQ700" s="32" t="n">
        <x:v>5.27</x:v>
      </x:c>
      <x:c r="AR700" s="32" t="n">
        <x:v>0.14942</x:v>
      </x:c>
      <x:c r="AS700" t="str">
        <x:v>PASS</x:v>
      </x:c>
      <x:c r="AT700" t="str">
        <x:v>--cda-pstc-099</x:v>
      </x:c>
      <x:c r="AU700" t="str">
        <x:v>var(--cda-pstc-099)</x:v>
      </x:c>
      <x:c r="AV700" t="str">
        <x:v>Median RGB from official PDF swatch (screen reference only)</x:v>
      </x:c>
      <x:c r="AW700" t="str">
        <x:v>https://www.carandache.com/content_files/uploaded_doc/product/10985/Colour_Chart_Pastel_Pencil.pdf</x:v>
      </x:c>
      <x:c r="AX700" t="n">
        <x:v>1</x:v>
      </x:c>
      <x:c r="AY700" t="str">
        <x:v>Official</x:v>
      </x:c>
      <x:c r="AZ700" t="str">
        <x:v>Official where available; curated Traditional Chinese/Japanese otherwise</x:v>
      </x:c>
      <x:c r="BA700" t="str">
        <x:v>Verified from official chart; digital HEX is approximate</x:v>
      </x:c>
      <x:c r="BB700" t="str">
        <x:v>Shares the same 84-colour palette as PASTEL PENCILS; physical application differs by format.</x:v>
      </x:c>
    </x:row>
    <x:row r="701">
      <x:c r="A701" t="str">
        <x:f>G701&amp;"|"&amp;L701</x:f>
        <x:v>PSTC|350</x:v>
      </x:c>
      <x:c r="B701" t="str">
        <x:v>09259be8-1d6a-5be7-af47-8c7974439fc8</x:v>
      </x:c>
      <x:c r="C701" t="str">
        <x:v>CDA-PSTC-350</x:v>
      </x:c>
      <x:c r="D701" t="str">
        <x:v>39bf01fa-a31a-593e-a617-859ebd045d80</x:v>
      </x:c>
      <x:c r="E701" t="str">
        <x:v>CDA-CODE-350</x:v>
      </x:c>
      <x:c r="F701" t="str">
        <x:v>Caran d’Ache</x:v>
      </x:c>
      <x:c r="G701" t="str">
        <x:v>PSTC</x:v>
      </x:c>
      <x:c r="H701" t="str">
        <x:v>PASTEL CUBES</x:v>
      </x:c>
      <x:c r="I701" t="str">
        <x:v>Extra-fine dry pastel cube</x:v>
      </x:c>
      <x:c r="J701" t="str">
        <x:v>Professional</x:v>
      </x:c>
      <x:c r="K701" s="30" t="n">
        <x:v>20</x:v>
      </x:c>
      <x:c r="L701" s="30" t="str">
        <x:v>350</x:v>
      </x:c>
      <x:c r="M701" t="str">
        <x:v>Purplish Red</x:v>
      </x:c>
      <x:c r="N701" t="str">
        <x:v>紫紅色</x:v>
      </x:c>
      <x:c r="O701" t="str">
        <x:v>パープリッシュレッド</x:v>
      </x:c>
      <x:c r="P701" t="str"/>
      <x:c r="Q701" t="str">
        <x:v>Rouge Pourpre</x:v>
      </x:c>
      <x:c r="R701" t="str">
        <x:v>Purpurrot</x:v>
      </x:c>
      <x:c r="S701" t="str">
        <x:v>Rosso porpora</x:v>
      </x:c>
      <x:c r="T701" t="str">
        <x:v>Rojo púrpura</x:v>
      </x:c>
      <x:c r="U701" t="str">
        <x:v>Vermelho púrpura</x:v>
      </x:c>
      <x:c r="V701" t="str"/>
      <x:c r="W701" t="str">
        <x:v>PR122</x:v>
      </x:c>
      <x:c r="X701" t="n">
        <x:f>IF(W701="",0,LEN(W701)-LEN(SUBSTITUTE(W701,"/",""))+1)</x:f>
        <x:v>1</x:v>
      </x:c>
      <x:c r="Y701" t="str">
        <x:v>H</x:v>
      </x:c>
      <x:c r="Z701" s="32" t="n">
        <x:v>1</x:v>
      </x:c>
      <x:c r="AA701" s="32" t="n">
        <x:v>5</x:v>
      </x:c>
      <x:c r="AB701" s="32" t="str">
        <x:v>Blue Wool Scale / UV 150h</x:v>
      </x:c>
      <x:c r="AC701" t="str">
        <x:v>#984778</x:v>
      </x:c>
      <x:c r="AD701" s="34" t="n">
        <x:v>152</x:v>
      </x:c>
      <x:c r="AE701" s="34" t="n">
        <x:v>71</x:v>
      </x:c>
      <x:c r="AF701" s="34" t="n">
        <x:v>120</x:v>
      </x:c>
      <x:c r="AG701" s="32" t="n">
        <x:v>323.7</x:v>
      </x:c>
      <x:c r="AH701" s="32" t="n">
        <x:v>36.32</x:v>
      </x:c>
      <x:c r="AI701" s="32" t="n">
        <x:v>43.73</x:v>
      </x:c>
      <x:c r="AJ701" s="32" t="n">
        <x:v>42.06</x:v>
      </x:c>
      <x:c r="AK701" s="32" t="n">
        <x:v>39.99</x:v>
      </x:c>
      <x:c r="AL701" s="32" t="n">
        <x:v>-12.06</x:v>
      </x:c>
      <x:c r="AM701" s="32" t="str">
        <x:v>#FFFFFF</x:v>
      </x:c>
      <x:c r="AN701" s="32" t="str">
        <x:v>White</x:v>
      </x:c>
      <x:c r="AO701" s="32" t="n">
        <x:v>5.99</x:v>
      </x:c>
      <x:c r="AP701" s="32" t="n">
        <x:v>3.51</x:v>
      </x:c>
      <x:c r="AQ701" s="32" t="n">
        <x:v>5.99</x:v>
      </x:c>
      <x:c r="AR701" s="32" t="n">
        <x:v>0.125379</x:v>
      </x:c>
      <x:c r="AS701" t="str">
        <x:v>PASS</x:v>
      </x:c>
      <x:c r="AT701" t="str">
        <x:v>--cda-pstc-350</x:v>
      </x:c>
      <x:c r="AU701" t="str">
        <x:v>var(--cda-pstc-350)</x:v>
      </x:c>
      <x:c r="AV701" t="str">
        <x:v>Median RGB from official PDF swatch (screen reference only)</x:v>
      </x:c>
      <x:c r="AW701" t="str">
        <x:v>https://www.carandache.com/content_files/uploaded_doc/product/10985/Colour_Chart_Pastel_Pencil.pdf</x:v>
      </x:c>
      <x:c r="AX701" t="n">
        <x:v>1</x:v>
      </x:c>
      <x:c r="AY701" t="str">
        <x:v>Official</x:v>
      </x:c>
      <x:c r="AZ701" t="str">
        <x:v>Official where available; curated Traditional Chinese/Japanese otherwise</x:v>
      </x:c>
      <x:c r="BA701" t="str">
        <x:v>Verified from official chart; digital HEX is approximate</x:v>
      </x:c>
      <x:c r="BB701" t="str">
        <x:v>Shares the same 84-colour palette as PASTEL PENCILS; physical application differs by format.</x:v>
      </x:c>
    </x:row>
    <x:row r="702">
      <x:c r="A702" t="str">
        <x:f>G702&amp;"|"&amp;L702</x:f>
        <x:v>PSTC|631</x:v>
      </x:c>
      <x:c r="B702" t="str">
        <x:v>3e216bae-2814-53d8-a8e4-b71e02208780</x:v>
      </x:c>
      <x:c r="C702" t="str">
        <x:v>CDA-PSTC-631</x:v>
      </x:c>
      <x:c r="D702" t="str">
        <x:v>d2185fd9-b13b-589e-bb8f-dfdd477ef0bd</x:v>
      </x:c>
      <x:c r="E702" t="str">
        <x:v>CDA-CODE-631</x:v>
      </x:c>
      <x:c r="F702" t="str">
        <x:v>Caran d’Ache</x:v>
      </x:c>
      <x:c r="G702" t="str">
        <x:v>PSTC</x:v>
      </x:c>
      <x:c r="H702" t="str">
        <x:v>PASTEL CUBES</x:v>
      </x:c>
      <x:c r="I702" t="str">
        <x:v>Extra-fine dry pastel cube</x:v>
      </x:c>
      <x:c r="J702" t="str">
        <x:v>Professional</x:v>
      </x:c>
      <x:c r="K702" s="30" t="n">
        <x:v>21</x:v>
      </x:c>
      <x:c r="L702" s="30" t="str">
        <x:v>631</x:v>
      </x:c>
      <x:c r="M702" t="str">
        <x:v>Light ultramarine violet</x:v>
      </x:c>
      <x:c r="N702" t="str">
        <x:v>淺群青紫</x:v>
      </x:c>
      <x:c r="O702" t="str">
        <x:v>ライトウルトラマリンバイオレット</x:v>
      </x:c>
      <x:c r="P702" t="str"/>
      <x:c r="Q702" t="str">
        <x:v>Violet Outremer clair</x:v>
      </x:c>
      <x:c r="R702" t="str">
        <x:v>Hellultramarinviolett</x:v>
      </x:c>
      <x:c r="S702" t="str">
        <x:v>Rosso arancio di cadmio</x:v>
      </x:c>
      <x:c r="T702" t="str">
        <x:v>Rojo anaranjando cadmio</x:v>
      </x:c>
      <x:c r="U702" t="str">
        <x:v>Vermelho cádmio alaranjado</x:v>
      </x:c>
      <x:c r="V702" t="str"/>
      <x:c r="W702" t="str">
        <x:v>PV15</x:v>
      </x:c>
      <x:c r="X702" t="n">
        <x:f>IF(W702="",0,LEN(W702)-LEN(SUBSTITUTE(W702,"/",""))+1)</x:f>
        <x:v>1</x:v>
      </x:c>
      <x:c r="Y702" t="str">
        <x:v>HH</x:v>
      </x:c>
      <x:c r="Z702" s="32" t="n">
        <x:v>2</x:v>
      </x:c>
      <x:c r="AA702" s="32" t="n">
        <x:v>5</x:v>
      </x:c>
      <x:c r="AB702" s="32" t="str">
        <x:v>Blue Wool Scale / UV 150h</x:v>
      </x:c>
      <x:c r="AC702" t="str">
        <x:v>#A095A7</x:v>
      </x:c>
      <x:c r="AD702" s="34" t="n">
        <x:v>160</x:v>
      </x:c>
      <x:c r="AE702" s="34" t="n">
        <x:v>149</x:v>
      </x:c>
      <x:c r="AF702" s="34" t="n">
        <x:v>167</x:v>
      </x:c>
      <x:c r="AG702" s="32" t="n">
        <x:v>276.67</x:v>
      </x:c>
      <x:c r="AH702" s="32" t="n">
        <x:v>9.28</x:v>
      </x:c>
      <x:c r="AI702" s="32" t="n">
        <x:v>61.96</x:v>
      </x:c>
      <x:c r="AJ702" s="32" t="n">
        <x:v>63.14</x:v>
      </x:c>
      <x:c r="AK702" s="32" t="n">
        <x:v>7.49</x:v>
      </x:c>
      <x:c r="AL702" s="32" t="n">
        <x:v>-7.95</x:v>
      </x:c>
      <x:c r="AM702" s="32" t="str">
        <x:v>#000000</x:v>
      </x:c>
      <x:c r="AN702" s="32" t="str">
        <x:v>Black</x:v>
      </x:c>
      <x:c r="AO702" s="32" t="n">
        <x:v>7.35</x:v>
      </x:c>
      <x:c r="AP702" s="32" t="n">
        <x:v>7.35</x:v>
      </x:c>
      <x:c r="AQ702" s="32" t="n">
        <x:v>2.86</x:v>
      </x:c>
      <x:c r="AR702" s="32" t="n">
        <x:v>0.317585</x:v>
      </x:c>
      <x:c r="AS702" t="str">
        <x:v>PASS</x:v>
      </x:c>
      <x:c r="AT702" t="str">
        <x:v>--cda-pstc-631</x:v>
      </x:c>
      <x:c r="AU702" t="str">
        <x:v>var(--cda-pstc-631)</x:v>
      </x:c>
      <x:c r="AV702" t="str">
        <x:v>Median RGB from official PDF swatch (screen reference only)</x:v>
      </x:c>
      <x:c r="AW702" t="str">
        <x:v>https://www.carandache.com/content_files/uploaded_doc/product/10985/Colour_Chart_Pastel_Pencil.pdf</x:v>
      </x:c>
      <x:c r="AX702" t="n">
        <x:v>1</x:v>
      </x:c>
      <x:c r="AY702" t="str">
        <x:v>Official</x:v>
      </x:c>
      <x:c r="AZ702" t="str">
        <x:v>Official where available; curated Traditional Chinese/Japanese otherwise</x:v>
      </x:c>
      <x:c r="BA702" t="str">
        <x:v>Verified from official chart; digital HEX is approximate</x:v>
      </x:c>
      <x:c r="BB702" t="str">
        <x:v>Shares the same 84-colour palette as PASTEL PENCILS; physical application differs by format.</x:v>
      </x:c>
    </x:row>
    <x:row r="703">
      <x:c r="A703" t="str">
        <x:f>G703&amp;"|"&amp;L703</x:f>
        <x:v>PSTC|083</x:v>
      </x:c>
      <x:c r="B703" t="str">
        <x:v>486d86eb-9d11-5d6c-987a-fd819bfebbda</x:v>
      </x:c>
      <x:c r="C703" t="str">
        <x:v>CDA-PSTC-083</x:v>
      </x:c>
      <x:c r="D703" t="str">
        <x:v>ebaf999e-6067-5304-959c-61ee0ffe944e</x:v>
      </x:c>
      <x:c r="E703" t="str">
        <x:v>CDA-CODE-083</x:v>
      </x:c>
      <x:c r="F703" t="str">
        <x:v>Caran d’Ache</x:v>
      </x:c>
      <x:c r="G703" t="str">
        <x:v>PSTC</x:v>
      </x:c>
      <x:c r="H703" t="str">
        <x:v>PASTEL CUBES</x:v>
      </x:c>
      <x:c r="I703" t="str">
        <x:v>Extra-fine dry pastel cube</x:v>
      </x:c>
      <x:c r="J703" t="str">
        <x:v>Professional</x:v>
      </x:c>
      <x:c r="K703" s="30" t="n">
        <x:v>22</x:v>
      </x:c>
      <x:c r="L703" s="30" t="str">
        <x:v>083</x:v>
      </x:c>
      <x:c r="M703" t="str">
        <x:v>Ultramarine pink</x:v>
      </x:c>
      <x:c r="N703" t="str">
        <x:v>群青粉紅</x:v>
      </x:c>
      <x:c r="O703" t="str">
        <x:v>ウルトラマリンピンク</x:v>
      </x:c>
      <x:c r="P703" t="str"/>
      <x:c r="Q703" t="str">
        <x:v>Rose outremer</x:v>
      </x:c>
      <x:c r="R703" t="str">
        <x:v>Ultramarinrosa</x:v>
      </x:c>
      <x:c r="S703" t="str">
        <x:v>Rosa oltremare</x:v>
      </x:c>
      <x:c r="T703" t="str">
        <x:v>Rosa ultramar</x:v>
      </x:c>
      <x:c r="U703" t="str">
        <x:v>Rosa ultramarino</x:v>
      </x:c>
      <x:c r="V703" t="str"/>
      <x:c r="W703" t="str">
        <x:v>PR259/PR122</x:v>
      </x:c>
      <x:c r="X703" t="n">
        <x:f>IF(W703="",0,LEN(W703)-LEN(SUBSTITUTE(W703,"/",""))+1)</x:f>
        <x:v>2</x:v>
      </x:c>
      <x:c r="Y703" t="str">
        <x:v>HH</x:v>
      </x:c>
      <x:c r="Z703" s="32" t="n">
        <x:v>2</x:v>
      </x:c>
      <x:c r="AA703" s="32" t="n">
        <x:v>5</x:v>
      </x:c>
      <x:c r="AB703" s="32" t="str">
        <x:v>Blue Wool Scale / UV 150h</x:v>
      </x:c>
      <x:c r="AC703" t="str">
        <x:v>#B895B0</x:v>
      </x:c>
      <x:c r="AD703" s="34" t="n">
        <x:v>184</x:v>
      </x:c>
      <x:c r="AE703" s="34" t="n">
        <x:v>149</x:v>
      </x:c>
      <x:c r="AF703" s="34" t="n">
        <x:v>176</x:v>
      </x:c>
      <x:c r="AG703" s="32" t="n">
        <x:v>313.71</x:v>
      </x:c>
      <x:c r="AH703" s="32" t="n">
        <x:v>19.77</x:v>
      </x:c>
      <x:c r="AI703" s="32" t="n">
        <x:v>65.29</x:v>
      </x:c>
      <x:c r="AJ703" s="32" t="n">
        <x:v>65.61</x:v>
      </x:c>
      <x:c r="AK703" s="32" t="n">
        <x:v>17.71</x:v>
      </x:c>
      <x:c r="AL703" s="32" t="n">
        <x:v>-9.11</x:v>
      </x:c>
      <x:c r="AM703" s="32" t="str">
        <x:v>#000000</x:v>
      </x:c>
      <x:c r="AN703" s="32" t="str">
        <x:v>Black</x:v>
      </x:c>
      <x:c r="AO703" s="32" t="n">
        <x:v>7.96</x:v>
      </x:c>
      <x:c r="AP703" s="32" t="n">
        <x:v>7.96</x:v>
      </x:c>
      <x:c r="AQ703" s="32" t="n">
        <x:v>2.64</x:v>
      </x:c>
      <x:c r="AR703" s="32" t="n">
        <x:v>0.348198</x:v>
      </x:c>
      <x:c r="AS703" t="str">
        <x:v>PASS</x:v>
      </x:c>
      <x:c r="AT703" t="str">
        <x:v>--cda-pstc-083</x:v>
      </x:c>
      <x:c r="AU703" t="str">
        <x:v>var(--cda-pstc-083)</x:v>
      </x:c>
      <x:c r="AV703" t="str">
        <x:v>Median RGB from official PDF swatch (screen reference only)</x:v>
      </x:c>
      <x:c r="AW703" t="str">
        <x:v>https://www.carandache.com/content_files/uploaded_doc/product/10985/Colour_Chart_Pastel_Pencil.pdf</x:v>
      </x:c>
      <x:c r="AX703" t="n">
        <x:v>1</x:v>
      </x:c>
      <x:c r="AY703" t="str">
        <x:v>Official</x:v>
      </x:c>
      <x:c r="AZ703" t="str">
        <x:v>Official where available; curated Traditional Chinese/Japanese otherwise</x:v>
      </x:c>
      <x:c r="BA703" t="str">
        <x:v>Verified from official chart; digital HEX is approximate</x:v>
      </x:c>
      <x:c r="BB703" t="str">
        <x:v>Shares the same 84-colour palette as PASTEL PENCILS; physical application differs by format.</x:v>
      </x:c>
    </x:row>
    <x:row r="704">
      <x:c r="A704" t="str">
        <x:f>G704&amp;"|"&amp;L704</x:f>
        <x:v>PSTC|582</x:v>
      </x:c>
      <x:c r="B704" t="str">
        <x:v>de71adbf-51d6-597d-9435-0dac379369cf</x:v>
      </x:c>
      <x:c r="C704" t="str">
        <x:v>CDA-PSTC-582</x:v>
      </x:c>
      <x:c r="D704" t="str">
        <x:v>9a8d0b77-a905-5609-be66-ec6a25cc2c83</x:v>
      </x:c>
      <x:c r="E704" t="str">
        <x:v>CDA-CODE-582</x:v>
      </x:c>
      <x:c r="F704" t="str">
        <x:v>Caran d’Ache</x:v>
      </x:c>
      <x:c r="G704" t="str">
        <x:v>PSTC</x:v>
      </x:c>
      <x:c r="H704" t="str">
        <x:v>PASTEL CUBES</x:v>
      </x:c>
      <x:c r="I704" t="str">
        <x:v>Extra-fine dry pastel cube</x:v>
      </x:c>
      <x:c r="J704" t="str">
        <x:v>Professional</x:v>
      </x:c>
      <x:c r="K704" s="30" t="n">
        <x:v>23</x:v>
      </x:c>
      <x:c r="L704" s="30" t="str">
        <x:v>582</x:v>
      </x:c>
      <x:c r="M704" t="str">
        <x:v>Portrait pink</x:v>
      </x:c>
      <x:c r="N704" t="str">
        <x:v>肖像粉紅</x:v>
      </x:c>
      <x:c r="O704" t="str">
        <x:v>ポートレートピンク</x:v>
      </x:c>
      <x:c r="P704" t="str"/>
      <x:c r="Q704" t="str">
        <x:v>Rose portrait</x:v>
      </x:c>
      <x:c r="R704" t="str">
        <x:v>Porträt rosa</x:v>
      </x:c>
      <x:c r="S704" t="str">
        <x:v>Rosa ritratto</x:v>
      </x:c>
      <x:c r="T704" t="str">
        <x:v>Rosa rostro</x:v>
      </x:c>
      <x:c r="U704" t="str">
        <x:v>Rosa retrato</x:v>
      </x:c>
      <x:c r="V704" t="str"/>
      <x:c r="W704" t="str">
        <x:v>PR112</x:v>
      </x:c>
      <x:c r="X704" t="n">
        <x:f>IF(W704="",0,LEN(W704)-LEN(SUBSTITUTE(W704,"/",""))+1)</x:f>
        <x:v>1</x:v>
      </x:c>
      <x:c r="Y704" t="str">
        <x:v>H</x:v>
      </x:c>
      <x:c r="Z704" s="32" t="n">
        <x:v>1</x:v>
      </x:c>
      <x:c r="AA704" s="32" t="n">
        <x:v>5</x:v>
      </x:c>
      <x:c r="AB704" s="32" t="str">
        <x:v>Blue Wool Scale / UV 150h</x:v>
      </x:c>
      <x:c r="AC704" t="str">
        <x:v>#C95462</x:v>
      </x:c>
      <x:c r="AD704" s="34" t="n">
        <x:v>201</x:v>
      </x:c>
      <x:c r="AE704" s="34" t="n">
        <x:v>84</x:v>
      </x:c>
      <x:c r="AF704" s="34" t="n">
        <x:v>98</x:v>
      </x:c>
      <x:c r="AG704" s="32" t="n">
        <x:v>352.82</x:v>
      </x:c>
      <x:c r="AH704" s="32" t="n">
        <x:v>52</x:v>
      </x:c>
      <x:c r="AI704" s="32" t="n">
        <x:v>55.88</x:v>
      </x:c>
      <x:c r="AJ704" s="32" t="n">
        <x:v>51.43</x:v>
      </x:c>
      <x:c r="AK704" s="32" t="n">
        <x:v>47.74</x:v>
      </x:c>
      <x:c r="AL704" s="32" t="n">
        <x:v>15.82</x:v>
      </x:c>
      <x:c r="AM704" s="32" t="str">
        <x:v>#000000</x:v>
      </x:c>
      <x:c r="AN704" s="32" t="str">
        <x:v>Black</x:v>
      </x:c>
      <x:c r="AO704" s="32" t="n">
        <x:v>4.93</x:v>
      </x:c>
      <x:c r="AP704" s="32" t="n">
        <x:v>4.93</x:v>
      </x:c>
      <x:c r="AQ704" s="32" t="n">
        <x:v>4.26</x:v>
      </x:c>
      <x:c r="AR704" s="32" t="n">
        <x:v>0.1964</x:v>
      </x:c>
      <x:c r="AS704" t="str">
        <x:v>PASS</x:v>
      </x:c>
      <x:c r="AT704" t="str">
        <x:v>--cda-pstc-582</x:v>
      </x:c>
      <x:c r="AU704" t="str">
        <x:v>var(--cda-pstc-582)</x:v>
      </x:c>
      <x:c r="AV704" t="str">
        <x:v>Median RGB from official PDF swatch (screen reference only)</x:v>
      </x:c>
      <x:c r="AW704" t="str">
        <x:v>https://www.carandache.com/content_files/uploaded_doc/product/10985/Colour_Chart_Pastel_Pencil.pdf</x:v>
      </x:c>
      <x:c r="AX704" t="n">
        <x:v>1</x:v>
      </x:c>
      <x:c r="AY704" t="str">
        <x:v>Official</x:v>
      </x:c>
      <x:c r="AZ704" t="str">
        <x:v>Official where available; curated Traditional Chinese/Japanese otherwise</x:v>
      </x:c>
      <x:c r="BA704" t="str">
        <x:v>Verified from official chart; digital HEX is approximate</x:v>
      </x:c>
      <x:c r="BB704" t="str">
        <x:v>Shares the same 84-colour palette as PASTEL PENCILS; physical application differs by format.</x:v>
      </x:c>
    </x:row>
    <x:row r="705">
      <x:c r="A705" t="str">
        <x:f>G705&amp;"|"&amp;L705</x:f>
        <x:v>PSTC|571</x:v>
      </x:c>
      <x:c r="B705" t="str">
        <x:v>d481d84a-6ddc-57f6-ab5f-f9e9d8b97a08</x:v>
      </x:c>
      <x:c r="C705" t="str">
        <x:v>CDA-PSTC-571</x:v>
      </x:c>
      <x:c r="D705" t="str">
        <x:v>fcb6aaca-0994-5002-ac62-765b4a7bc21b</x:v>
      </x:c>
      <x:c r="E705" t="str">
        <x:v>CDA-CODE-571</x:v>
      </x:c>
      <x:c r="F705" t="str">
        <x:v>Caran d’Ache</x:v>
      </x:c>
      <x:c r="G705" t="str">
        <x:v>PSTC</x:v>
      </x:c>
      <x:c r="H705" t="str">
        <x:v>PASTEL CUBES</x:v>
      </x:c>
      <x:c r="I705" t="str">
        <x:v>Extra-fine dry pastel cube</x:v>
      </x:c>
      <x:c r="J705" t="str">
        <x:v>Professional</x:v>
      </x:c>
      <x:c r="K705" s="30" t="n">
        <x:v>24</x:v>
      </x:c>
      <x:c r="L705" s="30" t="str">
        <x:v>571</x:v>
      </x:c>
      <x:c r="M705" t="str">
        <x:v>Anthraquinoid pink</x:v>
      </x:c>
      <x:c r="N705" t="str">
        <x:v>蒽醌粉紅</x:v>
      </x:c>
      <x:c r="O705" t="str">
        <x:v>アントラキノイドピンク</x:v>
      </x:c>
      <x:c r="P705" t="str"/>
      <x:c r="Q705" t="str">
        <x:v>Rose anthraquinone</x:v>
      </x:c>
      <x:c r="R705" t="str">
        <x:v>Anthrachinone rosa</x:v>
      </x:c>
      <x:c r="S705" t="str">
        <x:v>Rosa antrachinone</x:v>
      </x:c>
      <x:c r="T705" t="str">
        <x:v>Rosa anthraquinona</x:v>
      </x:c>
      <x:c r="U705" t="str">
        <x:v>Rosa Antraquinona</x:v>
      </x:c>
      <x:c r="V705" t="str"/>
      <x:c r="W705" t="str">
        <x:v>PR168</x:v>
      </x:c>
      <x:c r="X705" t="n">
        <x:f>IF(W705="",0,LEN(W705)-LEN(SUBSTITUTE(W705,"/",""))+1)</x:f>
        <x:v>1</x:v>
      </x:c>
      <x:c r="Y705" t="str">
        <x:v>H</x:v>
      </x:c>
      <x:c r="Z705" s="32" t="n">
        <x:v>1</x:v>
      </x:c>
      <x:c r="AA705" s="32" t="n">
        <x:v>5</x:v>
      </x:c>
      <x:c r="AB705" s="32" t="str">
        <x:v>Blue Wool Scale / UV 150h</x:v>
      </x:c>
      <x:c r="AC705" t="str">
        <x:v>#CF5F56</x:v>
      </x:c>
      <x:c r="AD705" s="34" t="n">
        <x:v>207</x:v>
      </x:c>
      <x:c r="AE705" s="34" t="n">
        <x:v>95</x:v>
      </x:c>
      <x:c r="AF705" s="34" t="n">
        <x:v>86</x:v>
      </x:c>
      <x:c r="AG705" s="32" t="n">
        <x:v>4.46</x:v>
      </x:c>
      <x:c r="AH705" s="32" t="n">
        <x:v>55.76</x:v>
      </x:c>
      <x:c r="AI705" s="32" t="n">
        <x:v>57.45</x:v>
      </x:c>
      <x:c r="AJ705" s="32" t="n">
        <x:v>54.16</x:v>
      </x:c>
      <x:c r="AK705" s="32" t="n">
        <x:v>43.63</x:v>
      </x:c>
      <x:c r="AL705" s="32" t="n">
        <x:v>26.66</x:v>
      </x:c>
      <x:c r="AM705" s="32" t="str">
        <x:v>#000000</x:v>
      </x:c>
      <x:c r="AN705" s="32" t="str">
        <x:v>Black</x:v>
      </x:c>
      <x:c r="AO705" s="32" t="n">
        <x:v>5.42</x:v>
      </x:c>
      <x:c r="AP705" s="32" t="n">
        <x:v>5.42</x:v>
      </x:c>
      <x:c r="AQ705" s="32" t="n">
        <x:v>3.87</x:v>
      </x:c>
      <x:c r="AR705" s="32" t="n">
        <x:v>0.221217</x:v>
      </x:c>
      <x:c r="AS705" t="str">
        <x:v>PASS</x:v>
      </x:c>
      <x:c r="AT705" t="str">
        <x:v>--cda-pstc-571</x:v>
      </x:c>
      <x:c r="AU705" t="str">
        <x:v>var(--cda-pstc-571)</x:v>
      </x:c>
      <x:c r="AV705" t="str">
        <x:v>Median RGB from official PDF swatch (screen reference only)</x:v>
      </x:c>
      <x:c r="AW705" t="str">
        <x:v>https://www.carandache.com/content_files/uploaded_doc/product/10985/Colour_Chart_Pastel_Pencil.pdf</x:v>
      </x:c>
      <x:c r="AX705" t="n">
        <x:v>1</x:v>
      </x:c>
      <x:c r="AY705" t="str">
        <x:v>Official</x:v>
      </x:c>
      <x:c r="AZ705" t="str">
        <x:v>Official where available; curated Traditional Chinese/Japanese otherwise</x:v>
      </x:c>
      <x:c r="BA705" t="str">
        <x:v>Verified from official chart; digital HEX is approximate</x:v>
      </x:c>
      <x:c r="BB705" t="str">
        <x:v>Shares the same 84-colour palette as PASTEL PENCILS; physical application differs by format.</x:v>
      </x:c>
    </x:row>
    <x:row r="706">
      <x:c r="A706" t="str">
        <x:f>G706&amp;"|"&amp;L706</x:f>
        <x:v>PSTC|871</x:v>
      </x:c>
      <x:c r="B706" t="str">
        <x:v>1c20f26e-8ff9-5be2-b661-723059fd7f75</x:v>
      </x:c>
      <x:c r="C706" t="str">
        <x:v>CDA-PSTC-871</x:v>
      </x:c>
      <x:c r="D706" t="str">
        <x:v>8df6a0e2-3033-52a3-9215-ae4a18478567</x:v>
      </x:c>
      <x:c r="E706" t="str">
        <x:v>CDA-CODE-871</x:v>
      </x:c>
      <x:c r="F706" t="str">
        <x:v>Caran d’Ache</x:v>
      </x:c>
      <x:c r="G706" t="str">
        <x:v>PSTC</x:v>
      </x:c>
      <x:c r="H706" t="str">
        <x:v>PASTEL CUBES</x:v>
      </x:c>
      <x:c r="I706" t="str">
        <x:v>Extra-fine dry pastel cube</x:v>
      </x:c>
      <x:c r="J706" t="str">
        <x:v>Professional</x:v>
      </x:c>
      <x:c r="K706" s="30" t="n">
        <x:v>25</x:v>
      </x:c>
      <x:c r="L706" s="30" t="str">
        <x:v>871</x:v>
      </x:c>
      <x:c r="M706" t="str">
        <x:v>Azurite white</x:v>
      </x:c>
      <x:c r="N706" t="str">
        <x:v>藍銅礦白</x:v>
      </x:c>
      <x:c r="O706" t="str">
        <x:v>アズライトホワイト</x:v>
      </x:c>
      <x:c r="P706" t="str"/>
      <x:c r="Q706" t="str">
        <x:v>Blanc azuré</x:v>
      </x:c>
      <x:c r="R706" t="str">
        <x:v>Azurweiss</x:v>
      </x:c>
      <x:c r="S706" t="str">
        <x:v>Bianco azzurro</x:v>
      </x:c>
      <x:c r="T706" t="str">
        <x:v>Blanco azur</x:v>
      </x:c>
      <x:c r="U706" t="str">
        <x:v>Branco azurita</x:v>
      </x:c>
      <x:c r="V706" t="str"/>
      <x:c r="W706" t="str">
        <x:v>PW6/PB28</x:v>
      </x:c>
      <x:c r="X706" t="n">
        <x:f>IF(W706="",0,LEN(W706)-LEN(SUBSTITUTE(W706,"/",""))+1)</x:f>
        <x:v>2</x:v>
      </x:c>
      <x:c r="Y706" t="str">
        <x:v>HHH</x:v>
      </x:c>
      <x:c r="Z706" s="32" t="n">
        <x:v>3</x:v>
      </x:c>
      <x:c r="AA706" s="32" t="n">
        <x:v>5</x:v>
      </x:c>
      <x:c r="AB706" s="32" t="str">
        <x:v>Blue Wool Scale / UV 150h</x:v>
      </x:c>
      <x:c r="AC706" t="str">
        <x:v>#B8B3B1</x:v>
      </x:c>
      <x:c r="AD706" s="34" t="n">
        <x:v>184</x:v>
      </x:c>
      <x:c r="AE706" s="34" t="n">
        <x:v>179</x:v>
      </x:c>
      <x:c r="AF706" s="34" t="n">
        <x:v>177</x:v>
      </x:c>
      <x:c r="AG706" s="32" t="n">
        <x:v>17.14</x:v>
      </x:c>
      <x:c r="AH706" s="32" t="n">
        <x:v>4.7</x:v>
      </x:c>
      <x:c r="AI706" s="32" t="n">
        <x:v>70.78</x:v>
      </x:c>
      <x:c r="AJ706" s="32" t="n">
        <x:v>73.29</x:v>
      </x:c>
      <x:c r="AK706" s="32" t="n">
        <x:v>1.4</x:v>
      </x:c>
      <x:c r="AL706" s="32" t="n">
        <x:v>1.65</x:v>
      </x:c>
      <x:c r="AM706" s="32" t="str">
        <x:v>#000000</x:v>
      </x:c>
      <x:c r="AN706" s="32" t="str">
        <x:v>Black</x:v>
      </x:c>
      <x:c r="AO706" s="32" t="n">
        <x:v>10.12</x:v>
      </x:c>
      <x:c r="AP706" s="32" t="n">
        <x:v>10.12</x:v>
      </x:c>
      <x:c r="AQ706" s="32" t="n">
        <x:v>2.07</x:v>
      </x:c>
      <x:c r="AR706" s="32" t="n">
        <x:v>0.456049</x:v>
      </x:c>
      <x:c r="AS706" t="str">
        <x:v>PASS</x:v>
      </x:c>
      <x:c r="AT706" t="str">
        <x:v>--cda-pstc-871</x:v>
      </x:c>
      <x:c r="AU706" t="str">
        <x:v>var(--cda-pstc-871)</x:v>
      </x:c>
      <x:c r="AV706" t="str">
        <x:v>Median RGB from official PDF swatch (screen reference only)</x:v>
      </x:c>
      <x:c r="AW706" t="str">
        <x:v>https://www.carandache.com/content_files/uploaded_doc/product/10985/Colour_Chart_Pastel_Pencil.pdf</x:v>
      </x:c>
      <x:c r="AX706" t="n">
        <x:v>1</x:v>
      </x:c>
      <x:c r="AY706" t="str">
        <x:v>Official</x:v>
      </x:c>
      <x:c r="AZ706" t="str">
        <x:v>Official where available; curated Traditional Chinese/Japanese otherwise</x:v>
      </x:c>
      <x:c r="BA706" t="str">
        <x:v>Verified from official chart; digital HEX is approximate</x:v>
      </x:c>
      <x:c r="BB706" t="str">
        <x:v>Shares the same 84-colour palette as PASTEL PENCILS; physical application differs by format.</x:v>
      </x:c>
    </x:row>
    <x:row r="707">
      <x:c r="A707" t="str">
        <x:f>G707&amp;"|"&amp;L707</x:f>
        <x:v>PSTC|661</x:v>
      </x:c>
      <x:c r="B707" t="str">
        <x:v>20c66e5e-f1c6-51a9-9338-dfcd76f54c87</x:v>
      </x:c>
      <x:c r="C707" t="str">
        <x:v>CDA-PSTC-661</x:v>
      </x:c>
      <x:c r="D707" t="str">
        <x:v>ae9ade29-b330-52ae-9360-9950a169fd51</x:v>
      </x:c>
      <x:c r="E707" t="str">
        <x:v>CDA-CODE-661</x:v>
      </x:c>
      <x:c r="F707" t="str">
        <x:v>Caran d’Ache</x:v>
      </x:c>
      <x:c r="G707" t="str">
        <x:v>PSTC</x:v>
      </x:c>
      <x:c r="H707" t="str">
        <x:v>PASTEL CUBES</x:v>
      </x:c>
      <x:c r="I707" t="str">
        <x:v>Extra-fine dry pastel cube</x:v>
      </x:c>
      <x:c r="J707" t="str">
        <x:v>Professional</x:v>
      </x:c>
      <x:c r="K707" s="30" t="n">
        <x:v>26</x:v>
      </x:c>
      <x:c r="L707" s="30" t="str">
        <x:v>661</x:v>
      </x:c>
      <x:c r="M707" t="str">
        <x:v>Cobalt blue 5%</x:v>
      </x:c>
      <x:c r="N707" t="str">
        <x:v>鈷藍 5%</x:v>
      </x:c>
      <x:c r="O707" t="str">
        <x:v>コバルトブルー 5%</x:v>
      </x:c>
      <x:c r="P707" t="str"/>
      <x:c r="Q707" t="str">
        <x:v>Bleu cobalt 5%</x:v>
      </x:c>
      <x:c r="R707" t="str">
        <x:v>Kobaltblau 5%</x:v>
      </x:c>
      <x:c r="S707" t="str">
        <x:v>Blu cobalto chiaro 5%</x:v>
      </x:c>
      <x:c r="T707" t="str">
        <x:v>Azul cobalto claro 5%</x:v>
      </x:c>
      <x:c r="U707" t="str">
        <x:v>Azul cobalto claro 5%</x:v>
      </x:c>
      <x:c r="V707" t="str"/>
      <x:c r="W707" t="str">
        <x:v>PB28/PW6</x:v>
      </x:c>
      <x:c r="X707" t="n">
        <x:f>IF(W707="",0,LEN(W707)-LEN(SUBSTITUTE(W707,"/",""))+1)</x:f>
        <x:v>2</x:v>
      </x:c>
      <x:c r="Y707" t="str">
        <x:v>HHH</x:v>
      </x:c>
      <x:c r="Z707" s="32" t="n">
        <x:v>3</x:v>
      </x:c>
      <x:c r="AA707" s="32" t="n">
        <x:v>5</x:v>
      </x:c>
      <x:c r="AB707" s="32" t="str">
        <x:v>Blue Wool Scale / UV 150h</x:v>
      </x:c>
      <x:c r="AC707" t="str">
        <x:v>#A8C4D8</x:v>
      </x:c>
      <x:c r="AD707" s="34" t="n">
        <x:v>168</x:v>
      </x:c>
      <x:c r="AE707" s="34" t="n">
        <x:v>196</x:v>
      </x:c>
      <x:c r="AF707" s="34" t="n">
        <x:v>216</x:v>
      </x:c>
      <x:c r="AG707" s="32" t="n">
        <x:v>205</x:v>
      </x:c>
      <x:c r="AH707" s="32" t="n">
        <x:v>38.1</x:v>
      </x:c>
      <x:c r="AI707" s="32" t="n">
        <x:v>75.29</x:v>
      </x:c>
      <x:c r="AJ707" s="32" t="n">
        <x:v>77.73</x:v>
      </x:c>
      <x:c r="AK707" s="32" t="n">
        <x:v>-5.08</x:v>
      </x:c>
      <x:c r="AL707" s="32" t="n">
        <x:v>-13.11</x:v>
      </x:c>
      <x:c r="AM707" s="32" t="str">
        <x:v>#000000</x:v>
      </x:c>
      <x:c r="AN707" s="32" t="str">
        <x:v>Black</x:v>
      </x:c>
      <x:c r="AO707" s="32" t="n">
        <x:v>11.55</x:v>
      </x:c>
      <x:c r="AP707" s="32" t="n">
        <x:v>11.55</x:v>
      </x:c>
      <x:c r="AQ707" s="32" t="n">
        <x:v>1.82</x:v>
      </x:c>
      <x:c r="AR707" s="32" t="n">
        <x:v>0.527626</x:v>
      </x:c>
      <x:c r="AS707" t="str">
        <x:v>PASS</x:v>
      </x:c>
      <x:c r="AT707" t="str">
        <x:v>--cda-pstc-661</x:v>
      </x:c>
      <x:c r="AU707" t="str">
        <x:v>var(--cda-pstc-661)</x:v>
      </x:c>
      <x:c r="AV707" t="str">
        <x:v>Median RGB from official PDF swatch (screen reference only)</x:v>
      </x:c>
      <x:c r="AW707" t="str">
        <x:v>https://www.carandache.com/content_files/uploaded_doc/product/10985/Colour_Chart_Pastel_Pencil.pdf</x:v>
      </x:c>
      <x:c r="AX707" t="n">
        <x:v>1</x:v>
      </x:c>
      <x:c r="AY707" t="str">
        <x:v>Official</x:v>
      </x:c>
      <x:c r="AZ707" t="str">
        <x:v>Official where available; curated Traditional Chinese/Japanese otherwise</x:v>
      </x:c>
      <x:c r="BA707" t="str">
        <x:v>Verified from official chart; digital HEX is approximate</x:v>
      </x:c>
      <x:c r="BB707" t="str">
        <x:v>Shares the same 84-colour palette as PASTEL PENCILS; physical application differs by format.</x:v>
      </x:c>
    </x:row>
    <x:row r="708">
      <x:c r="A708" t="str">
        <x:f>G708&amp;"|"&amp;L708</x:f>
        <x:v>PSTC|662</x:v>
      </x:c>
      <x:c r="B708" t="str">
        <x:v>6e010c25-292c-5ccb-b728-c19aa85927c8</x:v>
      </x:c>
      <x:c r="C708" t="str">
        <x:v>CDA-PSTC-662</x:v>
      </x:c>
      <x:c r="D708" t="str">
        <x:v>843d7a32-b595-5877-aa98-10ee6d7cff66</x:v>
      </x:c>
      <x:c r="E708" t="str">
        <x:v>CDA-CODE-662</x:v>
      </x:c>
      <x:c r="F708" t="str">
        <x:v>Caran d’Ache</x:v>
      </x:c>
      <x:c r="G708" t="str">
        <x:v>PSTC</x:v>
      </x:c>
      <x:c r="H708" t="str">
        <x:v>PASTEL CUBES</x:v>
      </x:c>
      <x:c r="I708" t="str">
        <x:v>Extra-fine dry pastel cube</x:v>
      </x:c>
      <x:c r="J708" t="str">
        <x:v>Professional</x:v>
      </x:c>
      <x:c r="K708" s="30" t="n">
        <x:v>27</x:v>
      </x:c>
      <x:c r="L708" s="30" t="str">
        <x:v>662</x:v>
      </x:c>
      <x:c r="M708" t="str">
        <x:v>Cobalt blue 10%</x:v>
      </x:c>
      <x:c r="N708" t="str">
        <x:v>鈷藍 10%</x:v>
      </x:c>
      <x:c r="O708" t="str">
        <x:v>コバルトブルー 10%</x:v>
      </x:c>
      <x:c r="P708" t="str"/>
      <x:c r="Q708" t="str">
        <x:v>Bleu cobalt 10%</x:v>
      </x:c>
      <x:c r="R708" t="str">
        <x:v>Kobaltblau 10%</x:v>
      </x:c>
      <x:c r="S708" t="str">
        <x:v>Blu cobalto chiaro 10%</x:v>
      </x:c>
      <x:c r="T708" t="str">
        <x:v>Azul ceruleo 10%</x:v>
      </x:c>
      <x:c r="U708" t="str">
        <x:v>Azul ceruleo 10%</x:v>
      </x:c>
      <x:c r="V708" t="str"/>
      <x:c r="W708" t="str">
        <x:v>PB28/PW6</x:v>
      </x:c>
      <x:c r="X708" t="n">
        <x:f>IF(W708="",0,LEN(W708)-LEN(SUBSTITUTE(W708,"/",""))+1)</x:f>
        <x:v>2</x:v>
      </x:c>
      <x:c r="Y708" t="str">
        <x:v>HH</x:v>
      </x:c>
      <x:c r="Z708" s="32" t="n">
        <x:v>2</x:v>
      </x:c>
      <x:c r="AA708" s="32" t="n">
        <x:v>5</x:v>
      </x:c>
      <x:c r="AB708" s="32" t="str">
        <x:v>Blue Wool Scale / UV 150h</x:v>
      </x:c>
      <x:c r="AC708" t="str">
        <x:v>#A7C4DC</x:v>
      </x:c>
      <x:c r="AD708" s="34" t="n">
        <x:v>167</x:v>
      </x:c>
      <x:c r="AE708" s="34" t="n">
        <x:v>196</x:v>
      </x:c>
      <x:c r="AF708" s="34" t="n">
        <x:v>220</x:v>
      </x:c>
      <x:c r="AG708" s="32" t="n">
        <x:v>207.17</x:v>
      </x:c>
      <x:c r="AH708" s="32" t="n">
        <x:v>43.09</x:v>
      </x:c>
      <x:c r="AI708" s="32" t="n">
        <x:v>75.88</x:v>
      </x:c>
      <x:c r="AJ708" s="32" t="n">
        <x:v>77.79</x:v>
      </x:c>
      <x:c r="AK708" s="32" t="n">
        <x:v>-4.48</x:v>
      </x:c>
      <x:c r="AL708" s="32" t="n">
        <x:v>-15.18</x:v>
      </x:c>
      <x:c r="AM708" s="32" t="str">
        <x:v>#000000</x:v>
      </x:c>
      <x:c r="AN708" s="32" t="str">
        <x:v>Black</x:v>
      </x:c>
      <x:c r="AO708" s="32" t="n">
        <x:v>11.57</x:v>
      </x:c>
      <x:c r="AP708" s="32" t="n">
        <x:v>11.57</x:v>
      </x:c>
      <x:c r="AQ708" s="32" t="n">
        <x:v>1.81</x:v>
      </x:c>
      <x:c r="AR708" s="32" t="n">
        <x:v>0.528627</x:v>
      </x:c>
      <x:c r="AS708" t="str">
        <x:v>PASS</x:v>
      </x:c>
      <x:c r="AT708" t="str">
        <x:v>--cda-pstc-662</x:v>
      </x:c>
      <x:c r="AU708" t="str">
        <x:v>var(--cda-pstc-662)</x:v>
      </x:c>
      <x:c r="AV708" t="str">
        <x:v>Median RGB from official PDF swatch (screen reference only)</x:v>
      </x:c>
      <x:c r="AW708" t="str">
        <x:v>https://www.carandache.com/content_files/uploaded_doc/product/10985/Colour_Chart_Pastel_Pencil.pdf</x:v>
      </x:c>
      <x:c r="AX708" t="n">
        <x:v>1</x:v>
      </x:c>
      <x:c r="AY708" t="str">
        <x:v>Official</x:v>
      </x:c>
      <x:c r="AZ708" t="str">
        <x:v>Official where available; curated Traditional Chinese/Japanese otherwise</x:v>
      </x:c>
      <x:c r="BA708" t="str">
        <x:v>Verified from official chart; digital HEX is approximate</x:v>
      </x:c>
      <x:c r="BB708" t="str">
        <x:v>Shares the same 84-colour palette as PASTEL PENCILS; physical application differs by format.</x:v>
      </x:c>
    </x:row>
    <x:row r="709">
      <x:c r="A709" t="str">
        <x:f>G709&amp;"|"&amp;L709</x:f>
        <x:v>PSTC|664</x:v>
      </x:c>
      <x:c r="B709" t="str">
        <x:v>dda277bd-0fe3-59c3-b732-2b3ff9714778</x:v>
      </x:c>
      <x:c r="C709" t="str">
        <x:v>CDA-PSTC-664</x:v>
      </x:c>
      <x:c r="D709" t="str">
        <x:v>dc48c81f-4a63-5cc2-8f10-e38e77492609</x:v>
      </x:c>
      <x:c r="E709" t="str">
        <x:v>CDA-CODE-664</x:v>
      </x:c>
      <x:c r="F709" t="str">
        <x:v>Caran d’Ache</x:v>
      </x:c>
      <x:c r="G709" t="str">
        <x:v>PSTC</x:v>
      </x:c>
      <x:c r="H709" t="str">
        <x:v>PASTEL CUBES</x:v>
      </x:c>
      <x:c r="I709" t="str">
        <x:v>Extra-fine dry pastel cube</x:v>
      </x:c>
      <x:c r="J709" t="str">
        <x:v>Professional</x:v>
      </x:c>
      <x:c r="K709" s="30" t="n">
        <x:v>28</x:v>
      </x:c>
      <x:c r="L709" s="30" t="str">
        <x:v>664</x:v>
      </x:c>
      <x:c r="M709" t="str">
        <x:v>Cobalt blue 30%</x:v>
      </x:c>
      <x:c r="N709" t="str">
        <x:v>鈷藍 30%</x:v>
      </x:c>
      <x:c r="O709" t="str">
        <x:v>コバルトブルー 30%</x:v>
      </x:c>
      <x:c r="P709" t="str"/>
      <x:c r="Q709" t="str">
        <x:v>Bleu cobalt 30%</x:v>
      </x:c>
      <x:c r="R709" t="str">
        <x:v>Kobaltblau 30%</x:v>
      </x:c>
      <x:c r="S709" t="str">
        <x:v>Blu cobalto chiaro 30%</x:v>
      </x:c>
      <x:c r="T709" t="str">
        <x:v>Azul cobalto 30%</x:v>
      </x:c>
      <x:c r="U709" t="str">
        <x:v>Azul cobalto 30%</x:v>
      </x:c>
      <x:c r="V709" t="str"/>
      <x:c r="W709" t="str">
        <x:v>PB28</x:v>
      </x:c>
      <x:c r="X709" t="n">
        <x:f>IF(W709="",0,LEN(W709)-LEN(SUBSTITUTE(W709,"/",""))+1)</x:f>
        <x:v>1</x:v>
      </x:c>
      <x:c r="Y709" t="str">
        <x:v>HHH</x:v>
      </x:c>
      <x:c r="Z709" s="32" t="n">
        <x:v>3</x:v>
      </x:c>
      <x:c r="AA709" s="32" t="n">
        <x:v>5</x:v>
      </x:c>
      <x:c r="AB709" s="32" t="str">
        <x:v>Blue Wool Scale / UV 150h</x:v>
      </x:c>
      <x:c r="AC709" t="str">
        <x:v>#74A7D3</x:v>
      </x:c>
      <x:c r="AD709" s="34" t="n">
        <x:v>116</x:v>
      </x:c>
      <x:c r="AE709" s="34" t="n">
        <x:v>167</x:v>
      </x:c>
      <x:c r="AF709" s="34" t="n">
        <x:v>211</x:v>
      </x:c>
      <x:c r="AG709" s="32" t="n">
        <x:v>207.79</x:v>
      </x:c>
      <x:c r="AH709" s="32" t="n">
        <x:v>51.91</x:v>
      </x:c>
      <x:c r="AI709" s="32" t="n">
        <x:v>64.12</x:v>
      </x:c>
      <x:c r="AJ709" s="32" t="n">
        <x:v>66.56</x:v>
      </x:c>
      <x:c r="AK709" s="32" t="n">
        <x:v>-5.24</x:v>
      </x:c>
      <x:c r="AL709" s="32" t="n">
        <x:v>-27.64</x:v>
      </x:c>
      <x:c r="AM709" s="32" t="str">
        <x:v>#000000</x:v>
      </x:c>
      <x:c r="AN709" s="32" t="str">
        <x:v>Black</x:v>
      </x:c>
      <x:c r="AO709" s="32" t="n">
        <x:v>8.21</x:v>
      </x:c>
      <x:c r="AP709" s="32" t="n">
        <x:v>8.21</x:v>
      </x:c>
      <x:c r="AQ709" s="32" t="n">
        <x:v>2.56</x:v>
      </x:c>
      <x:c r="AR709" s="32" t="n">
        <x:v>0.360536</x:v>
      </x:c>
      <x:c r="AS709" t="str">
        <x:v>PASS</x:v>
      </x:c>
      <x:c r="AT709" t="str">
        <x:v>--cda-pstc-664</x:v>
      </x:c>
      <x:c r="AU709" t="str">
        <x:v>var(--cda-pstc-664)</x:v>
      </x:c>
      <x:c r="AV709" t="str">
        <x:v>Median RGB from official PDF swatch (screen reference only)</x:v>
      </x:c>
      <x:c r="AW709" t="str">
        <x:v>https://www.carandache.com/content_files/uploaded_doc/product/10985/Colour_Chart_Pastel_Pencil.pdf</x:v>
      </x:c>
      <x:c r="AX709" t="n">
        <x:v>1</x:v>
      </x:c>
      <x:c r="AY709" t="str">
        <x:v>Official</x:v>
      </x:c>
      <x:c r="AZ709" t="str">
        <x:v>Official where available; curated Traditional Chinese/Japanese otherwise</x:v>
      </x:c>
      <x:c r="BA709" t="str">
        <x:v>Verified from official chart; digital HEX is approximate</x:v>
      </x:c>
      <x:c r="BB709" t="str">
        <x:v>Shares the same 84-colour palette as PASTEL PENCILS; physical application differs by format.</x:v>
      </x:c>
    </x:row>
    <x:row r="710">
      <x:c r="A710" t="str">
        <x:f>G710&amp;"|"&amp;L710</x:f>
        <x:v>PSTC|140</x:v>
      </x:c>
      <x:c r="B710" t="str">
        <x:v>cf1fcbcb-b5c5-5eca-8b48-5032a12d169f</x:v>
      </x:c>
      <x:c r="C710" t="str">
        <x:v>CDA-PSTC-140</x:v>
      </x:c>
      <x:c r="D710" t="str">
        <x:v>1cc51d9d-3506-5022-8478-a1ae9af587e8</x:v>
      </x:c>
      <x:c r="E710" t="str">
        <x:v>CDA-CODE-140</x:v>
      </x:c>
      <x:c r="F710" t="str">
        <x:v>Caran d’Ache</x:v>
      </x:c>
      <x:c r="G710" t="str">
        <x:v>PSTC</x:v>
      </x:c>
      <x:c r="H710" t="str">
        <x:v>PASTEL CUBES</x:v>
      </x:c>
      <x:c r="I710" t="str">
        <x:v>Extra-fine dry pastel cube</x:v>
      </x:c>
      <x:c r="J710" t="str">
        <x:v>Professional</x:v>
      </x:c>
      <x:c r="K710" s="30" t="n">
        <x:v>29</x:v>
      </x:c>
      <x:c r="L710" s="30" t="str">
        <x:v>140</x:v>
      </x:c>
      <x:c r="M710" t="str">
        <x:v>Ultramarine</x:v>
      </x:c>
      <x:c r="N710" t="str">
        <x:v>群青</x:v>
      </x:c>
      <x:c r="O710" t="str">
        <x:v>ウルトラマリン</x:v>
      </x:c>
      <x:c r="P710" t="str"/>
      <x:c r="Q710" t="str">
        <x:v>Bleu Outremer</x:v>
      </x:c>
      <x:c r="R710" t="str">
        <x:v>Ultramarinblau</x:v>
      </x:c>
      <x:c r="S710" t="str">
        <x:v>Blu oltremare</x:v>
      </x:c>
      <x:c r="T710" t="str">
        <x:v>Azul ultramar</x:v>
      </x:c>
      <x:c r="U710" t="str">
        <x:v>Azul ultramarino</x:v>
      </x:c>
      <x:c r="V710" t="str"/>
      <x:c r="W710" t="str">
        <x:v>PB15/PB29</x:v>
      </x:c>
      <x:c r="X710" t="n">
        <x:f>IF(W710="",0,LEN(W710)-LEN(SUBSTITUTE(W710,"/",""))+1)</x:f>
        <x:v>2</x:v>
      </x:c>
      <x:c r="Y710" t="str">
        <x:v>H</x:v>
      </x:c>
      <x:c r="Z710" s="32" t="n">
        <x:v>1</x:v>
      </x:c>
      <x:c r="AA710" s="32" t="n">
        <x:v>5</x:v>
      </x:c>
      <x:c r="AB710" s="32" t="str">
        <x:v>Blue Wool Scale / UV 150h</x:v>
      </x:c>
      <x:c r="AC710" t="str">
        <x:v>#2E79B2</x:v>
      </x:c>
      <x:c r="AD710" s="34" t="n">
        <x:v>46</x:v>
      </x:c>
      <x:c r="AE710" s="34" t="n">
        <x:v>121</x:v>
      </x:c>
      <x:c r="AF710" s="34" t="n">
        <x:v>178</x:v>
      </x:c>
      <x:c r="AG710" s="32" t="n">
        <x:v>205.91</x:v>
      </x:c>
      <x:c r="AH710" s="32" t="n">
        <x:v>58.93</x:v>
      </x:c>
      <x:c r="AI710" s="32" t="n">
        <x:v>43.92</x:v>
      </x:c>
      <x:c r="AJ710" s="32" t="n">
        <x:v>48.84</x:v>
      </x:c>
      <x:c r="AK710" s="32" t="n">
        <x:v>-3.44</x:v>
      </x:c>
      <x:c r="AL710" s="32" t="n">
        <x:v>-36.78</x:v>
      </x:c>
      <x:c r="AM710" s="32" t="str">
        <x:v>#FFFFFF</x:v>
      </x:c>
      <x:c r="AN710" s="32" t="str">
        <x:v>White</x:v>
      </x:c>
      <x:c r="AO710" s="32" t="n">
        <x:v>4.67</x:v>
      </x:c>
      <x:c r="AP710" s="32" t="n">
        <x:v>4.49</x:v>
      </x:c>
      <x:c r="AQ710" s="32" t="n">
        <x:v>4.67</x:v>
      </x:c>
      <x:c r="AR710" s="32" t="n">
        <x:v>0.174699</x:v>
      </x:c>
      <x:c r="AS710" t="str">
        <x:v>PASS</x:v>
      </x:c>
      <x:c r="AT710" t="str">
        <x:v>--cda-pstc-140</x:v>
      </x:c>
      <x:c r="AU710" t="str">
        <x:v>var(--cda-pstc-140)</x:v>
      </x:c>
      <x:c r="AV710" t="str">
        <x:v>Median RGB from official PDF swatch (screen reference only)</x:v>
      </x:c>
      <x:c r="AW710" t="str">
        <x:v>https://www.carandache.com/content_files/uploaded_doc/product/10985/Colour_Chart_Pastel_Pencil.pdf</x:v>
      </x:c>
      <x:c r="AX710" t="n">
        <x:v>1</x:v>
      </x:c>
      <x:c r="AY710" t="str">
        <x:v>Official</x:v>
      </x:c>
      <x:c r="AZ710" t="str">
        <x:v>Official where available; curated Traditional Chinese/Japanese otherwise</x:v>
      </x:c>
      <x:c r="BA710" t="str">
        <x:v>Verified from official chart; digital HEX is approximate</x:v>
      </x:c>
      <x:c r="BB710" t="str">
        <x:v>Shares the same 84-colour palette as PASTEL PENCILS; physical application differs by format.</x:v>
      </x:c>
    </x:row>
    <x:row r="711">
      <x:c r="A711" t="str">
        <x:f>G711&amp;"|"&amp;L711</x:f>
        <x:v>PSTC|162</x:v>
      </x:c>
      <x:c r="B711" t="str">
        <x:v>7a3a0b02-ae38-5422-94bb-49cfb8b102ad</x:v>
      </x:c>
      <x:c r="C711" t="str">
        <x:v>CDA-PSTC-162</x:v>
      </x:c>
      <x:c r="D711" t="str">
        <x:v>6d7dcd75-009a-599d-a72f-1b6cf18443b9</x:v>
      </x:c>
      <x:c r="E711" t="str">
        <x:v>CDA-CODE-162</x:v>
      </x:c>
      <x:c r="F711" t="str">
        <x:v>Caran d’Ache</x:v>
      </x:c>
      <x:c r="G711" t="str">
        <x:v>PSTC</x:v>
      </x:c>
      <x:c r="H711" t="str">
        <x:v>PASTEL CUBES</x:v>
      </x:c>
      <x:c r="I711" t="str">
        <x:v>Extra-fine dry pastel cube</x:v>
      </x:c>
      <x:c r="J711" t="str">
        <x:v>Professional</x:v>
      </x:c>
      <x:c r="K711" s="30" t="n">
        <x:v>30</x:v>
      </x:c>
      <x:c r="L711" s="30" t="str">
        <x:v>162</x:v>
      </x:c>
      <x:c r="M711" t="str">
        <x:v>Phthalocyanine blue</x:v>
      </x:c>
      <x:c r="N711" t="str">
        <x:v>酞菁藍</x:v>
      </x:c>
      <x:c r="O711" t="str">
        <x:v>フタロシアニンブルー</x:v>
      </x:c>
      <x:c r="P711" t="str"/>
      <x:c r="Q711" t="str">
        <x:v>Bleu de phtalocyanine</x:v>
      </x:c>
      <x:c r="R711" t="str">
        <x:v>Phthalocyaninblau</x:v>
      </x:c>
      <x:c r="S711" t="str">
        <x:v>Blu ftalo</x:v>
      </x:c>
      <x:c r="T711" t="str">
        <x:v>Azul phtalo</x:v>
      </x:c>
      <x:c r="U711" t="str">
        <x:v>Azul ftálico</x:v>
      </x:c>
      <x:c r="V711" t="str"/>
      <x:c r="W711" t="str">
        <x:v>PB15</x:v>
      </x:c>
      <x:c r="X711" t="n">
        <x:f>IF(W711="",0,LEN(W711)-LEN(SUBSTITUTE(W711,"/",""))+1)</x:f>
        <x:v>1</x:v>
      </x:c>
      <x:c r="Y711" t="str">
        <x:v>H</x:v>
      </x:c>
      <x:c r="Z711" s="32" t="n">
        <x:v>1</x:v>
      </x:c>
      <x:c r="AA711" s="32" t="n">
        <x:v>5</x:v>
      </x:c>
      <x:c r="AB711" s="32" t="str">
        <x:v>Blue Wool Scale / UV 150h</x:v>
      </x:c>
      <x:c r="AC711" t="str">
        <x:v>#18669D</x:v>
      </x:c>
      <x:c r="AD711" s="34" t="n">
        <x:v>24</x:v>
      </x:c>
      <x:c r="AE711" s="34" t="n">
        <x:v>102</x:v>
      </x:c>
      <x:c r="AF711" s="34" t="n">
        <x:v>157</x:v>
      </x:c>
      <x:c r="AG711" s="32" t="n">
        <x:v>204.81</x:v>
      </x:c>
      <x:c r="AH711" s="32" t="n">
        <x:v>73.48</x:v>
      </x:c>
      <x:c r="AI711" s="32" t="n">
        <x:v>35.49</x:v>
      </x:c>
      <x:c r="AJ711" s="32" t="n">
        <x:v>41.42</x:v>
      </x:c>
      <x:c r="AK711" s="32" t="n">
        <x:v>-2.29</x:v>
      </x:c>
      <x:c r="AL711" s="32" t="n">
        <x:v>-36.21</x:v>
      </x:c>
      <x:c r="AM711" s="32" t="str">
        <x:v>#FFFFFF</x:v>
      </x:c>
      <x:c r="AN711" s="32" t="str">
        <x:v>White</x:v>
      </x:c>
      <x:c r="AO711" s="32" t="n">
        <x:v>6.13</x:v>
      </x:c>
      <x:c r="AP711" s="32" t="n">
        <x:v>3.43</x:v>
      </x:c>
      <x:c r="AQ711" s="32" t="n">
        <x:v>6.13</x:v>
      </x:c>
      <x:c r="AR711" s="32" t="n">
        <x:v>0.121313</x:v>
      </x:c>
      <x:c r="AS711" t="str">
        <x:v>PASS</x:v>
      </x:c>
      <x:c r="AT711" t="str">
        <x:v>--cda-pstc-162</x:v>
      </x:c>
      <x:c r="AU711" t="str">
        <x:v>var(--cda-pstc-162)</x:v>
      </x:c>
      <x:c r="AV711" t="str">
        <x:v>Median RGB from official PDF swatch (screen reference only)</x:v>
      </x:c>
      <x:c r="AW711" t="str">
        <x:v>https://www.carandache.com/content_files/uploaded_doc/product/10985/Colour_Chart_Pastel_Pencil.pdf</x:v>
      </x:c>
      <x:c r="AX711" t="n">
        <x:v>1</x:v>
      </x:c>
      <x:c r="AY711" t="str">
        <x:v>Official</x:v>
      </x:c>
      <x:c r="AZ711" t="str">
        <x:v>Official where available; curated Traditional Chinese/Japanese otherwise</x:v>
      </x:c>
      <x:c r="BA711" t="str">
        <x:v>Verified from official chart; digital HEX is approximate</x:v>
      </x:c>
      <x:c r="BB711" t="str">
        <x:v>Shares the same 84-colour palette as PASTEL PENCILS; physical application differs by format.</x:v>
      </x:c>
    </x:row>
    <x:row r="712">
      <x:c r="A712" t="str">
        <x:f>G712&amp;"|"&amp;L712</x:f>
        <x:v>PSTC|145</x:v>
      </x:c>
      <x:c r="B712" t="str">
        <x:v>b5142103-ad7e-54f5-85d8-6f33058cbcde</x:v>
      </x:c>
      <x:c r="C712" t="str">
        <x:v>CDA-PSTC-145</x:v>
      </x:c>
      <x:c r="D712" t="str">
        <x:v>8580dae2-477a-5d0e-afcb-89e0a00e77a6</x:v>
      </x:c>
      <x:c r="E712" t="str">
        <x:v>CDA-CODE-145</x:v>
      </x:c>
      <x:c r="F712" t="str">
        <x:v>Caran d’Ache</x:v>
      </x:c>
      <x:c r="G712" t="str">
        <x:v>PSTC</x:v>
      </x:c>
      <x:c r="H712" t="str">
        <x:v>PASTEL CUBES</x:v>
      </x:c>
      <x:c r="I712" t="str">
        <x:v>Extra-fine dry pastel cube</x:v>
      </x:c>
      <x:c r="J712" t="str">
        <x:v>Professional</x:v>
      </x:c>
      <x:c r="K712" s="30" t="n">
        <x:v>31</x:v>
      </x:c>
      <x:c r="L712" s="30" t="str">
        <x:v>145</x:v>
      </x:c>
      <x:c r="M712" t="str">
        <x:v>Bluish grey</x:v>
      </x:c>
      <x:c r="N712" t="str">
        <x:v>藍灰色</x:v>
      </x:c>
      <x:c r="O712" t="str">
        <x:v>ブルーグレー</x:v>
      </x:c>
      <x:c r="P712" t="str"/>
      <x:c r="Q712" t="str">
        <x:v>Bleu gris</x:v>
      </x:c>
      <x:c r="R712" t="str">
        <x:v>Graublau</x:v>
      </x:c>
      <x:c r="S712" t="str">
        <x:v>Blu grigio</x:v>
      </x:c>
      <x:c r="T712" t="str">
        <x:v>Azul gris</x:v>
      </x:c>
      <x:c r="U712" t="str">
        <x:v>Azul cinzento</x:v>
      </x:c>
      <x:c r="V712" t="str"/>
      <x:c r="W712" t="str">
        <x:v>PB1/PB60</x:v>
      </x:c>
      <x:c r="X712" t="n">
        <x:f>IF(W712="",0,LEN(W712)-LEN(SUBSTITUTE(W712,"/",""))+1)</x:f>
        <x:v>2</x:v>
      </x:c>
      <x:c r="Y712" t="str">
        <x:v>H</x:v>
      </x:c>
      <x:c r="Z712" s="32" t="n">
        <x:v>1</x:v>
      </x:c>
      <x:c r="AA712" s="32" t="n">
        <x:v>5</x:v>
      </x:c>
      <x:c r="AB712" s="32" t="str">
        <x:v>Blue Wool Scale / UV 150h</x:v>
      </x:c>
      <x:c r="AC712" t="str">
        <x:v>#4B5581</x:v>
      </x:c>
      <x:c r="AD712" s="34" t="n">
        <x:v>75</x:v>
      </x:c>
      <x:c r="AE712" s="34" t="n">
        <x:v>85</x:v>
      </x:c>
      <x:c r="AF712" s="34" t="n">
        <x:v>129</x:v>
      </x:c>
      <x:c r="AG712" s="32" t="n">
        <x:v>228.89</x:v>
      </x:c>
      <x:c r="AH712" s="32" t="n">
        <x:v>26.47</x:v>
      </x:c>
      <x:c r="AI712" s="32" t="n">
        <x:v>40</x:v>
      </x:c>
      <x:c r="AJ712" s="32" t="n">
        <x:v>37.07</x:v>
      </x:c>
      <x:c r="AK712" s="32" t="n">
        <x:v>8.15</x:v>
      </x:c>
      <x:c r="AL712" s="32" t="n">
        <x:v>-26</x:v>
      </x:c>
      <x:c r="AM712" s="32" t="str">
        <x:v>#FFFFFF</x:v>
      </x:c>
      <x:c r="AN712" s="32" t="str">
        <x:v>White</x:v>
      </x:c>
      <x:c r="AO712" s="32" t="n">
        <x:v>7.2</x:v>
      </x:c>
      <x:c r="AP712" s="32" t="n">
        <x:v>2.92</x:v>
      </x:c>
      <x:c r="AQ712" s="32" t="n">
        <x:v>7.2</x:v>
      </x:c>
      <x:c r="AR712" s="32" t="n">
        <x:v>0.095778</x:v>
      </x:c>
      <x:c r="AS712" t="str">
        <x:v>PASS</x:v>
      </x:c>
      <x:c r="AT712" t="str">
        <x:v>--cda-pstc-145</x:v>
      </x:c>
      <x:c r="AU712" t="str">
        <x:v>var(--cda-pstc-145)</x:v>
      </x:c>
      <x:c r="AV712" t="str">
        <x:v>Median RGB from official PDF swatch (screen reference only)</x:v>
      </x:c>
      <x:c r="AW712" t="str">
        <x:v>https://www.carandache.com/content_files/uploaded_doc/product/10985/Colour_Chart_Pastel_Pencil.pdf</x:v>
      </x:c>
      <x:c r="AX712" t="n">
        <x:v>1</x:v>
      </x:c>
      <x:c r="AY712" t="str">
        <x:v>Official</x:v>
      </x:c>
      <x:c r="AZ712" t="str">
        <x:v>Official where available; curated Traditional Chinese/Japanese otherwise</x:v>
      </x:c>
      <x:c r="BA712" t="str">
        <x:v>Verified from official chart; digital HEX is approximate</x:v>
      </x:c>
      <x:c r="BB712" t="str">
        <x:v>Shares the same 84-colour palette as PASTEL PENCILS; physical application differs by format.</x:v>
      </x:c>
    </x:row>
    <x:row r="713">
      <x:c r="A713" t="str">
        <x:f>G713&amp;"|"&amp;L713</x:f>
        <x:v>PSTC|120</x:v>
      </x:c>
      <x:c r="B713" t="str">
        <x:v>95742cc5-c9b0-5311-8230-8ba2a130d305</x:v>
      </x:c>
      <x:c r="C713" t="str">
        <x:v>CDA-PSTC-120</x:v>
      </x:c>
      <x:c r="D713" t="str">
        <x:v>fee913f0-b01c-52a4-9be8-3e5be4c01b51</x:v>
      </x:c>
      <x:c r="E713" t="str">
        <x:v>CDA-CODE-120</x:v>
      </x:c>
      <x:c r="F713" t="str">
        <x:v>Caran d’Ache</x:v>
      </x:c>
      <x:c r="G713" t="str">
        <x:v>PSTC</x:v>
      </x:c>
      <x:c r="H713" t="str">
        <x:v>PASTEL CUBES</x:v>
      </x:c>
      <x:c r="I713" t="str">
        <x:v>Extra-fine dry pastel cube</x:v>
      </x:c>
      <x:c r="J713" t="str">
        <x:v>Professional</x:v>
      </x:c>
      <x:c r="K713" s="30" t="n">
        <x:v>32</x:v>
      </x:c>
      <x:c r="L713" s="30" t="str">
        <x:v>120</x:v>
      </x:c>
      <x:c r="M713" t="str">
        <x:v>Violet</x:v>
      </x:c>
      <x:c r="N713" t="str">
        <x:v>紫羅蘭色</x:v>
      </x:c>
      <x:c r="O713" t="str">
        <x:v>バイオレット</x:v>
      </x:c>
      <x:c r="P713" t="str"/>
      <x:c r="Q713" t="str">
        <x:v>Violet</x:v>
      </x:c>
      <x:c r="R713" t="str">
        <x:v>Violett</x:v>
      </x:c>
      <x:c r="S713" t="str">
        <x:v>Violetto</x:v>
      </x:c>
      <x:c r="T713" t="str">
        <x:v>Violeta</x:v>
      </x:c>
      <x:c r="U713" t="str">
        <x:v>Violeta</x:v>
      </x:c>
      <x:c r="V713" t="str"/>
      <x:c r="W713" t="str">
        <x:v>PV23</x:v>
      </x:c>
      <x:c r="X713" t="n">
        <x:f>IF(W713="",0,LEN(W713)-LEN(SUBSTITUTE(W713,"/",""))+1)</x:f>
        <x:v>1</x:v>
      </x:c>
      <x:c r="Y713" t="str">
        <x:v>HH</x:v>
      </x:c>
      <x:c r="Z713" s="32" t="n">
        <x:v>2</x:v>
      </x:c>
      <x:c r="AA713" s="32" t="n">
        <x:v>5</x:v>
      </x:c>
      <x:c r="AB713" s="32" t="str">
        <x:v>Blue Wool Scale / UV 150h</x:v>
      </x:c>
      <x:c r="AC713" t="str">
        <x:v>#533274</x:v>
      </x:c>
      <x:c r="AD713" s="34" t="n">
        <x:v>83</x:v>
      </x:c>
      <x:c r="AE713" s="34" t="n">
        <x:v>50</x:v>
      </x:c>
      <x:c r="AF713" s="34" t="n">
        <x:v>116</x:v>
      </x:c>
      <x:c r="AG713" s="32" t="n">
        <x:v>270</x:v>
      </x:c>
      <x:c r="AH713" s="32" t="n">
        <x:v>39.76</x:v>
      </x:c>
      <x:c r="AI713" s="32" t="n">
        <x:v>32.55</x:v>
      </x:c>
      <x:c r="AJ713" s="32" t="n">
        <x:v>27.79</x:v>
      </x:c>
      <x:c r="AK713" s="32" t="n">
        <x:v>29.06</x:v>
      </x:c>
      <x:c r="AL713" s="32" t="n">
        <x:v>-32.49</x:v>
      </x:c>
      <x:c r="AM713" s="32" t="str">
        <x:v>#FFFFFF</x:v>
      </x:c>
      <x:c r="AN713" s="32" t="str">
        <x:v>White</x:v>
      </x:c>
      <x:c r="AO713" s="32" t="n">
        <x:v>10.11</x:v>
      </x:c>
      <x:c r="AP713" s="32" t="n">
        <x:v>2.08</x:v>
      </x:c>
      <x:c r="AQ713" s="32" t="n">
        <x:v>10.11</x:v>
      </x:c>
      <x:c r="AR713" s="32" t="n">
        <x:v>0.053812</x:v>
      </x:c>
      <x:c r="AS713" t="str">
        <x:v>PASS</x:v>
      </x:c>
      <x:c r="AT713" t="str">
        <x:v>--cda-pstc-120</x:v>
      </x:c>
      <x:c r="AU713" t="str">
        <x:v>var(--cda-pstc-120)</x:v>
      </x:c>
      <x:c r="AV713" t="str">
        <x:v>Median RGB from official PDF swatch (screen reference only)</x:v>
      </x:c>
      <x:c r="AW713" t="str">
        <x:v>https://www.carandache.com/content_files/uploaded_doc/product/10985/Colour_Chart_Pastel_Pencil.pdf</x:v>
      </x:c>
      <x:c r="AX713" t="n">
        <x:v>1</x:v>
      </x:c>
      <x:c r="AY713" t="str">
        <x:v>Official</x:v>
      </x:c>
      <x:c r="AZ713" t="str">
        <x:v>Official where available; curated Traditional Chinese/Japanese otherwise</x:v>
      </x:c>
      <x:c r="BA713" t="str">
        <x:v>Verified from official chart; digital HEX is approximate</x:v>
      </x:c>
      <x:c r="BB713" t="str">
        <x:v>Shares the same 84-colour palette as PASTEL PENCILS; physical application differs by format.</x:v>
      </x:c>
    </x:row>
    <x:row r="714">
      <x:c r="A714" t="str">
        <x:f>G714&amp;"|"&amp;L714</x:f>
        <x:v>PSTC|620</x:v>
      </x:c>
      <x:c r="B714" t="str">
        <x:v>6f039d12-ba30-55a6-92a4-e09bcbeb5156</x:v>
      </x:c>
      <x:c r="C714" t="str">
        <x:v>CDA-PSTC-620</x:v>
      </x:c>
      <x:c r="D714" t="str">
        <x:v>17c766ce-3e12-5e1f-9fb6-f9f4c0259413</x:v>
      </x:c>
      <x:c r="E714" t="str">
        <x:v>CDA-CODE-620</x:v>
      </x:c>
      <x:c r="F714" t="str">
        <x:v>Caran d’Ache</x:v>
      </x:c>
      <x:c r="G714" t="str">
        <x:v>PSTC</x:v>
      </x:c>
      <x:c r="H714" t="str">
        <x:v>PASTEL CUBES</x:v>
      </x:c>
      <x:c r="I714" t="str">
        <x:v>Extra-fine dry pastel cube</x:v>
      </x:c>
      <x:c r="J714" t="str">
        <x:v>Professional</x:v>
      </x:c>
      <x:c r="K714" s="30" t="n">
        <x:v>33</x:v>
      </x:c>
      <x:c r="L714" s="30" t="str">
        <x:v>620</x:v>
      </x:c>
      <x:c r="M714" t="str">
        <x:v>Cobalt Violet</x:v>
      </x:c>
      <x:c r="N714" t="str">
        <x:v>鈷紫</x:v>
      </x:c>
      <x:c r="O714" t="str">
        <x:v>コバルトバイオレット</x:v>
      </x:c>
      <x:c r="P714" t="str"/>
      <x:c r="Q714" t="str">
        <x:v>Violet Cobalt</x:v>
      </x:c>
      <x:c r="R714" t="str">
        <x:v>Kobaltviolett</x:v>
      </x:c>
      <x:c r="S714" t="str">
        <x:v>Violetto cobalto</x:v>
      </x:c>
      <x:c r="T714" t="str">
        <x:v>Violeta cobalto</x:v>
      </x:c>
      <x:c r="U714" t="str">
        <x:v>Violeta cobalto</x:v>
      </x:c>
      <x:c r="V714" t="str"/>
      <x:c r="W714" t="str">
        <x:v>PV23/PB15/PB29</x:v>
      </x:c>
      <x:c r="X714" t="n">
        <x:f>IF(W714="",0,LEN(W714)-LEN(SUBSTITUTE(W714,"/",""))+1)</x:f>
        <x:v>3</x:v>
      </x:c>
      <x:c r="Y714" t="str">
        <x:v>H</x:v>
      </x:c>
      <x:c r="Z714" s="32" t="n">
        <x:v>1</x:v>
      </x:c>
      <x:c r="AA714" s="32" t="n">
        <x:v>5</x:v>
      </x:c>
      <x:c r="AB714" s="32" t="str">
        <x:v>Blue Wool Scale / UV 150h</x:v>
      </x:c>
      <x:c r="AC714" t="str">
        <x:v>#46377E</x:v>
      </x:c>
      <x:c r="AD714" s="34" t="n">
        <x:v>70</x:v>
      </x:c>
      <x:c r="AE714" s="34" t="n">
        <x:v>55</x:v>
      </x:c>
      <x:c r="AF714" s="34" t="n">
        <x:v>126</x:v>
      </x:c>
      <x:c r="AG714" s="32" t="n">
        <x:v>252.68</x:v>
      </x:c>
      <x:c r="AH714" s="32" t="n">
        <x:v>39.23</x:v>
      </x:c>
      <x:c r="AI714" s="32" t="n">
        <x:v>35.49</x:v>
      </x:c>
      <x:c r="AJ714" s="32" t="n">
        <x:v>28.22</x:v>
      </x:c>
      <x:c r="AK714" s="32" t="n">
        <x:v>25.33</x:v>
      </x:c>
      <x:c r="AL714" s="32" t="n">
        <x:v>-38.2</x:v>
      </x:c>
      <x:c r="AM714" s="32" t="str">
        <x:v>#FFFFFF</x:v>
      </x:c>
      <x:c r="AN714" s="32" t="str">
        <x:v>White</x:v>
      </x:c>
      <x:c r="AO714" s="32" t="n">
        <x:v>9.96</x:v>
      </x:c>
      <x:c r="AP714" s="32" t="n">
        <x:v>2.11</x:v>
      </x:c>
      <x:c r="AQ714" s="32" t="n">
        <x:v>9.96</x:v>
      </x:c>
      <x:c r="AR714" s="32" t="n">
        <x:v>0.055408</x:v>
      </x:c>
      <x:c r="AS714" t="str">
        <x:v>PASS</x:v>
      </x:c>
      <x:c r="AT714" t="str">
        <x:v>--cda-pstc-620</x:v>
      </x:c>
      <x:c r="AU714" t="str">
        <x:v>var(--cda-pstc-620)</x:v>
      </x:c>
      <x:c r="AV714" t="str">
        <x:v>Median RGB from official PDF swatch (screen reference only)</x:v>
      </x:c>
      <x:c r="AW714" t="str">
        <x:v>https://www.carandache.com/content_files/uploaded_doc/product/10985/Colour_Chart_Pastel_Pencil.pdf</x:v>
      </x:c>
      <x:c r="AX714" t="n">
        <x:v>1</x:v>
      </x:c>
      <x:c r="AY714" t="str">
        <x:v>Official</x:v>
      </x:c>
      <x:c r="AZ714" t="str">
        <x:v>Official where available; curated Traditional Chinese/Japanese otherwise</x:v>
      </x:c>
      <x:c r="BA714" t="str">
        <x:v>Verified from official chart; digital HEX is approximate</x:v>
      </x:c>
      <x:c r="BB714" t="str">
        <x:v>Shares the same 84-colour palette as PASTEL PENCILS; physical application differs by format.</x:v>
      </x:c>
    </x:row>
    <x:row r="715">
      <x:c r="A715" t="str">
        <x:f>G715&amp;"|"&amp;L715</x:f>
        <x:v>PSTC|149</x:v>
      </x:c>
      <x:c r="B715" t="str">
        <x:v>b5b2f4e7-7b44-5454-a9d6-9319add2cfb6</x:v>
      </x:c>
      <x:c r="C715" t="str">
        <x:v>CDA-PSTC-149</x:v>
      </x:c>
      <x:c r="D715" t="str">
        <x:v>b0b0f599-0beb-5dd7-b398-ef01ad96ff1b</x:v>
      </x:c>
      <x:c r="E715" t="str">
        <x:v>CDA-CODE-149</x:v>
      </x:c>
      <x:c r="F715" t="str">
        <x:v>Caran d’Ache</x:v>
      </x:c>
      <x:c r="G715" t="str">
        <x:v>PSTC</x:v>
      </x:c>
      <x:c r="H715" t="str">
        <x:v>PASTEL CUBES</x:v>
      </x:c>
      <x:c r="I715" t="str">
        <x:v>Extra-fine dry pastel cube</x:v>
      </x:c>
      <x:c r="J715" t="str">
        <x:v>Professional</x:v>
      </x:c>
      <x:c r="K715" s="30" t="n">
        <x:v>34</x:v>
      </x:c>
      <x:c r="L715" s="30" t="str">
        <x:v>149</x:v>
      </x:c>
      <x:c r="M715" t="str">
        <x:v>Night blue</x:v>
      </x:c>
      <x:c r="N715" t="str">
        <x:v>夜藍</x:v>
      </x:c>
      <x:c r="O715" t="str">
        <x:v>ナイトブルー</x:v>
      </x:c>
      <x:c r="P715" t="str"/>
      <x:c r="Q715" t="str">
        <x:v>Bleu nuit</x:v>
      </x:c>
      <x:c r="R715" t="str">
        <x:v>Nachtblau</x:v>
      </x:c>
      <x:c r="S715" t="str">
        <x:v>Blu notte</x:v>
      </x:c>
      <x:c r="T715" t="str">
        <x:v>Azul noche</x:v>
      </x:c>
      <x:c r="U715" t="str">
        <x:v>Azul noite</x:v>
      </x:c>
      <x:c r="V715" t="str"/>
      <x:c r="W715" t="str">
        <x:v>PB1/PBk7</x:v>
      </x:c>
      <x:c r="X715" t="n">
        <x:f>IF(W715="",0,LEN(W715)-LEN(SUBSTITUTE(W715,"/",""))+1)</x:f>
        <x:v>2</x:v>
      </x:c>
      <x:c r="Y715" t="str">
        <x:v>H</x:v>
      </x:c>
      <x:c r="Z715" s="32" t="n">
        <x:v>1</x:v>
      </x:c>
      <x:c r="AA715" s="32" t="n">
        <x:v>5</x:v>
      </x:c>
      <x:c r="AB715" s="32" t="str">
        <x:v>Blue Wool Scale / UV 150h</x:v>
      </x:c>
      <x:c r="AC715" t="str">
        <x:v>#343C5C</x:v>
      </x:c>
      <x:c r="AD715" s="34" t="n">
        <x:v>52</x:v>
      </x:c>
      <x:c r="AE715" s="34" t="n">
        <x:v>60</x:v>
      </x:c>
      <x:c r="AF715" s="34" t="n">
        <x:v>92</x:v>
      </x:c>
      <x:c r="AG715" s="32" t="n">
        <x:v>228</x:v>
      </x:c>
      <x:c r="AH715" s="32" t="n">
        <x:v>27.78</x:v>
      </x:c>
      <x:c r="AI715" s="32" t="n">
        <x:v>28.24</x:v>
      </x:c>
      <x:c r="AJ715" s="32" t="n">
        <x:v>25.96</x:v>
      </x:c>
      <x:c r="AK715" s="32" t="n">
        <x:v>6.01</x:v>
      </x:c>
      <x:c r="AL715" s="32" t="n">
        <x:v>-20.16</x:v>
      </x:c>
      <x:c r="AM715" s="32" t="str">
        <x:v>#FFFFFF</x:v>
      </x:c>
      <x:c r="AN715" s="32" t="str">
        <x:v>White</x:v>
      </x:c>
      <x:c r="AO715" s="32" t="n">
        <x:v>10.79</x:v>
      </x:c>
      <x:c r="AP715" s="32" t="n">
        <x:v>1.95</x:v>
      </x:c>
      <x:c r="AQ715" s="32" t="n">
        <x:v>10.79</x:v>
      </x:c>
      <x:c r="AR715" s="32" t="n">
        <x:v>0.047345</x:v>
      </x:c>
      <x:c r="AS715" t="str">
        <x:v>PASS</x:v>
      </x:c>
      <x:c r="AT715" t="str">
        <x:v>--cda-pstc-149</x:v>
      </x:c>
      <x:c r="AU715" t="str">
        <x:v>var(--cda-pstc-149)</x:v>
      </x:c>
      <x:c r="AV715" t="str">
        <x:v>Median RGB from official PDF swatch (screen reference only)</x:v>
      </x:c>
      <x:c r="AW715" t="str">
        <x:v>https://www.carandache.com/content_files/uploaded_doc/product/10985/Colour_Chart_Pastel_Pencil.pdf</x:v>
      </x:c>
      <x:c r="AX715" t="n">
        <x:v>1</x:v>
      </x:c>
      <x:c r="AY715" t="str">
        <x:v>Official</x:v>
      </x:c>
      <x:c r="AZ715" t="str">
        <x:v>Official where available; curated Traditional Chinese/Japanese otherwise</x:v>
      </x:c>
      <x:c r="BA715" t="str">
        <x:v>Verified from official chart; digital HEX is approximate</x:v>
      </x:c>
      <x:c r="BB715" t="str">
        <x:v>Shares the same 84-colour palette as PASTEL PENCILS; physical application differs by format.</x:v>
      </x:c>
    </x:row>
    <x:row r="716">
      <x:c r="A716" t="str">
        <x:f>G716&amp;"|"&amp;L716</x:f>
        <x:v>PSTC|185</x:v>
      </x:c>
      <x:c r="B716" t="str">
        <x:v>d1b2179e-ab3a-5a53-a547-946c8f449d64</x:v>
      </x:c>
      <x:c r="C716" t="str">
        <x:v>CDA-PSTC-185</x:v>
      </x:c>
      <x:c r="D716" t="str">
        <x:v>12724f05-b502-59f7-a985-93fdace159dd</x:v>
      </x:c>
      <x:c r="E716" t="str">
        <x:v>CDA-CODE-185</x:v>
      </x:c>
      <x:c r="F716" t="str">
        <x:v>Caran d’Ache</x:v>
      </x:c>
      <x:c r="G716" t="str">
        <x:v>PSTC</x:v>
      </x:c>
      <x:c r="H716" t="str">
        <x:v>PASTEL CUBES</x:v>
      </x:c>
      <x:c r="I716" t="str">
        <x:v>Extra-fine dry pastel cube</x:v>
      </x:c>
      <x:c r="J716" t="str">
        <x:v>Professional</x:v>
      </x:c>
      <x:c r="K716" s="30" t="n">
        <x:v>35</x:v>
      </x:c>
      <x:c r="L716" s="30" t="str">
        <x:v>185</x:v>
      </x:c>
      <x:c r="M716" t="str">
        <x:v>Ice blue</x:v>
      </x:c>
      <x:c r="N716" t="str">
        <x:v>冰藍</x:v>
      </x:c>
      <x:c r="O716" t="str">
        <x:v>アイスブルー</x:v>
      </x:c>
      <x:c r="P716" t="str"/>
      <x:c r="Q716" t="str">
        <x:v>Bleu glacier</x:v>
      </x:c>
      <x:c r="R716" t="str">
        <x:v>Eisblau</x:v>
      </x:c>
      <x:c r="S716" t="str">
        <x:v>Blu di ghiaccio</x:v>
      </x:c>
      <x:c r="T716" t="str">
        <x:v>Azul hielo</x:v>
      </x:c>
      <x:c r="U716" t="str">
        <x:v>Azul gelo</x:v>
      </x:c>
      <x:c r="V716" t="str"/>
      <x:c r="W716" t="str">
        <x:v>PB16</x:v>
      </x:c>
      <x:c r="X716" t="n">
        <x:f>IF(W716="",0,LEN(W716)-LEN(SUBSTITUTE(W716,"/",""))+1)</x:f>
        <x:v>1</x:v>
      </x:c>
      <x:c r="Y716" t="str">
        <x:v>H</x:v>
      </x:c>
      <x:c r="Z716" s="32" t="n">
        <x:v>1</x:v>
      </x:c>
      <x:c r="AA716" s="32" t="n">
        <x:v>5</x:v>
      </x:c>
      <x:c r="AB716" s="32" t="str">
        <x:v>Blue Wool Scale / UV 150h</x:v>
      </x:c>
      <x:c r="AC716" t="str">
        <x:v>#296784</x:v>
      </x:c>
      <x:c r="AD716" s="34" t="n">
        <x:v>41</x:v>
      </x:c>
      <x:c r="AE716" s="34" t="n">
        <x:v>103</x:v>
      </x:c>
      <x:c r="AF716" s="34" t="n">
        <x:v>132</x:v>
      </x:c>
      <x:c r="AG716" s="32" t="n">
        <x:v>199.12</x:v>
      </x:c>
      <x:c r="AH716" s="32" t="n">
        <x:v>52.6</x:v>
      </x:c>
      <x:c r="AI716" s="32" t="n">
        <x:v>33.92</x:v>
      </x:c>
      <x:c r="AJ716" s="32" t="n">
        <x:v>40.96</x:v>
      </x:c>
      <x:c r="AK716" s="32" t="n">
        <x:v>-10.02</x:v>
      </x:c>
      <x:c r="AL716" s="32" t="n">
        <x:v>-21.92</x:v>
      </x:c>
      <x:c r="AM716" s="32" t="str">
        <x:v>#FFFFFF</x:v>
      </x:c>
      <x:c r="AN716" s="32" t="str">
        <x:v>White</x:v>
      </x:c>
      <x:c r="AO716" s="32" t="n">
        <x:v>6.24</x:v>
      </x:c>
      <x:c r="AP716" s="32" t="n">
        <x:v>3.37</x:v>
      </x:c>
      <x:c r="AQ716" s="32" t="n">
        <x:v>6.24</x:v>
      </x:c>
      <x:c r="AR716" s="32" t="n">
        <x:v>0.118379</x:v>
      </x:c>
      <x:c r="AS716" t="str">
        <x:v>PASS</x:v>
      </x:c>
      <x:c r="AT716" t="str">
        <x:v>--cda-pstc-185</x:v>
      </x:c>
      <x:c r="AU716" t="str">
        <x:v>var(--cda-pstc-185)</x:v>
      </x:c>
      <x:c r="AV716" t="str">
        <x:v>Median RGB from official PDF swatch (screen reference only)</x:v>
      </x:c>
      <x:c r="AW716" t="str">
        <x:v>https://www.carandache.com/content_files/uploaded_doc/product/10985/Colour_Chart_Pastel_Pencil.pdf</x:v>
      </x:c>
      <x:c r="AX716" t="n">
        <x:v>1</x:v>
      </x:c>
      <x:c r="AY716" t="str">
        <x:v>Official</x:v>
      </x:c>
      <x:c r="AZ716" t="str">
        <x:v>Official where available; curated Traditional Chinese/Japanese otherwise</x:v>
      </x:c>
      <x:c r="BA716" t="str">
        <x:v>Verified from official chart; digital HEX is approximate</x:v>
      </x:c>
      <x:c r="BB716" t="str">
        <x:v>Shares the same 84-colour palette as PASTEL PENCILS; physical application differs by format.</x:v>
      </x:c>
    </x:row>
    <x:row r="717">
      <x:c r="A717" t="str">
        <x:f>G717&amp;"|"&amp;L717</x:f>
        <x:v>PSTC|161</x:v>
      </x:c>
      <x:c r="B717" t="str">
        <x:v>74657992-37c0-5b8d-b19d-10a5335f4466</x:v>
      </x:c>
      <x:c r="C717" t="str">
        <x:v>CDA-PSTC-161</x:v>
      </x:c>
      <x:c r="D717" t="str">
        <x:v>6ffc111a-0ad6-541a-8290-6ab5dc59fcce</x:v>
      </x:c>
      <x:c r="E717" t="str">
        <x:v>CDA-CODE-161</x:v>
      </x:c>
      <x:c r="F717" t="str">
        <x:v>Caran d’Ache</x:v>
      </x:c>
      <x:c r="G717" t="str">
        <x:v>PSTC</x:v>
      </x:c>
      <x:c r="H717" t="str">
        <x:v>PASTEL CUBES</x:v>
      </x:c>
      <x:c r="I717" t="str">
        <x:v>Extra-fine dry pastel cube</x:v>
      </x:c>
      <x:c r="J717" t="str">
        <x:v>Professional</x:v>
      </x:c>
      <x:c r="K717" s="30" t="n">
        <x:v>36</x:v>
      </x:c>
      <x:c r="L717" s="30" t="str">
        <x:v>161</x:v>
      </x:c>
      <x:c r="M717" t="str">
        <x:v>Light blue</x:v>
      </x:c>
      <x:c r="N717" t="str">
        <x:v>淺藍色</x:v>
      </x:c>
      <x:c r="O717" t="str">
        <x:v>ライトブルー</x:v>
      </x:c>
      <x:c r="P717" t="str"/>
      <x:c r="Q717" t="str">
        <x:v>Bleu clair</x:v>
      </x:c>
      <x:c r="R717" t="str">
        <x:v>Hellblau</x:v>
      </x:c>
      <x:c r="S717" t="str">
        <x:v>Azzurro chiaro</x:v>
      </x:c>
      <x:c r="T717" t="str">
        <x:v>Azul claro</x:v>
      </x:c>
      <x:c r="U717" t="str">
        <x:v>Azul claro</x:v>
      </x:c>
      <x:c r="V717" t="str"/>
      <x:c r="W717" t="str">
        <x:v>PB15:3/PBk9</x:v>
      </x:c>
      <x:c r="X717" t="n">
        <x:f>IF(W717="",0,LEN(W717)-LEN(SUBSTITUTE(W717,"/",""))+1)</x:f>
        <x:v>2</x:v>
      </x:c>
      <x:c r="Y717" t="str">
        <x:v>H</x:v>
      </x:c>
      <x:c r="Z717" s="32" t="n">
        <x:v>1</x:v>
      </x:c>
      <x:c r="AA717" s="32" t="n">
        <x:v>5</x:v>
      </x:c>
      <x:c r="AB717" s="32" t="str">
        <x:v>Blue Wool Scale / UV 150h</x:v>
      </x:c>
      <x:c r="AC717" t="str">
        <x:v>#67B9D5</x:v>
      </x:c>
      <x:c r="AD717" s="34" t="n">
        <x:v>103</x:v>
      </x:c>
      <x:c r="AE717" s="34" t="n">
        <x:v>185</x:v>
      </x:c>
      <x:c r="AF717" s="34" t="n">
        <x:v>213</x:v>
      </x:c>
      <x:c r="AG717" s="32" t="n">
        <x:v>195.27</x:v>
      </x:c>
      <x:c r="AH717" s="32" t="n">
        <x:v>56.7</x:v>
      </x:c>
      <x:c r="AI717" s="32" t="n">
        <x:v>61.96</x:v>
      </x:c>
      <x:c r="AJ717" s="32" t="n">
        <x:v>71.13</x:v>
      </x:c>
      <x:c r="AK717" s="32" t="n">
        <x:v>-17.37</x:v>
      </x:c>
      <x:c r="AL717" s="32" t="n">
        <x:v>-21.79</x:v>
      </x:c>
      <x:c r="AM717" s="32" t="str">
        <x:v>#000000</x:v>
      </x:c>
      <x:c r="AN717" s="32" t="str">
        <x:v>Black</x:v>
      </x:c>
      <x:c r="AO717" s="32" t="n">
        <x:v>9.48</x:v>
      </x:c>
      <x:c r="AP717" s="32" t="n">
        <x:v>9.48</x:v>
      </x:c>
      <x:c r="AQ717" s="32" t="n">
        <x:v>2.22</x:v>
      </x:c>
      <x:c r="AR717" s="32" t="n">
        <x:v>0.423856</x:v>
      </x:c>
      <x:c r="AS717" t="str">
        <x:v>PASS</x:v>
      </x:c>
      <x:c r="AT717" t="str">
        <x:v>--cda-pstc-161</x:v>
      </x:c>
      <x:c r="AU717" t="str">
        <x:v>var(--cda-pstc-161)</x:v>
      </x:c>
      <x:c r="AV717" t="str">
        <x:v>Median RGB from official PDF swatch (screen reference only)</x:v>
      </x:c>
      <x:c r="AW717" t="str">
        <x:v>https://www.carandache.com/content_files/uploaded_doc/product/10985/Colour_Chart_Pastel_Pencil.pdf</x:v>
      </x:c>
      <x:c r="AX717" t="n">
        <x:v>1</x:v>
      </x:c>
      <x:c r="AY717" t="str">
        <x:v>Official</x:v>
      </x:c>
      <x:c r="AZ717" t="str">
        <x:v>Official where available; curated Traditional Chinese/Japanese otherwise</x:v>
      </x:c>
      <x:c r="BA717" t="str">
        <x:v>Verified from official chart; digital HEX is approximate</x:v>
      </x:c>
      <x:c r="BB717" t="str">
        <x:v>Shares the same 84-colour palette as PASTEL PENCILS; physical application differs by format.</x:v>
      </x:c>
    </x:row>
    <x:row r="718">
      <x:c r="A718" t="str">
        <x:f>G718&amp;"|"&amp;L718</x:f>
        <x:v>PSTC|730</x:v>
      </x:c>
      <x:c r="B718" t="str">
        <x:v>2fe8667e-f31e-5fef-b635-b106ba8d752e</x:v>
      </x:c>
      <x:c r="C718" t="str">
        <x:v>CDA-PSTC-730</x:v>
      </x:c>
      <x:c r="D718" t="str">
        <x:v>bfd2fd00-6ce4-5f21-89c9-696b8fc30e6c</x:v>
      </x:c>
      <x:c r="E718" t="str">
        <x:v>CDA-CODE-730</x:v>
      </x:c>
      <x:c r="F718" t="str">
        <x:v>Caran d’Ache</x:v>
      </x:c>
      <x:c r="G718" t="str">
        <x:v>PSTC</x:v>
      </x:c>
      <x:c r="H718" t="str">
        <x:v>PASTEL CUBES</x:v>
      </x:c>
      <x:c r="I718" t="str">
        <x:v>Extra-fine dry pastel cube</x:v>
      </x:c>
      <x:c r="J718" t="str">
        <x:v>Professional</x:v>
      </x:c>
      <x:c r="K718" s="30" t="n">
        <x:v>37</x:v>
      </x:c>
      <x:c r="L718" s="30" t="str">
        <x:v>730</x:v>
      </x:c>
      <x:c r="M718" t="str">
        <x:v>Chinese green</x:v>
      </x:c>
      <x:c r="N718" t="str">
        <x:v>中國綠</x:v>
      </x:c>
      <x:c r="O718" t="str">
        <x:v>チャイニーズグリーン</x:v>
      </x:c>
      <x:c r="P718" t="str"/>
      <x:c r="Q718" t="str">
        <x:v>Vert de Chine</x:v>
      </x:c>
      <x:c r="R718" t="str">
        <x:v>Chinesischgrün</x:v>
      </x:c>
      <x:c r="S718" t="str">
        <x:v>Verde di Cina</x:v>
      </x:c>
      <x:c r="T718" t="str">
        <x:v>Verde de China</x:v>
      </x:c>
      <x:c r="U718" t="str">
        <x:v>Verde da China</x:v>
      </x:c>
      <x:c r="V718" t="str"/>
      <x:c r="W718" t="str">
        <x:v>PY3/PG7</x:v>
      </x:c>
      <x:c r="X718" t="n">
        <x:f>IF(W718="",0,LEN(W718)-LEN(SUBSTITUTE(W718,"/",""))+1)</x:f>
        <x:v>2</x:v>
      </x:c>
      <x:c r="Y718" t="str">
        <x:v>HH</x:v>
      </x:c>
      <x:c r="Z718" s="32" t="n">
        <x:v>2</x:v>
      </x:c>
      <x:c r="AA718" s="32" t="n">
        <x:v>5</x:v>
      </x:c>
      <x:c r="AB718" s="32" t="str">
        <x:v>Blue Wool Scale / UV 150h</x:v>
      </x:c>
      <x:c r="AC718" t="str">
        <x:v>#DFD765</x:v>
      </x:c>
      <x:c r="AD718" s="34" t="n">
        <x:v>223</x:v>
      </x:c>
      <x:c r="AE718" s="34" t="n">
        <x:v>215</x:v>
      </x:c>
      <x:c r="AF718" s="34" t="n">
        <x:v>101</x:v>
      </x:c>
      <x:c r="AG718" s="32" t="n">
        <x:v>56.07</x:v>
      </x:c>
      <x:c r="AH718" s="32" t="n">
        <x:v>65.59</x:v>
      </x:c>
      <x:c r="AI718" s="32" t="n">
        <x:v>63.53</x:v>
      </x:c>
      <x:c r="AJ718" s="32" t="n">
        <x:v>84.6</x:v>
      </x:c>
      <x:c r="AK718" s="32" t="n">
        <x:v>-11.78</x:v>
      </x:c>
      <x:c r="AL718" s="32" t="n">
        <x:v>56.28</x:v>
      </x:c>
      <x:c r="AM718" s="32" t="str">
        <x:v>#000000</x:v>
      </x:c>
      <x:c r="AN718" s="32" t="str">
        <x:v>Black</x:v>
      </x:c>
      <x:c r="AO718" s="32" t="n">
        <x:v>14.05</x:v>
      </x:c>
      <x:c r="AP718" s="32" t="n">
        <x:v>14.05</x:v>
      </x:c>
      <x:c r="AQ718" s="32" t="n">
        <x:v>1.5</x:v>
      </x:c>
      <x:c r="AR718" s="32" t="n">
        <x:v>0.652284</x:v>
      </x:c>
      <x:c r="AS718" t="str">
        <x:v>PASS</x:v>
      </x:c>
      <x:c r="AT718" t="str">
        <x:v>--cda-pstc-730</x:v>
      </x:c>
      <x:c r="AU718" t="str">
        <x:v>var(--cda-pstc-730)</x:v>
      </x:c>
      <x:c r="AV718" t="str">
        <x:v>Median RGB from official PDF swatch (screen reference only)</x:v>
      </x:c>
      <x:c r="AW718" t="str">
        <x:v>https://www.carandache.com/content_files/uploaded_doc/product/10985/Colour_Chart_Pastel_Pencil.pdf</x:v>
      </x:c>
      <x:c r="AX718" t="n">
        <x:v>1</x:v>
      </x:c>
      <x:c r="AY718" t="str">
        <x:v>Official</x:v>
      </x:c>
      <x:c r="AZ718" t="str">
        <x:v>Official where available; curated Traditional Chinese/Japanese otherwise</x:v>
      </x:c>
      <x:c r="BA718" t="str">
        <x:v>Verified from official chart; digital HEX is approximate</x:v>
      </x:c>
      <x:c r="BB718" t="str">
        <x:v>Shares the same 84-colour palette as PASTEL PENCILS; physical application differs by format.</x:v>
      </x:c>
    </x:row>
    <x:row r="719">
      <x:c r="A719" t="str">
        <x:f>G719&amp;"|"&amp;L719</x:f>
        <x:v>PSTC|232</x:v>
      </x:c>
      <x:c r="B719" t="str">
        <x:v>bc13c959-bdc4-503c-a66f-e322bd933435</x:v>
      </x:c>
      <x:c r="C719" t="str">
        <x:v>CDA-PSTC-232</x:v>
      </x:c>
      <x:c r="D719" t="str">
        <x:v>51e03714-d1e1-5468-a60a-87faedd3f490</x:v>
      </x:c>
      <x:c r="E719" t="str">
        <x:v>CDA-CODE-232</x:v>
      </x:c>
      <x:c r="F719" t="str">
        <x:v>Caran d’Ache</x:v>
      </x:c>
      <x:c r="G719" t="str">
        <x:v>PSTC</x:v>
      </x:c>
      <x:c r="H719" t="str">
        <x:v>PASTEL CUBES</x:v>
      </x:c>
      <x:c r="I719" t="str">
        <x:v>Extra-fine dry pastel cube</x:v>
      </x:c>
      <x:c r="J719" t="str">
        <x:v>Professional</x:v>
      </x:c>
      <x:c r="K719" s="30" t="n">
        <x:v>38</x:v>
      </x:c>
      <x:c r="L719" s="30" t="str">
        <x:v>232</x:v>
      </x:c>
      <x:c r="M719" t="str">
        <x:v>Middle moss green 10%</x:v>
      </x:c>
      <x:c r="N719" t="str">
        <x:v>中苔綠 10%</x:v>
      </x:c>
      <x:c r="O719" t="str">
        <x:v>ミドルモスグリーン 10%</x:v>
      </x:c>
      <x:c r="P719" t="str"/>
      <x:c r="Q719" t="str">
        <x:v>Vert mousse moyen 10%</x:v>
      </x:c>
      <x:c r="R719" t="str">
        <x:v>Moosgrün mittel 10%</x:v>
      </x:c>
      <x:c r="S719" t="str">
        <x:v>Verde muschio medio 10%</x:v>
      </x:c>
      <x:c r="T719" t="str">
        <x:v>Verde musgo medio 10%</x:v>
      </x:c>
      <x:c r="U719" t="str">
        <x:v>Verde musgo médio 10%</x:v>
      </x:c>
      <x:c r="V719" t="str"/>
      <x:c r="W719" t="str">
        <x:v>PY74/PB15/PO82</x:v>
      </x:c>
      <x:c r="X719" t="n">
        <x:f>IF(W719="",0,LEN(W719)-LEN(SUBSTITUTE(W719,"/",""))+1)</x:f>
        <x:v>3</x:v>
      </x:c>
      <x:c r="Y719" t="str">
        <x:v>H</x:v>
      </x:c>
      <x:c r="Z719" s="32" t="n">
        <x:v>1</x:v>
      </x:c>
      <x:c r="AA719" s="32" t="n">
        <x:v>5</x:v>
      </x:c>
      <x:c r="AB719" s="32" t="str">
        <x:v>Blue Wool Scale / UV 150h</x:v>
      </x:c>
      <x:c r="AC719" t="str">
        <x:v>#AFB22A</x:v>
      </x:c>
      <x:c r="AD719" s="34" t="n">
        <x:v>175</x:v>
      </x:c>
      <x:c r="AE719" s="34" t="n">
        <x:v>178</x:v>
      </x:c>
      <x:c r="AF719" s="34" t="n">
        <x:v>42</x:v>
      </x:c>
      <x:c r="AG719" s="32" t="n">
        <x:v>61.32</x:v>
      </x:c>
      <x:c r="AH719" s="32" t="n">
        <x:v>61.82</x:v>
      </x:c>
      <x:c r="AI719" s="32" t="n">
        <x:v>43.14</x:v>
      </x:c>
      <x:c r="AJ719" s="32" t="n">
        <x:v>70.26</x:v>
      </x:c>
      <x:c r="AK719" s="32" t="n">
        <x:v>-16.82</x:v>
      </x:c>
      <x:c r="AL719" s="32" t="n">
        <x:v>63.81</x:v>
      </x:c>
      <x:c r="AM719" s="32" t="str">
        <x:v>#000000</x:v>
      </x:c>
      <x:c r="AN719" s="32" t="str">
        <x:v>Black</x:v>
      </x:c>
      <x:c r="AO719" s="32" t="n">
        <x:v>9.22</x:v>
      </x:c>
      <x:c r="AP719" s="32" t="n">
        <x:v>9.22</x:v>
      </x:c>
      <x:c r="AQ719" s="32" t="n">
        <x:v>2.28</x:v>
      </x:c>
      <x:c r="AR719" s="32" t="n">
        <x:v>0.411219</x:v>
      </x:c>
      <x:c r="AS719" t="str">
        <x:v>PASS</x:v>
      </x:c>
      <x:c r="AT719" t="str">
        <x:v>--cda-pstc-232</x:v>
      </x:c>
      <x:c r="AU719" t="str">
        <x:v>var(--cda-pstc-232)</x:v>
      </x:c>
      <x:c r="AV719" t="str">
        <x:v>Median RGB from official PDF swatch (screen reference only)</x:v>
      </x:c>
      <x:c r="AW719" t="str">
        <x:v>https://www.carandache.com/content_files/uploaded_doc/product/10985/Colour_Chart_Pastel_Pencil.pdf</x:v>
      </x:c>
      <x:c r="AX719" t="n">
        <x:v>1</x:v>
      </x:c>
      <x:c r="AY719" t="str">
        <x:v>Official</x:v>
      </x:c>
      <x:c r="AZ719" t="str">
        <x:v>Official where available; curated Traditional Chinese/Japanese otherwise</x:v>
      </x:c>
      <x:c r="BA719" t="str">
        <x:v>Verified from official chart; digital HEX is approximate</x:v>
      </x:c>
      <x:c r="BB719" t="str">
        <x:v>Shares the same 84-colour palette as PASTEL PENCILS; physical application differs by format.</x:v>
      </x:c>
    </x:row>
    <x:row r="720">
      <x:c r="A720" t="str">
        <x:f>G720&amp;"|"&amp;L720</x:f>
        <x:v>PSTC|243</x:v>
      </x:c>
      <x:c r="B720" t="str">
        <x:v>af68676d-c120-560f-9f4b-894b1e1ec541</x:v>
      </x:c>
      <x:c r="C720" t="str">
        <x:v>CDA-PSTC-243</x:v>
      </x:c>
      <x:c r="D720" t="str">
        <x:v>f0a13765-ef81-542a-9934-ea45cff10684</x:v>
      </x:c>
      <x:c r="E720" t="str">
        <x:v>CDA-CODE-243</x:v>
      </x:c>
      <x:c r="F720" t="str">
        <x:v>Caran d’Ache</x:v>
      </x:c>
      <x:c r="G720" t="str">
        <x:v>PSTC</x:v>
      </x:c>
      <x:c r="H720" t="str">
        <x:v>PASTEL CUBES</x:v>
      </x:c>
      <x:c r="I720" t="str">
        <x:v>Extra-fine dry pastel cube</x:v>
      </x:c>
      <x:c r="J720" t="str">
        <x:v>Professional</x:v>
      </x:c>
      <x:c r="K720" s="30" t="n">
        <x:v>39</x:v>
      </x:c>
      <x:c r="L720" s="30" t="str">
        <x:v>243</x:v>
      </x:c>
      <x:c r="M720" t="str">
        <x:v>Light olive 20%</x:v>
      </x:c>
      <x:c r="N720" t="str">
        <x:v>淺橄欖色 20%</x:v>
      </x:c>
      <x:c r="O720" t="str">
        <x:v>ライトオリーブ 20%</x:v>
      </x:c>
      <x:c r="P720" t="str"/>
      <x:c r="Q720" t="str">
        <x:v>Olive clair 20%</x:v>
      </x:c>
      <x:c r="R720" t="str">
        <x:v>Helloliv 20%</x:v>
      </x:c>
      <x:c r="S720" t="str">
        <x:v>Oliva chiaro 20%</x:v>
      </x:c>
      <x:c r="T720" t="str">
        <x:v>Oliva claro 20%</x:v>
      </x:c>
      <x:c r="U720" t="str">
        <x:v>Azeitona claro 20%</x:v>
      </x:c>
      <x:c r="V720" t="str"/>
      <x:c r="W720" t="str">
        <x:v>PY74/PG17/PY42</x:v>
      </x:c>
      <x:c r="X720" t="n">
        <x:f>IF(W720="",0,LEN(W720)-LEN(SUBSTITUTE(W720,"/",""))+1)</x:f>
        <x:v>3</x:v>
      </x:c>
      <x:c r="Y720" t="str">
        <x:v>H</x:v>
      </x:c>
      <x:c r="Z720" s="32" t="n">
        <x:v>1</x:v>
      </x:c>
      <x:c r="AA720" s="32" t="n">
        <x:v>5</x:v>
      </x:c>
      <x:c r="AB720" s="32" t="str">
        <x:v>Blue Wool Scale / UV 150h</x:v>
      </x:c>
      <x:c r="AC720" t="str">
        <x:v>#ACC160</x:v>
      </x:c>
      <x:c r="AD720" s="34" t="n">
        <x:v>172</x:v>
      </x:c>
      <x:c r="AE720" s="34" t="n">
        <x:v>193</x:v>
      </x:c>
      <x:c r="AF720" s="34" t="n">
        <x:v>96</x:v>
      </x:c>
      <x:c r="AG720" s="32" t="n">
        <x:v>72.99</x:v>
      </x:c>
      <x:c r="AH720" s="32" t="n">
        <x:v>43.89</x:v>
      </x:c>
      <x:c r="AI720" s="32" t="n">
        <x:v>56.67</x:v>
      </x:c>
      <x:c r="AJ720" s="32" t="n">
        <x:v>74.67</x:v>
      </x:c>
      <x:c r="AK720" s="32" t="n">
        <x:v>-21.85</x:v>
      </x:c>
      <x:c r="AL720" s="32" t="n">
        <x:v>46.02</x:v>
      </x:c>
      <x:c r="AM720" s="32" t="str">
        <x:v>#000000</x:v>
      </x:c>
      <x:c r="AN720" s="32" t="str">
        <x:v>Black</x:v>
      </x:c>
      <x:c r="AO720" s="32" t="n">
        <x:v>10.55</x:v>
      </x:c>
      <x:c r="AP720" s="32" t="n">
        <x:v>10.55</x:v>
      </x:c>
      <x:c r="AQ720" s="32" t="n">
        <x:v>1.99</x:v>
      </x:c>
      <x:c r="AR720" s="32" t="n">
        <x:v>0.477551</x:v>
      </x:c>
      <x:c r="AS720" t="str">
        <x:v>PASS</x:v>
      </x:c>
      <x:c r="AT720" t="str">
        <x:v>--cda-pstc-243</x:v>
      </x:c>
      <x:c r="AU720" t="str">
        <x:v>var(--cda-pstc-243)</x:v>
      </x:c>
      <x:c r="AV720" t="str">
        <x:v>Median RGB from official PDF swatch (screen reference only)</x:v>
      </x:c>
      <x:c r="AW720" t="str">
        <x:v>https://www.carandache.com/content_files/uploaded_doc/product/10985/Colour_Chart_Pastel_Pencil.pdf</x:v>
      </x:c>
      <x:c r="AX720" t="n">
        <x:v>1</x:v>
      </x:c>
      <x:c r="AY720" t="str">
        <x:v>Official</x:v>
      </x:c>
      <x:c r="AZ720" t="str">
        <x:v>Official where available; curated Traditional Chinese/Japanese otherwise</x:v>
      </x:c>
      <x:c r="BA720" t="str">
        <x:v>Verified from official chart; digital HEX is approximate</x:v>
      </x:c>
      <x:c r="BB720" t="str">
        <x:v>Shares the same 84-colour palette as PASTEL PENCILS; physical application differs by format.</x:v>
      </x:c>
    </x:row>
    <x:row r="721">
      <x:c r="A721" t="str">
        <x:f>G721&amp;"|"&amp;L721</x:f>
        <x:v>PSTC|245</x:v>
      </x:c>
      <x:c r="B721" t="str">
        <x:v>fbf9d92a-4546-5984-ac25-0aedd461dca3</x:v>
      </x:c>
      <x:c r="C721" t="str">
        <x:v>CDA-PSTC-245</x:v>
      </x:c>
      <x:c r="D721" t="str">
        <x:v>592280bd-2cc9-5bea-bb70-ba5d26898542</x:v>
      </x:c>
      <x:c r="E721" t="str">
        <x:v>CDA-CODE-245</x:v>
      </x:c>
      <x:c r="F721" t="str">
        <x:v>Caran d’Ache</x:v>
      </x:c>
      <x:c r="G721" t="str">
        <x:v>PSTC</x:v>
      </x:c>
      <x:c r="H721" t="str">
        <x:v>PASTEL CUBES</x:v>
      </x:c>
      <x:c r="I721" t="str">
        <x:v>Extra-fine dry pastel cube</x:v>
      </x:c>
      <x:c r="J721" t="str">
        <x:v>Professional</x:v>
      </x:c>
      <x:c r="K721" s="30" t="n">
        <x:v>40</x:v>
      </x:c>
      <x:c r="L721" s="30" t="str">
        <x:v>245</x:v>
      </x:c>
      <x:c r="M721" t="str">
        <x:v>Light olive 40%</x:v>
      </x:c>
      <x:c r="N721" t="str">
        <x:v>淺橄欖色 40%</x:v>
      </x:c>
      <x:c r="O721" t="str">
        <x:v>ライトオリーブ 40%</x:v>
      </x:c>
      <x:c r="P721" t="str"/>
      <x:c r="Q721" t="str">
        <x:v>Olive clair 40%</x:v>
      </x:c>
      <x:c r="R721" t="str">
        <x:v>Helloliv 40%</x:v>
      </x:c>
      <x:c r="S721" t="str">
        <x:v>Oliva chiaro 40%</x:v>
      </x:c>
      <x:c r="T721" t="str">
        <x:v>Oliva claro 40%</x:v>
      </x:c>
      <x:c r="U721" t="str">
        <x:v>Azeitona claro 40%</x:v>
      </x:c>
      <x:c r="V721" t="str"/>
      <x:c r="W721" t="str">
        <x:v>PY74/PG17/PY42</x:v>
      </x:c>
      <x:c r="X721" t="n">
        <x:f>IF(W721="",0,LEN(W721)-LEN(SUBSTITUTE(W721,"/",""))+1)</x:f>
        <x:v>3</x:v>
      </x:c>
      <x:c r="Y721" t="str">
        <x:v>HHH</x:v>
      </x:c>
      <x:c r="Z721" s="32" t="n">
        <x:v>3</x:v>
      </x:c>
      <x:c r="AA721" s="32" t="n">
        <x:v>5</x:v>
      </x:c>
      <x:c r="AB721" s="32" t="str">
        <x:v>Blue Wool Scale / UV 150h</x:v>
      </x:c>
      <x:c r="AC721" t="str">
        <x:v>#7A8834</x:v>
      </x:c>
      <x:c r="AD721" s="34" t="n">
        <x:v>122</x:v>
      </x:c>
      <x:c r="AE721" s="34" t="n">
        <x:v>136</x:v>
      </x:c>
      <x:c r="AF721" s="34" t="n">
        <x:v>52</x:v>
      </x:c>
      <x:c r="AG721" s="32" t="n">
        <x:v>70</x:v>
      </x:c>
      <x:c r="AH721" s="32" t="n">
        <x:v>44.68</x:v>
      </x:c>
      <x:c r="AI721" s="32" t="n">
        <x:v>36.86</x:v>
      </x:c>
      <x:c r="AJ721" s="32" t="n">
        <x:v>54.02</x:v>
      </x:c>
      <x:c r="AK721" s="32" t="n">
        <x:v>-17.63</x:v>
      </x:c>
      <x:c r="AL721" s="32" t="n">
        <x:v>42.26</x:v>
      </x:c>
      <x:c r="AM721" s="32" t="str">
        <x:v>#000000</x:v>
      </x:c>
      <x:c r="AN721" s="32" t="str">
        <x:v>Black</x:v>
      </x:c>
      <x:c r="AO721" s="32" t="n">
        <x:v>5.4</x:v>
      </x:c>
      <x:c r="AP721" s="32" t="n">
        <x:v>5.4</x:v>
      </x:c>
      <x:c r="AQ721" s="32" t="n">
        <x:v>3.89</x:v>
      </x:c>
      <x:c r="AR721" s="32" t="n">
        <x:v>0.219938</x:v>
      </x:c>
      <x:c r="AS721" t="str">
        <x:v>PASS</x:v>
      </x:c>
      <x:c r="AT721" t="str">
        <x:v>--cda-pstc-245</x:v>
      </x:c>
      <x:c r="AU721" t="str">
        <x:v>var(--cda-pstc-245)</x:v>
      </x:c>
      <x:c r="AV721" t="str">
        <x:v>Median RGB from official PDF swatch (screen reference only)</x:v>
      </x:c>
      <x:c r="AW721" t="str">
        <x:v>https://www.carandache.com/content_files/uploaded_doc/product/10985/Colour_Chart_Pastel_Pencil.pdf</x:v>
      </x:c>
      <x:c r="AX721" t="n">
        <x:v>1</x:v>
      </x:c>
      <x:c r="AY721" t="str">
        <x:v>Official</x:v>
      </x:c>
      <x:c r="AZ721" t="str">
        <x:v>Official where available; curated Traditional Chinese/Japanese otherwise</x:v>
      </x:c>
      <x:c r="BA721" t="str">
        <x:v>Verified from official chart; digital HEX is approximate</x:v>
      </x:c>
      <x:c r="BB721" t="str">
        <x:v>Shares the same 84-colour palette as PASTEL PENCILS; physical application differs by format.</x:v>
      </x:c>
    </x:row>
    <x:row r="722">
      <x:c r="A722" t="str">
        <x:f>G722&amp;"|"&amp;L722</x:f>
        <x:v>PSTC|017</x:v>
      </x:c>
      <x:c r="B722" t="str">
        <x:v>6a3a3749-9353-51b9-8abb-6911aa690f4e</x:v>
      </x:c>
      <x:c r="C722" t="str">
        <x:v>CDA-PSTC-017</x:v>
      </x:c>
      <x:c r="D722" t="str">
        <x:v>bb3b8ec4-50ad-5914-aed2-07eebd4acf58</x:v>
      </x:c>
      <x:c r="E722" t="str">
        <x:v>CDA-CODE-017</x:v>
      </x:c>
      <x:c r="F722" t="str">
        <x:v>Caran d’Ache</x:v>
      </x:c>
      <x:c r="G722" t="str">
        <x:v>PSTC</x:v>
      </x:c>
      <x:c r="H722" t="str">
        <x:v>PASTEL CUBES</x:v>
      </x:c>
      <x:c r="I722" t="str">
        <x:v>Extra-fine dry pastel cube</x:v>
      </x:c>
      <x:c r="J722" t="str">
        <x:v>Professional</x:v>
      </x:c>
      <x:c r="K722" s="30" t="n">
        <x:v>41</x:v>
      </x:c>
      <x:c r="L722" s="30" t="str">
        <x:v>017</x:v>
      </x:c>
      <x:c r="M722" t="str">
        <x:v>Light reseda</x:v>
      </x:c>
      <x:c r="N722" t="str">
        <x:v>淺木犀草綠</x:v>
      </x:c>
      <x:c r="O722" t="str">
        <x:v>ライトレセダ</x:v>
      </x:c>
      <x:c r="P722" t="str"/>
      <x:c r="Q722" t="str">
        <x:v>Réséda clair</x:v>
      </x:c>
      <x:c r="R722" t="str">
        <x:v>Hellreseda</x:v>
      </x:c>
      <x:c r="S722" t="str">
        <x:v>Giallo reseda</x:v>
      </x:c>
      <x:c r="T722" t="str">
        <x:v>Reseda claro</x:v>
      </x:c>
      <x:c r="U722" t="str">
        <x:v>Reseda clara</x:v>
      </x:c>
      <x:c r="V722" t="str"/>
      <x:c r="W722" t="str">
        <x:v>PY3/PBk7</x:v>
      </x:c>
      <x:c r="X722" t="n">
        <x:f>IF(W722="",0,LEN(W722)-LEN(SUBSTITUTE(W722,"/",""))+1)</x:f>
        <x:v>2</x:v>
      </x:c>
      <x:c r="Y722" t="str">
        <x:v>H</x:v>
      </x:c>
      <x:c r="Z722" s="32" t="n">
        <x:v>1</x:v>
      </x:c>
      <x:c r="AA722" s="32" t="n">
        <x:v>5</x:v>
      </x:c>
      <x:c r="AB722" s="32" t="str">
        <x:v>Blue Wool Scale / UV 150h</x:v>
      </x:c>
      <x:c r="AC722" t="str">
        <x:v>#7E7447</x:v>
      </x:c>
      <x:c r="AD722" s="34" t="n">
        <x:v>126</x:v>
      </x:c>
      <x:c r="AE722" s="34" t="n">
        <x:v>116</x:v>
      </x:c>
      <x:c r="AF722" s="34" t="n">
        <x:v>71</x:v>
      </x:c>
      <x:c r="AG722" s="32" t="n">
        <x:v>49.09</x:v>
      </x:c>
      <x:c r="AH722" s="32" t="n">
        <x:v>27.92</x:v>
      </x:c>
      <x:c r="AI722" s="32" t="n">
        <x:v>38.63</x:v>
      </x:c>
      <x:c r="AJ722" s="32" t="n">
        <x:v>48.74</x:v>
      </x:c>
      <x:c r="AK722" s="32" t="n">
        <x:v>-3.04</x:v>
      </x:c>
      <x:c r="AL722" s="32" t="n">
        <x:v>26.23</x:v>
      </x:c>
      <x:c r="AM722" s="32" t="str">
        <x:v>#FFFFFF</x:v>
      </x:c>
      <x:c r="AN722" s="32" t="str">
        <x:v>White</x:v>
      </x:c>
      <x:c r="AO722" s="32" t="n">
        <x:v>4.69</x:v>
      </x:c>
      <x:c r="AP722" s="32" t="n">
        <x:v>4.48</x:v>
      </x:c>
      <x:c r="AQ722" s="32" t="n">
        <x:v>4.69</x:v>
      </x:c>
      <x:c r="AR722" s="32" t="n">
        <x:v>0.173813</x:v>
      </x:c>
      <x:c r="AS722" t="str">
        <x:v>PASS</x:v>
      </x:c>
      <x:c r="AT722" t="str">
        <x:v>--cda-pstc-017</x:v>
      </x:c>
      <x:c r="AU722" t="str">
        <x:v>var(--cda-pstc-017)</x:v>
      </x:c>
      <x:c r="AV722" t="str">
        <x:v>Median RGB from official PDF swatch (screen reference only)</x:v>
      </x:c>
      <x:c r="AW722" t="str">
        <x:v>https://www.carandache.com/content_files/uploaded_doc/product/10985/Colour_Chart_Pastel_Pencil.pdf</x:v>
      </x:c>
      <x:c r="AX722" t="n">
        <x:v>1</x:v>
      </x:c>
      <x:c r="AY722" t="str">
        <x:v>Official</x:v>
      </x:c>
      <x:c r="AZ722" t="str">
        <x:v>Official where available; curated Traditional Chinese/Japanese otherwise</x:v>
      </x:c>
      <x:c r="BA722" t="str">
        <x:v>Verified from official chart; digital HEX is approximate</x:v>
      </x:c>
      <x:c r="BB722" t="str">
        <x:v>Shares the same 84-colour palette as PASTEL PENCILS; physical application differs by format.</x:v>
      </x:c>
    </x:row>
    <x:row r="723">
      <x:c r="A723" t="str">
        <x:f>G723&amp;"|"&amp;L723</x:f>
        <x:v>PSTC|234</x:v>
      </x:c>
      <x:c r="B723" t="str">
        <x:v>633f054f-e3f5-5378-9788-b3d48cc5eec6</x:v>
      </x:c>
      <x:c r="C723" t="str">
        <x:v>CDA-PSTC-234</x:v>
      </x:c>
      <x:c r="D723" t="str">
        <x:v>0c91d227-03cd-5ff8-8c48-a46915b9e1a0</x:v>
      </x:c>
      <x:c r="E723" t="str">
        <x:v>CDA-CODE-234</x:v>
      </x:c>
      <x:c r="F723" t="str">
        <x:v>Caran d’Ache</x:v>
      </x:c>
      <x:c r="G723" t="str">
        <x:v>PSTC</x:v>
      </x:c>
      <x:c r="H723" t="str">
        <x:v>PASTEL CUBES</x:v>
      </x:c>
      <x:c r="I723" t="str">
        <x:v>Extra-fine dry pastel cube</x:v>
      </x:c>
      <x:c r="J723" t="str">
        <x:v>Professional</x:v>
      </x:c>
      <x:c r="K723" s="30" t="n">
        <x:v>42</x:v>
      </x:c>
      <x:c r="L723" s="30" t="str">
        <x:v>234</x:v>
      </x:c>
      <x:c r="M723" t="str">
        <x:v>Middle moss green 30%</x:v>
      </x:c>
      <x:c r="N723" t="str">
        <x:v>中苔綠 30%</x:v>
      </x:c>
      <x:c r="O723" t="str">
        <x:v>ミドルモスグリーン 30%</x:v>
      </x:c>
      <x:c r="P723" t="str"/>
      <x:c r="Q723" t="str">
        <x:v>Vert mousse moyen 30%</x:v>
      </x:c>
      <x:c r="R723" t="str">
        <x:v>Moosgrün mittel 30%</x:v>
      </x:c>
      <x:c r="S723" t="str">
        <x:v>Verde muschio medio 30%</x:v>
      </x:c>
      <x:c r="T723" t="str">
        <x:v>Verde musgo medio 30%</x:v>
      </x:c>
      <x:c r="U723" t="str">
        <x:v>Verde musgo médio 30%</x:v>
      </x:c>
      <x:c r="V723" t="str"/>
      <x:c r="W723" t="str">
        <x:v>PY74/PB15/PO82</x:v>
      </x:c>
      <x:c r="X723" t="n">
        <x:f>IF(W723="",0,LEN(W723)-LEN(SUBSTITUTE(W723,"/",""))+1)</x:f>
        <x:v>3</x:v>
      </x:c>
      <x:c r="Y723" t="str">
        <x:v>H</x:v>
      </x:c>
      <x:c r="Z723" s="32" t="n">
        <x:v>1</x:v>
      </x:c>
      <x:c r="AA723" s="32" t="n">
        <x:v>5</x:v>
      </x:c>
      <x:c r="AB723" s="32" t="str">
        <x:v>Blue Wool Scale / UV 150h</x:v>
      </x:c>
      <x:c r="AC723" t="str">
        <x:v>#498532</x:v>
      </x:c>
      <x:c r="AD723" s="34" t="n">
        <x:v>73</x:v>
      </x:c>
      <x:c r="AE723" s="34" t="n">
        <x:v>133</x:v>
      </x:c>
      <x:c r="AF723" s="34" t="n">
        <x:v>50</x:v>
      </x:c>
      <x:c r="AG723" s="32" t="n">
        <x:v>103.37</x:v>
      </x:c>
      <x:c r="AH723" s="32" t="n">
        <x:v>45.36</x:v>
      </x:c>
      <x:c r="AI723" s="32" t="n">
        <x:v>35.88</x:v>
      </x:c>
      <x:c r="AJ723" s="32" t="n">
        <x:v>50</x:v>
      </x:c>
      <x:c r="AK723" s="32" t="n">
        <x:v>-35.7</x:v>
      </x:c>
      <x:c r="AL723" s="32" t="n">
        <x:v>37.88</x:v>
      </x:c>
      <x:c r="AM723" s="32" t="str">
        <x:v>#000000</x:v>
      </x:c>
      <x:c r="AN723" s="32" t="str">
        <x:v>Black</x:v>
      </x:c>
      <x:c r="AO723" s="32" t="n">
        <x:v>4.68</x:v>
      </x:c>
      <x:c r="AP723" s="32" t="n">
        <x:v>4.68</x:v>
      </x:c>
      <x:c r="AQ723" s="32" t="n">
        <x:v>4.48</x:v>
      </x:c>
      <x:c r="AR723" s="32" t="n">
        <x:v>0.184218</x:v>
      </x:c>
      <x:c r="AS723" t="str">
        <x:v>PASS</x:v>
      </x:c>
      <x:c r="AT723" t="str">
        <x:v>--cda-pstc-234</x:v>
      </x:c>
      <x:c r="AU723" t="str">
        <x:v>var(--cda-pstc-234)</x:v>
      </x:c>
      <x:c r="AV723" t="str">
        <x:v>Median RGB from official PDF swatch (screen reference only)</x:v>
      </x:c>
      <x:c r="AW723" t="str">
        <x:v>https://www.carandache.com/content_files/uploaded_doc/product/10985/Colour_Chart_Pastel_Pencil.pdf</x:v>
      </x:c>
      <x:c r="AX723" t="n">
        <x:v>1</x:v>
      </x:c>
      <x:c r="AY723" t="str">
        <x:v>Official</x:v>
      </x:c>
      <x:c r="AZ723" t="str">
        <x:v>Official where available; curated Traditional Chinese/Japanese otherwise</x:v>
      </x:c>
      <x:c r="BA723" t="str">
        <x:v>Verified from official chart; digital HEX is approximate</x:v>
      </x:c>
      <x:c r="BB723" t="str">
        <x:v>Shares the same 84-colour palette as PASTEL PENCILS; physical application differs by format.</x:v>
      </x:c>
    </x:row>
    <x:row r="724">
      <x:c r="A724" t="str">
        <x:f>G724&amp;"|"&amp;L724</x:f>
        <x:v>PSTC|225</x:v>
      </x:c>
      <x:c r="B724" t="str">
        <x:v>82d47a46-4513-568a-8038-72bdcdbf2a1c</x:v>
      </x:c>
      <x:c r="C724" t="str">
        <x:v>CDA-PSTC-225</x:v>
      </x:c>
      <x:c r="D724" t="str">
        <x:v>d67f22eb-8649-5739-bafd-f445d45c47b5</x:v>
      </x:c>
      <x:c r="E724" t="str">
        <x:v>CDA-CODE-225</x:v>
      </x:c>
      <x:c r="F724" t="str">
        <x:v>Caran d’Ache</x:v>
      </x:c>
      <x:c r="G724" t="str">
        <x:v>PSTC</x:v>
      </x:c>
      <x:c r="H724" t="str">
        <x:v>PASTEL CUBES</x:v>
      </x:c>
      <x:c r="I724" t="str">
        <x:v>Extra-fine dry pastel cube</x:v>
      </x:c>
      <x:c r="J724" t="str">
        <x:v>Professional</x:v>
      </x:c>
      <x:c r="K724" s="30" t="n">
        <x:v>43</x:v>
      </x:c>
      <x:c r="L724" s="30" t="str">
        <x:v>225</x:v>
      </x:c>
      <x:c r="M724" t="str">
        <x:v>Moss green</x:v>
      </x:c>
      <x:c r="N724" t="str">
        <x:v>苔綠色</x:v>
      </x:c>
      <x:c r="O724" t="str">
        <x:v>モスグリーン</x:v>
      </x:c>
      <x:c r="P724" t="str"/>
      <x:c r="Q724" t="str">
        <x:v>Vert mousse</x:v>
      </x:c>
      <x:c r="R724" t="str">
        <x:v>Moosgrün</x:v>
      </x:c>
      <x:c r="S724" t="str">
        <x:v>Verde muschio</x:v>
      </x:c>
      <x:c r="T724" t="str">
        <x:v>Verde musgo</x:v>
      </x:c>
      <x:c r="U724" t="str">
        <x:v>Verde musgo</x:v>
      </x:c>
      <x:c r="V724" t="str"/>
      <x:c r="W724" t="str">
        <x:v>PB15/PY3/PY74/PBk7</x:v>
      </x:c>
      <x:c r="X724" t="n">
        <x:f>IF(W724="",0,LEN(W724)-LEN(SUBSTITUTE(W724,"/",""))+1)</x:f>
        <x:v>4</x:v>
      </x:c>
      <x:c r="Y724" t="str">
        <x:v>HH</x:v>
      </x:c>
      <x:c r="Z724" s="32" t="n">
        <x:v>2</x:v>
      </x:c>
      <x:c r="AA724" s="32" t="n">
        <x:v>5</x:v>
      </x:c>
      <x:c r="AB724" s="32" t="str">
        <x:v>Blue Wool Scale / UV 150h</x:v>
      </x:c>
      <x:c r="AC724" t="str">
        <x:v>#23653B</x:v>
      </x:c>
      <x:c r="AD724" s="34" t="n">
        <x:v>35</x:v>
      </x:c>
      <x:c r="AE724" s="34" t="n">
        <x:v>101</x:v>
      </x:c>
      <x:c r="AF724" s="34" t="n">
        <x:v>59</x:v>
      </x:c>
      <x:c r="AG724" s="32" t="n">
        <x:v>141.82</x:v>
      </x:c>
      <x:c r="AH724" s="32" t="n">
        <x:v>48.53</x:v>
      </x:c>
      <x:c r="AI724" s="32" t="n">
        <x:v>26.67</x:v>
      </x:c>
      <x:c r="AJ724" s="32" t="n">
        <x:v>37.81</x:v>
      </x:c>
      <x:c r="AK724" s="32" t="n">
        <x:v>-31.35</x:v>
      </x:c>
      <x:c r="AL724" s="32" t="n">
        <x:v>17.78</x:v>
      </x:c>
      <x:c r="AM724" s="32" t="str">
        <x:v>#FFFFFF</x:v>
      </x:c>
      <x:c r="AN724" s="32" t="str">
        <x:v>White</x:v>
      </x:c>
      <x:c r="AO724" s="32" t="n">
        <x:v>7.01</x:v>
      </x:c>
      <x:c r="AP724" s="32" t="n">
        <x:v>3</x:v>
      </x:c>
      <x:c r="AQ724" s="32" t="n">
        <x:v>7.01</x:v>
      </x:c>
      <x:c r="AR724" s="32" t="n">
        <x:v>0.099805</x:v>
      </x:c>
      <x:c r="AS724" t="str">
        <x:v>PASS</x:v>
      </x:c>
      <x:c r="AT724" t="str">
        <x:v>--cda-pstc-225</x:v>
      </x:c>
      <x:c r="AU724" t="str">
        <x:v>var(--cda-pstc-225)</x:v>
      </x:c>
      <x:c r="AV724" t="str">
        <x:v>Median RGB from official PDF swatch (screen reference only)</x:v>
      </x:c>
      <x:c r="AW724" t="str">
        <x:v>https://www.carandache.com/content_files/uploaded_doc/product/10985/Colour_Chart_Pastel_Pencil.pdf</x:v>
      </x:c>
      <x:c r="AX724" t="n">
        <x:v>1</x:v>
      </x:c>
      <x:c r="AY724" t="str">
        <x:v>Official</x:v>
      </x:c>
      <x:c r="AZ724" t="str">
        <x:v>Official where available; curated Traditional Chinese/Japanese otherwise</x:v>
      </x:c>
      <x:c r="BA724" t="str">
        <x:v>Verified from official chart; digital HEX is approximate</x:v>
      </x:c>
      <x:c r="BB724" t="str">
        <x:v>Shares the same 84-colour palette as PASTEL PENCILS; physical application differs by format.</x:v>
      </x:c>
    </x:row>
    <x:row r="725">
      <x:c r="A725" t="str">
        <x:f>G725&amp;"|"&amp;L725</x:f>
        <x:v>PSTC|229</x:v>
      </x:c>
      <x:c r="B725" t="str">
        <x:v>b555447f-82dd-5cfa-9c43-405c7ace5c1f</x:v>
      </x:c>
      <x:c r="C725" t="str">
        <x:v>CDA-PSTC-229</x:v>
      </x:c>
      <x:c r="D725" t="str">
        <x:v>95617532-4337-5a36-9e80-86ddcfd90f23</x:v>
      </x:c>
      <x:c r="E725" t="str">
        <x:v>CDA-CODE-229</x:v>
      </x:c>
      <x:c r="F725" t="str">
        <x:v>Caran d’Ache</x:v>
      </x:c>
      <x:c r="G725" t="str">
        <x:v>PSTC</x:v>
      </x:c>
      <x:c r="H725" t="str">
        <x:v>PASTEL CUBES</x:v>
      </x:c>
      <x:c r="I725" t="str">
        <x:v>Extra-fine dry pastel cube</x:v>
      </x:c>
      <x:c r="J725" t="str">
        <x:v>Professional</x:v>
      </x:c>
      <x:c r="K725" s="30" t="n">
        <x:v>44</x:v>
      </x:c>
      <x:c r="L725" s="30" t="str">
        <x:v>229</x:v>
      </x:c>
      <x:c r="M725" t="str">
        <x:v>Dark green</x:v>
      </x:c>
      <x:c r="N725" t="str">
        <x:v>深綠色</x:v>
      </x:c>
      <x:c r="O725" t="str">
        <x:v>ダークグリーン</x:v>
      </x:c>
      <x:c r="P725" t="str"/>
      <x:c r="Q725" t="str">
        <x:v>Vert foncé</x:v>
      </x:c>
      <x:c r="R725" t="str">
        <x:v>Dunkelgrün</x:v>
      </x:c>
      <x:c r="S725" t="str">
        <x:v>Verde scuro</x:v>
      </x:c>
      <x:c r="T725" t="str">
        <x:v>Verde oscuro</x:v>
      </x:c>
      <x:c r="U725" t="str">
        <x:v>Verde escuro</x:v>
      </x:c>
      <x:c r="V725" t="str"/>
      <x:c r="W725" t="str">
        <x:v>PBk11/PY42/PR101</x:v>
      </x:c>
      <x:c r="X725" t="n">
        <x:f>IF(W725="",0,LEN(W725)-LEN(SUBSTITUTE(W725,"/",""))+1)</x:f>
        <x:v>3</x:v>
      </x:c>
      <x:c r="Y725" t="str">
        <x:v>HH</x:v>
      </x:c>
      <x:c r="Z725" s="32" t="n">
        <x:v>2</x:v>
      </x:c>
      <x:c r="AA725" s="32" t="n">
        <x:v>5</x:v>
      </x:c>
      <x:c r="AB725" s="32" t="str">
        <x:v>Blue Wool Scale / UV 150h</x:v>
      </x:c>
      <x:c r="AC725" t="str">
        <x:v>#435734</x:v>
      </x:c>
      <x:c r="AD725" s="34" t="n">
        <x:v>67</x:v>
      </x:c>
      <x:c r="AE725" s="34" t="n">
        <x:v>87</x:v>
      </x:c>
      <x:c r="AF725" s="34" t="n">
        <x:v>52</x:v>
      </x:c>
      <x:c r="AG725" s="32" t="n">
        <x:v>94.29</x:v>
      </x:c>
      <x:c r="AH725" s="32" t="n">
        <x:v>25.18</x:v>
      </x:c>
      <x:c r="AI725" s="32" t="n">
        <x:v>27.25</x:v>
      </x:c>
      <x:c r="AJ725" s="32" t="n">
        <x:v>34.51</x:v>
      </x:c>
      <x:c r="AK725" s="32" t="n">
        <x:v>-14.92</x:v>
      </x:c>
      <x:c r="AL725" s="32" t="n">
        <x:v>17.9</x:v>
      </x:c>
      <x:c r="AM725" s="32" t="str">
        <x:v>#FFFFFF</x:v>
      </x:c>
      <x:c r="AN725" s="32" t="str">
        <x:v>White</x:v>
      </x:c>
      <x:c r="AO725" s="32" t="n">
        <x:v>7.92</x:v>
      </x:c>
      <x:c r="AP725" s="32" t="n">
        <x:v>2.65</x:v>
      </x:c>
      <x:c r="AQ725" s="32" t="n">
        <x:v>7.92</x:v>
      </x:c>
      <x:c r="AR725" s="32" t="n">
        <x:v>0.082576</x:v>
      </x:c>
      <x:c r="AS725" t="str">
        <x:v>PASS</x:v>
      </x:c>
      <x:c r="AT725" t="str">
        <x:v>--cda-pstc-229</x:v>
      </x:c>
      <x:c r="AU725" t="str">
        <x:v>var(--cda-pstc-229)</x:v>
      </x:c>
      <x:c r="AV725" t="str">
        <x:v>Median RGB from official PDF swatch (screen reference only)</x:v>
      </x:c>
      <x:c r="AW725" t="str">
        <x:v>https://www.carandache.com/content_files/uploaded_doc/product/10985/Colour_Chart_Pastel_Pencil.pdf</x:v>
      </x:c>
      <x:c r="AX725" t="n">
        <x:v>1</x:v>
      </x:c>
      <x:c r="AY725" t="str">
        <x:v>Official</x:v>
      </x:c>
      <x:c r="AZ725" t="str">
        <x:v>Official where available; curated Traditional Chinese/Japanese otherwise</x:v>
      </x:c>
      <x:c r="BA725" t="str">
        <x:v>Verified from official chart; digital HEX is approximate</x:v>
      </x:c>
      <x:c r="BB725" t="str">
        <x:v>Shares the same 84-colour palette as PASTEL PENCILS; physical application differs by format.</x:v>
      </x:c>
    </x:row>
    <x:row r="726">
      <x:c r="A726" t="str">
        <x:f>G726&amp;"|"&amp;L726</x:f>
        <x:v>PSTC|718</x:v>
      </x:c>
      <x:c r="B726" t="str">
        <x:v>e98eb02a-a6e4-5289-bb1d-3f966b143420</x:v>
      </x:c>
      <x:c r="C726" t="str">
        <x:v>CDA-PSTC-718</x:v>
      </x:c>
      <x:c r="D726" t="str">
        <x:v>48ca12f8-f7d3-5d41-b780-6b350b301b7d</x:v>
      </x:c>
      <x:c r="E726" t="str">
        <x:v>CDA-CODE-718</x:v>
      </x:c>
      <x:c r="F726" t="str">
        <x:v>Caran d’Ache</x:v>
      </x:c>
      <x:c r="G726" t="str">
        <x:v>PSTC</x:v>
      </x:c>
      <x:c r="H726" t="str">
        <x:v>PASTEL CUBES</x:v>
      </x:c>
      <x:c r="I726" t="str">
        <x:v>Extra-fine dry pastel cube</x:v>
      </x:c>
      <x:c r="J726" t="str">
        <x:v>Professional</x:v>
      </x:c>
      <x:c r="K726" s="30" t="n">
        <x:v>45</x:v>
      </x:c>
      <x:c r="L726" s="30" t="str">
        <x:v>718</x:v>
      </x:c>
      <x:c r="M726" t="str">
        <x:v>Middle phthalocyanine green</x:v>
      </x:c>
      <x:c r="N726" t="str">
        <x:v>中酞菁綠</x:v>
      </x:c>
      <x:c r="O726" t="str">
        <x:v>ミドルフタロシアニングリーン</x:v>
      </x:c>
      <x:c r="P726" t="str"/>
      <x:c r="Q726" t="str">
        <x:v>Vert phtalo moyen</x:v>
      </x:c>
      <x:c r="R726" t="str">
        <x:v>Phthalocyaningrün mittel</x:v>
      </x:c>
      <x:c r="S726" t="str">
        <x:v>Verde ftalo medio</x:v>
      </x:c>
      <x:c r="T726" t="str">
        <x:v>Verde phtalo medio</x:v>
      </x:c>
      <x:c r="U726" t="str">
        <x:v>Verde ftálico médio</x:v>
      </x:c>
      <x:c r="V726" t="str"/>
      <x:c r="W726" t="str">
        <x:v>PB15/PBk11/PY42/PR101</x:v>
      </x:c>
      <x:c r="X726" t="n">
        <x:f>IF(W726="",0,LEN(W726)-LEN(SUBSTITUTE(W726,"/",""))+1)</x:f>
        <x:v>4</x:v>
      </x:c>
      <x:c r="Y726" t="str">
        <x:v>HH</x:v>
      </x:c>
      <x:c r="Z726" s="32" t="n">
        <x:v>2</x:v>
      </x:c>
      <x:c r="AA726" s="32" t="n">
        <x:v>5</x:v>
      </x:c>
      <x:c r="AB726" s="32" t="str">
        <x:v>Blue Wool Scale / UV 150h</x:v>
      </x:c>
      <x:c r="AC726" t="str">
        <x:v>#35503D</x:v>
      </x:c>
      <x:c r="AD726" s="34" t="n">
        <x:v>53</x:v>
      </x:c>
      <x:c r="AE726" s="34" t="n">
        <x:v>80</x:v>
      </x:c>
      <x:c r="AF726" s="34" t="n">
        <x:v>61</x:v>
      </x:c>
      <x:c r="AG726" s="32" t="n">
        <x:v>137.78</x:v>
      </x:c>
      <x:c r="AH726" s="32" t="n">
        <x:v>20.3</x:v>
      </x:c>
      <x:c r="AI726" s="32" t="n">
        <x:v>26.08</x:v>
      </x:c>
      <x:c r="AJ726" s="32" t="n">
        <x:v>31.42</x:v>
      </x:c>
      <x:c r="AK726" s="32" t="n">
        <x:v>-14.84</x:v>
      </x:c>
      <x:c r="AL726" s="32" t="n">
        <x:v>8.01</x:v>
      </x:c>
      <x:c r="AM726" s="32" t="str">
        <x:v>#FFFFFF</x:v>
      </x:c>
      <x:c r="AN726" s="32" t="str">
        <x:v>White</x:v>
      </x:c>
      <x:c r="AO726" s="32" t="n">
        <x:v>8.87</x:v>
      </x:c>
      <x:c r="AP726" s="32" t="n">
        <x:v>2.37</x:v>
      </x:c>
      <x:c r="AQ726" s="32" t="n">
        <x:v>8.87</x:v>
      </x:c>
      <x:c r="AR726" s="32" t="n">
        <x:v>0.068311</x:v>
      </x:c>
      <x:c r="AS726" t="str">
        <x:v>PASS</x:v>
      </x:c>
      <x:c r="AT726" t="str">
        <x:v>--cda-pstc-718</x:v>
      </x:c>
      <x:c r="AU726" t="str">
        <x:v>var(--cda-pstc-718)</x:v>
      </x:c>
      <x:c r="AV726" t="str">
        <x:v>Median RGB from official PDF swatch (screen reference only)</x:v>
      </x:c>
      <x:c r="AW726" t="str">
        <x:v>https://www.carandache.com/content_files/uploaded_doc/product/10985/Colour_Chart_Pastel_Pencil.pdf</x:v>
      </x:c>
      <x:c r="AX726" t="n">
        <x:v>1</x:v>
      </x:c>
      <x:c r="AY726" t="str">
        <x:v>Official</x:v>
      </x:c>
      <x:c r="AZ726" t="str">
        <x:v>Official where available; curated Traditional Chinese/Japanese otherwise</x:v>
      </x:c>
      <x:c r="BA726" t="str">
        <x:v>Verified from official chart; digital HEX is approximate</x:v>
      </x:c>
      <x:c r="BB726" t="str">
        <x:v>Shares the same 84-colour palette as PASTEL PENCILS; physical application differs by format.</x:v>
      </x:c>
    </x:row>
    <x:row r="727">
      <x:c r="A727" t="str">
        <x:f>G727&amp;"|"&amp;L727</x:f>
        <x:v>PSTC|719</x:v>
      </x:c>
      <x:c r="B727" t="str">
        <x:v>b87cefd6-3c23-59a7-b672-e31b1dd3b142</x:v>
      </x:c>
      <x:c r="C727" t="str">
        <x:v>CDA-PSTC-719</x:v>
      </x:c>
      <x:c r="D727" t="str">
        <x:v>01dd26ab-6e02-5056-9d96-5443617efb5f</x:v>
      </x:c>
      <x:c r="E727" t="str">
        <x:v>CDA-CODE-719</x:v>
      </x:c>
      <x:c r="F727" t="str">
        <x:v>Caran d’Ache</x:v>
      </x:c>
      <x:c r="G727" t="str">
        <x:v>PSTC</x:v>
      </x:c>
      <x:c r="H727" t="str">
        <x:v>PASTEL CUBES</x:v>
      </x:c>
      <x:c r="I727" t="str">
        <x:v>Extra-fine dry pastel cube</x:v>
      </x:c>
      <x:c r="J727" t="str">
        <x:v>Professional</x:v>
      </x:c>
      <x:c r="K727" s="30" t="n">
        <x:v>46</x:v>
      </x:c>
      <x:c r="L727" s="30" t="str">
        <x:v>719</x:v>
      </x:c>
      <x:c r="M727" t="str">
        <x:v>Dark phthalocyanine green</x:v>
      </x:c>
      <x:c r="N727" t="str">
        <x:v>深酞菁綠</x:v>
      </x:c>
      <x:c r="O727" t="str">
        <x:v>ダークフタロシアニングリーン</x:v>
      </x:c>
      <x:c r="P727" t="str"/>
      <x:c r="Q727" t="str">
        <x:v>Vert phtalo foncé</x:v>
      </x:c>
      <x:c r="R727" t="str">
        <x:v>Dunkelphthalocyaningrün</x:v>
      </x:c>
      <x:c r="S727" t="str">
        <x:v>Verde ftalo scuro</x:v>
      </x:c>
      <x:c r="T727" t="str">
        <x:v>Verde phtalo oscuro</x:v>
      </x:c>
      <x:c r="U727" t="str">
        <x:v>Verde ftálico escuro</x:v>
      </x:c>
      <x:c r="V727" t="str"/>
      <x:c r="W727" t="str">
        <x:v>PB15/PBk11/PY42/PR101</x:v>
      </x:c>
      <x:c r="X727" t="n">
        <x:f>IF(W727="",0,LEN(W727)-LEN(SUBSTITUTE(W727,"/",""))+1)</x:f>
        <x:v>4</x:v>
      </x:c>
      <x:c r="Y727" t="str">
        <x:v>HHH</x:v>
      </x:c>
      <x:c r="Z727" s="32" t="n">
        <x:v>3</x:v>
      </x:c>
      <x:c r="AA727" s="32" t="n">
        <x:v>5</x:v>
      </x:c>
      <x:c r="AB727" s="32" t="str">
        <x:v>Blue Wool Scale / UV 150h</x:v>
      </x:c>
      <x:c r="AC727" t="str">
        <x:v>#38463B</x:v>
      </x:c>
      <x:c r="AD727" s="34" t="n">
        <x:v>56</x:v>
      </x:c>
      <x:c r="AE727" s="34" t="n">
        <x:v>70</x:v>
      </x:c>
      <x:c r="AF727" s="34" t="n">
        <x:v>59</x:v>
      </x:c>
      <x:c r="AG727" s="32" t="n">
        <x:v>132.86</x:v>
      </x:c>
      <x:c r="AH727" s="32" t="n">
        <x:v>11.11</x:v>
      </x:c>
      <x:c r="AI727" s="32" t="n">
        <x:v>24.71</x:v>
      </x:c>
      <x:c r="AJ727" s="32" t="n">
        <x:v>28.21</x:v>
      </x:c>
      <x:c r="AK727" s="32" t="n">
        <x:v>-8.22</x:v>
      </x:c>
      <x:c r="AL727" s="32" t="n">
        <x:v>4.79</x:v>
      </x:c>
      <x:c r="AM727" s="32" t="str">
        <x:v>#FFFFFF</x:v>
      </x:c>
      <x:c r="AN727" s="32" t="str">
        <x:v>White</x:v>
      </x:c>
      <x:c r="AO727" s="32" t="n">
        <x:v>9.97</x:v>
      </x:c>
      <x:c r="AP727" s="32" t="n">
        <x:v>2.11</x:v>
      </x:c>
      <x:c r="AQ727" s="32" t="n">
        <x:v>9.97</x:v>
      </x:c>
      <x:c r="AR727" s="32" t="n">
        <x:v>0.055368</x:v>
      </x:c>
      <x:c r="AS727" t="str">
        <x:v>PASS</x:v>
      </x:c>
      <x:c r="AT727" t="str">
        <x:v>--cda-pstc-719</x:v>
      </x:c>
      <x:c r="AU727" t="str">
        <x:v>var(--cda-pstc-719)</x:v>
      </x:c>
      <x:c r="AV727" t="str">
        <x:v>Median RGB from official PDF swatch (screen reference only)</x:v>
      </x:c>
      <x:c r="AW727" t="str">
        <x:v>https://www.carandache.com/content_files/uploaded_doc/product/10985/Colour_Chart_Pastel_Pencil.pdf</x:v>
      </x:c>
      <x:c r="AX727" t="n">
        <x:v>1</x:v>
      </x:c>
      <x:c r="AY727" t="str">
        <x:v>Official</x:v>
      </x:c>
      <x:c r="AZ727" t="str">
        <x:v>Official where available; curated Traditional Chinese/Japanese otherwise</x:v>
      </x:c>
      <x:c r="BA727" t="str">
        <x:v>Verified from official chart; digital HEX is approximate</x:v>
      </x:c>
      <x:c r="BB727" t="str">
        <x:v>Shares the same 84-colour palette as PASTEL PENCILS; physical application differs by format.</x:v>
      </x:c>
    </x:row>
    <x:row r="728">
      <x:c r="A728" t="str">
        <x:f>G728&amp;"|"&amp;L728</x:f>
        <x:v>PSTC|180</x:v>
      </x:c>
      <x:c r="B728" t="str">
        <x:v>494c74bc-f2fc-592d-ad36-ea00d94c2258</x:v>
      </x:c>
      <x:c r="C728" t="str">
        <x:v>CDA-PSTC-180</x:v>
      </x:c>
      <x:c r="D728" t="str">
        <x:v>4231c496-9609-55e3-b7b2-f62a8cae5f25</x:v>
      </x:c>
      <x:c r="E728" t="str">
        <x:v>CDA-CODE-180</x:v>
      </x:c>
      <x:c r="F728" t="str">
        <x:v>Caran d’Ache</x:v>
      </x:c>
      <x:c r="G728" t="str">
        <x:v>PSTC</x:v>
      </x:c>
      <x:c r="H728" t="str">
        <x:v>PASTEL CUBES</x:v>
      </x:c>
      <x:c r="I728" t="str">
        <x:v>Extra-fine dry pastel cube</x:v>
      </x:c>
      <x:c r="J728" t="str">
        <x:v>Professional</x:v>
      </x:c>
      <x:c r="K728" s="30" t="n">
        <x:v>47</x:v>
      </x:c>
      <x:c r="L728" s="30" t="str">
        <x:v>180</x:v>
      </x:c>
      <x:c r="M728" t="str">
        <x:v>Malachite green</x:v>
      </x:c>
      <x:c r="N728" t="str">
        <x:v>孔雀石綠</x:v>
      </x:c>
      <x:c r="O728" t="str">
        <x:v>マラカイトグリーン</x:v>
      </x:c>
      <x:c r="P728" t="str"/>
      <x:c r="Q728" t="str">
        <x:v>Vert malachite</x:v>
      </x:c>
      <x:c r="R728" t="str">
        <x:v>Malachitgrün</x:v>
      </x:c>
      <x:c r="S728" t="str">
        <x:v>Verde malachite</x:v>
      </x:c>
      <x:c r="T728" t="str">
        <x:v>Verde malaquita</x:v>
      </x:c>
      <x:c r="U728" t="str">
        <x:v>Verde malaquite</x:v>
      </x:c>
      <x:c r="V728" t="str"/>
      <x:c r="W728" t="str">
        <x:v>PB15/PY3/PBk7</x:v>
      </x:c>
      <x:c r="X728" t="n">
        <x:f>IF(W728="",0,LEN(W728)-LEN(SUBSTITUTE(W728,"/",""))+1)</x:f>
        <x:v>3</x:v>
      </x:c>
      <x:c r="Y728" t="str">
        <x:v>HH</x:v>
      </x:c>
      <x:c r="Z728" s="32" t="n">
        <x:v>2</x:v>
      </x:c>
      <x:c r="AA728" s="32" t="n">
        <x:v>5</x:v>
      </x:c>
      <x:c r="AB728" s="32" t="str">
        <x:v>Blue Wool Scale / UV 150h</x:v>
      </x:c>
      <x:c r="AC728" t="str">
        <x:v>#0B5E6C</x:v>
      </x:c>
      <x:c r="AD728" s="34" t="n">
        <x:v>11</x:v>
      </x:c>
      <x:c r="AE728" s="34" t="n">
        <x:v>94</x:v>
      </x:c>
      <x:c r="AF728" s="34" t="n">
        <x:v>108</x:v>
      </x:c>
      <x:c r="AG728" s="32" t="n">
        <x:v>188.66</x:v>
      </x:c>
      <x:c r="AH728" s="32" t="n">
        <x:v>81.51</x:v>
      </x:c>
      <x:c r="AI728" s="32" t="n">
        <x:v>23.33</x:v>
      </x:c>
      <x:c r="AJ728" s="32" t="n">
        <x:v>36.29</x:v>
      </x:c>
      <x:c r="AK728" s="32" t="n">
        <x:v>-17.34</x:v>
      </x:c>
      <x:c r="AL728" s="32" t="n">
        <x:v>-14.48</x:v>
      </x:c>
      <x:c r="AM728" s="32" t="str">
        <x:v>#FFFFFF</x:v>
      </x:c>
      <x:c r="AN728" s="32" t="str">
        <x:v>White</x:v>
      </x:c>
      <x:c r="AO728" s="32" t="n">
        <x:v>7.42</x:v>
      </x:c>
      <x:c r="AP728" s="32" t="n">
        <x:v>2.83</x:v>
      </x:c>
      <x:c r="AQ728" s="32" t="n">
        <x:v>7.42</x:v>
      </x:c>
      <x:c r="AR728" s="32" t="n">
        <x:v>0.091593</x:v>
      </x:c>
      <x:c r="AS728" t="str">
        <x:v>PASS</x:v>
      </x:c>
      <x:c r="AT728" t="str">
        <x:v>--cda-pstc-180</x:v>
      </x:c>
      <x:c r="AU728" t="str">
        <x:v>var(--cda-pstc-180)</x:v>
      </x:c>
      <x:c r="AV728" t="str">
        <x:v>Median RGB from official PDF swatch (screen reference only)</x:v>
      </x:c>
      <x:c r="AW728" t="str">
        <x:v>https://www.carandache.com/content_files/uploaded_doc/product/10985/Colour_Chart_Pastel_Pencil.pdf</x:v>
      </x:c>
      <x:c r="AX728" t="n">
        <x:v>1</x:v>
      </x:c>
      <x:c r="AY728" t="str">
        <x:v>Official</x:v>
      </x:c>
      <x:c r="AZ728" t="str">
        <x:v>Official where available; curated Traditional Chinese/Japanese otherwise</x:v>
      </x:c>
      <x:c r="BA728" t="str">
        <x:v>Verified from official chart; digital HEX is approximate</x:v>
      </x:c>
      <x:c r="BB728" t="str">
        <x:v>Shares the same 84-colour palette as PASTEL PENCILS; physical application differs by format.</x:v>
      </x:c>
    </x:row>
    <x:row r="729">
      <x:c r="A729" t="str">
        <x:f>G729&amp;"|"&amp;L729</x:f>
        <x:v>PSTC|214</x:v>
      </x:c>
      <x:c r="B729" t="str">
        <x:v>37315850-fa9a-56a5-bae5-7128c6d6dffd</x:v>
      </x:c>
      <x:c r="C729" t="str">
        <x:v>CDA-PSTC-214</x:v>
      </x:c>
      <x:c r="D729" t="str">
        <x:v>0176cdf8-a3fa-5528-ae60-e5daa068acaa</x:v>
      </x:c>
      <x:c r="E729" t="str">
        <x:v>CDA-CODE-214</x:v>
      </x:c>
      <x:c r="F729" t="str">
        <x:v>Caran d’Ache</x:v>
      </x:c>
      <x:c r="G729" t="str">
        <x:v>PSTC</x:v>
      </x:c>
      <x:c r="H729" t="str">
        <x:v>PASTEL CUBES</x:v>
      </x:c>
      <x:c r="I729" t="str">
        <x:v>Extra-fine dry pastel cube</x:v>
      </x:c>
      <x:c r="J729" t="str">
        <x:v>Professional</x:v>
      </x:c>
      <x:c r="K729" s="30" t="n">
        <x:v>48</x:v>
      </x:c>
      <x:c r="L729" s="30" t="str">
        <x:v>214</x:v>
      </x:c>
      <x:c r="M729" t="str">
        <x:v>Beryl green</x:v>
      </x:c>
      <x:c r="N729" t="str">
        <x:v>綠柱石綠</x:v>
      </x:c>
      <x:c r="O729" t="str">
        <x:v>ベリルグリーン</x:v>
      </x:c>
      <x:c r="P729" t="str"/>
      <x:c r="Q729" t="str">
        <x:v>Vert Béryl</x:v>
      </x:c>
      <x:c r="R729" t="str">
        <x:v>Berylgrün</x:v>
      </x:c>
      <x:c r="S729" t="str">
        <x:v>Verde Beryl</x:v>
      </x:c>
      <x:c r="T729" t="str">
        <x:v>Verde Beryl</x:v>
      </x:c>
      <x:c r="U729" t="str">
        <x:v>Verde Beryl</x:v>
      </x:c>
      <x:c r="V729" t="str"/>
      <x:c r="W729" t="str">
        <x:v>PG7</x:v>
      </x:c>
      <x:c r="X729" t="n">
        <x:f>IF(W729="",0,LEN(W729)-LEN(SUBSTITUTE(W729,"/",""))+1)</x:f>
        <x:v>1</x:v>
      </x:c>
      <x:c r="Y729" t="str">
        <x:v>HH</x:v>
      </x:c>
      <x:c r="Z729" s="32" t="n">
        <x:v>2</x:v>
      </x:c>
      <x:c r="AA729" s="32" t="n">
        <x:v>5</x:v>
      </x:c>
      <x:c r="AB729" s="32" t="str">
        <x:v>Blue Wool Scale / UV 150h</x:v>
      </x:c>
      <x:c r="AC729" t="str">
        <x:v>#15928A</x:v>
      </x:c>
      <x:c r="AD729" s="34" t="n">
        <x:v>21</x:v>
      </x:c>
      <x:c r="AE729" s="34" t="n">
        <x:v>146</x:v>
      </x:c>
      <x:c r="AF729" s="34" t="n">
        <x:v>138</x:v>
      </x:c>
      <x:c r="AG729" s="32" t="n">
        <x:v>176.16</x:v>
      </x:c>
      <x:c r="AH729" s="32" t="n">
        <x:v>74.85</x:v>
      </x:c>
      <x:c r="AI729" s="32" t="n">
        <x:v>32.75</x:v>
      </x:c>
      <x:c r="AJ729" s="32" t="n">
        <x:v>54.61</x:v>
      </x:c>
      <x:c r="AK729" s="32" t="n">
        <x:v>-33.1</x:v>
      </x:c>
      <x:c r="AL729" s="32" t="n">
        <x:v>-4.83</x:v>
      </x:c>
      <x:c r="AM729" s="32" t="str">
        <x:v>#000000</x:v>
      </x:c>
      <x:c r="AN729" s="32" t="str">
        <x:v>Black</x:v>
      </x:c>
      <x:c r="AO729" s="32" t="n">
        <x:v>5.51</x:v>
      </x:c>
      <x:c r="AP729" s="32" t="n">
        <x:v>5.51</x:v>
      </x:c>
      <x:c r="AQ729" s="32" t="n">
        <x:v>3.81</x:v>
      </x:c>
      <x:c r="AR729" s="32" t="n">
        <x:v>0.225522</x:v>
      </x:c>
      <x:c r="AS729" t="str">
        <x:v>PASS</x:v>
      </x:c>
      <x:c r="AT729" t="str">
        <x:v>--cda-pstc-214</x:v>
      </x:c>
      <x:c r="AU729" t="str">
        <x:v>var(--cda-pstc-214)</x:v>
      </x:c>
      <x:c r="AV729" t="str">
        <x:v>Median RGB from official PDF swatch (screen reference only)</x:v>
      </x:c>
      <x:c r="AW729" t="str">
        <x:v>https://www.carandache.com/content_files/uploaded_doc/product/10985/Colour_Chart_Pastel_Pencil.pdf</x:v>
      </x:c>
      <x:c r="AX729" t="n">
        <x:v>1</x:v>
      </x:c>
      <x:c r="AY729" t="str">
        <x:v>Official</x:v>
      </x:c>
      <x:c r="AZ729" t="str">
        <x:v>Official where available; curated Traditional Chinese/Japanese otherwise</x:v>
      </x:c>
      <x:c r="BA729" t="str">
        <x:v>Verified from official chart; digital HEX is approximate</x:v>
      </x:c>
      <x:c r="BB729" t="str">
        <x:v>Shares the same 84-colour palette as PASTEL PENCILS; physical application differs by format.</x:v>
      </x:c>
    </x:row>
    <x:row r="730">
      <x:c r="A730" t="str">
        <x:f>G730&amp;"|"&amp;L730</x:f>
        <x:v>PSTC|711</x:v>
      </x:c>
      <x:c r="B730" t="str">
        <x:v>9cf4ffb7-b33a-5d23-b618-2aabe93f251b</x:v>
      </x:c>
      <x:c r="C730" t="str">
        <x:v>CDA-PSTC-711</x:v>
      </x:c>
      <x:c r="D730" t="str">
        <x:v>7756c06d-ee9e-54d5-8835-3ba6ee02ae35</x:v>
      </x:c>
      <x:c r="E730" t="str">
        <x:v>CDA-CODE-711</x:v>
      </x:c>
      <x:c r="F730" t="str">
        <x:v>Caran d’Ache</x:v>
      </x:c>
      <x:c r="G730" t="str">
        <x:v>PSTC</x:v>
      </x:c>
      <x:c r="H730" t="str">
        <x:v>PASTEL CUBES</x:v>
      </x:c>
      <x:c r="I730" t="str">
        <x:v>Extra-fine dry pastel cube</x:v>
      </x:c>
      <x:c r="J730" t="str">
        <x:v>Professional</x:v>
      </x:c>
      <x:c r="K730" s="30" t="n">
        <x:v>49</x:v>
      </x:c>
      <x:c r="L730" s="30" t="str">
        <x:v>711</x:v>
      </x:c>
      <x:c r="M730" t="str">
        <x:v>Earth green</x:v>
      </x:c>
      <x:c r="N730" t="str">
        <x:v>土綠色</x:v>
      </x:c>
      <x:c r="O730" t="str">
        <x:v>アースグリーン</x:v>
      </x:c>
      <x:c r="P730" t="str"/>
      <x:c r="Q730" t="str">
        <x:v>Terre verte</x:v>
      </x:c>
      <x:c r="R730" t="str">
        <x:v>Grünerde</x:v>
      </x:c>
      <x:c r="S730" t="str">
        <x:v>Terra verde</x:v>
      </x:c>
      <x:c r="T730" t="str">
        <x:v>Tierra verde</x:v>
      </x:c>
      <x:c r="U730" t="str">
        <x:v>Terra verde</x:v>
      </x:c>
      <x:c r="V730" t="str"/>
      <x:c r="W730" t="str">
        <x:v>PG23</x:v>
      </x:c>
      <x:c r="X730" t="n">
        <x:f>IF(W730="",0,LEN(W730)-LEN(SUBSTITUTE(W730,"/",""))+1)</x:f>
        <x:v>1</x:v>
      </x:c>
      <x:c r="Y730" t="str">
        <x:v>HHH</x:v>
      </x:c>
      <x:c r="Z730" s="32" t="n">
        <x:v>3</x:v>
      </x:c>
      <x:c r="AA730" s="32" t="n">
        <x:v>5</x:v>
      </x:c>
      <x:c r="AB730" s="32" t="str">
        <x:v>Blue Wool Scale / UV 150h</x:v>
      </x:c>
      <x:c r="AC730" t="str">
        <x:v>#B8C4B5</x:v>
      </x:c>
      <x:c r="AD730" s="34" t="n">
        <x:v>184</x:v>
      </x:c>
      <x:c r="AE730" s="34" t="n">
        <x:v>196</x:v>
      </x:c>
      <x:c r="AF730" s="34" t="n">
        <x:v>181</x:v>
      </x:c>
      <x:c r="AG730" s="32" t="n">
        <x:v>108</x:v>
      </x:c>
      <x:c r="AH730" s="32" t="n">
        <x:v>11.28</x:v>
      </x:c>
      <x:c r="AI730" s="32" t="n">
        <x:v>73.92</x:v>
      </x:c>
      <x:c r="AJ730" s="32" t="n">
        <x:v>77.88</x:v>
      </x:c>
      <x:c r="AK730" s="32" t="n">
        <x:v>-6.9</x:v>
      </x:c>
      <x:c r="AL730" s="32" t="n">
        <x:v>6.11</x:v>
      </x:c>
      <x:c r="AM730" s="32" t="str">
        <x:v>#000000</x:v>
      </x:c>
      <x:c r="AN730" s="32" t="str">
        <x:v>Black</x:v>
      </x:c>
      <x:c r="AO730" s="32" t="n">
        <x:v>11.6</x:v>
      </x:c>
      <x:c r="AP730" s="32" t="n">
        <x:v>11.6</x:v>
      </x:c>
      <x:c r="AQ730" s="32" t="n">
        <x:v>1.81</x:v>
      </x:c>
      <x:c r="AR730" s="32" t="n">
        <x:v>0.530064</x:v>
      </x:c>
      <x:c r="AS730" t="str">
        <x:v>PASS</x:v>
      </x:c>
      <x:c r="AT730" t="str">
        <x:v>--cda-pstc-711</x:v>
      </x:c>
      <x:c r="AU730" t="str">
        <x:v>var(--cda-pstc-711)</x:v>
      </x:c>
      <x:c r="AV730" t="str">
        <x:v>Median RGB from official PDF swatch (screen reference only)</x:v>
      </x:c>
      <x:c r="AW730" t="str">
        <x:v>https://www.carandache.com/content_files/uploaded_doc/product/10985/Colour_Chart_Pastel_Pencil.pdf</x:v>
      </x:c>
      <x:c r="AX730" t="n">
        <x:v>1</x:v>
      </x:c>
      <x:c r="AY730" t="str">
        <x:v>Official</x:v>
      </x:c>
      <x:c r="AZ730" t="str">
        <x:v>Official where available; curated Traditional Chinese/Japanese otherwise</x:v>
      </x:c>
      <x:c r="BA730" t="str">
        <x:v>Verified from official chart; digital HEX is approximate</x:v>
      </x:c>
      <x:c r="BB730" t="str">
        <x:v>Shares the same 84-colour palette as PASTEL PENCILS; physical application differs by format.</x:v>
      </x:c>
    </x:row>
    <x:row r="731">
      <x:c r="A731" t="str">
        <x:f>G731&amp;"|"&amp;L731</x:f>
        <x:v>PSTC|712</x:v>
      </x:c>
      <x:c r="B731" t="str">
        <x:v>78b3df7c-135e-5370-b847-14271e1a8274</x:v>
      </x:c>
      <x:c r="C731" t="str">
        <x:v>CDA-PSTC-712</x:v>
      </x:c>
      <x:c r="D731" t="str">
        <x:v>6c5f3fda-0825-5449-9b88-408baed70f76</x:v>
      </x:c>
      <x:c r="E731" t="str">
        <x:v>CDA-CODE-712</x:v>
      </x:c>
      <x:c r="F731" t="str">
        <x:v>Caran d’Ache</x:v>
      </x:c>
      <x:c r="G731" t="str">
        <x:v>PSTC</x:v>
      </x:c>
      <x:c r="H731" t="str">
        <x:v>PASTEL CUBES</x:v>
      </x:c>
      <x:c r="I731" t="str">
        <x:v>Extra-fine dry pastel cube</x:v>
      </x:c>
      <x:c r="J731" t="str">
        <x:v>Professional</x:v>
      </x:c>
      <x:c r="K731" s="30" t="n">
        <x:v>50</x:v>
      </x:c>
      <x:c r="L731" s="30" t="str">
        <x:v>712</x:v>
      </x:c>
      <x:c r="M731" t="str">
        <x:v>Verdigris</x:v>
      </x:c>
      <x:c r="N731" t="str">
        <x:v>銅綠</x:v>
      </x:c>
      <x:c r="O731" t="str">
        <x:v>バーディグリス</x:v>
      </x:c>
      <x:c r="P731" t="str"/>
      <x:c r="Q731" t="str">
        <x:v>Vert de gris</x:v>
      </x:c>
      <x:c r="R731" t="str">
        <x:v>Grüngrau</x:v>
      </x:c>
      <x:c r="S731" t="str">
        <x:v>Verde rame</x:v>
      </x:c>
      <x:c r="T731" t="str">
        <x:v>Verde gris</x:v>
      </x:c>
      <x:c r="U731" t="str">
        <x:v>Verde pátina</x:v>
      </x:c>
      <x:c r="V731" t="str"/>
      <x:c r="W731" t="str">
        <x:v>PG17/PB28</x:v>
      </x:c>
      <x:c r="X731" t="n">
        <x:f>IF(W731="",0,LEN(W731)-LEN(SUBSTITUTE(W731,"/",""))+1)</x:f>
        <x:v>2</x:v>
      </x:c>
      <x:c r="Y731" t="str">
        <x:v>HHH</x:v>
      </x:c>
      <x:c r="Z731" s="32" t="n">
        <x:v>3</x:v>
      </x:c>
      <x:c r="AA731" s="32" t="n">
        <x:v>5</x:v>
      </x:c>
      <x:c r="AB731" s="32" t="str">
        <x:v>Blue Wool Scale / UV 150h</x:v>
      </x:c>
      <x:c r="AC731" t="str">
        <x:v>#C0C9BF</x:v>
      </x:c>
      <x:c r="AD731" s="34" t="n">
        <x:v>192</x:v>
      </x:c>
      <x:c r="AE731" s="34" t="n">
        <x:v>201</x:v>
      </x:c>
      <x:c r="AF731" s="34" t="n">
        <x:v>191</x:v>
      </x:c>
      <x:c r="AG731" s="32" t="n">
        <x:v>114</x:v>
      </x:c>
      <x:c r="AH731" s="32" t="n">
        <x:v>8.47</x:v>
      </x:c>
      <x:c r="AI731" s="32" t="n">
        <x:v>76.86</x:v>
      </x:c>
      <x:c r="AJ731" s="32" t="n">
        <x:v>80.03</x:v>
      </x:c>
      <x:c r="AK731" s="32" t="n">
        <x:v>-4.93</x:v>
      </x:c>
      <x:c r="AL731" s="32" t="n">
        <x:v>3.92</x:v>
      </x:c>
      <x:c r="AM731" s="32" t="str">
        <x:v>#000000</x:v>
      </x:c>
      <x:c r="AN731" s="32" t="str">
        <x:v>Black</x:v>
      </x:c>
      <x:c r="AO731" s="32" t="n">
        <x:v>12.35</x:v>
      </x:c>
      <x:c r="AP731" s="32" t="n">
        <x:v>12.35</x:v>
      </x:c>
      <x:c r="AQ731" s="32" t="n">
        <x:v>1.7</x:v>
      </x:c>
      <x:c r="AR731" s="32" t="n">
        <x:v>0.567413</x:v>
      </x:c>
      <x:c r="AS731" t="str">
        <x:v>PASS</x:v>
      </x:c>
      <x:c r="AT731" t="str">
        <x:v>--cda-pstc-712</x:v>
      </x:c>
      <x:c r="AU731" t="str">
        <x:v>var(--cda-pstc-712)</x:v>
      </x:c>
      <x:c r="AV731" t="str">
        <x:v>Median RGB from official PDF swatch (screen reference only)</x:v>
      </x:c>
      <x:c r="AW731" t="str">
        <x:v>https://www.carandache.com/content_files/uploaded_doc/product/10985/Colour_Chart_Pastel_Pencil.pdf</x:v>
      </x:c>
      <x:c r="AX731" t="n">
        <x:v>1</x:v>
      </x:c>
      <x:c r="AY731" t="str">
        <x:v>Official</x:v>
      </x:c>
      <x:c r="AZ731" t="str">
        <x:v>Official where available; curated Traditional Chinese/Japanese otherwise</x:v>
      </x:c>
      <x:c r="BA731" t="str">
        <x:v>Verified from official chart; digital HEX is approximate</x:v>
      </x:c>
      <x:c r="BB731" t="str">
        <x:v>Shares the same 84-colour palette as PASTEL PENCILS; physical application differs by format.</x:v>
      </x:c>
    </x:row>
    <x:row r="732">
      <x:c r="A732" t="str">
        <x:f>G732&amp;"|"&amp;L732</x:f>
        <x:v>PSTC|212</x:v>
      </x:c>
      <x:c r="B732" t="str">
        <x:v>f8da0c37-dc49-50ed-acfe-43e7fc7dd2b0</x:v>
      </x:c>
      <x:c r="C732" t="str">
        <x:v>CDA-PSTC-212</x:v>
      </x:c>
      <x:c r="D732" t="str">
        <x:v>c4654ab2-e8d8-51fb-bafc-1edaae0fcf72</x:v>
      </x:c>
      <x:c r="E732" t="str">
        <x:v>CDA-CODE-212</x:v>
      </x:c>
      <x:c r="F732" t="str">
        <x:v>Caran d’Ache</x:v>
      </x:c>
      <x:c r="G732" t="str">
        <x:v>PSTC</x:v>
      </x:c>
      <x:c r="H732" t="str">
        <x:v>PASTEL CUBES</x:v>
      </x:c>
      <x:c r="I732" t="str">
        <x:v>Extra-fine dry pastel cube</x:v>
      </x:c>
      <x:c r="J732" t="str">
        <x:v>Professional</x:v>
      </x:c>
      <x:c r="K732" s="30" t="n">
        <x:v>51</x:v>
      </x:c>
      <x:c r="L732" s="30" t="str">
        <x:v>212</x:v>
      </x:c>
      <x:c r="M732" t="str">
        <x:v>Chromium oxyde green</x:v>
      </x:c>
      <x:c r="N732" t="str">
        <x:v>氧化鉻綠</x:v>
      </x:c>
      <x:c r="O732" t="str">
        <x:v>クロムオキサイドグリーン</x:v>
      </x:c>
      <x:c r="P732" t="str"/>
      <x:c r="Q732" t="str">
        <x:v>Vert oxyde de chrome</x:v>
      </x:c>
      <x:c r="R732" t="str">
        <x:v>Chromoxydgrün</x:v>
      </x:c>
      <x:c r="S732" t="str">
        <x:v>Ossido di cromo verde</x:v>
      </x:c>
      <x:c r="T732" t="str">
        <x:v>Oxido de cromo verde</x:v>
      </x:c>
      <x:c r="U732" t="str">
        <x:v>Verde óxido de cromo</x:v>
      </x:c>
      <x:c r="V732" t="str"/>
      <x:c r="W732" t="str">
        <x:v>PG17</x:v>
      </x:c>
      <x:c r="X732" t="n">
        <x:f>IF(W732="",0,LEN(W732)-LEN(SUBSTITUTE(W732,"/",""))+1)</x:f>
        <x:v>1</x:v>
      </x:c>
      <x:c r="Y732" t="str">
        <x:v>HHH</x:v>
      </x:c>
      <x:c r="Z732" s="32" t="n">
        <x:v>3</x:v>
      </x:c>
      <x:c r="AA732" s="32" t="n">
        <x:v>5</x:v>
      </x:c>
      <x:c r="AB732" s="32" t="str">
        <x:v>Blue Wool Scale / UV 150h</x:v>
      </x:c>
      <x:c r="AC732" t="str">
        <x:v>#859F7C</x:v>
      </x:c>
      <x:c r="AD732" s="34" t="n">
        <x:v>133</x:v>
      </x:c>
      <x:c r="AE732" s="34" t="n">
        <x:v>159</x:v>
      </x:c>
      <x:c r="AF732" s="34" t="n">
        <x:v>124</x:v>
      </x:c>
      <x:c r="AG732" s="32" t="n">
        <x:v>104.57</x:v>
      </x:c>
      <x:c r="AH732" s="32" t="n">
        <x:v>15.42</x:v>
      </x:c>
      <x:c r="AI732" s="32" t="n">
        <x:v>55.49</x:v>
      </x:c>
      <x:c r="AJ732" s="32" t="n">
        <x:v>62.71</x:v>
      </x:c>
      <x:c r="AK732" s="32" t="n">
        <x:v>-15.9</x:v>
      </x:c>
      <x:c r="AL732" s="32" t="n">
        <x:v>15.33</x:v>
      </x:c>
      <x:c r="AM732" s="32" t="str">
        <x:v>#000000</x:v>
      </x:c>
      <x:c r="AN732" s="32" t="str">
        <x:v>Black</x:v>
      </x:c>
      <x:c r="AO732" s="32" t="n">
        <x:v>7.25</x:v>
      </x:c>
      <x:c r="AP732" s="32" t="n">
        <x:v>7.25</x:v>
      </x:c>
      <x:c r="AQ732" s="32" t="n">
        <x:v>2.9</x:v>
      </x:c>
      <x:c r="AR732" s="32" t="n">
        <x:v>0.312381</x:v>
      </x:c>
      <x:c r="AS732" t="str">
        <x:v>PASS</x:v>
      </x:c>
      <x:c r="AT732" t="str">
        <x:v>--cda-pstc-212</x:v>
      </x:c>
      <x:c r="AU732" t="str">
        <x:v>var(--cda-pstc-212)</x:v>
      </x:c>
      <x:c r="AV732" t="str">
        <x:v>Median RGB from official PDF swatch (screen reference only)</x:v>
      </x:c>
      <x:c r="AW732" t="str">
        <x:v>https://www.carandache.com/content_files/uploaded_doc/product/10985/Colour_Chart_Pastel_Pencil.pdf</x:v>
      </x:c>
      <x:c r="AX732" t="n">
        <x:v>1</x:v>
      </x:c>
      <x:c r="AY732" t="str">
        <x:v>Official</x:v>
      </x:c>
      <x:c r="AZ732" t="str">
        <x:v>Official where available; curated Traditional Chinese/Japanese otherwise</x:v>
      </x:c>
      <x:c r="BA732" t="str">
        <x:v>Verified from official chart; digital HEX is approximate</x:v>
      </x:c>
      <x:c r="BB732" t="str">
        <x:v>Shares the same 84-colour palette as PASTEL PENCILS; physical application differs by format.</x:v>
      </x:c>
    </x:row>
    <x:row r="733">
      <x:c r="A733" t="str">
        <x:f>G733&amp;"|"&amp;L733</x:f>
        <x:v>PSTC|732</x:v>
      </x:c>
      <x:c r="B733" t="str">
        <x:v>f7b68db3-f361-5f85-aa6f-d8606c811c97</x:v>
      </x:c>
      <x:c r="C733" t="str">
        <x:v>CDA-PSTC-732</x:v>
      </x:c>
      <x:c r="D733" t="str">
        <x:v>6d12cdba-3e12-5fc3-9fbd-401d578575d8</x:v>
      </x:c>
      <x:c r="E733" t="str">
        <x:v>CDA-CODE-732</x:v>
      </x:c>
      <x:c r="F733" t="str">
        <x:v>Caran d’Ache</x:v>
      </x:c>
      <x:c r="G733" t="str">
        <x:v>PSTC</x:v>
      </x:c>
      <x:c r="H733" t="str">
        <x:v>PASTEL CUBES</x:v>
      </x:c>
      <x:c r="I733" t="str">
        <x:v>Extra-fine dry pastel cube</x:v>
      </x:c>
      <x:c r="J733" t="str">
        <x:v>Professional</x:v>
      </x:c>
      <x:c r="K733" s="30" t="n">
        <x:v>52</x:v>
      </x:c>
      <x:c r="L733" s="30" t="str">
        <x:v>732</x:v>
      </x:c>
      <x:c r="M733" t="str">
        <x:v>Brown Olive 10%</x:v>
      </x:c>
      <x:c r="N733" t="str">
        <x:v>棕橄欖色 10%</x:v>
      </x:c>
      <x:c r="O733" t="str">
        <x:v>ブラウンオリーブ 10%</x:v>
      </x:c>
      <x:c r="P733" t="str"/>
      <x:c r="Q733" t="str">
        <x:v>Olive brunâtre 10%</x:v>
      </x:c>
      <x:c r="R733" t="str">
        <x:v>Braunoliv 10%</x:v>
      </x:c>
      <x:c r="S733" t="str">
        <x:v>Oliva bruna 10%</x:v>
      </x:c>
      <x:c r="T733" t="str">
        <x:v>Oliva marrón 10%</x:v>
      </x:c>
      <x:c r="U733" t="str">
        <x:v>Castanho Azeitona 10%</x:v>
      </x:c>
      <x:c r="V733" t="str"/>
      <x:c r="W733" t="str">
        <x:v>PY42/PBk6</x:v>
      </x:c>
      <x:c r="X733" t="n">
        <x:f>IF(W733="",0,LEN(W733)-LEN(SUBSTITUTE(W733,"/",""))+1)</x:f>
        <x:v>2</x:v>
      </x:c>
      <x:c r="Y733" t="str">
        <x:v>HHH</x:v>
      </x:c>
      <x:c r="Z733" s="32" t="n">
        <x:v>3</x:v>
      </x:c>
      <x:c r="AA733" s="32" t="n">
        <x:v>5</x:v>
      </x:c>
      <x:c r="AB733" s="32" t="str">
        <x:v>Blue Wool Scale / UV 150h</x:v>
      </x:c>
      <x:c r="AC733" t="str">
        <x:v>#C7C0A4</x:v>
      </x:c>
      <x:c r="AD733" s="34" t="n">
        <x:v>199</x:v>
      </x:c>
      <x:c r="AE733" s="34" t="n">
        <x:v>192</x:v>
      </x:c>
      <x:c r="AF733" s="34" t="n">
        <x:v>164</x:v>
      </x:c>
      <x:c r="AG733" s="32" t="n">
        <x:v>48</x:v>
      </x:c>
      <x:c r="AH733" s="32" t="n">
        <x:v>23.81</x:v>
      </x:c>
      <x:c r="AI733" s="32" t="n">
        <x:v>71.18</x:v>
      </x:c>
      <x:c r="AJ733" s="32" t="n">
        <x:v>77.59</x:v>
      </x:c>
      <x:c r="AK733" s="32" t="n">
        <x:v>-2.21</x:v>
      </x:c>
      <x:c r="AL733" s="32" t="n">
        <x:v>15.01</x:v>
      </x:c>
      <x:c r="AM733" s="32" t="str">
        <x:v>#000000</x:v>
      </x:c>
      <x:c r="AN733" s="32" t="str">
        <x:v>Black</x:v>
      </x:c>
      <x:c r="AO733" s="32" t="n">
        <x:v>11.5</x:v>
      </x:c>
      <x:c r="AP733" s="32" t="n">
        <x:v>11.5</x:v>
      </x:c>
      <x:c r="AQ733" s="32" t="n">
        <x:v>1.83</x:v>
      </x:c>
      <x:c r="AR733" s="32" t="n">
        <x:v>0.525217</x:v>
      </x:c>
      <x:c r="AS733" t="str">
        <x:v>PASS</x:v>
      </x:c>
      <x:c r="AT733" t="str">
        <x:v>--cda-pstc-732</x:v>
      </x:c>
      <x:c r="AU733" t="str">
        <x:v>var(--cda-pstc-732)</x:v>
      </x:c>
      <x:c r="AV733" t="str">
        <x:v>Median RGB from official PDF swatch (screen reference only)</x:v>
      </x:c>
      <x:c r="AW733" t="str">
        <x:v>https://www.carandache.com/content_files/uploaded_doc/product/10985/Colour_Chart_Pastel_Pencil.pdf</x:v>
      </x:c>
      <x:c r="AX733" t="n">
        <x:v>1</x:v>
      </x:c>
      <x:c r="AY733" t="str">
        <x:v>Official</x:v>
      </x:c>
      <x:c r="AZ733" t="str">
        <x:v>Official where available; curated Traditional Chinese/Japanese otherwise</x:v>
      </x:c>
      <x:c r="BA733" t="str">
        <x:v>Verified from official chart; digital HEX is approximate</x:v>
      </x:c>
      <x:c r="BB733" t="str">
        <x:v>Shares the same 84-colour palette as PASTEL PENCILS; physical application differs by format.</x:v>
      </x:c>
    </x:row>
    <x:row r="734">
      <x:c r="A734" t="str">
        <x:f>G734&amp;"|"&amp;L734</x:f>
        <x:v>PSTC|736</x:v>
      </x:c>
      <x:c r="B734" t="str">
        <x:v>4504ff4d-617d-581a-8330-245c0d9aae92</x:v>
      </x:c>
      <x:c r="C734" t="str">
        <x:v>CDA-PSTC-736</x:v>
      </x:c>
      <x:c r="D734" t="str">
        <x:v>d40b9436-8b9d-5cce-9be9-a1f17bad987d</x:v>
      </x:c>
      <x:c r="E734" t="str">
        <x:v>CDA-CODE-736</x:v>
      </x:c>
      <x:c r="F734" t="str">
        <x:v>Caran d’Ache</x:v>
      </x:c>
      <x:c r="G734" t="str">
        <x:v>PSTC</x:v>
      </x:c>
      <x:c r="H734" t="str">
        <x:v>PASTEL CUBES</x:v>
      </x:c>
      <x:c r="I734" t="str">
        <x:v>Extra-fine dry pastel cube</x:v>
      </x:c>
      <x:c r="J734" t="str">
        <x:v>Professional</x:v>
      </x:c>
      <x:c r="K734" s="30" t="n">
        <x:v>53</x:v>
      </x:c>
      <x:c r="L734" s="30" t="str">
        <x:v>736</x:v>
      </x:c>
      <x:c r="M734" t="str">
        <x:v>Brown Olive 50%</x:v>
      </x:c>
      <x:c r="N734" t="str">
        <x:v>棕橄欖色 50%</x:v>
      </x:c>
      <x:c r="O734" t="str">
        <x:v>ブラウンオリーブ 50%</x:v>
      </x:c>
      <x:c r="P734" t="str"/>
      <x:c r="Q734" t="str">
        <x:v>Olive brunâtre 50%</x:v>
      </x:c>
      <x:c r="R734" t="str">
        <x:v>Braunoliv 50%</x:v>
      </x:c>
      <x:c r="S734" t="str">
        <x:v>Oliva bruna 50%</x:v>
      </x:c>
      <x:c r="T734" t="str">
        <x:v>Oliva marrón 50%</x:v>
      </x:c>
      <x:c r="U734" t="str">
        <x:v>Castanho Azeitona 50%</x:v>
      </x:c>
      <x:c r="V734" t="str"/>
      <x:c r="W734" t="str">
        <x:v>PY42/PBk6</x:v>
      </x:c>
      <x:c r="X734" t="n">
        <x:f>IF(W734="",0,LEN(W734)-LEN(SUBSTITUTE(W734,"/",""))+1)</x:f>
        <x:v>2</x:v>
      </x:c>
      <x:c r="Y734" t="str">
        <x:v>HHH</x:v>
      </x:c>
      <x:c r="Z734" s="32" t="n">
        <x:v>3</x:v>
      </x:c>
      <x:c r="AA734" s="32" t="n">
        <x:v>5</x:v>
      </x:c>
      <x:c r="AB734" s="32" t="str">
        <x:v>Blue Wool Scale / UV 150h</x:v>
      </x:c>
      <x:c r="AC734" t="str">
        <x:v>#AD9461</x:v>
      </x:c>
      <x:c r="AD734" s="34" t="n">
        <x:v>173</x:v>
      </x:c>
      <x:c r="AE734" s="34" t="n">
        <x:v>148</x:v>
      </x:c>
      <x:c r="AF734" s="34" t="n">
        <x:v>97</x:v>
      </x:c>
      <x:c r="AG734" s="32" t="n">
        <x:v>40.26</x:v>
      </x:c>
      <x:c r="AH734" s="32" t="n">
        <x:v>31.67</x:v>
      </x:c>
      <x:c r="AI734" s="32" t="n">
        <x:v>52.94</x:v>
      </x:c>
      <x:c r="AJ734" s="32" t="n">
        <x:v>62.45</x:v>
      </x:c>
      <x:c r="AK734" s="32" t="n">
        <x:v>2.23</x:v>
      </x:c>
      <x:c r="AL734" s="32" t="n">
        <x:v>30.38</x:v>
      </x:c>
      <x:c r="AM734" s="32" t="str">
        <x:v>#000000</x:v>
      </x:c>
      <x:c r="AN734" s="32" t="str">
        <x:v>Black</x:v>
      </x:c>
      <x:c r="AO734" s="32" t="n">
        <x:v>7.19</x:v>
      </x:c>
      <x:c r="AP734" s="32" t="n">
        <x:v>7.19</x:v>
      </x:c>
      <x:c r="AQ734" s="32" t="n">
        <x:v>2.92</x:v>
      </x:c>
      <x:c r="AR734" s="32" t="n">
        <x:v>0.309271</x:v>
      </x:c>
      <x:c r="AS734" t="str">
        <x:v>PASS</x:v>
      </x:c>
      <x:c r="AT734" t="str">
        <x:v>--cda-pstc-736</x:v>
      </x:c>
      <x:c r="AU734" t="str">
        <x:v>var(--cda-pstc-736)</x:v>
      </x:c>
      <x:c r="AV734" t="str">
        <x:v>Median RGB from official PDF swatch (screen reference only)</x:v>
      </x:c>
      <x:c r="AW734" t="str">
        <x:v>https://www.carandache.com/content_files/uploaded_doc/product/10985/Colour_Chart_Pastel_Pencil.pdf</x:v>
      </x:c>
      <x:c r="AX734" t="n">
        <x:v>1</x:v>
      </x:c>
      <x:c r="AY734" t="str">
        <x:v>Official</x:v>
      </x:c>
      <x:c r="AZ734" t="str">
        <x:v>Official where available; curated Traditional Chinese/Japanese otherwise</x:v>
      </x:c>
      <x:c r="BA734" t="str">
        <x:v>Verified from official chart; digital HEX is approximate</x:v>
      </x:c>
      <x:c r="BB734" t="str">
        <x:v>Shares the same 84-colour palette as PASTEL PENCILS; physical application differs by format.</x:v>
      </x:c>
    </x:row>
    <x:row r="735">
      <x:c r="A735" t="str">
        <x:f>G735&amp;"|"&amp;L735</x:f>
        <x:v>PSTC|039</x:v>
      </x:c>
      <x:c r="B735" t="str">
        <x:v>ff536b12-90a6-5ff1-a277-19578fc95066</x:v>
      </x:c>
      <x:c r="C735" t="str">
        <x:v>CDA-PSTC-039</x:v>
      </x:c>
      <x:c r="D735" t="str">
        <x:v>f03df3aa-e67d-56c5-88be-9f28d0654f47</x:v>
      </x:c>
      <x:c r="E735" t="str">
        <x:v>CDA-CODE-039</x:v>
      </x:c>
      <x:c r="F735" t="str">
        <x:v>Caran d’Ache</x:v>
      </x:c>
      <x:c r="G735" t="str">
        <x:v>PSTC</x:v>
      </x:c>
      <x:c r="H735" t="str">
        <x:v>PASTEL CUBES</x:v>
      </x:c>
      <x:c r="I735" t="str">
        <x:v>Extra-fine dry pastel cube</x:v>
      </x:c>
      <x:c r="J735" t="str">
        <x:v>Professional</x:v>
      </x:c>
      <x:c r="K735" s="30" t="n">
        <x:v>54</x:v>
      </x:c>
      <x:c r="L735" s="30" t="str">
        <x:v>039</x:v>
      </x:c>
      <x:c r="M735" t="str">
        <x:v>Olive brown</x:v>
      </x:c>
      <x:c r="N735" t="str">
        <x:v>橄欖棕</x:v>
      </x:c>
      <x:c r="O735" t="str">
        <x:v>オリーブブラウン</x:v>
      </x:c>
      <x:c r="P735" t="str"/>
      <x:c r="Q735" t="str">
        <x:v>Olive brunâtre</x:v>
      </x:c>
      <x:c r="R735" t="str">
        <x:v>Olivbraun</x:v>
      </x:c>
      <x:c r="S735" t="str">
        <x:v>Oliva bruna</x:v>
      </x:c>
      <x:c r="T735" t="str">
        <x:v>Pardo Oliva</x:v>
      </x:c>
      <x:c r="U735" t="str">
        <x:v>Castanho esverdeado</x:v>
      </x:c>
      <x:c r="V735" t="str"/>
      <x:c r="W735" t="str">
        <x:v>PY42/PBk6</x:v>
      </x:c>
      <x:c r="X735" t="n">
        <x:f>IF(W735="",0,LEN(W735)-LEN(SUBSTITUTE(W735,"/",""))+1)</x:f>
        <x:v>2</x:v>
      </x:c>
      <x:c r="Y735" t="str">
        <x:v>HHH</x:v>
      </x:c>
      <x:c r="Z735" s="32" t="n">
        <x:v>3</x:v>
      </x:c>
      <x:c r="AA735" s="32" t="n">
        <x:v>5</x:v>
      </x:c>
      <x:c r="AB735" s="32" t="str">
        <x:v>Blue Wool Scale / UV 150h</x:v>
      </x:c>
      <x:c r="AC735" t="str">
        <x:v>#977D42</x:v>
      </x:c>
      <x:c r="AD735" s="34" t="n">
        <x:v>151</x:v>
      </x:c>
      <x:c r="AE735" s="34" t="n">
        <x:v>125</x:v>
      </x:c>
      <x:c r="AF735" s="34" t="n">
        <x:v>66</x:v>
      </x:c>
      <x:c r="AG735" s="32" t="n">
        <x:v>41.65</x:v>
      </x:c>
      <x:c r="AH735" s="32" t="n">
        <x:v>39.17</x:v>
      </x:c>
      <x:c r="AI735" s="32" t="n">
        <x:v>42.55</x:v>
      </x:c>
      <x:c r="AJ735" s="32" t="n">
        <x:v>53.64</x:v>
      </x:c>
      <x:c r="AK735" s="32" t="n">
        <x:v>2.47</x:v>
      </x:c>
      <x:c r="AL735" s="32" t="n">
        <x:v>35.55</x:v>
      </x:c>
      <x:c r="AM735" s="32" t="str">
        <x:v>#000000</x:v>
      </x:c>
      <x:c r="AN735" s="32" t="str">
        <x:v>Black</x:v>
      </x:c>
      <x:c r="AO735" s="32" t="n">
        <x:v>5.33</x:v>
      </x:c>
      <x:c r="AP735" s="32" t="n">
        <x:v>5.33</x:v>
      </x:c>
      <x:c r="AQ735" s="32" t="n">
        <x:v>3.94</x:v>
      </x:c>
      <x:c r="AR735" s="32" t="n">
        <x:v>0.216399</x:v>
      </x:c>
      <x:c r="AS735" t="str">
        <x:v>PASS</x:v>
      </x:c>
      <x:c r="AT735" t="str">
        <x:v>--cda-pstc-039</x:v>
      </x:c>
      <x:c r="AU735" t="str">
        <x:v>var(--cda-pstc-039)</x:v>
      </x:c>
      <x:c r="AV735" t="str">
        <x:v>Median RGB from official PDF swatch (screen reference only)</x:v>
      </x:c>
      <x:c r="AW735" t="str">
        <x:v>https://www.carandache.com/content_files/uploaded_doc/product/10985/Colour_Chart_Pastel_Pencil.pdf</x:v>
      </x:c>
      <x:c r="AX735" t="n">
        <x:v>1</x:v>
      </x:c>
      <x:c r="AY735" t="str">
        <x:v>Official</x:v>
      </x:c>
      <x:c r="AZ735" t="str">
        <x:v>Official where available; curated Traditional Chinese/Japanese otherwise</x:v>
      </x:c>
      <x:c r="BA735" t="str">
        <x:v>Verified from official chart; digital HEX is approximate</x:v>
      </x:c>
      <x:c r="BB735" t="str">
        <x:v>Shares the same 84-colour palette as PASTEL PENCILS; physical application differs by format.</x:v>
      </x:c>
    </x:row>
    <x:row r="736">
      <x:c r="A736" t="str">
        <x:f>G736&amp;"|"&amp;L736</x:f>
        <x:v>PSTC|033</x:v>
      </x:c>
      <x:c r="B736" t="str">
        <x:v>e96d472d-8e86-50d0-87e1-113f1c696a24</x:v>
      </x:c>
      <x:c r="C736" t="str">
        <x:v>CDA-PSTC-033</x:v>
      </x:c>
      <x:c r="D736" t="str">
        <x:v>167a875a-a8c7-5497-a065-fd7076f6139c</x:v>
      </x:c>
      <x:c r="E736" t="str">
        <x:v>CDA-CODE-033</x:v>
      </x:c>
      <x:c r="F736" t="str">
        <x:v>Caran d’Ache</x:v>
      </x:c>
      <x:c r="G736" t="str">
        <x:v>PSTC</x:v>
      </x:c>
      <x:c r="H736" t="str">
        <x:v>PASTEL CUBES</x:v>
      </x:c>
      <x:c r="I736" t="str">
        <x:v>Extra-fine dry pastel cube</x:v>
      </x:c>
      <x:c r="J736" t="str">
        <x:v>Professional</x:v>
      </x:c>
      <x:c r="K736" s="30" t="n">
        <x:v>55</x:v>
      </x:c>
      <x:c r="L736" s="30" t="str">
        <x:v>033</x:v>
      </x:c>
      <x:c r="M736" t="str">
        <x:v>Golden ochre</x:v>
      </x:c>
      <x:c r="N736" t="str">
        <x:v>金赭色</x:v>
      </x:c>
      <x:c r="O736" t="str">
        <x:v>ゴールデンオーカー</x:v>
      </x:c>
      <x:c r="P736" t="str"/>
      <x:c r="Q736" t="str">
        <x:v>Ocre d’or</x:v>
      </x:c>
      <x:c r="R736" t="str">
        <x:v>Goldocker</x:v>
      </x:c>
      <x:c r="S736" t="str">
        <x:v>Ocra d’oro</x:v>
      </x:c>
      <x:c r="T736" t="str">
        <x:v>Ocre oro</x:v>
      </x:c>
      <x:c r="U736" t="str">
        <x:v>Ocre dourado</x:v>
      </x:c>
      <x:c r="V736" t="str"/>
      <x:c r="W736" t="str">
        <x:v>PY42/PY74/PBk11/PR101/PBk7</x:v>
      </x:c>
      <x:c r="X736" t="n">
        <x:f>IF(W736="",0,LEN(W736)-LEN(SUBSTITUTE(W736,"/",""))+1)</x:f>
        <x:v>5</x:v>
      </x:c>
      <x:c r="Y736" t="str">
        <x:v>HHH</x:v>
      </x:c>
      <x:c r="Z736" s="32" t="n">
        <x:v>3</x:v>
      </x:c>
      <x:c r="AA736" s="32" t="n">
        <x:v>5</x:v>
      </x:c>
      <x:c r="AB736" s="32" t="str">
        <x:v>Blue Wool Scale / UV 150h</x:v>
      </x:c>
      <x:c r="AC736" t="str">
        <x:v>#B07D21</x:v>
      </x:c>
      <x:c r="AD736" s="34" t="n">
        <x:v>176</x:v>
      </x:c>
      <x:c r="AE736" s="34" t="n">
        <x:v>125</x:v>
      </x:c>
      <x:c r="AF736" s="34" t="n">
        <x:v>33</x:v>
      </x:c>
      <x:c r="AG736" s="32" t="n">
        <x:v>38.6</x:v>
      </x:c>
      <x:c r="AH736" s="32" t="n">
        <x:v>68.42</x:v>
      </x:c>
      <x:c r="AI736" s="32" t="n">
        <x:v>40.98</x:v>
      </x:c>
      <x:c r="AJ736" s="32" t="n">
        <x:v>56.1</x:v>
      </x:c>
      <x:c r="AK736" s="32" t="n">
        <x:v>11.78</x:v>
      </x:c>
      <x:c r="AL736" s="32" t="n">
        <x:v>54</x:v>
      </x:c>
      <x:c r="AM736" s="32" t="str">
        <x:v>#000000</x:v>
      </x:c>
      <x:c r="AN736" s="32" t="str">
        <x:v>Black</x:v>
      </x:c>
      <x:c r="AO736" s="32" t="n">
        <x:v>5.8</x:v>
      </x:c>
      <x:c r="AP736" s="32" t="n">
        <x:v>5.8</x:v>
      </x:c>
      <x:c r="AQ736" s="32" t="n">
        <x:v>3.62</x:v>
      </x:c>
      <x:c r="AR736" s="32" t="n">
        <x:v>0.240071</x:v>
      </x:c>
      <x:c r="AS736" t="str">
        <x:v>PASS</x:v>
      </x:c>
      <x:c r="AT736" t="str">
        <x:v>--cda-pstc-033</x:v>
      </x:c>
      <x:c r="AU736" t="str">
        <x:v>var(--cda-pstc-033)</x:v>
      </x:c>
      <x:c r="AV736" t="str">
        <x:v>Median RGB from official PDF swatch (screen reference only)</x:v>
      </x:c>
      <x:c r="AW736" t="str">
        <x:v>https://www.carandache.com/content_files/uploaded_doc/product/10985/Colour_Chart_Pastel_Pencil.pdf</x:v>
      </x:c>
      <x:c r="AX736" t="n">
        <x:v>1</x:v>
      </x:c>
      <x:c r="AY736" t="str">
        <x:v>Official</x:v>
      </x:c>
      <x:c r="AZ736" t="str">
        <x:v>Official where available; curated Traditional Chinese/Japanese otherwise</x:v>
      </x:c>
      <x:c r="BA736" t="str">
        <x:v>Verified from official chart; digital HEX is approximate</x:v>
      </x:c>
      <x:c r="BB736" t="str">
        <x:v>Shares the same 84-colour palette as PASTEL PENCILS; physical application differs by format.</x:v>
      </x:c>
    </x:row>
    <x:row r="737">
      <x:c r="A737" t="str">
        <x:f>G737&amp;"|"&amp;L737</x:f>
        <x:v>PSTC|035</x:v>
      </x:c>
      <x:c r="B737" t="str">
        <x:v>a76b99a8-900a-587d-90fa-628ed2ca8f51</x:v>
      </x:c>
      <x:c r="C737" t="str">
        <x:v>CDA-PSTC-035</x:v>
      </x:c>
      <x:c r="D737" t="str">
        <x:v>e6cc537a-bb6e-50c6-99e9-ab46db58910a</x:v>
      </x:c>
      <x:c r="E737" t="str">
        <x:v>CDA-CODE-035</x:v>
      </x:c>
      <x:c r="F737" t="str">
        <x:v>Caran d’Ache</x:v>
      </x:c>
      <x:c r="G737" t="str">
        <x:v>PSTC</x:v>
      </x:c>
      <x:c r="H737" t="str">
        <x:v>PASTEL CUBES</x:v>
      </x:c>
      <x:c r="I737" t="str">
        <x:v>Extra-fine dry pastel cube</x:v>
      </x:c>
      <x:c r="J737" t="str">
        <x:v>Professional</x:v>
      </x:c>
      <x:c r="K737" s="30" t="n">
        <x:v>56</x:v>
      </x:c>
      <x:c r="L737" s="30" t="str">
        <x:v>035</x:v>
      </x:c>
      <x:c r="M737" t="str">
        <x:v>Ochre</x:v>
      </x:c>
      <x:c r="N737" t="str">
        <x:v>赭色</x:v>
      </x:c>
      <x:c r="O737" t="str">
        <x:v>オーカー</x:v>
      </x:c>
      <x:c r="P737" t="str"/>
      <x:c r="Q737" t="str">
        <x:v>Ocre</x:v>
      </x:c>
      <x:c r="R737" t="str">
        <x:v>Ocker</x:v>
      </x:c>
      <x:c r="S737" t="str">
        <x:v>Ocra</x:v>
      </x:c>
      <x:c r="T737" t="str">
        <x:v>Ocre</x:v>
      </x:c>
      <x:c r="U737" t="str">
        <x:v>Ocre</x:v>
      </x:c>
      <x:c r="V737" t="str"/>
      <x:c r="W737" t="str">
        <x:v>PY42/PY3/PY74/PB15/PO67</x:v>
      </x:c>
      <x:c r="X737" t="n">
        <x:f>IF(W737="",0,LEN(W737)-LEN(SUBSTITUTE(W737,"/",""))+1)</x:f>
        <x:v>5</x:v>
      </x:c>
      <x:c r="Y737" t="str">
        <x:v>HH</x:v>
      </x:c>
      <x:c r="Z737" s="32" t="n">
        <x:v>2</x:v>
      </x:c>
      <x:c r="AA737" s="32" t="n">
        <x:v>5</x:v>
      </x:c>
      <x:c r="AB737" s="32" t="str">
        <x:v>Blue Wool Scale / UV 150h</x:v>
      </x:c>
      <x:c r="AC737" t="str">
        <x:v>#D6A116</x:v>
      </x:c>
      <x:c r="AD737" s="34" t="n">
        <x:v>214</x:v>
      </x:c>
      <x:c r="AE737" s="34" t="n">
        <x:v>161</x:v>
      </x:c>
      <x:c r="AF737" s="34" t="n">
        <x:v>22</x:v>
      </x:c>
      <x:c r="AG737" s="32" t="n">
        <x:v>43.44</x:v>
      </x:c>
      <x:c r="AH737" s="32" t="n">
        <x:v>81.36</x:v>
      </x:c>
      <x:c r="AI737" s="32" t="n">
        <x:v>46.27</x:v>
      </x:c>
      <x:c r="AJ737" s="32" t="n">
        <x:v>69.36</x:v>
      </x:c>
      <x:c r="AK737" s="32" t="n">
        <x:v>8.7</x:v>
      </x:c>
      <x:c r="AL737" s="32" t="n">
        <x:v>69.77</x:v>
      </x:c>
      <x:c r="AM737" s="32" t="str">
        <x:v>#000000</x:v>
      </x:c>
      <x:c r="AN737" s="32" t="str">
        <x:v>Black</x:v>
      </x:c>
      <x:c r="AO737" s="32" t="n">
        <x:v>8.97</x:v>
      </x:c>
      <x:c r="AP737" s="32" t="n">
        <x:v>8.97</x:v>
      </x:c>
      <x:c r="AQ737" s="32" t="n">
        <x:v>2.34</x:v>
      </x:c>
      <x:c r="AR737" s="32" t="n">
        <x:v>0.398438</x:v>
      </x:c>
      <x:c r="AS737" t="str">
        <x:v>PASS</x:v>
      </x:c>
      <x:c r="AT737" t="str">
        <x:v>--cda-pstc-035</x:v>
      </x:c>
      <x:c r="AU737" t="str">
        <x:v>var(--cda-pstc-035)</x:v>
      </x:c>
      <x:c r="AV737" t="str">
        <x:v>Median RGB from official PDF swatch (screen reference only)</x:v>
      </x:c>
      <x:c r="AW737" t="str">
        <x:v>https://www.carandache.com/content_files/uploaded_doc/product/10985/Colour_Chart_Pastel_Pencil.pdf</x:v>
      </x:c>
      <x:c r="AX737" t="n">
        <x:v>1</x:v>
      </x:c>
      <x:c r="AY737" t="str">
        <x:v>Official</x:v>
      </x:c>
      <x:c r="AZ737" t="str">
        <x:v>Official where available; curated Traditional Chinese/Japanese otherwise</x:v>
      </x:c>
      <x:c r="BA737" t="str">
        <x:v>Verified from official chart; digital HEX is approximate</x:v>
      </x:c>
      <x:c r="BB737" t="str">
        <x:v>Shares the same 84-colour palette as PASTEL PENCILS; physical application differs by format.</x:v>
      </x:c>
    </x:row>
    <x:row r="738">
      <x:c r="A738" t="str">
        <x:f>G738&amp;"|"&amp;L738</x:f>
        <x:v>PSTC|036</x:v>
      </x:c>
      <x:c r="B738" t="str">
        <x:v>327679c7-b7a4-56b0-a9c9-d33e13cc9185</x:v>
      </x:c>
      <x:c r="C738" t="str">
        <x:v>CDA-PSTC-036</x:v>
      </x:c>
      <x:c r="D738" t="str">
        <x:v>0f5afcdf-d0ec-594e-9317-d048151338ad</x:v>
      </x:c>
      <x:c r="E738" t="str">
        <x:v>CDA-CODE-036</x:v>
      </x:c>
      <x:c r="F738" t="str">
        <x:v>Caran d’Ache</x:v>
      </x:c>
      <x:c r="G738" t="str">
        <x:v>PSTC</x:v>
      </x:c>
      <x:c r="H738" t="str">
        <x:v>PASTEL CUBES</x:v>
      </x:c>
      <x:c r="I738" t="str">
        <x:v>Extra-fine dry pastel cube</x:v>
      </x:c>
      <x:c r="J738" t="str">
        <x:v>Professional</x:v>
      </x:c>
      <x:c r="K738" s="30" t="n">
        <x:v>57</x:v>
      </x:c>
      <x:c r="L738" s="30" t="str">
        <x:v>036</x:v>
      </x:c>
      <x:c r="M738" t="str">
        <x:v>Raw sienna</x:v>
      </x:c>
      <x:c r="N738" t="str">
        <x:v>生赭色</x:v>
      </x:c>
      <x:c r="O738" t="str">
        <x:v>ローシェンナ</x:v>
      </x:c>
      <x:c r="P738" t="str"/>
      <x:c r="Q738" t="str">
        <x:v>Sienne naturelle</x:v>
      </x:c>
      <x:c r="R738" t="str">
        <x:v>Siena natur</x:v>
      </x:c>
      <x:c r="S738" t="str">
        <x:v>Terra di Siena naturale</x:v>
      </x:c>
      <x:c r="T738" t="str">
        <x:v>Siena natural</x:v>
      </x:c>
      <x:c r="U738" t="str">
        <x:v>Siena natural</x:v>
      </x:c>
      <x:c r="V738" t="str"/>
      <x:c r="W738" t="str">
        <x:v>PY42/PY1/PR3/PBk7</x:v>
      </x:c>
      <x:c r="X738" t="n">
        <x:f>IF(W738="",0,LEN(W738)-LEN(SUBSTITUTE(W738,"/",""))+1)</x:f>
        <x:v>4</x:v>
      </x:c>
      <x:c r="Y738" t="str">
        <x:v>HH</x:v>
      </x:c>
      <x:c r="Z738" s="32" t="n">
        <x:v>2</x:v>
      </x:c>
      <x:c r="AA738" s="32" t="n">
        <x:v>5</x:v>
      </x:c>
      <x:c r="AB738" s="32" t="str">
        <x:v>Blue Wool Scale / UV 150h</x:v>
      </x:c>
      <x:c r="AC738" t="str">
        <x:v>#AD7D32</x:v>
      </x:c>
      <x:c r="AD738" s="34" t="n">
        <x:v>173</x:v>
      </x:c>
      <x:c r="AE738" s="34" t="n">
        <x:v>125</x:v>
      </x:c>
      <x:c r="AF738" s="34" t="n">
        <x:v>50</x:v>
      </x:c>
      <x:c r="AG738" s="32" t="n">
        <x:v>36.59</x:v>
      </x:c>
      <x:c r="AH738" s="32" t="n">
        <x:v>55.16</x:v>
      </x:c>
      <x:c r="AI738" s="32" t="n">
        <x:v>43.73</x:v>
      </x:c>
      <x:c r="AJ738" s="32" t="n">
        <x:v>55.87</x:v>
      </x:c>
      <x:c r="AK738" s="32" t="n">
        <x:v>11.19</x:v>
      </x:c>
      <x:c r="AL738" s="32" t="n">
        <x:v>46.63</x:v>
      </x:c>
      <x:c r="AM738" s="32" t="str">
        <x:v>#000000</x:v>
      </x:c>
      <x:c r="AN738" s="32" t="str">
        <x:v>Black</x:v>
      </x:c>
      <x:c r="AO738" s="32" t="n">
        <x:v>5.76</x:v>
      </x:c>
      <x:c r="AP738" s="32" t="n">
        <x:v>5.76</x:v>
      </x:c>
      <x:c r="AQ738" s="32" t="n">
        <x:v>3.65</x:v>
      </x:c>
      <x:c r="AR738" s="32" t="n">
        <x:v>0.237818</x:v>
      </x:c>
      <x:c r="AS738" t="str">
        <x:v>PASS</x:v>
      </x:c>
      <x:c r="AT738" t="str">
        <x:v>--cda-pstc-036</x:v>
      </x:c>
      <x:c r="AU738" t="str">
        <x:v>var(--cda-pstc-036)</x:v>
      </x:c>
      <x:c r="AV738" t="str">
        <x:v>Median RGB from official PDF swatch (screen reference only)</x:v>
      </x:c>
      <x:c r="AW738" t="str">
        <x:v>https://www.carandache.com/content_files/uploaded_doc/product/10985/Colour_Chart_Pastel_Pencil.pdf</x:v>
      </x:c>
      <x:c r="AX738" t="n">
        <x:v>1</x:v>
      </x:c>
      <x:c r="AY738" t="str">
        <x:v>Official</x:v>
      </x:c>
      <x:c r="AZ738" t="str">
        <x:v>Official where available; curated Traditional Chinese/Japanese otherwise</x:v>
      </x:c>
      <x:c r="BA738" t="str">
        <x:v>Verified from official chart; digital HEX is approximate</x:v>
      </x:c>
      <x:c r="BB738" t="str">
        <x:v>Shares the same 84-colour palette as PASTEL PENCILS; physical application differs by format.</x:v>
      </x:c>
    </x:row>
    <x:row r="739">
      <x:c r="A739" t="str">
        <x:f>G739&amp;"|"&amp;L739</x:f>
        <x:v>PSTC|047</x:v>
      </x:c>
      <x:c r="B739" t="str">
        <x:v>8fa74d07-1e92-52d1-b2ee-b9feb4d4a7e2</x:v>
      </x:c>
      <x:c r="C739" t="str">
        <x:v>CDA-PSTC-047</x:v>
      </x:c>
      <x:c r="D739" t="str">
        <x:v>6cac1bff-68a3-5a47-a94c-682a0339a8d5</x:v>
      </x:c>
      <x:c r="E739" t="str">
        <x:v>CDA-CODE-047</x:v>
      </x:c>
      <x:c r="F739" t="str">
        <x:v>Caran d’Ache</x:v>
      </x:c>
      <x:c r="G739" t="str">
        <x:v>PSTC</x:v>
      </x:c>
      <x:c r="H739" t="str">
        <x:v>PASTEL CUBES</x:v>
      </x:c>
      <x:c r="I739" t="str">
        <x:v>Extra-fine dry pastel cube</x:v>
      </x:c>
      <x:c r="J739" t="str">
        <x:v>Professional</x:v>
      </x:c>
      <x:c r="K739" s="30" t="n">
        <x:v>58</x:v>
      </x:c>
      <x:c r="L739" s="30" t="str">
        <x:v>047</x:v>
      </x:c>
      <x:c r="M739" t="str">
        <x:v>Bistre</x:v>
      </x:c>
      <x:c r="N739" t="str">
        <x:v>煙褐色</x:v>
      </x:c>
      <x:c r="O739" t="str">
        <x:v>ビスター</x:v>
      </x:c>
      <x:c r="P739" t="str"/>
      <x:c r="Q739" t="str">
        <x:v>Bistre</x:v>
      </x:c>
      <x:c r="R739" t="str">
        <x:v>Bister</x:v>
      </x:c>
      <x:c r="S739" t="str">
        <x:v>Bistro</x:v>
      </x:c>
      <x:c r="T739" t="str">
        <x:v>Bistre</x:v>
      </x:c>
      <x:c r="U739" t="str">
        <x:v>Bistre</x:v>
      </x:c>
      <x:c r="V739" t="str"/>
      <x:c r="W739" t="str">
        <x:v>PY74/PBk11/PY42/PR101</x:v>
      </x:c>
      <x:c r="X739" t="n">
        <x:f>IF(W739="",0,LEN(W739)-LEN(SUBSTITUTE(W739,"/",""))+1)</x:f>
        <x:v>4</x:v>
      </x:c>
      <x:c r="Y739" t="str">
        <x:v>HH</x:v>
      </x:c>
      <x:c r="Z739" s="32" t="n">
        <x:v>2</x:v>
      </x:c>
      <x:c r="AA739" s="32" t="n">
        <x:v>5</x:v>
      </x:c>
      <x:c r="AB739" s="32" t="str">
        <x:v>Blue Wool Scale / UV 150h</x:v>
      </x:c>
      <x:c r="AC739" t="str">
        <x:v>#896039</x:v>
      </x:c>
      <x:c r="AD739" s="34" t="n">
        <x:v>137</x:v>
      </x:c>
      <x:c r="AE739" s="34" t="n">
        <x:v>96</x:v>
      </x:c>
      <x:c r="AF739" s="34" t="n">
        <x:v>57</x:v>
      </x:c>
      <x:c r="AG739" s="32" t="n">
        <x:v>29.25</x:v>
      </x:c>
      <x:c r="AH739" s="32" t="n">
        <x:v>41.24</x:v>
      </x:c>
      <x:c r="AI739" s="32" t="n">
        <x:v>38.04</x:v>
      </x:c>
      <x:c r="AJ739" s="32" t="n">
        <x:v>44.21</x:v>
      </x:c>
      <x:c r="AK739" s="32" t="n">
        <x:v>12.12</x:v>
      </x:c>
      <x:c r="AL739" s="32" t="n">
        <x:v>28.7</x:v>
      </x:c>
      <x:c r="AM739" s="32" t="str">
        <x:v>#FFFFFF</x:v>
      </x:c>
      <x:c r="AN739" s="32" t="str">
        <x:v>White</x:v>
      </x:c>
      <x:c r="AO739" s="32" t="n">
        <x:v>5.53</x:v>
      </x:c>
      <x:c r="AP739" s="32" t="n">
        <x:v>3.8</x:v>
      </x:c>
      <x:c r="AQ739" s="32" t="n">
        <x:v>5.53</x:v>
      </x:c>
      <x:c r="AR739" s="32" t="n">
        <x:v>0.139795</x:v>
      </x:c>
      <x:c r="AS739" t="str">
        <x:v>PASS</x:v>
      </x:c>
      <x:c r="AT739" t="str">
        <x:v>--cda-pstc-047</x:v>
      </x:c>
      <x:c r="AU739" t="str">
        <x:v>var(--cda-pstc-047)</x:v>
      </x:c>
      <x:c r="AV739" t="str">
        <x:v>Median RGB from official PDF swatch (screen reference only)</x:v>
      </x:c>
      <x:c r="AW739" t="str">
        <x:v>https://www.carandache.com/content_files/uploaded_doc/product/10985/Colour_Chart_Pastel_Pencil.pdf</x:v>
      </x:c>
      <x:c r="AX739" t="n">
        <x:v>1</x:v>
      </x:c>
      <x:c r="AY739" t="str">
        <x:v>Official</x:v>
      </x:c>
      <x:c r="AZ739" t="str">
        <x:v>Official where available; curated Traditional Chinese/Japanese otherwise</x:v>
      </x:c>
      <x:c r="BA739" t="str">
        <x:v>Verified from official chart; digital HEX is approximate</x:v>
      </x:c>
      <x:c r="BB739" t="str">
        <x:v>Shares the same 84-colour palette as PASTEL PENCILS; physical application differs by format.</x:v>
      </x:c>
    </x:row>
    <x:row r="740">
      <x:c r="A740" t="str">
        <x:f>G740&amp;"|"&amp;L740</x:f>
        <x:v>PSTC|746</x:v>
      </x:c>
      <x:c r="B740" t="str">
        <x:v>471e429b-69a6-5b08-b803-605990845639</x:v>
      </x:c>
      <x:c r="C740" t="str">
        <x:v>CDA-PSTC-746</x:v>
      </x:c>
      <x:c r="D740" t="str">
        <x:v>1c5a3b98-9174-57d0-bd87-a6f4469fcb6c</x:v>
      </x:c>
      <x:c r="E740" t="str">
        <x:v>CDA-CODE-746</x:v>
      </x:c>
      <x:c r="F740" t="str">
        <x:v>Caran d’Ache</x:v>
      </x:c>
      <x:c r="G740" t="str">
        <x:v>PSTC</x:v>
      </x:c>
      <x:c r="H740" t="str">
        <x:v>PASTEL CUBES</x:v>
      </x:c>
      <x:c r="I740" t="str">
        <x:v>Extra-fine dry pastel cube</x:v>
      </x:c>
      <x:c r="J740" t="str">
        <x:v>Professional</x:v>
      </x:c>
      <x:c r="K740" s="30" t="n">
        <x:v>59</x:v>
      </x:c>
      <x:c r="L740" s="30" t="str">
        <x:v>746</x:v>
      </x:c>
      <x:c r="M740" t="str">
        <x:v>Dark flesh 50%</x:v>
      </x:c>
      <x:c r="N740" t="str">
        <x:v>深膚色 50%</x:v>
      </x:c>
      <x:c r="O740" t="str">
        <x:v>ダークフレッシュ 50%</x:v>
      </x:c>
      <x:c r="P740" t="str"/>
      <x:c r="Q740" t="str">
        <x:v>Chair foncée 50%</x:v>
      </x:c>
      <x:c r="R740" t="str">
        <x:v>Dunkel fleischfarbig 50%</x:v>
      </x:c>
      <x:c r="S740" t="str">
        <x:v>Incarnato scuro 50%</x:v>
      </x:c>
      <x:c r="T740" t="str">
        <x:v>Carne oscuro 50%</x:v>
      </x:c>
      <x:c r="U740" t="str">
        <x:v>Carne escuro 50%</x:v>
      </x:c>
      <x:c r="V740" t="str"/>
      <x:c r="W740" t="str">
        <x:v>PR101/PO82/PBk7/PBr7/PBk11/PY42/PR101</x:v>
      </x:c>
      <x:c r="X740" t="n">
        <x:f>IF(W740="",0,LEN(W740)-LEN(SUBSTITUTE(W740,"/",""))+1)</x:f>
        <x:v>7</x:v>
      </x:c>
      <x:c r="Y740" t="str">
        <x:v>HHH</x:v>
      </x:c>
      <x:c r="Z740" s="32" t="n">
        <x:v>3</x:v>
      </x:c>
      <x:c r="AA740" s="32" t="n">
        <x:v>5</x:v>
      </x:c>
      <x:c r="AB740" s="32" t="str">
        <x:v>Blue Wool Scale / UV 150h</x:v>
      </x:c>
      <x:c r="AC740" t="str">
        <x:v>#9A7D72</x:v>
      </x:c>
      <x:c r="AD740" s="34" t="n">
        <x:v>154</x:v>
      </x:c>
      <x:c r="AE740" s="34" t="n">
        <x:v>125</x:v>
      </x:c>
      <x:c r="AF740" s="34" t="n">
        <x:v>114</x:v>
      </x:c>
      <x:c r="AG740" s="32" t="n">
        <x:v>16.5</x:v>
      </x:c>
      <x:c r="AH740" s="32" t="n">
        <x:v>16.53</x:v>
      </x:c>
      <x:c r="AI740" s="32" t="n">
        <x:v>52.55</x:v>
      </x:c>
      <x:c r="AJ740" s="32" t="n">
        <x:v>54.82</x:v>
      </x:c>
      <x:c r="AK740" s="32" t="n">
        <x:v>9.45</x:v>
      </x:c>
      <x:c r="AL740" s="32" t="n">
        <x:v>10.22</x:v>
      </x:c>
      <x:c r="AM740" s="32" t="str">
        <x:v>#000000</x:v>
      </x:c>
      <x:c r="AN740" s="32" t="str">
        <x:v>Black</x:v>
      </x:c>
      <x:c r="AO740" s="32" t="n">
        <x:v>5.55</x:v>
      </x:c>
      <x:c r="AP740" s="32" t="n">
        <x:v>5.55</x:v>
      </x:c>
      <x:c r="AQ740" s="32" t="n">
        <x:v>3.78</x:v>
      </x:c>
      <x:c r="AR740" s="32" t="n">
        <x:v>0.227522</x:v>
      </x:c>
      <x:c r="AS740" t="str">
        <x:v>PASS</x:v>
      </x:c>
      <x:c r="AT740" t="str">
        <x:v>--cda-pstc-746</x:v>
      </x:c>
      <x:c r="AU740" t="str">
        <x:v>var(--cda-pstc-746)</x:v>
      </x:c>
      <x:c r="AV740" t="str">
        <x:v>Median RGB from official PDF swatch (screen reference only)</x:v>
      </x:c>
      <x:c r="AW740" t="str">
        <x:v>https://www.carandache.com/content_files/uploaded_doc/product/10985/Colour_Chart_Pastel_Pencil.pdf</x:v>
      </x:c>
      <x:c r="AX740" t="n">
        <x:v>1</x:v>
      </x:c>
      <x:c r="AY740" t="str">
        <x:v>Official</x:v>
      </x:c>
      <x:c r="AZ740" t="str">
        <x:v>Official where available; curated Traditional Chinese/Japanese otherwise</x:v>
      </x:c>
      <x:c r="BA740" t="str">
        <x:v>Verified from official chart; digital HEX is approximate</x:v>
      </x:c>
      <x:c r="BB740" t="str">
        <x:v>Shares the same 84-colour palette as PASTEL PENCILS; physical application differs by format.</x:v>
      </x:c>
    </x:row>
    <x:row r="741">
      <x:c r="A741" t="str">
        <x:f>G741&amp;"|"&amp;L741</x:f>
        <x:v>PSTC|745</x:v>
      </x:c>
      <x:c r="B741" t="str">
        <x:v>3f869179-6827-5d80-a668-d0f22505017c</x:v>
      </x:c>
      <x:c r="C741" t="str">
        <x:v>CDA-PSTC-745</x:v>
      </x:c>
      <x:c r="D741" t="str">
        <x:v>e36ade24-7ba9-537a-8819-c1869a018fcd</x:v>
      </x:c>
      <x:c r="E741" t="str">
        <x:v>CDA-CODE-745</x:v>
      </x:c>
      <x:c r="F741" t="str">
        <x:v>Caran d’Ache</x:v>
      </x:c>
      <x:c r="G741" t="str">
        <x:v>PSTC</x:v>
      </x:c>
      <x:c r="H741" t="str">
        <x:v>PASTEL CUBES</x:v>
      </x:c>
      <x:c r="I741" t="str">
        <x:v>Extra-fine dry pastel cube</x:v>
      </x:c>
      <x:c r="J741" t="str">
        <x:v>Professional</x:v>
      </x:c>
      <x:c r="K741" s="30" t="n">
        <x:v>60</x:v>
      </x:c>
      <x:c r="L741" s="30" t="str">
        <x:v>745</x:v>
      </x:c>
      <x:c r="M741" t="str">
        <x:v>Dark flesh 40%</x:v>
      </x:c>
      <x:c r="N741" t="str">
        <x:v>深膚色 40%</x:v>
      </x:c>
      <x:c r="O741" t="str">
        <x:v>ダークフレッシュ 40%</x:v>
      </x:c>
      <x:c r="P741" t="str"/>
      <x:c r="Q741" t="str">
        <x:v>Chair foncée 40%</x:v>
      </x:c>
      <x:c r="R741" t="str">
        <x:v>Dunkel fleischfarbig 40%</x:v>
      </x:c>
      <x:c r="S741" t="str">
        <x:v>Incarnato scuro 40%</x:v>
      </x:c>
      <x:c r="T741" t="str">
        <x:v>Carne oscuro 40%</x:v>
      </x:c>
      <x:c r="U741" t="str">
        <x:v>Carne escuro 40%</x:v>
      </x:c>
      <x:c r="V741" t="str"/>
      <x:c r="W741" t="str">
        <x:v>PR101/PO82/PBk7/PBr7/PBk11/PY42/PR101</x:v>
      </x:c>
      <x:c r="X741" t="n">
        <x:f>IF(W741="",0,LEN(W741)-LEN(SUBSTITUTE(W741,"/",""))+1)</x:f>
        <x:v>7</x:v>
      </x:c>
      <x:c r="Y741" t="str">
        <x:v>HHH</x:v>
      </x:c>
      <x:c r="Z741" s="32" t="n">
        <x:v>3</x:v>
      </x:c>
      <x:c r="AA741" s="32" t="n">
        <x:v>5</x:v>
      </x:c>
      <x:c r="AB741" s="32" t="str">
        <x:v>Blue Wool Scale / UV 150h</x:v>
      </x:c>
      <x:c r="AC741" t="str">
        <x:v>#A37F6F</x:v>
      </x:c>
      <x:c r="AD741" s="34" t="n">
        <x:v>163</x:v>
      </x:c>
      <x:c r="AE741" s="34" t="n">
        <x:v>127</x:v>
      </x:c>
      <x:c r="AF741" s="34" t="n">
        <x:v>111</x:v>
      </x:c>
      <x:c r="AG741" s="32" t="n">
        <x:v>18.46</x:v>
      </x:c>
      <x:c r="AH741" s="32" t="n">
        <x:v>22.03</x:v>
      </x:c>
      <x:c r="AI741" s="32" t="n">
        <x:v>53.73</x:v>
      </x:c>
      <x:c r="AJ741" s="32" t="n">
        <x:v>56.2</x:v>
      </x:c>
      <x:c r="AK741" s="32" t="n">
        <x:v>11.53</x:v>
      </x:c>
      <x:c r="AL741" s="32" t="n">
        <x:v>14.03</x:v>
      </x:c>
      <x:c r="AM741" s="32" t="str">
        <x:v>#000000</x:v>
      </x:c>
      <x:c r="AN741" s="32" t="str">
        <x:v>Black</x:v>
      </x:c>
      <x:c r="AO741" s="32" t="n">
        <x:v>5.82</x:v>
      </x:c>
      <x:c r="AP741" s="32" t="n">
        <x:v>5.82</x:v>
      </x:c>
      <x:c r="AQ741" s="32" t="n">
        <x:v>3.61</x:v>
      </x:c>
      <x:c r="AR741" s="32" t="n">
        <x:v>0.24113</x:v>
      </x:c>
      <x:c r="AS741" t="str">
        <x:v>PASS</x:v>
      </x:c>
      <x:c r="AT741" t="str">
        <x:v>--cda-pstc-745</x:v>
      </x:c>
      <x:c r="AU741" t="str">
        <x:v>var(--cda-pstc-745)</x:v>
      </x:c>
      <x:c r="AV741" t="str">
        <x:v>Median RGB from official PDF swatch (screen reference only)</x:v>
      </x:c>
      <x:c r="AW741" t="str">
        <x:v>https://www.carandache.com/content_files/uploaded_doc/product/10985/Colour_Chart_Pastel_Pencil.pdf</x:v>
      </x:c>
      <x:c r="AX741" t="n">
        <x:v>1</x:v>
      </x:c>
      <x:c r="AY741" t="str">
        <x:v>Official</x:v>
      </x:c>
      <x:c r="AZ741" t="str">
        <x:v>Official where available; curated Traditional Chinese/Japanese otherwise</x:v>
      </x:c>
      <x:c r="BA741" t="str">
        <x:v>Verified from official chart; digital HEX is approximate</x:v>
      </x:c>
      <x:c r="BB741" t="str">
        <x:v>Shares the same 84-colour palette as PASTEL PENCILS; physical application differs by format.</x:v>
      </x:c>
    </x:row>
    <x:row r="742">
      <x:c r="A742" t="str">
        <x:f>G742&amp;"|"&amp;L742</x:f>
        <x:v>PSTC|541</x:v>
      </x:c>
      <x:c r="B742" t="str">
        <x:v>8334ab78-7643-55d2-a9e0-4157b704ed74</x:v>
      </x:c>
      <x:c r="C742" t="str">
        <x:v>CDA-PSTC-541</x:v>
      </x:c>
      <x:c r="D742" t="str">
        <x:v>fa5b3bb5-f9dc-5118-89a0-79634009ed1c</x:v>
      </x:c>
      <x:c r="E742" t="str">
        <x:v>CDA-CODE-541</x:v>
      </x:c>
      <x:c r="F742" t="str">
        <x:v>Caran d’Ache</x:v>
      </x:c>
      <x:c r="G742" t="str">
        <x:v>PSTC</x:v>
      </x:c>
      <x:c r="H742" t="str">
        <x:v>PASTEL CUBES</x:v>
      </x:c>
      <x:c r="I742" t="str">
        <x:v>Extra-fine dry pastel cube</x:v>
      </x:c>
      <x:c r="J742" t="str">
        <x:v>Professional</x:v>
      </x:c>
      <x:c r="K742" s="30" t="n">
        <x:v>61</x:v>
      </x:c>
      <x:c r="L742" s="30" t="str">
        <x:v>541</x:v>
      </x:c>
      <x:c r="M742" t="str">
        <x:v>Light flesh 5%</x:v>
      </x:c>
      <x:c r="N742" t="str">
        <x:v>淺膚色 5%</x:v>
      </x:c>
      <x:c r="O742" t="str">
        <x:v>ライトフレッシュ 5%</x:v>
      </x:c>
      <x:c r="P742" t="str"/>
      <x:c r="Q742" t="str">
        <x:v>Chair claire 5%</x:v>
      </x:c>
      <x:c r="R742" t="str">
        <x:v>Hellfleischfarbig 5%</x:v>
      </x:c>
      <x:c r="S742" t="str">
        <x:v>Incarnato chiaro 5%</x:v>
      </x:c>
      <x:c r="T742" t="str">
        <x:v>Carne claro 5%</x:v>
      </x:c>
      <x:c r="U742" t="str">
        <x:v>Carne claro 5%</x:v>
      </x:c>
      <x:c r="V742" t="str"/>
      <x:c r="W742" t="str">
        <x:v>PO82/PR259</x:v>
      </x:c>
      <x:c r="X742" t="n">
        <x:f>IF(W742="",0,LEN(W742)-LEN(SUBSTITUTE(W742,"/",""))+1)</x:f>
        <x:v>2</x:v>
      </x:c>
      <x:c r="Y742" t="str">
        <x:v>HH</x:v>
      </x:c>
      <x:c r="Z742" s="32" t="n">
        <x:v>2</x:v>
      </x:c>
      <x:c r="AA742" s="32" t="n">
        <x:v>5</x:v>
      </x:c>
      <x:c r="AB742" s="32" t="str">
        <x:v>Blue Wool Scale / UV 150h</x:v>
      </x:c>
      <x:c r="AC742" t="str">
        <x:v>#E6DAC5</x:v>
      </x:c>
      <x:c r="AD742" s="34" t="n">
        <x:v>230</x:v>
      </x:c>
      <x:c r="AE742" s="34" t="n">
        <x:v>218</x:v>
      </x:c>
      <x:c r="AF742" s="34" t="n">
        <x:v>197</x:v>
      </x:c>
      <x:c r="AG742" s="32" t="n">
        <x:v>38.18</x:v>
      </x:c>
      <x:c r="AH742" s="32" t="n">
        <x:v>39.76</x:v>
      </x:c>
      <x:c r="AI742" s="32" t="n">
        <x:v>83.73</x:v>
      </x:c>
      <x:c r="AJ742" s="32" t="n">
        <x:v>87.48</x:v>
      </x:c>
      <x:c r="AK742" s="32" t="n">
        <x:v>0.66</x:v>
      </x:c>
      <x:c r="AL742" s="32" t="n">
        <x:v>11.81</x:v>
      </x:c>
      <x:c r="AM742" s="32" t="str">
        <x:v>#000000</x:v>
      </x:c>
      <x:c r="AN742" s="32" t="str">
        <x:v>Black</x:v>
      </x:c>
      <x:c r="AO742" s="32" t="n">
        <x:v>15.2</x:v>
      </x:c>
      <x:c r="AP742" s="32" t="n">
        <x:v>15.2</x:v>
      </x:c>
      <x:c r="AQ742" s="32" t="n">
        <x:v>1.38</x:v>
      </x:c>
      <x:c r="AR742" s="32" t="n">
        <x:v>0.70997</x:v>
      </x:c>
      <x:c r="AS742" t="str">
        <x:v>PASS</x:v>
      </x:c>
      <x:c r="AT742" t="str">
        <x:v>--cda-pstc-541</x:v>
      </x:c>
      <x:c r="AU742" t="str">
        <x:v>var(--cda-pstc-541)</x:v>
      </x:c>
      <x:c r="AV742" t="str">
        <x:v>Median RGB from official PDF swatch (screen reference only)</x:v>
      </x:c>
      <x:c r="AW742" t="str">
        <x:v>https://www.carandache.com/content_files/uploaded_doc/product/10985/Colour_Chart_Pastel_Pencil.pdf</x:v>
      </x:c>
      <x:c r="AX742" t="n">
        <x:v>1</x:v>
      </x:c>
      <x:c r="AY742" t="str">
        <x:v>Official</x:v>
      </x:c>
      <x:c r="AZ742" t="str">
        <x:v>Official where available; curated Traditional Chinese/Japanese otherwise</x:v>
      </x:c>
      <x:c r="BA742" t="str">
        <x:v>Verified from official chart; digital HEX is approximate</x:v>
      </x:c>
      <x:c r="BB742" t="str">
        <x:v>Shares the same 84-colour palette as PASTEL PENCILS; physical application differs by format.</x:v>
      </x:c>
    </x:row>
    <x:row r="743">
      <x:c r="A743" t="str">
        <x:f>G743&amp;"|"&amp;L743</x:f>
        <x:v>PSTC|542</x:v>
      </x:c>
      <x:c r="B743" t="str">
        <x:v>7eac2d1e-b054-569c-b5e5-064ea30c1fa4</x:v>
      </x:c>
      <x:c r="C743" t="str">
        <x:v>CDA-PSTC-542</x:v>
      </x:c>
      <x:c r="D743" t="str">
        <x:v>e6b97c63-44ad-5921-912c-ff40fdb5df56</x:v>
      </x:c>
      <x:c r="E743" t="str">
        <x:v>CDA-CODE-542</x:v>
      </x:c>
      <x:c r="F743" t="str">
        <x:v>Caran d’Ache</x:v>
      </x:c>
      <x:c r="G743" t="str">
        <x:v>PSTC</x:v>
      </x:c>
      <x:c r="H743" t="str">
        <x:v>PASTEL CUBES</x:v>
      </x:c>
      <x:c r="I743" t="str">
        <x:v>Extra-fine dry pastel cube</x:v>
      </x:c>
      <x:c r="J743" t="str">
        <x:v>Professional</x:v>
      </x:c>
      <x:c r="K743" s="30" t="n">
        <x:v>62</x:v>
      </x:c>
      <x:c r="L743" s="30" t="str">
        <x:v>542</x:v>
      </x:c>
      <x:c r="M743" t="str">
        <x:v>Light flesh 10%</x:v>
      </x:c>
      <x:c r="N743" t="str">
        <x:v>淺膚色 10%</x:v>
      </x:c>
      <x:c r="O743" t="str">
        <x:v>ライトフレッシュ 10%</x:v>
      </x:c>
      <x:c r="P743" t="str"/>
      <x:c r="Q743" t="str">
        <x:v>Chair claire 10%</x:v>
      </x:c>
      <x:c r="R743" t="str">
        <x:v>Hellfleischfarbig 10%</x:v>
      </x:c>
      <x:c r="S743" t="str">
        <x:v>Incarnato chiaro 10%</x:v>
      </x:c>
      <x:c r="T743" t="str">
        <x:v>Carne claro 10%</x:v>
      </x:c>
      <x:c r="U743" t="str">
        <x:v>Carne claro 10%</x:v>
      </x:c>
      <x:c r="V743" t="str"/>
      <x:c r="W743" t="str">
        <x:v>PO82</x:v>
      </x:c>
      <x:c r="X743" t="n">
        <x:f>IF(W743="",0,LEN(W743)-LEN(SUBSTITUTE(W743,"/",""))+1)</x:f>
        <x:v>1</x:v>
      </x:c>
      <x:c r="Y743" t="str">
        <x:v>HHH</x:v>
      </x:c>
      <x:c r="Z743" s="32" t="n">
        <x:v>3</x:v>
      </x:c>
      <x:c r="AA743" s="32" t="n">
        <x:v>5</x:v>
      </x:c>
      <x:c r="AB743" s="32" t="str">
        <x:v>Blue Wool Scale / UV 150h</x:v>
      </x:c>
      <x:c r="AC743" t="str">
        <x:v>#E5CA9F</x:v>
      </x:c>
      <x:c r="AD743" s="34" t="n">
        <x:v>229</x:v>
      </x:c>
      <x:c r="AE743" s="34" t="n">
        <x:v>202</x:v>
      </x:c>
      <x:c r="AF743" s="34" t="n">
        <x:v>159</x:v>
      </x:c>
      <x:c r="AG743" s="32" t="n">
        <x:v>36.86</x:v>
      </x:c>
      <x:c r="AH743" s="32" t="n">
        <x:v>57.38</x:v>
      </x:c>
      <x:c r="AI743" s="32" t="n">
        <x:v>76.08</x:v>
      </x:c>
      <x:c r="AJ743" s="32" t="n">
        <x:v>82.6</x:v>
      </x:c>
      <x:c r="AK743" s="32" t="n">
        <x:v>3.2</x:v>
      </x:c>
      <x:c r="AL743" s="32" t="n">
        <x:v>24.98</x:v>
      </x:c>
      <x:c r="AM743" s="32" t="str">
        <x:v>#000000</x:v>
      </x:c>
      <x:c r="AN743" s="32" t="str">
        <x:v>Black</x:v>
      </x:c>
      <x:c r="AO743" s="32" t="n">
        <x:v>13.28</x:v>
      </x:c>
      <x:c r="AP743" s="32" t="n">
        <x:v>13.28</x:v>
      </x:c>
      <x:c r="AQ743" s="32" t="n">
        <x:v>1.58</x:v>
      </x:c>
      <x:c r="AR743" s="32" t="n">
        <x:v>0.614023</x:v>
      </x:c>
      <x:c r="AS743" t="str">
        <x:v>PASS</x:v>
      </x:c>
      <x:c r="AT743" t="str">
        <x:v>--cda-pstc-542</x:v>
      </x:c>
      <x:c r="AU743" t="str">
        <x:v>var(--cda-pstc-542)</x:v>
      </x:c>
      <x:c r="AV743" t="str">
        <x:v>Median RGB from official PDF swatch (screen reference only)</x:v>
      </x:c>
      <x:c r="AW743" t="str">
        <x:v>https://www.carandache.com/content_files/uploaded_doc/product/10985/Colour_Chart_Pastel_Pencil.pdf</x:v>
      </x:c>
      <x:c r="AX743" t="n">
        <x:v>1</x:v>
      </x:c>
      <x:c r="AY743" t="str">
        <x:v>Official</x:v>
      </x:c>
      <x:c r="AZ743" t="str">
        <x:v>Official where available; curated Traditional Chinese/Japanese otherwise</x:v>
      </x:c>
      <x:c r="BA743" t="str">
        <x:v>Verified from official chart; digital HEX is approximate</x:v>
      </x:c>
      <x:c r="BB743" t="str">
        <x:v>Shares the same 84-colour palette as PASTEL PENCILS; physical application differs by format.</x:v>
      </x:c>
    </x:row>
    <x:row r="744">
      <x:c r="A744" t="str">
        <x:f>G744&amp;"|"&amp;L744</x:f>
        <x:v>PSTC|042</x:v>
      </x:c>
      <x:c r="B744" t="str">
        <x:v>506b9a20-180a-5ea0-9e58-a1e0fbfa16ef</x:v>
      </x:c>
      <x:c r="C744" t="str">
        <x:v>CDA-PSTC-042</x:v>
      </x:c>
      <x:c r="D744" t="str">
        <x:v>0f40623c-865b-5ad0-8bcf-8dc04765b592</x:v>
      </x:c>
      <x:c r="E744" t="str">
        <x:v>CDA-CODE-042</x:v>
      </x:c>
      <x:c r="F744" t="str">
        <x:v>Caran d’Ache</x:v>
      </x:c>
      <x:c r="G744" t="str">
        <x:v>PSTC</x:v>
      </x:c>
      <x:c r="H744" t="str">
        <x:v>PASTEL CUBES</x:v>
      </x:c>
      <x:c r="I744" t="str">
        <x:v>Extra-fine dry pastel cube</x:v>
      </x:c>
      <x:c r="J744" t="str">
        <x:v>Professional</x:v>
      </x:c>
      <x:c r="K744" s="30" t="n">
        <x:v>63</x:v>
      </x:c>
      <x:c r="L744" s="30" t="str">
        <x:v>042</x:v>
      </x:c>
      <x:c r="M744" t="str">
        <x:v>Flesh</x:v>
      </x:c>
      <x:c r="N744" t="str">
        <x:v>膚色</x:v>
      </x:c>
      <x:c r="O744" t="str">
        <x:v>フレッシュ</x:v>
      </x:c>
      <x:c r="P744" t="str"/>
      <x:c r="Q744" t="str">
        <x:v>Chair</x:v>
      </x:c>
      <x:c r="R744" t="str">
        <x:v>Fleischfarbig</x:v>
      </x:c>
      <x:c r="S744" t="str">
        <x:v>Incarnato</x:v>
      </x:c>
      <x:c r="T744" t="str">
        <x:v>Carne</x:v>
      </x:c>
      <x:c r="U744" t="str">
        <x:v>Carne</x:v>
      </x:c>
      <x:c r="V744" t="str"/>
      <x:c r="W744" t="str">
        <x:v>PO82/PR101</x:v>
      </x:c>
      <x:c r="X744" t="n">
        <x:f>IF(W744="",0,LEN(W744)-LEN(SUBSTITUTE(W744,"/",""))+1)</x:f>
        <x:v>2</x:v>
      </x:c>
      <x:c r="Y744" t="str">
        <x:v>HH</x:v>
      </x:c>
      <x:c r="Z744" s="32" t="n">
        <x:v>2</x:v>
      </x:c>
      <x:c r="AA744" s="32" t="n">
        <x:v>5</x:v>
      </x:c>
      <x:c r="AB744" s="32" t="str">
        <x:v>Blue Wool Scale / UV 150h</x:v>
      </x:c>
      <x:c r="AC744" t="str">
        <x:v>#EDBB88</x:v>
      </x:c>
      <x:c r="AD744" s="34" t="n">
        <x:v>237</x:v>
      </x:c>
      <x:c r="AE744" s="34" t="n">
        <x:v>187</x:v>
      </x:c>
      <x:c r="AF744" s="34" t="n">
        <x:v>136</x:v>
      </x:c>
      <x:c r="AG744" s="32" t="n">
        <x:v>30.3</x:v>
      </x:c>
      <x:c r="AH744" s="32" t="n">
        <x:v>73.72</x:v>
      </x:c>
      <x:c r="AI744" s="32" t="n">
        <x:v>73.14</x:v>
      </x:c>
      <x:c r="AJ744" s="32" t="n">
        <x:v>79.23</x:v>
      </x:c>
      <x:c r="AK744" s="32" t="n">
        <x:v>11.53</x:v>
      </x:c>
      <x:c r="AL744" s="32" t="n">
        <x:v>32.68</x:v>
      </x:c>
      <x:c r="AM744" s="32" t="str">
        <x:v>#000000</x:v>
      </x:c>
      <x:c r="AN744" s="32" t="str">
        <x:v>Black</x:v>
      </x:c>
      <x:c r="AO744" s="32" t="n">
        <x:v>12.06</x:v>
      </x:c>
      <x:c r="AP744" s="32" t="n">
        <x:v>12.06</x:v>
      </x:c>
      <x:c r="AQ744" s="32" t="n">
        <x:v>1.74</x:v>
      </x:c>
      <x:c r="AR744" s="32" t="n">
        <x:v>0.553227</x:v>
      </x:c>
      <x:c r="AS744" t="str">
        <x:v>PASS</x:v>
      </x:c>
      <x:c r="AT744" t="str">
        <x:v>--cda-pstc-042</x:v>
      </x:c>
      <x:c r="AU744" t="str">
        <x:v>var(--cda-pstc-042)</x:v>
      </x:c>
      <x:c r="AV744" t="str">
        <x:v>Median RGB from official PDF swatch (screen reference only)</x:v>
      </x:c>
      <x:c r="AW744" t="str">
        <x:v>https://www.carandache.com/content_files/uploaded_doc/product/10985/Colour_Chart_Pastel_Pencil.pdf</x:v>
      </x:c>
      <x:c r="AX744" t="n">
        <x:v>1</x:v>
      </x:c>
      <x:c r="AY744" t="str">
        <x:v>Official</x:v>
      </x:c>
      <x:c r="AZ744" t="str">
        <x:v>Official where available; curated Traditional Chinese/Japanese otherwise</x:v>
      </x:c>
      <x:c r="BA744" t="str">
        <x:v>Verified from official chart; digital HEX is approximate</x:v>
      </x:c>
      <x:c r="BB744" t="str">
        <x:v>Shares the same 84-colour palette as PASTEL PENCILS; physical application differs by format.</x:v>
      </x:c>
    </x:row>
    <x:row r="745">
      <x:c r="A745" t="str">
        <x:f>G745&amp;"|"&amp;L745</x:f>
        <x:v>PSTC|052</x:v>
      </x:c>
      <x:c r="B745" t="str">
        <x:v>0cee5ba9-ecd5-5e69-add3-510dfa552a7f</x:v>
      </x:c>
      <x:c r="C745" t="str">
        <x:v>CDA-PSTC-052</x:v>
      </x:c>
      <x:c r="D745" t="str">
        <x:v>c578249b-2849-5910-b333-baf5c652e1b3</x:v>
      </x:c>
      <x:c r="E745" t="str">
        <x:v>CDA-CODE-052</x:v>
      </x:c>
      <x:c r="F745" t="str">
        <x:v>Caran d’Ache</x:v>
      </x:c>
      <x:c r="G745" t="str">
        <x:v>PSTC</x:v>
      </x:c>
      <x:c r="H745" t="str">
        <x:v>PASTEL CUBES</x:v>
      </x:c>
      <x:c r="I745" t="str">
        <x:v>Extra-fine dry pastel cube</x:v>
      </x:c>
      <x:c r="J745" t="str">
        <x:v>Professional</x:v>
      </x:c>
      <x:c r="K745" 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45" t="str">
        <x:v>サフラン</x:v>
      </x:c>
      <x:c r="P745" t="str"/>
      <x:c r="Q745" t="str">
        <x:v>Safran</x:v>
      </x:c>
      <x:c r="R745" t="str">
        <x:v>Safran</x:v>
      </x:c>
      <x:c r="S745" t="str">
        <x:v>Zafferano</x:v>
      </x:c>
      <x:c r="T745" t="str">
        <x:v>Azafrán</x:v>
      </x:c>
      <x:c r="U745" t="str">
        <x:v>Açafrão</x:v>
      </x:c>
      <x:c r="V745" t="str"/>
      <x:c r="W745" t="str">
        <x:v>PY1/PR4/PR101</x:v>
      </x:c>
      <x:c r="X745" t="n">
        <x:f>IF(W745="",0,LEN(W745)-LEN(SUBSTITUTE(W745,"/",""))+1)</x:f>
        <x:v>3</x:v>
      </x:c>
      <x:c r="Y745" t="str">
        <x:v>H</x:v>
      </x:c>
      <x:c r="Z745" s="32" t="n">
        <x:v>1</x:v>
      </x:c>
      <x:c r="AA745" s="32" t="n">
        <x:v>5</x:v>
      </x:c>
      <x:c r="AB745" s="32" t="str">
        <x:v>Blue Wool Scale / UV 150h</x:v>
      </x:c>
      <x:c r="AC745" t="str">
        <x:v>#CD8543</x:v>
      </x:c>
      <x:c r="AD745" s="34" t="n">
        <x:v>205</x:v>
      </x:c>
      <x:c r="AE745" s="34" t="n">
        <x:v>133</x:v>
      </x:c>
      <x:c r="AF745" s="34" t="n">
        <x:v>67</x:v>
      </x:c>
      <x:c r="AG745" s="32" t="n">
        <x:v>28.7</x:v>
      </x:c>
      <x:c r="AH745" s="32" t="n">
        <x:v>57.98</x:v>
      </x:c>
      <x:c r="AI745" s="32" t="n">
        <x:v>53.33</x:v>
      </x:c>
      <x:c r="AJ745" s="32" t="n">
        <x:v>61.79</x:v>
      </x:c>
      <x:c r="AK745" s="32" t="n">
        <x:v>21.62</x:v>
      </x:c>
      <x:c r="AL745" s="32" t="n">
        <x:v>46.02</x:v>
      </x:c>
      <x:c r="AM745" s="32" t="str">
        <x:v>#000000</x:v>
      </x:c>
      <x:c r="AN745" s="32" t="str">
        <x:v>Black</x:v>
      </x:c>
      <x:c r="AO745" s="32" t="n">
        <x:v>7.03</x:v>
      </x:c>
      <x:c r="AP745" s="32" t="n">
        <x:v>7.03</x:v>
      </x:c>
      <x:c r="AQ745" s="32" t="n">
        <x:v>2.99</x:v>
      </x:c>
      <x:c r="AR745" s="32" t="n">
        <x:v>0.301594</x:v>
      </x:c>
      <x:c r="AS745" t="str">
        <x:v>PASS</x:v>
      </x:c>
      <x:c r="AT745" t="str">
        <x:v>--cda-pstc-052</x:v>
      </x:c>
      <x:c r="AU745" t="str">
        <x:v>var(--cda-pstc-052)</x:v>
      </x:c>
      <x:c r="AV745" t="str">
        <x:v>Median RGB from official PDF swatch (screen reference only)</x:v>
      </x:c>
      <x:c r="AW745" t="str">
        <x:v>https://www.carandache.com/content_files/uploaded_doc/product/10985/Colour_Chart_Pastel_Pencil.pdf</x:v>
      </x:c>
      <x:c r="AX745" t="n">
        <x:v>1</x:v>
      </x:c>
      <x:c r="AY745" t="str">
        <x:v>Official</x:v>
      </x:c>
      <x:c r="AZ745" t="str">
        <x:v>Official where available; curated Traditional Chinese/Japanese otherwise</x:v>
      </x:c>
      <x:c r="BA745" t="str">
        <x:v>Verified from official chart; digital HEX is approximate</x:v>
      </x:c>
      <x:c r="BB745" t="str">
        <x:v>Shares the same 84-colour palette as PASTEL PENCILS; physical application differs by format.</x:v>
      </x:c>
    </x:row>
    <x:row r="746">
      <x:c r="A746" t="str">
        <x:f>G746&amp;"|"&amp;L746</x:f>
        <x:v>PSTC|068</x:v>
      </x:c>
      <x:c r="B746" t="str">
        <x:v>9c7a084f-3f57-5223-8d99-3f1bb15c2b3a</x:v>
      </x:c>
      <x:c r="C746" t="str">
        <x:v>CDA-PSTC-068</x:v>
      </x:c>
      <x:c r="D746" t="str">
        <x:v>cf74a785-f5e0-5e2c-bf77-3f77f5dd6745</x:v>
      </x:c>
      <x:c r="E746" t="str">
        <x:v>CDA-CODE-068</x:v>
      </x:c>
      <x:c r="F746" t="str">
        <x:v>Caran d’Ache</x:v>
      </x:c>
      <x:c r="G746" t="str">
        <x:v>PSTC</x:v>
      </x:c>
      <x:c r="H746" t="str">
        <x:v>PASTEL CUBES</x:v>
      </x:c>
      <x:c r="I746" t="str">
        <x:v>Extra-fine dry pastel cube</x:v>
      </x:c>
      <x:c r="J746" t="str">
        <x:v>Professional</x:v>
      </x:c>
      <x:c r="K746" s="30" t="n">
        <x:v>65</x:v>
      </x:c>
      <x:c r="L746" s="30" t="str">
        <x:v>068</x:v>
      </x:c>
      <x:c r="M746" t="str">
        <x:v>Herculanum red</x:v>
      </x:c>
      <x:c r="N746" t="str">
        <x:v>赫庫蘭尼姆紅</x:v>
      </x:c>
      <x:c r="O746" t="str">
        <x:v>ヘルクラネウムレッド</x:v>
      </x:c>
      <x:c r="P746" t="str"/>
      <x:c r="Q746" t="str">
        <x:v>Rouge herculanum</x:v>
      </x:c>
      <x:c r="R746" t="str">
        <x:v>Herculanumrot</x:v>
      </x:c>
      <x:c r="S746" t="str">
        <x:v>Rosso Ercolano</x:v>
      </x:c>
      <x:c r="T746" t="str">
        <x:v>Rojo Herculanum</x:v>
      </x:c>
      <x:c r="U746" t="str">
        <x:v>Vermelho Herculano</x:v>
      </x:c>
      <x:c r="V746" t="str"/>
      <x:c r="W746" t="str">
        <x:v>PR101</x:v>
      </x:c>
      <x:c r="X746" t="n">
        <x:f>IF(W746="",0,LEN(W746)-LEN(SUBSTITUTE(W746,"/",""))+1)</x:f>
        <x:v>1</x:v>
      </x:c>
      <x:c r="Y746" t="str">
        <x:v>HHH</x:v>
      </x:c>
      <x:c r="Z746" s="32" t="n">
        <x:v>3</x:v>
      </x:c>
      <x:c r="AA746" s="32" t="n">
        <x:v>5</x:v>
      </x:c>
      <x:c r="AB746" s="32" t="str">
        <x:v>Blue Wool Scale / UV 150h</x:v>
      </x:c>
      <x:c r="AC746" t="str">
        <x:v>#EDAA95</x:v>
      </x:c>
      <x:c r="AD746" s="34" t="n">
        <x:v>237</x:v>
      </x:c>
      <x:c r="AE746" s="34" t="n">
        <x:v>170</x:v>
      </x:c>
      <x:c r="AF746" s="34" t="n">
        <x:v>149</x:v>
      </x:c>
      <x:c r="AG746" s="32" t="n">
        <x:v>14.32</x:v>
      </x:c>
      <x:c r="AH746" s="32" t="n">
        <x:v>70.97</x:v>
      </x:c>
      <x:c r="AI746" s="32" t="n">
        <x:v>75.69</x:v>
      </x:c>
      <x:c r="AJ746" s="32" t="n">
        <x:v>75.41</x:v>
      </x:c>
      <x:c r="AK746" s="32" t="n">
        <x:v>21.97</x:v>
      </x:c>
      <x:c r="AL746" s="32" t="n">
        <x:v>20.61</x:v>
      </x:c>
      <x:c r="AM746" s="32" t="str">
        <x:v>#000000</x:v>
      </x:c>
      <x:c r="AN746" s="32" t="str">
        <x:v>Black</x:v>
      </x:c>
      <x:c r="AO746" s="32" t="n">
        <x:v>10.78</x:v>
      </x:c>
      <x:c r="AP746" s="32" t="n">
        <x:v>10.78</x:v>
      </x:c>
      <x:c r="AQ746" s="32" t="n">
        <x:v>1.95</x:v>
      </x:c>
      <x:c r="AR746" s="32" t="n">
        <x:v>0.489239</x:v>
      </x:c>
      <x:c r="AS746" t="str">
        <x:v>PASS</x:v>
      </x:c>
      <x:c r="AT746" t="str">
        <x:v>--cda-pstc-068</x:v>
      </x:c>
      <x:c r="AU746" t="str">
        <x:v>var(--cda-pstc-068)</x:v>
      </x:c>
      <x:c r="AV746" t="str">
        <x:v>Median RGB from official PDF swatch (screen reference only)</x:v>
      </x:c>
      <x:c r="AW746" t="str">
        <x:v>https://www.carandache.com/content_files/uploaded_doc/product/10985/Colour_Chart_Pastel_Pencil.pdf</x:v>
      </x:c>
      <x:c r="AX746" t="n">
        <x:v>1</x:v>
      </x:c>
      <x:c r="AY746" t="str">
        <x:v>Official</x:v>
      </x:c>
      <x:c r="AZ746" t="str">
        <x:v>Official where available; curated Traditional Chinese/Japanese otherwise</x:v>
      </x:c>
      <x:c r="BA746" t="str">
        <x:v>Verified from official chart; digital HEX is approximate</x:v>
      </x:c>
      <x:c r="BB746" t="str">
        <x:v>Shares the same 84-colour palette as PASTEL PENCILS; physical application differs by format.</x:v>
      </x:c>
    </x:row>
    <x:row r="747">
      <x:c r="A747" t="str">
        <x:f>G747&amp;"|"&amp;L747</x:f>
        <x:v>PSTC|741</x:v>
      </x:c>
      <x:c r="B747" t="str">
        <x:v>df834d9c-a90b-53d2-be62-f4bda1537bcc</x:v>
      </x:c>
      <x:c r="C747" t="str">
        <x:v>CDA-PSTC-741</x:v>
      </x:c>
      <x:c r="D747" t="str">
        <x:v>8874dcef-a9da-5c2f-af73-bf0af94ebb38</x:v>
      </x:c>
      <x:c r="E747" t="str">
        <x:v>CDA-CODE-741</x:v>
      </x:c>
      <x:c r="F747" t="str">
        <x:v>Caran d’Ache</x:v>
      </x:c>
      <x:c r="G747" t="str">
        <x:v>PSTC</x:v>
      </x:c>
      <x:c r="H747" t="str">
        <x:v>PASTEL CUBES</x:v>
      </x:c>
      <x:c r="I747" t="str">
        <x:v>Extra-fine dry pastel cube</x:v>
      </x:c>
      <x:c r="J747" t="str">
        <x:v>Professional</x:v>
      </x:c>
      <x:c r="K747" s="30" t="n">
        <x:v>66</x:v>
      </x:c>
      <x:c r="L747" s="30" t="str">
        <x:v>741</x:v>
      </x:c>
      <x:c r="M747" t="str">
        <x:v>Dark flesh 5%</x:v>
      </x:c>
      <x:c r="N747" t="str">
        <x:v>深膚色 5%</x:v>
      </x:c>
      <x:c r="O747" t="str">
        <x:v>ダークフレッシュ 5%</x:v>
      </x:c>
      <x:c r="P747" t="str"/>
      <x:c r="Q747" t="str">
        <x:v>Chair foncée 5%</x:v>
      </x:c>
      <x:c r="R747" t="str">
        <x:v>Dunkel fleischfarbig 5%</x:v>
      </x:c>
      <x:c r="S747" t="str">
        <x:v>Incarnato scuro 5%</x:v>
      </x:c>
      <x:c r="T747" t="str">
        <x:v>Carne oscuro 5%</x:v>
      </x:c>
      <x:c r="U747" t="str">
        <x:v>Carne escuro 5%</x:v>
      </x:c>
      <x:c r="V747" t="str"/>
      <x:c r="W747" t="str">
        <x:v>PR101/PO82/PBk7/PBr7/PBk11/PY42/PR101</x:v>
      </x:c>
      <x:c r="X747" t="n">
        <x:f>IF(W747="",0,LEN(W747)-LEN(SUBSTITUTE(W747,"/",""))+1)</x:f>
        <x:v>7</x:v>
      </x:c>
      <x:c r="Y747" t="str">
        <x:v>HHH</x:v>
      </x:c>
      <x:c r="Z747" s="32" t="n">
        <x:v>3</x:v>
      </x:c>
      <x:c r="AA747" s="32" t="n">
        <x:v>5</x:v>
      </x:c>
      <x:c r="AB747" s="32" t="str">
        <x:v>Blue Wool Scale / UV 150h</x:v>
      </x:c>
      <x:c r="AC747" t="str">
        <x:v>#CF9E87</x:v>
      </x:c>
      <x:c r="AD747" s="34" t="n">
        <x:v>207</x:v>
      </x:c>
      <x:c r="AE747" s="34" t="n">
        <x:v>158</x:v>
      </x:c>
      <x:c r="AF747" s="34" t="n">
        <x:v>135</x:v>
      </x:c>
      <x:c r="AG747" s="32" t="n">
        <x:v>19.17</x:v>
      </x:c>
      <x:c r="AH747" s="32" t="n">
        <x:v>42.86</x:v>
      </x:c>
      <x:c r="AI747" s="32" t="n">
        <x:v>67.06</x:v>
      </x:c>
      <x:c r="AJ747" s="32" t="n">
        <x:v>69.09</x:v>
      </x:c>
      <x:c r="AK747" s="32" t="n">
        <x:v>15.07</x:v>
      </x:c>
      <x:c r="AL747" s="32" t="n">
        <x:v>19.06</x:v>
      </x:c>
      <x:c r="AM747" s="32" t="str">
        <x:v>#000000</x:v>
      </x:c>
      <x:c r="AN747" s="32" t="str">
        <x:v>Black</x:v>
      </x:c>
      <x:c r="AO747" s="32" t="n">
        <x:v>8.89</x:v>
      </x:c>
      <x:c r="AP747" s="32" t="n">
        <x:v>8.89</x:v>
      </x:c>
      <x:c r="AQ747" s="32" t="n">
        <x:v>2.36</x:v>
      </x:c>
      <x:c r="AR747" s="32" t="n">
        <x:v>0.394684</x:v>
      </x:c>
      <x:c r="AS747" t="str">
        <x:v>PASS</x:v>
      </x:c>
      <x:c r="AT747" t="str">
        <x:v>--cda-pstc-741</x:v>
      </x:c>
      <x:c r="AU747" t="str">
        <x:v>var(--cda-pstc-741)</x:v>
      </x:c>
      <x:c r="AV747" t="str">
        <x:v>Median RGB from official PDF swatch (screen reference only)</x:v>
      </x:c>
      <x:c r="AW747" t="str">
        <x:v>https://www.carandache.com/content_files/uploaded_doc/product/10985/Colour_Chart_Pastel_Pencil.pdf</x:v>
      </x:c>
      <x:c r="AX747" t="n">
        <x:v>1</x:v>
      </x:c>
      <x:c r="AY747" t="str">
        <x:v>Official</x:v>
      </x:c>
      <x:c r="AZ747" t="str">
        <x:v>Official where available; curated Traditional Chinese/Japanese otherwise</x:v>
      </x:c>
      <x:c r="BA747" t="str">
        <x:v>Verified from official chart; digital HEX is approximate</x:v>
      </x:c>
      <x:c r="BB747" t="str">
        <x:v>Shares the same 84-colour palette as PASTEL PENCILS; physical application differs by format.</x:v>
      </x:c>
    </x:row>
    <x:row r="748">
      <x:c r="A748" t="str">
        <x:f>G748&amp;"|"&amp;L748</x:f>
        <x:v>PSTC|044</x:v>
      </x:c>
      <x:c r="B748" t="str">
        <x:v>251bc554-3e31-5816-aece-f0eec86c01ba</x:v>
      </x:c>
      <x:c r="C748" t="str">
        <x:v>CDA-PSTC-044</x:v>
      </x:c>
      <x:c r="D748" t="str">
        <x:v>a055982d-ba3a-5326-a9f9-53708f4fbbec</x:v>
      </x:c>
      <x:c r="E748" t="str">
        <x:v>CDA-CODE-044</x:v>
      </x:c>
      <x:c r="F748" t="str">
        <x:v>Caran d’Ache</x:v>
      </x:c>
      <x:c r="G748" t="str">
        <x:v>PSTC</x:v>
      </x:c>
      <x:c r="H748" t="str">
        <x:v>PASTEL CUBES</x:v>
      </x:c>
      <x:c r="I748" t="str">
        <x:v>Extra-fine dry pastel cube</x:v>
      </x:c>
      <x:c r="J748" t="str">
        <x:v>Professional</x:v>
      </x:c>
      <x:c r="K748" s="30" t="n">
        <x:v>67</x:v>
      </x:c>
      <x:c r="L748" s="30" t="str">
        <x:v>044</x:v>
      </x:c>
      <x:c r="M748" t="str">
        <x:v>Terracotta</x:v>
      </x:c>
      <x:c r="N748" t="str">
        <x:v>赤陶色</x:v>
      </x:c>
      <x:c r="O748" t="str">
        <x:v>テラコッタ</x:v>
      </x:c>
      <x:c r="P748" t="str"/>
      <x:c r="Q748" t="str">
        <x:v>Terracotta</x:v>
      </x:c>
      <x:c r="R748" t="str">
        <x:v>Terracotta</x:v>
      </x:c>
      <x:c r="S748" t="str">
        <x:v>Terracotta</x:v>
      </x:c>
      <x:c r="T748" t="str">
        <x:v>Terracotta</x:v>
      </x:c>
      <x:c r="U748" t="str">
        <x:v>Terracotta</x:v>
      </x:c>
      <x:c r="V748" t="str"/>
      <x:c r="W748" t="str">
        <x:v>PR101/PO82</x:v>
      </x:c>
      <x:c r="X748" t="n">
        <x:f>IF(W748="",0,LEN(W748)-LEN(SUBSTITUTE(W748,"/",""))+1)</x:f>
        <x:v>2</x:v>
      </x:c>
      <x:c r="Y748" t="str">
        <x:v>HH</x:v>
      </x:c>
      <x:c r="Z748" s="32" t="n">
        <x:v>2</x:v>
      </x:c>
      <x:c r="AA748" s="32" t="n">
        <x:v>5</x:v>
      </x:c>
      <x:c r="AB748" s="32" t="str">
        <x:v>Blue Wool Scale / UV 150h</x:v>
      </x:c>
      <x:c r="AC748" t="str">
        <x:v>#C56C52</x:v>
      </x:c>
      <x:c r="AD748" s="34" t="n">
        <x:v>197</x:v>
      </x:c>
      <x:c r="AE748" s="34" t="n">
        <x:v>108</x:v>
      </x:c>
      <x:c r="AF748" s="34" t="n">
        <x:v>82</x:v>
      </x:c>
      <x:c r="AG748" s="32" t="n">
        <x:v>13.57</x:v>
      </x:c>
      <x:c r="AH748" s="32" t="n">
        <x:v>49.78</x:v>
      </x:c>
      <x:c r="AI748" s="32" t="n">
        <x:v>54.71</x:v>
      </x:c>
      <x:c r="AJ748" s="32" t="n">
        <x:v>55.29</x:v>
      </x:c>
      <x:c r="AK748" s="32" t="n">
        <x:v>32.84</x:v>
      </x:c>
      <x:c r="AL748" s="32" t="n">
        <x:v>30.08</x:v>
      </x:c>
      <x:c r="AM748" s="32" t="str">
        <x:v>#000000</x:v>
      </x:c>
      <x:c r="AN748" s="32" t="str">
        <x:v>Black</x:v>
      </x:c>
      <x:c r="AO748" s="32" t="n">
        <x:v>5.64</x:v>
      </x:c>
      <x:c r="AP748" s="32" t="n">
        <x:v>5.64</x:v>
      </x:c>
      <x:c r="AQ748" s="32" t="n">
        <x:v>3.72</x:v>
      </x:c>
      <x:c r="AR748" s="32" t="n">
        <x:v>0.232046</x:v>
      </x:c>
      <x:c r="AS748" t="str">
        <x:v>PASS</x:v>
      </x:c>
      <x:c r="AT748" t="str">
        <x:v>--cda-pstc-044</x:v>
      </x:c>
      <x:c r="AU748" t="str">
        <x:v>var(--cda-pstc-044)</x:v>
      </x:c>
      <x:c r="AV748" t="str">
        <x:v>Median RGB from official PDF swatch (screen reference only)</x:v>
      </x:c>
      <x:c r="AW748" t="str">
        <x:v>https://www.carandache.com/content_files/uploaded_doc/product/10985/Colour_Chart_Pastel_Pencil.pdf</x:v>
      </x:c>
      <x:c r="AX748" t="n">
        <x:v>1</x:v>
      </x:c>
      <x:c r="AY748" t="str">
        <x:v>Official</x:v>
      </x:c>
      <x:c r="AZ748" t="str">
        <x:v>Official where available; curated Traditional Chinese/Japanese otherwise</x:v>
      </x:c>
      <x:c r="BA748" t="str">
        <x:v>Verified from official chart; digital HEX is approximate</x:v>
      </x:c>
      <x:c r="BB748" t="str">
        <x:v>Shares the same 84-colour palette as PASTEL PENCILS; physical application differs by format.</x:v>
      </x:c>
    </x:row>
    <x:row r="749">
      <x:c r="A749" t="str">
        <x:f>G749&amp;"|"&amp;L749</x:f>
        <x:v>PSTC|066</x:v>
      </x:c>
      <x:c r="B749" t="str">
        <x:v>a07aa1eb-4cfc-5de9-bc9d-d287d60e1a41</x:v>
      </x:c>
      <x:c r="C749" t="str">
        <x:v>CDA-PSTC-066</x:v>
      </x:c>
      <x:c r="D749" t="str">
        <x:v>cfebfd0a-f69b-5df4-993d-c0405164ccbf</x:v>
      </x:c>
      <x:c r="E749" t="str">
        <x:v>CDA-CODE-066</x:v>
      </x:c>
      <x:c r="F749" t="str">
        <x:v>Caran d’Ache</x:v>
      </x:c>
      <x:c r="G749" t="str">
        <x:v>PSTC</x:v>
      </x:c>
      <x:c r="H749" t="str">
        <x:v>PASTEL CUBES</x:v>
      </x:c>
      <x:c r="I749" t="str">
        <x:v>Extra-fine dry pastel cube</x:v>
      </x:c>
      <x:c r="J749" t="str">
        <x:v>Professional</x:v>
      </x:c>
      <x:c r="K749" s="30" t="n">
        <x:v>68</x:v>
      </x:c>
      <x:c r="L749" s="30" t="str">
        <x:v>066</x:v>
      </x:c>
      <x:c r="M749" t="str">
        <x:v>Raw Russet</x:v>
      </x:c>
      <x:c r="N749" t="str">
        <x:v>生赤褐</x:v>
      </x:c>
      <x:c r="O749" t="str">
        <x:v>ローラセット</x:v>
      </x:c>
      <x:c r="P749" t="str"/>
      <x:c r="Q749" t="str">
        <x:v>Sanguine naturelle</x:v>
      </x:c>
      <x:c r="R749" t="str">
        <x:v>Rotbraun natur</x:v>
      </x:c>
      <x:c r="S749" t="str">
        <x:v>Sanguigna naturale</x:v>
      </x:c>
      <x:c r="T749" t="str">
        <x:v>Sanguina natural</x:v>
      </x:c>
      <x:c r="U749" t="str">
        <x:v>Sanguínea natural</x:v>
      </x:c>
      <x:c r="V749" t="str"/>
      <x:c r="W749" t="str">
        <x:v>PR101</x:v>
      </x:c>
      <x:c r="X749" t="n">
        <x:f>IF(W749="",0,LEN(W749)-LEN(SUBSTITUTE(W749,"/",""))+1)</x:f>
        <x:v>1</x:v>
      </x:c>
      <x:c r="Y749" t="str">
        <x:v>HHH</x:v>
      </x:c>
      <x:c r="Z749" s="32" t="n">
        <x:v>3</x:v>
      </x:c>
      <x:c r="AA749" s="32" t="n">
        <x:v>5</x:v>
      </x:c>
      <x:c r="AB749" s="32" t="str">
        <x:v>Blue Wool Scale / UV 150h</x:v>
      </x:c>
      <x:c r="AC749" t="str">
        <x:v>#B84523</x:v>
      </x:c>
      <x:c r="AD749" s="34" t="n">
        <x:v>184</x:v>
      </x:c>
      <x:c r="AE749" s="34" t="n">
        <x:v>69</x:v>
      </x:c>
      <x:c r="AF749" s="34" t="n">
        <x:v>35</x:v>
      </x:c>
      <x:c r="AG749" s="32" t="n">
        <x:v>13.69</x:v>
      </x:c>
      <x:c r="AH749" s="32" t="n">
        <x:v>68.04</x:v>
      </x:c>
      <x:c r="AI749" s="32" t="n">
        <x:v>42.94</x:v>
      </x:c>
      <x:c r="AJ749" s="32" t="n">
        <x:v>45.04</x:v>
      </x:c>
      <x:c r="AK749" s="32" t="n">
        <x:v>44.82</x:v>
      </x:c>
      <x:c r="AL749" s="32" t="n">
        <x:v>43.31</x:v>
      </x:c>
      <x:c r="AM749" s="32" t="str">
        <x:v>#FFFFFF</x:v>
      </x:c>
      <x:c r="AN749" s="32" t="str">
        <x:v>White</x:v>
      </x:c>
      <x:c r="AO749" s="32" t="n">
        <x:v>5.37</x:v>
      </x:c>
      <x:c r="AP749" s="32" t="n">
        <x:v>3.91</x:v>
      </x:c>
      <x:c r="AQ749" s="32" t="n">
        <x:v>5.37</x:v>
      </x:c>
      <x:c r="AR749" s="32" t="n">
        <x:v>0.145679</x:v>
      </x:c>
      <x:c r="AS749" t="str">
        <x:v>PASS</x:v>
      </x:c>
      <x:c r="AT749" t="str">
        <x:v>--cda-pstc-066</x:v>
      </x:c>
      <x:c r="AU749" t="str">
        <x:v>var(--cda-pstc-066)</x:v>
      </x:c>
      <x:c r="AV749" t="str">
        <x:v>Median RGB from official PDF swatch (screen reference only)</x:v>
      </x:c>
      <x:c r="AW749" t="str">
        <x:v>https://www.carandache.com/content_files/uploaded_doc/product/10985/Colour_Chart_Pastel_Pencil.pdf</x:v>
      </x:c>
      <x:c r="AX749" t="n">
        <x:v>1</x:v>
      </x:c>
      <x:c r="AY749" t="str">
        <x:v>Official</x:v>
      </x:c>
      <x:c r="AZ749" t="str">
        <x:v>Official where available; curated Traditional Chinese/Japanese otherwise</x:v>
      </x:c>
      <x:c r="BA749" t="str">
        <x:v>Verified from official chart; digital HEX is approximate</x:v>
      </x:c>
      <x:c r="BB749" t="str">
        <x:v>Shares the same 84-colour palette as PASTEL PENCILS; physical application differs by format.</x:v>
      </x:c>
    </x:row>
    <x:row r="750">
      <x:c r="A750" t="str">
        <x:f>G750&amp;"|"&amp;L750</x:f>
        <x:v>PSTC|064</x:v>
      </x:c>
      <x:c r="B750" t="str">
        <x:v>c635f7c3-e814-5679-b0f0-62028674d15c</x:v>
      </x:c>
      <x:c r="C750" t="str">
        <x:v>CDA-PSTC-064</x:v>
      </x:c>
      <x:c r="D750" t="str">
        <x:v>eca82c70-1fbb-58b4-b1ba-0e54739439d0</x:v>
      </x:c>
      <x:c r="E750" t="str">
        <x:v>CDA-CODE-064</x:v>
      </x:c>
      <x:c r="F750" t="str">
        <x:v>Caran d’Ache</x:v>
      </x:c>
      <x:c r="G750" t="str">
        <x:v>PSTC</x:v>
      </x:c>
      <x:c r="H750" t="str">
        <x:v>PASTEL CUBES</x:v>
      </x:c>
      <x:c r="I750" t="str">
        <x:v>Extra-fine dry pastel cube</x:v>
      </x:c>
      <x:c r="J750" t="str">
        <x:v>Professional</x:v>
      </x:c>
      <x:c r="K750" s="30" t="n">
        <x:v>69</x:v>
      </x:c>
      <x:c r="L750" s="30" t="str">
        <x:v>064</x:v>
      </x:c>
      <x:c r="M750" t="str">
        <x:v>Medium russet</x:v>
      </x:c>
      <x:c r="N750" t="str">
        <x:v>中度赤褐</x:v>
      </x:c>
      <x:c r="O750" t="str">
        <x:v>ミディアムラセット</x:v>
      </x:c>
      <x:c r="P750" t="str"/>
      <x:c r="Q750" t="str">
        <x:v>Sanguine moyenne</x:v>
      </x:c>
      <x:c r="R750" t="str">
        <x:v>Mittelrotbraun</x:v>
      </x:c>
      <x:c r="S750" t="str">
        <x:v>Sanguigna medio</x:v>
      </x:c>
      <x:c r="T750" t="str">
        <x:v>Sanguina medio</x:v>
      </x:c>
      <x:c r="U750" t="str">
        <x:v>Sanguínea médio</x:v>
      </x:c>
      <x:c r="V750" t="str"/>
      <x:c r="W750" t="str">
        <x:v>PR101/PBk11</x:v>
      </x:c>
      <x:c r="X750" t="n">
        <x:f>IF(W750="",0,LEN(W750)-LEN(SUBSTITUTE(W750,"/",""))+1)</x:f>
        <x:v>2</x:v>
      </x:c>
      <x:c r="Y750" t="str">
        <x:v>HH</x:v>
      </x:c>
      <x:c r="Z750" s="32" t="n">
        <x:v>2</x:v>
      </x:c>
      <x:c r="AA750" s="32" t="n">
        <x:v>5</x:v>
      </x:c>
      <x:c r="AB750" s="32" t="str">
        <x:v>Blue Wool Scale / UV 150h</x:v>
      </x:c>
      <x:c r="AC750" t="str">
        <x:v>#A54820</x:v>
      </x:c>
      <x:c r="AD750" s="34" t="n">
        <x:v>165</x:v>
      </x:c>
      <x:c r="AE750" s="34" t="n">
        <x:v>72</x:v>
      </x:c>
      <x:c r="AF750" s="34" t="n">
        <x:v>32</x:v>
      </x:c>
      <x:c r="AG750" s="32" t="n">
        <x:v>18.05</x:v>
      </x:c>
      <x:c r="AH750" s="32" t="n">
        <x:v>67.51</x:v>
      </x:c>
      <x:c r="AI750" s="32" t="n">
        <x:v>38.63</x:v>
      </x:c>
      <x:c r="AJ750" s="32" t="n">
        <x:v>42.37</x:v>
      </x:c>
      <x:c r="AK750" s="32" t="n">
        <x:v>36.05</x:v>
      </x:c>
      <x:c r="AL750" s="32" t="n">
        <x:v>41.1</x:v>
      </x:c>
      <x:c r="AM750" s="32" t="str">
        <x:v>#FFFFFF</x:v>
      </x:c>
      <x:c r="AN750" s="32" t="str">
        <x:v>White</x:v>
      </x:c>
      <x:c r="AO750" s="32" t="n">
        <x:v>5.92</x:v>
      </x:c>
      <x:c r="AP750" s="32" t="n">
        <x:v>3.55</x:v>
      </x:c>
      <x:c r="AQ750" s="32" t="n">
        <x:v>5.92</x:v>
      </x:c>
      <x:c r="AR750" s="32" t="n">
        <x:v>0.127383</x:v>
      </x:c>
      <x:c r="AS750" t="str">
        <x:v>PASS</x:v>
      </x:c>
      <x:c r="AT750" t="str">
        <x:v>--cda-pstc-064</x:v>
      </x:c>
      <x:c r="AU750" t="str">
        <x:v>var(--cda-pstc-064)</x:v>
      </x:c>
      <x:c r="AV750" t="str">
        <x:v>Median RGB from official PDF swatch (screen reference only)</x:v>
      </x:c>
      <x:c r="AW750" t="str">
        <x:v>https://www.carandache.com/content_files/uploaded_doc/product/10985/Colour_Chart_Pastel_Pencil.pdf</x:v>
      </x:c>
      <x:c r="AX750" t="n">
        <x:v>1</x:v>
      </x:c>
      <x:c r="AY750" t="str">
        <x:v>Official</x:v>
      </x:c>
      <x:c r="AZ750" t="str">
        <x:v>Official where available; curated Traditional Chinese/Japanese otherwise</x:v>
      </x:c>
      <x:c r="BA750" t="str">
        <x:v>Verified from official chart; digital HEX is approximate</x:v>
      </x:c>
      <x:c r="BB750" t="str">
        <x:v>Shares the same 84-colour palette as PASTEL PENCILS; physical application differs by format.</x:v>
      </x:c>
    </x:row>
    <x:row r="751">
      <x:c r="A751" t="str">
        <x:f>G751&amp;"|"&amp;L751</x:f>
        <x:v>PSTC|069</x:v>
      </x:c>
      <x:c r="B751" t="str">
        <x:v>5b7f9cea-7017-5c4e-a937-1be074170617</x:v>
      </x:c>
      <x:c r="C751" t="str">
        <x:v>CDA-PSTC-069</x:v>
      </x:c>
      <x:c r="D751" t="str">
        <x:v>cc93e1eb-34d0-5610-9562-5e234935f63d</x:v>
      </x:c>
      <x:c r="E751" t="str">
        <x:v>CDA-CODE-069</x:v>
      </x:c>
      <x:c r="F751" t="str">
        <x:v>Caran d’Ache</x:v>
      </x:c>
      <x:c r="G751" t="str">
        <x:v>PSTC</x:v>
      </x:c>
      <x:c r="H751" t="str">
        <x:v>PASTEL CUBES</x:v>
      </x:c>
      <x:c r="I751" t="str">
        <x:v>Extra-fine dry pastel cube</x:v>
      </x:c>
      <x:c r="J751" t="str">
        <x:v>Professional</x:v>
      </x:c>
      <x:c r="K751" s="30" t="n">
        <x:v>70</x:v>
      </x:c>
      <x:c r="L751" s="30" t="str">
        <x:v>069</x:v>
      </x:c>
      <x:c r="M751" t="str">
        <x:v>Burnt sienna</x:v>
      </x:c>
      <x:c r="N751" t="str">
        <x:v>熟赭紅</x:v>
      </x:c>
      <x:c r="O751" t="str">
        <x:v>バーントシェンナ</x:v>
      </x:c>
      <x:c r="P751" t="str"/>
      <x:c r="Q751" t="str">
        <x:v>Sienne brûlée</x:v>
      </x:c>
      <x:c r="R751" t="str">
        <x:v>Siena gebrannt</x:v>
      </x:c>
      <x:c r="S751" t="str">
        <x:v>Siena bruciata</x:v>
      </x:c>
      <x:c r="T751" t="str">
        <x:v>Siena quemada</x:v>
      </x:c>
      <x:c r="U751" t="str">
        <x:v>Siena queimado</x:v>
      </x:c>
      <x:c r="V751" t="str"/>
      <x:c r="W751" t="str">
        <x:v>PBk6/PR101</x:v>
      </x:c>
      <x:c r="X751" t="n">
        <x:f>IF(W751="",0,LEN(W751)-LEN(SUBSTITUTE(W751,"/",""))+1)</x:f>
        <x:v>2</x:v>
      </x:c>
      <x:c r="Y751" t="str">
        <x:v>HHH</x:v>
      </x:c>
      <x:c r="Z751" s="32" t="n">
        <x:v>3</x:v>
      </x:c>
      <x:c r="AA751" s="32" t="n">
        <x:v>5</x:v>
      </x:c>
      <x:c r="AB751" s="32" t="str">
        <x:v>Blue Wool Scale / UV 150h</x:v>
      </x:c>
      <x:c r="AC751" t="str">
        <x:v>#85413A</x:v>
      </x:c>
      <x:c r="AD751" s="34" t="n">
        <x:v>133</x:v>
      </x:c>
      <x:c r="AE751" s="34" t="n">
        <x:v>65</x:v>
      </x:c>
      <x:c r="AF751" s="34" t="n">
        <x:v>58</x:v>
      </x:c>
      <x:c r="AG751" s="32" t="n">
        <x:v>5.6</x:v>
      </x:c>
      <x:c r="AH751" s="32" t="n">
        <x:v>39.27</x:v>
      </x:c>
      <x:c r="AI751" s="32" t="n">
        <x:v>37.45</x:v>
      </x:c>
      <x:c r="AJ751" s="32" t="n">
        <x:v>36.13</x:v>
      </x:c>
      <x:c r="AK751" s="32" t="n">
        <x:v>28.41</x:v>
      </x:c>
      <x:c r="AL751" s="32" t="n">
        <x:v>17.76</x:v>
      </x:c>
      <x:c r="AM751" s="32" t="str">
        <x:v>#FFFFFF</x:v>
      </x:c>
      <x:c r="AN751" s="32" t="str">
        <x:v>White</x:v>
      </x:c>
      <x:c r="AO751" s="32" t="n">
        <x:v>7.46</x:v>
      </x:c>
      <x:c r="AP751" s="32" t="n">
        <x:v>2.81</x:v>
      </x:c>
      <x:c r="AQ751" s="32" t="n">
        <x:v>7.46</x:v>
      </x:c>
      <x:c r="AR751" s="32" t="n">
        <x:v>0.090726</x:v>
      </x:c>
      <x:c r="AS751" t="str">
        <x:v>PASS</x:v>
      </x:c>
      <x:c r="AT751" t="str">
        <x:v>--cda-pstc-069</x:v>
      </x:c>
      <x:c r="AU751" t="str">
        <x:v>var(--cda-pstc-069)</x:v>
      </x:c>
      <x:c r="AV751" t="str">
        <x:v>Median RGB from official PDF swatch (screen reference only)</x:v>
      </x:c>
      <x:c r="AW751" t="str">
        <x:v>https://www.carandache.com/content_files/uploaded_doc/product/10985/Colour_Chart_Pastel_Pencil.pdf</x:v>
      </x:c>
      <x:c r="AX751" t="n">
        <x:v>1</x:v>
      </x:c>
      <x:c r="AY751" t="str">
        <x:v>Official</x:v>
      </x:c>
      <x:c r="AZ751" t="str">
        <x:v>Official where available; curated Traditional Chinese/Japanese otherwise</x:v>
      </x:c>
      <x:c r="BA751" t="str">
        <x:v>Verified from official chart; digital HEX is approximate</x:v>
      </x:c>
      <x:c r="BB751" t="str">
        <x:v>Shares the same 84-colour palette as PASTEL PENCILS; physical application differs by format.</x:v>
      </x:c>
    </x:row>
    <x:row r="752">
      <x:c r="A752" t="str">
        <x:f>G752&amp;"|"&amp;L752</x:f>
        <x:v>PSTC|089</x:v>
      </x:c>
      <x:c r="B752" t="str">
        <x:v>f8089803-6778-5cfa-bc49-e2066e71e975</x:v>
      </x:c>
      <x:c r="C752" t="str">
        <x:v>CDA-PSTC-089</x:v>
      </x:c>
      <x:c r="D752" t="str">
        <x:v>3159f625-d33c-5af9-a012-e3105a2781ee</x:v>
      </x:c>
      <x:c r="E752" t="str">
        <x:v>CDA-CODE-089</x:v>
      </x:c>
      <x:c r="F752" t="str">
        <x:v>Caran d’Ache</x:v>
      </x:c>
      <x:c r="G752" t="str">
        <x:v>PSTC</x:v>
      </x:c>
      <x:c r="H752" t="str">
        <x:v>PASTEL CUBES</x:v>
      </x:c>
      <x:c r="I752" t="str">
        <x:v>Extra-fine dry pastel cube</x:v>
      </x:c>
      <x:c r="J752" t="str">
        <x:v>Professional</x:v>
      </x:c>
      <x:c r="K752" s="30" t="n">
        <x:v>71</x:v>
      </x:c>
      <x:c r="L752" s="30" t="str">
        <x:v>089</x:v>
      </x:c>
      <x:c r="M752" t="str">
        <x:v>Dark carmine</x:v>
      </x:c>
      <x:c r="N752" t="str">
        <x:v>深胭脂紅</x:v>
      </x:c>
      <x:c r="O752" t="str">
        <x:v>ダークカーマイン</x:v>
      </x:c>
      <x:c r="P752" t="str"/>
      <x:c r="Q752" t="str">
        <x:v>Carmin foncé</x:v>
      </x:c>
      <x:c r="R752" t="str">
        <x:v>Dunkelkarmin</x:v>
      </x:c>
      <x:c r="S752" t="str">
        <x:v>Carminio scuro</x:v>
      </x:c>
      <x:c r="T752" t="str">
        <x:v>Carmín oscuro</x:v>
      </x:c>
      <x:c r="U752" t="str">
        <x:v>Carmin escuro</x:v>
      </x:c>
      <x:c r="V752" t="str"/>
      <x:c r="W752" t="str">
        <x:v>PR254/PBK11/PY42/PR101/PBK7/PBr7</x:v>
      </x:c>
      <x:c r="X752" t="n">
        <x:f>IF(W752="",0,LEN(W752)-LEN(SUBSTITUTE(W752,"/",""))+1)</x:f>
        <x:v>6</x:v>
      </x:c>
      <x:c r="Y752" t="str">
        <x:v>HHH</x:v>
      </x:c>
      <x:c r="Z752" s="32" t="n">
        <x:v>3</x:v>
      </x:c>
      <x:c r="AA752" s="32" t="n">
        <x:v>5</x:v>
      </x:c>
      <x:c r="AB752" s="32" t="str">
        <x:v>Blue Wool Scale / UV 150h</x:v>
      </x:c>
      <x:c r="AC752" t="str">
        <x:v>#6E303A</x:v>
      </x:c>
      <x:c r="AD752" s="34" t="n">
        <x:v>110</x:v>
      </x:c>
      <x:c r="AE752" s="34" t="n">
        <x:v>48</x:v>
      </x:c>
      <x:c r="AF752" s="34" t="n">
        <x:v>58</x:v>
      </x:c>
      <x:c r="AG752" s="32" t="n">
        <x:v>350.32</x:v>
      </x:c>
      <x:c r="AH752" s="32" t="n">
        <x:v>39.24</x:v>
      </x:c>
      <x:c r="AI752" s="32" t="n">
        <x:v>30.98</x:v>
      </x:c>
      <x:c r="AJ752" s="32" t="n">
        <x:v>28.73</x:v>
      </x:c>
      <x:c r="AK752" s="32" t="n">
        <x:v>28.58</x:v>
      </x:c>
      <x:c r="AL752" s="32" t="n">
        <x:v>7.1</x:v>
      </x:c>
      <x:c r="AM752" s="32" t="str">
        <x:v>#FFFFFF</x:v>
      </x:c>
      <x:c r="AN752" s="32" t="str">
        <x:v>White</x:v>
      </x:c>
      <x:c r="AO752" s="32" t="n">
        <x:v>9.78</x:v>
      </x:c>
      <x:c r="AP752" s="32" t="n">
        <x:v>2.15</x:v>
      </x:c>
      <x:c r="AQ752" s="32" t="n">
        <x:v>9.78</x:v>
      </x:c>
      <x:c r="AR752" s="32" t="n">
        <x:v>0.057344</x:v>
      </x:c>
      <x:c r="AS752" t="str">
        <x:v>PASS</x:v>
      </x:c>
      <x:c r="AT752" t="str">
        <x:v>--cda-pstc-089</x:v>
      </x:c>
      <x:c r="AU752" t="str">
        <x:v>var(--cda-pstc-089)</x:v>
      </x:c>
      <x:c r="AV752" t="str">
        <x:v>Median RGB from official PDF swatch (screen reference only)</x:v>
      </x:c>
      <x:c r="AW752" t="str">
        <x:v>https://www.carandache.com/content_files/uploaded_doc/product/10985/Colour_Chart_Pastel_Pencil.pdf</x:v>
      </x:c>
      <x:c r="AX752" t="n">
        <x:v>1</x:v>
      </x:c>
      <x:c r="AY752" t="str">
        <x:v>Official</x:v>
      </x:c>
      <x:c r="AZ752" t="str">
        <x:v>Official where available; curated Traditional Chinese/Japanese otherwise</x:v>
      </x:c>
      <x:c r="BA752" t="str">
        <x:v>Verified from official chart; digital HEX is approximate</x:v>
      </x:c>
      <x:c r="BB752" t="str">
        <x:v>Shares the same 84-colour palette as PASTEL PENCILS; physical application differs by format.</x:v>
      </x:c>
    </x:row>
    <x:row r="753">
      <x:c r="A753" t="str">
        <x:f>G753&amp;"|"&amp;L753</x:f>
        <x:v>PSTC|093</x:v>
      </x:c>
      <x:c r="B753" t="str">
        <x:v>9cd45f8c-c920-53dd-852c-22f3d83f3c0b</x:v>
      </x:c>
      <x:c r="C753" t="str">
        <x:v>CDA-PSTC-093</x:v>
      </x:c>
      <x:c r="D753" t="str">
        <x:v>e538ef64-8d9e-5a65-841e-49a8b475568d</x:v>
      </x:c>
      <x:c r="E753" t="str">
        <x:v>CDA-CODE-093</x:v>
      </x:c>
      <x:c r="F753" t="str">
        <x:v>Caran d’Ache</x:v>
      </x:c>
      <x:c r="G753" t="str">
        <x:v>PSTC</x:v>
      </x:c>
      <x:c r="H753" t="str">
        <x:v>PASTEL CUBES</x:v>
      </x:c>
      <x:c r="I753" t="str">
        <x:v>Extra-fine dry pastel cube</x:v>
      </x:c>
      <x:c r="J753" t="str">
        <x:v>Professional</x:v>
      </x:c>
      <x:c r="K753" s="30" t="n">
        <x:v>72</x:v>
      </x:c>
      <x:c r="L753" s="30" t="str">
        <x:v>093</x:v>
      </x:c>
      <x:c r="M753" t="str">
        <x:v>Violet grey</x:v>
      </x:c>
      <x:c r="N753" t="str">
        <x:v>紫灰色</x:v>
      </x:c>
      <x:c r="O753" t="str">
        <x:v>バイオレットグレー</x:v>
      </x:c>
      <x:c r="P753" t="str"/>
      <x:c r="Q753" t="str">
        <x:v>Gris Violet</x:v>
      </x:c>
      <x:c r="R753" t="str">
        <x:v>Grauviolett</x:v>
      </x:c>
      <x:c r="S753" t="str">
        <x:v>Viola grigiastro</x:v>
      </x:c>
      <x:c r="T753" t="str">
        <x:v>Gris violeta</x:v>
      </x:c>
      <x:c r="U753" t="str">
        <x:v>Violeta Cinza</x:v>
      </x:c>
      <x:c r="V753" t="str"/>
      <x:c r="W753" t="str">
        <x:v>PB15/PBk11/PV16/PR101</x:v>
      </x:c>
      <x:c r="X753" t="n">
        <x:f>IF(W753="",0,LEN(W753)-LEN(SUBSTITUTE(W753,"/",""))+1)</x:f>
        <x:v>4</x:v>
      </x:c>
      <x:c r="Y753" t="str">
        <x:v>H</x:v>
      </x:c>
      <x:c r="Z753" s="32" t="n">
        <x:v>1</x:v>
      </x:c>
      <x:c r="AA753" s="32" t="n">
        <x:v>5</x:v>
      </x:c>
      <x:c r="AB753" s="32" t="str">
        <x:v>Blue Wool Scale / UV 150h</x:v>
      </x:c>
      <x:c r="AC753" t="str">
        <x:v>#635556</x:v>
      </x:c>
      <x:c r="AD753" s="34" t="n">
        <x:v>99</x:v>
      </x:c>
      <x:c r="AE753" s="34" t="n">
        <x:v>85</x:v>
      </x:c>
      <x:c r="AF753" s="34" t="n">
        <x:v>86</x:v>
      </x:c>
      <x:c r="AG753" s="32" t="n">
        <x:v>355.71</x:v>
      </x:c>
      <x:c r="AH753" s="32" t="n">
        <x:v>7.61</x:v>
      </x:c>
      <x:c r="AI753" s="32" t="n">
        <x:v>36.08</x:v>
      </x:c>
      <x:c r="AJ753" s="32" t="n">
        <x:v>37.52</x:v>
      </x:c>
      <x:c r="AK753" s="32" t="n">
        <x:v>5.93</x:v>
      </x:c>
      <x:c r="AL753" s="32" t="n">
        <x:v>1.54</x:v>
      </x:c>
      <x:c r="AM753" s="32" t="str">
        <x:v>#FFFFFF</x:v>
      </x:c>
      <x:c r="AN753" s="32" t="str">
        <x:v>White</x:v>
      </x:c>
      <x:c r="AO753" s="32" t="n">
        <x:v>7.08</x:v>
      </x:c>
      <x:c r="AP753" s="32" t="n">
        <x:v>2.96</x:v>
      </x:c>
      <x:c r="AQ753" s="32" t="n">
        <x:v>7.08</x:v>
      </x:c>
      <x:c r="AR753" s="32" t="n">
        <x:v>0.098215</x:v>
      </x:c>
      <x:c r="AS753" t="str">
        <x:v>PASS</x:v>
      </x:c>
      <x:c r="AT753" t="str">
        <x:v>--cda-pstc-093</x:v>
      </x:c>
      <x:c r="AU753" t="str">
        <x:v>var(--cda-pstc-093)</x:v>
      </x:c>
      <x:c r="AV753" t="str">
        <x:v>Median RGB from official PDF swatch (screen reference only)</x:v>
      </x:c>
      <x:c r="AW753" t="str">
        <x:v>https://www.carandache.com/content_files/uploaded_doc/product/10985/Colour_Chart_Pastel_Pencil.pdf</x:v>
      </x:c>
      <x:c r="AX753" t="n">
        <x:v>1</x:v>
      </x:c>
      <x:c r="AY753" t="str">
        <x:v>Official</x:v>
      </x:c>
      <x:c r="AZ753" t="str">
        <x:v>Official where available; curated Traditional Chinese/Japanese otherwise</x:v>
      </x:c>
      <x:c r="BA753" t="str">
        <x:v>Verified from official chart; digital HEX is approximate</x:v>
      </x:c>
      <x:c r="BB753" t="str">
        <x:v>Shares the same 84-colour palette as PASTEL PENCILS; physical application differs by format.</x:v>
      </x:c>
    </x:row>
    <x:row r="754">
      <x:c r="A754" t="str">
        <x:f>G754&amp;"|"&amp;L754</x:f>
        <x:v>PSTC|802</x:v>
      </x:c>
      <x:c r="B754" t="str">
        <x:v>7c175737-8bbe-58b4-9453-e4d6870968ab</x:v>
      </x:c>
      <x:c r="C754" t="str">
        <x:v>CDA-PSTC-802</x:v>
      </x:c>
      <x:c r="D754" t="str">
        <x:v>023df18c-2712-55f0-b5ac-834e355cf2bf</x:v>
      </x:c>
      <x:c r="E754" t="str">
        <x:v>CDA-CODE-802</x:v>
      </x:c>
      <x:c r="F754" t="str">
        <x:v>Caran d’Ache</x:v>
      </x:c>
      <x:c r="G754" t="str">
        <x:v>PSTC</x:v>
      </x:c>
      <x:c r="H754" t="str">
        <x:v>PASTEL CUBES</x:v>
      </x:c>
      <x:c r="I754" t="str">
        <x:v>Extra-fine dry pastel cube</x:v>
      </x:c>
      <x:c r="J754" t="str">
        <x:v>Professional</x:v>
      </x:c>
      <x:c r="K754" s="30" t="n">
        <x:v>73</x:v>
      </x:c>
      <x:c r="L754" s="30" t="str">
        <x:v>802</x:v>
      </x:c>
      <x:c r="M754" t="str">
        <x:v>French grey 10%</x:v>
      </x:c>
      <x:c r="N754" t="str">
        <x:v>法國灰 10%</x:v>
      </x:c>
      <x:c r="O754" t="str">
        <x:v>フレンチグレー 10%</x:v>
      </x:c>
      <x:c r="P754" t="str"/>
      <x:c r="Q754" t="str">
        <x:v>Gris français 10%</x:v>
      </x:c>
      <x:c r="R754" t="str">
        <x:v>Französischgrau 10%</x:v>
      </x:c>
      <x:c r="S754" t="str">
        <x:v>Grigio francese 10%</x:v>
      </x:c>
      <x:c r="T754" t="str">
        <x:v>Gris Francés 10%</x:v>
      </x:c>
      <x:c r="U754" t="str">
        <x:v>Cinzento Francês 10%</x:v>
      </x:c>
      <x:c r="V754" t="str"/>
      <x:c r="W754" t="str"/>
      <x:c r="X754" t="n">
        <x:f>IF(W754="",0,LEN(W754)-LEN(SUBSTITUTE(W754,"/",""))+1)</x:f>
        <x:v>0</x:v>
      </x:c>
      <x:c r="Y754" t="str">
        <x:v>HHH</x:v>
      </x:c>
      <x:c r="Z754" s="32" t="n">
        <x:v>3</x:v>
      </x:c>
      <x:c r="AA754" s="32" t="n">
        <x:v>5</x:v>
      </x:c>
      <x:c r="AB754" s="32" t="str">
        <x:v>Blue Wool Scale / UV 150h</x:v>
      </x:c>
      <x:c r="AC754" t="str">
        <x:v>#A19B97</x:v>
      </x:c>
      <x:c r="AD754" s="34" t="n">
        <x:v>161</x:v>
      </x:c>
      <x:c r="AE754" s="34" t="n">
        <x:v>155</x:v>
      </x:c>
      <x:c r="AF754" s="34" t="n">
        <x:v>151</x:v>
      </x:c>
      <x:c r="AG754" s="32" t="n">
        <x:v>24</x:v>
      </x:c>
      <x:c r="AH754" s="32" t="n">
        <x:v>5.05</x:v>
      </x:c>
      <x:c r="AI754" s="32" t="n">
        <x:v>61.18</x:v>
      </x:c>
      <x:c r="AJ754" s="32" t="n">
        <x:v>64.37</x:v>
      </x:c>
      <x:c r="AK754" s="32" t="n">
        <x:v>1.45</x:v>
      </x:c>
      <x:c r="AL754" s="32" t="n">
        <x:v>2.87</x:v>
      </x:c>
      <x:c r="AM754" s="32" t="str">
        <x:v>#000000</x:v>
      </x:c>
      <x:c r="AN754" s="32" t="str">
        <x:v>Black</x:v>
      </x:c>
      <x:c r="AO754" s="32" t="n">
        <x:v>7.65</x:v>
      </x:c>
      <x:c r="AP754" s="32" t="n">
        <x:v>7.65</x:v>
      </x:c>
      <x:c r="AQ754" s="32" t="n">
        <x:v>2.74</x:v>
      </x:c>
      <x:c r="AR754" s="32" t="n">
        <x:v>0.332541</x:v>
      </x:c>
      <x:c r="AS754" t="str">
        <x:v>PASS</x:v>
      </x:c>
      <x:c r="AT754" t="str">
        <x:v>--cda-pstc-802</x:v>
      </x:c>
      <x:c r="AU754" t="str">
        <x:v>var(--cda-pstc-802)</x:v>
      </x:c>
      <x:c r="AV754" t="str">
        <x:v>Median RGB from official PDF swatch (screen reference only)</x:v>
      </x:c>
      <x:c r="AW754" t="str">
        <x:v>https://www.carandache.com/content_files/uploaded_doc/product/10985/Colour_Chart_Pastel_Pencil.pdf</x:v>
      </x:c>
      <x:c r="AX754" t="n">
        <x:v>1</x:v>
      </x:c>
      <x:c r="AY754" t="str">
        <x:v>Official</x:v>
      </x:c>
      <x:c r="AZ754" t="str">
        <x:v>Official where available; curated Traditional Chinese/Japanese otherwise</x:v>
      </x:c>
      <x:c r="BA754" t="str">
        <x:v>Verified from official chart; digital HEX is approximate</x:v>
      </x:c>
      <x:c r="BB754" t="str">
        <x:v>Shares the same 84-colour palette as PASTEL PENCILS; physical application differs by format.</x:v>
      </x:c>
    </x:row>
    <x:row r="755">
      <x:c r="A755" t="str">
        <x:f>G755&amp;"|"&amp;L755</x:f>
        <x:v>PSTC|002</x:v>
      </x:c>
      <x:c r="B755" t="str">
        <x:v>f97f65e7-b0a7-5c96-a438-572c70caa336</x:v>
      </x:c>
      <x:c r="C755" t="str">
        <x:v>CDA-PSTC-002</x:v>
      </x:c>
      <x:c r="D755" t="str">
        <x:v>5bb6a1fa-d374-5bae-b129-520775dd165f</x:v>
      </x:c>
      <x:c r="E755" t="str">
        <x:v>CDA-CODE-002</x:v>
      </x:c>
      <x:c r="F755" t="str">
        <x:v>Caran d’Ache</x:v>
      </x:c>
      <x:c r="G755" t="str">
        <x:v>PSTC</x:v>
      </x:c>
      <x:c r="H755" t="str">
        <x:v>PASTEL CUBES</x:v>
      </x:c>
      <x:c r="I755" t="str">
        <x:v>Extra-fine dry pastel cube</x:v>
      </x:c>
      <x:c r="J755" t="str">
        <x:v>Professional</x:v>
      </x:c>
      <x:c r="K755" s="30" t="n">
        <x:v>74</x:v>
      </x:c>
      <x:c r="L755" s="30" t="str">
        <x:v>002</x:v>
      </x:c>
      <x:c r="M755" t="str">
        <x:v>Silver grey</x:v>
      </x:c>
      <x:c r="N755" t="str">
        <x:v>銀灰色</x:v>
      </x:c>
      <x:c r="O755" t="str">
        <x:v>シルバーグレー</x:v>
      </x:c>
      <x:c r="P755" t="str"/>
      <x:c r="Q755" t="str">
        <x:v>Gris argenté</x:v>
      </x:c>
      <x:c r="R755" t="str">
        <x:v>Silbergrau</x:v>
      </x:c>
      <x:c r="S755" t="str">
        <x:v>Grigio argento</x:v>
      </x:c>
      <x:c r="T755" t="str">
        <x:v>Gris plateado</x:v>
      </x:c>
      <x:c r="U755" t="str">
        <x:v>Cinzento prateado</x:v>
      </x:c>
      <x:c r="V755" t="str"/>
      <x:c r="W755" t="str">
        <x:v>PB15/PBk6</x:v>
      </x:c>
      <x:c r="X755" t="n">
        <x:f>IF(W755="",0,LEN(W755)-LEN(SUBSTITUTE(W755,"/",""))+1)</x:f>
        <x:v>2</x:v>
      </x:c>
      <x:c r="Y755" t="str">
        <x:v>H</x:v>
      </x:c>
      <x:c r="Z755" s="32" t="n">
        <x:v>1</x:v>
      </x:c>
      <x:c r="AA755" s="32" t="n">
        <x:v>5</x:v>
      </x:c>
      <x:c r="AB755" s="32" t="str">
        <x:v>Blue Wool Scale / UV 150h</x:v>
      </x:c>
      <x:c r="AC755" t="str">
        <x:v>#C6D1D7</x:v>
      </x:c>
      <x:c r="AD755" s="34" t="n">
        <x:v>198</x:v>
      </x:c>
      <x:c r="AE755" s="34" t="n">
        <x:v>209</x:v>
      </x:c>
      <x:c r="AF755" s="34" t="n">
        <x:v>215</x:v>
      </x:c>
      <x:c r="AG755" s="32" t="n">
        <x:v>201.18</x:v>
      </x:c>
      <x:c r="AH755" s="32" t="n">
        <x:v>17.53</x:v>
      </x:c>
      <x:c r="AI755" s="32" t="n">
        <x:v>80.98</x:v>
      </x:c>
      <x:c r="AJ755" s="32" t="n">
        <x:v>83.19</x:v>
      </x:c>
      <x:c r="AK755" s="32" t="n">
        <x:v>-2.57</x:v>
      </x:c>
      <x:c r="AL755" s="32" t="n">
        <x:v>-4.25</x:v>
      </x:c>
      <x:c r="AM755" s="32" t="str">
        <x:v>#000000</x:v>
      </x:c>
      <x:c r="AN755" s="32" t="str">
        <x:v>Black</x:v>
      </x:c>
      <x:c r="AO755" s="32" t="n">
        <x:v>13.5</x:v>
      </x:c>
      <x:c r="AP755" s="32" t="n">
        <x:v>13.5</x:v>
      </x:c>
      <x:c r="AQ755" s="32" t="n">
        <x:v>1.56</x:v>
      </x:c>
      <x:c r="AR755" s="32" t="n">
        <x:v>0.62513</x:v>
      </x:c>
      <x:c r="AS755" t="str">
        <x:v>PASS</x:v>
      </x:c>
      <x:c r="AT755" t="str">
        <x:v>--cda-pstc-002</x:v>
      </x:c>
      <x:c r="AU755" t="str">
        <x:v>var(--cda-pstc-002)</x:v>
      </x:c>
      <x:c r="AV755" t="str">
        <x:v>Median RGB from official PDF swatch (screen reference only)</x:v>
      </x:c>
      <x:c r="AW755" t="str">
        <x:v>https://www.carandache.com/content_files/uploaded_doc/product/10985/Colour_Chart_Pastel_Pencil.pdf</x:v>
      </x:c>
      <x:c r="AX755" t="n">
        <x:v>1</x:v>
      </x:c>
      <x:c r="AY755" t="str">
        <x:v>Official</x:v>
      </x:c>
      <x:c r="AZ755" t="str">
        <x:v>Official where available; curated Traditional Chinese/Japanese otherwise</x:v>
      </x:c>
      <x:c r="BA755" t="str">
        <x:v>Verified from official chart; digital HEX is approximate</x:v>
      </x:c>
      <x:c r="BB755" t="str">
        <x:v>Shares the same 84-colour palette as PASTEL PENCILS; physical application differs by format.</x:v>
      </x:c>
    </x:row>
    <x:row r="756">
      <x:c r="A756" t="str">
        <x:f>G756&amp;"|"&amp;L756</x:f>
        <x:v>PSTC|003</x:v>
      </x:c>
      <x:c r="B756" t="str">
        <x:v>26e2dfd6-d10d-5db9-8de6-219b46e4ba83</x:v>
      </x:c>
      <x:c r="C756" t="str">
        <x:v>CDA-PSTC-003</x:v>
      </x:c>
      <x:c r="D756" t="str">
        <x:v>0babc0cb-de09-5293-abe4-84adda5ee171</x:v>
      </x:c>
      <x:c r="E756" t="str">
        <x:v>CDA-CODE-003</x:v>
      </x:c>
      <x:c r="F756" t="str">
        <x:v>Caran d’Ache</x:v>
      </x:c>
      <x:c r="G756" t="str">
        <x:v>PSTC</x:v>
      </x:c>
      <x:c r="H756" t="str">
        <x:v>PASTEL CUBES</x:v>
      </x:c>
      <x:c r="I756" t="str">
        <x:v>Extra-fine dry pastel cube</x:v>
      </x:c>
      <x:c r="J756" t="str">
        <x:v>Professional</x:v>
      </x:c>
      <x:c r="K756" s="30" t="n">
        <x:v>75</x:v>
      </x:c>
      <x:c r="L756" s="30" t="str">
        <x:v>003</x:v>
      </x:c>
      <x:c r="M756" t="str">
        <x:v>Light grey</x:v>
      </x:c>
      <x:c r="N756" t="str">
        <x:v>淺灰色</x:v>
      </x:c>
      <x:c r="O756" t="str">
        <x:v>ライトグレー</x:v>
      </x:c>
      <x:c r="P756" t="str"/>
      <x:c r="Q756" t="str">
        <x:v>Gris clair</x:v>
      </x:c>
      <x:c r="R756" t="str">
        <x:v>Hellgrau</x:v>
      </x:c>
      <x:c r="S756" t="str">
        <x:v>Grigio chiaro</x:v>
      </x:c>
      <x:c r="T756" t="str">
        <x:v>Gris claro</x:v>
      </x:c>
      <x:c r="U756" t="str">
        <x:v>Cinzento claro</x:v>
      </x:c>
      <x:c r="V756" t="str"/>
      <x:c r="W756" t="str"/>
      <x:c r="X756" t="n">
        <x:f>IF(W756="",0,LEN(W756)-LEN(SUBSTITUTE(W756,"/",""))+1)</x:f>
        <x:v>0</x:v>
      </x:c>
      <x:c r="Y756" t="str">
        <x:v>HH</x:v>
      </x:c>
      <x:c r="Z756" s="32" t="n">
        <x:v>2</x:v>
      </x:c>
      <x:c r="AA756" s="32" t="n">
        <x:v>5</x:v>
      </x:c>
      <x:c r="AB756" s="32" t="str">
        <x:v>Blue Wool Scale / UV 150h</x:v>
      </x:c>
      <x:c r="AC756" t="str">
        <x:v>#9DAFBA</x:v>
      </x:c>
      <x:c r="AD756" s="34" t="n">
        <x:v>157</x:v>
      </x:c>
      <x:c r="AE756" s="34" t="n">
        <x:v>175</x:v>
      </x:c>
      <x:c r="AF756" s="34" t="n">
        <x:v>186</x:v>
      </x:c>
      <x:c r="AG756" s="32" t="n">
        <x:v>202.76</x:v>
      </x:c>
      <x:c r="AH756" s="32" t="n">
        <x:v>17.37</x:v>
      </x:c>
      <x:c r="AI756" s="32" t="n">
        <x:v>67.25</x:v>
      </x:c>
      <x:c r="AJ756" s="32" t="n">
        <x:v>70.44</x:v>
      </x:c>
      <x:c r="AK756" s="32" t="n">
        <x:v>-3.92</x:v>
      </x:c>
      <x:c r="AL756" s="32" t="n">
        <x:v>-7.73</x:v>
      </x:c>
      <x:c r="AM756" s="32" t="str">
        <x:v>#000000</x:v>
      </x:c>
      <x:c r="AN756" s="32" t="str">
        <x:v>Black</x:v>
      </x:c>
      <x:c r="AO756" s="32" t="n">
        <x:v>9.27</x:v>
      </x:c>
      <x:c r="AP756" s="32" t="n">
        <x:v>9.27</x:v>
      </x:c>
      <x:c r="AQ756" s="32" t="n">
        <x:v>2.26</x:v>
      </x:c>
      <x:c r="AR756" s="32" t="n">
        <x:v>0.413732</x:v>
      </x:c>
      <x:c r="AS756" t="str">
        <x:v>PASS</x:v>
      </x:c>
      <x:c r="AT756" t="str">
        <x:v>--cda-pstc-003</x:v>
      </x:c>
      <x:c r="AU756" t="str">
        <x:v>var(--cda-pstc-003)</x:v>
      </x:c>
      <x:c r="AV756" t="str">
        <x:v>Median RGB from official PDF swatch (screen reference only)</x:v>
      </x:c>
      <x:c r="AW756" t="str">
        <x:v>https://www.carandache.com/content_files/uploaded_doc/product/10985/Colour_Chart_Pastel_Pencil.pdf</x:v>
      </x:c>
      <x:c r="AX756" t="n">
        <x:v>1</x:v>
      </x:c>
      <x:c r="AY756" t="str">
        <x:v>Official</x:v>
      </x:c>
      <x:c r="AZ756" t="str">
        <x:v>Official where available; curated Traditional Chinese/Japanese otherwise</x:v>
      </x:c>
      <x:c r="BA756" t="str">
        <x:v>Verified from official chart; digital HEX is approximate</x:v>
      </x:c>
      <x:c r="BB756" t="str">
        <x:v>Shares the same 84-colour palette as PASTEL PENCILS; physical application differs by format.</x:v>
      </x:c>
    </x:row>
    <x:row r="757">
      <x:c r="A757" t="str">
        <x:f>G757&amp;"|"&amp;L757</x:f>
        <x:v>PSTC|004</x:v>
      </x:c>
      <x:c r="B757" t="str">
        <x:v>47a9c553-95f4-53fc-9e08-f90c5e6fd641</x:v>
      </x:c>
      <x:c r="C757" t="str">
        <x:v>CDA-PSTC-004</x:v>
      </x:c>
      <x:c r="D757" t="str">
        <x:v>de4df521-dec4-520d-ab19-51053b9c58ea</x:v>
      </x:c>
      <x:c r="E757" t="str">
        <x:v>CDA-CODE-004</x:v>
      </x:c>
      <x:c r="F757" t="str">
        <x:v>Caran d’Ache</x:v>
      </x:c>
      <x:c r="G757" t="str">
        <x:v>PSTC</x:v>
      </x:c>
      <x:c r="H757" t="str">
        <x:v>PASTEL CUBES</x:v>
      </x:c>
      <x:c r="I757" t="str">
        <x:v>Extra-fine dry pastel cube</x:v>
      </x:c>
      <x:c r="J757" t="str">
        <x:v>Professional</x:v>
      </x:c>
      <x:c r="K757" s="30" t="n">
        <x:v>76</x:v>
      </x:c>
      <x:c r="L757" s="30" t="str">
        <x:v>004</x:v>
      </x:c>
      <x:c r="M757" t="str">
        <x:v>Steel grey</x:v>
      </x:c>
      <x:c r="N757" t="str">
        <x:v>鋼灰色</x:v>
      </x:c>
      <x:c r="O757" t="str">
        <x:v>スチールグレー</x:v>
      </x:c>
      <x:c r="P757" t="str"/>
      <x:c r="Q757" t="str">
        <x:v>Gris acier</x:v>
      </x:c>
      <x:c r="R757" t="str">
        <x:v>Stahlgrau</x:v>
      </x:c>
      <x:c r="S757" t="str">
        <x:v>Grigio acciaio</x:v>
      </x:c>
      <x:c r="T757" t="str">
        <x:v>Gris acero</x:v>
      </x:c>
      <x:c r="U757" t="str">
        <x:v>Cinzento aço</x:v>
      </x:c>
      <x:c r="V757" t="str"/>
      <x:c r="W757" t="str">
        <x:v>PB15/PBk6</x:v>
      </x:c>
      <x:c r="X757" t="n">
        <x:f>IF(W757="",0,LEN(W757)-LEN(SUBSTITUTE(W757,"/",""))+1)</x:f>
        <x:v>2</x:v>
      </x:c>
      <x:c r="Y757" t="str">
        <x:v>HH</x:v>
      </x:c>
      <x:c r="Z757" s="32" t="n">
        <x:v>2</x:v>
      </x:c>
      <x:c r="AA757" s="32" t="n">
        <x:v>5</x:v>
      </x:c>
      <x:c r="AB757" s="32" t="str">
        <x:v>Blue Wool Scale / UV 150h</x:v>
      </x:c>
      <x:c r="AC757" t="str">
        <x:v>#909BA7</x:v>
      </x:c>
      <x:c r="AD757" s="34" t="n">
        <x:v>144</x:v>
      </x:c>
      <x:c r="AE757" s="34" t="n">
        <x:v>155</x:v>
      </x:c>
      <x:c r="AF757" s="34" t="n">
        <x:v>167</x:v>
      </x:c>
      <x:c r="AG757" s="32" t="n">
        <x:v>211.3</x:v>
      </x:c>
      <x:c r="AH757" s="32" t="n">
        <x:v>11.56</x:v>
      </x:c>
      <x:c r="AI757" s="32" t="n">
        <x:v>60.98</x:v>
      </x:c>
      <x:c r="AJ757" s="32" t="n">
        <x:v>63.48</x:v>
      </x:c>
      <x:c r="AK757" s="32" t="n">
        <x:v>-1.4</x:v>
      </x:c>
      <x:c r="AL757" s="32" t="n">
        <x:v>-7.59</x:v>
      </x:c>
      <x:c r="AM757" s="32" t="str">
        <x:v>#000000</x:v>
      </x:c>
      <x:c r="AN757" s="32" t="str">
        <x:v>Black</x:v>
      </x:c>
      <x:c r="AO757" s="32" t="n">
        <x:v>7.43</x:v>
      </x:c>
      <x:c r="AP757" s="32" t="n">
        <x:v>7.43</x:v>
      </x:c>
      <x:c r="AQ757" s="32" t="n">
        <x:v>2.83</x:v>
      </x:c>
      <x:c r="AR757" s="32" t="n">
        <x:v>0.32162</x:v>
      </x:c>
      <x:c r="AS757" t="str">
        <x:v>PASS</x:v>
      </x:c>
      <x:c r="AT757" t="str">
        <x:v>--cda-pstc-004</x:v>
      </x:c>
      <x:c r="AU757" t="str">
        <x:v>var(--cda-pstc-004)</x:v>
      </x:c>
      <x:c r="AV757" t="str">
        <x:v>Median RGB from official PDF swatch (screen reference only)</x:v>
      </x:c>
      <x:c r="AW757" t="str">
        <x:v>https://www.carandache.com/content_files/uploaded_doc/product/10985/Colour_Chart_Pastel_Pencil.pdf</x:v>
      </x:c>
      <x:c r="AX757" t="n">
        <x:v>1</x:v>
      </x:c>
      <x:c r="AY757" t="str">
        <x:v>Official</x:v>
      </x:c>
      <x:c r="AZ757" t="str">
        <x:v>Official where available; curated Traditional Chinese/Japanese otherwise</x:v>
      </x:c>
      <x:c r="BA757" t="str">
        <x:v>Verified from official chart; digital HEX is approximate</x:v>
      </x:c>
      <x:c r="BB757" t="str">
        <x:v>Shares the same 84-colour palette as PASTEL PENCILS; physical application differs by format.</x:v>
      </x:c>
    </x:row>
    <x:row r="758">
      <x:c r="A758" t="str">
        <x:f>G758&amp;"|"&amp;L758</x:f>
        <x:v>PSTC|506</x:v>
      </x:c>
      <x:c r="B758" t="str">
        <x:v>6e10df03-c99b-51a6-a53e-496341640435</x:v>
      </x:c>
      <x:c r="C758" t="str">
        <x:v>CDA-PSTC-506</x:v>
      </x:c>
      <x:c r="D758" t="str">
        <x:v>e9000de0-6e08-51b1-a546-501e5d5e1bc9</x:v>
      </x:c>
      <x:c r="E758" t="str">
        <x:v>CDA-CODE-506</x:v>
      </x:c>
      <x:c r="F758" t="str">
        <x:v>Caran d’Ache</x:v>
      </x:c>
      <x:c r="G758" t="str">
        <x:v>PSTC</x:v>
      </x:c>
      <x:c r="H758" t="str">
        <x:v>PASTEL CUBES</x:v>
      </x:c>
      <x:c r="I758" t="str">
        <x:v>Extra-fine dry pastel cube</x:v>
      </x:c>
      <x:c r="J758" t="str">
        <x:v>Professional</x:v>
      </x:c>
      <x:c r="K758" s="30" t="n">
        <x:v>77</x:v>
      </x:c>
      <x:c r="L758" s="30" t="str">
        <x:v>506</x:v>
      </x:c>
      <x:c r="M758" t="str">
        <x:v>Payne’s grey 50%</x:v>
      </x:c>
      <x:c r="N758" t="str">
        <x:v>佩恩灰 50%</x:v>
      </x:c>
      <x:c r="O758" t="str">
        <x:v>ペインズグレー 50%</x:v>
      </x:c>
      <x:c r="P758" t="str"/>
      <x:c r="Q758" t="str">
        <x:v>Gris de Payne 50%</x:v>
      </x:c>
      <x:c r="R758" t="str">
        <x:v>Paynesgrau 50%</x:v>
      </x:c>
      <x:c r="S758" t="str">
        <x:v>Grigio di Payne 50%</x:v>
      </x:c>
      <x:c r="T758" t="str">
        <x:v>Gris de Payne 50%</x:v>
      </x:c>
      <x:c r="U758" t="str">
        <x:v>Cinzento de Payne 50%</x:v>
      </x:c>
      <x:c r="V758" t="str"/>
      <x:c r="W758" t="str"/>
      <x:c r="X758" t="n">
        <x:f>IF(W758="",0,LEN(W758)-LEN(SUBSTITUTE(W758,"/",""))+1)</x:f>
        <x:v>0</x:v>
      </x:c>
      <x:c r="Y758" t="str">
        <x:v>HH</x:v>
      </x:c>
      <x:c r="Z758" s="32" t="n">
        <x:v>2</x:v>
      </x:c>
      <x:c r="AA758" s="32" t="n">
        <x:v>5</x:v>
      </x:c>
      <x:c r="AB758" s="32" t="str">
        <x:v>Blue Wool Scale / UV 150h</x:v>
      </x:c>
      <x:c r="AC758" t="str">
        <x:v>#536278</x:v>
      </x:c>
      <x:c r="AD758" s="34" t="n">
        <x:v>83</x:v>
      </x:c>
      <x:c r="AE758" s="34" t="n">
        <x:v>98</x:v>
      </x:c>
      <x:c r="AF758" s="34" t="n">
        <x:v>120</x:v>
      </x:c>
      <x:c r="AG758" s="32" t="n">
        <x:v>215.68</x:v>
      </x:c>
      <x:c r="AH758" s="32" t="n">
        <x:v>18.23</x:v>
      </x:c>
      <x:c r="AI758" s="32" t="n">
        <x:v>39.8</x:v>
      </x:c>
      <x:c r="AJ758" s="32" t="n">
        <x:v>41.1</x:v>
      </x:c>
      <x:c r="AK758" s="32" t="n">
        <x:v>-0.11</x:v>
      </x:c>
      <x:c r="AL758" s="32" t="n">
        <x:v>-14.22</x:v>
      </x:c>
      <x:c r="AM758" s="32" t="str">
        <x:v>#FFFFFF</x:v>
      </x:c>
      <x:c r="AN758" s="32" t="str">
        <x:v>White</x:v>
      </x:c>
      <x:c r="AO758" s="32" t="n">
        <x:v>6.2</x:v>
      </x:c>
      <x:c r="AP758" s="32" t="n">
        <x:v>3.39</x:v>
      </x:c>
      <x:c r="AQ758" s="32" t="n">
        <x:v>6.2</x:v>
      </x:c>
      <x:c r="AR758" s="32" t="n">
        <x:v>0.119304</x:v>
      </x:c>
      <x:c r="AS758" t="str">
        <x:v>PASS</x:v>
      </x:c>
      <x:c r="AT758" t="str">
        <x:v>--cda-pstc-506</x:v>
      </x:c>
      <x:c r="AU758" t="str">
        <x:v>var(--cda-pstc-506)</x:v>
      </x:c>
      <x:c r="AV758" t="str">
        <x:v>Median RGB from official PDF swatch (screen reference only)</x:v>
      </x:c>
      <x:c r="AW758" t="str">
        <x:v>https://www.carandache.com/content_files/uploaded_doc/product/10985/Colour_Chart_Pastel_Pencil.pdf</x:v>
      </x:c>
      <x:c r="AX758" t="n">
        <x:v>1</x:v>
      </x:c>
      <x:c r="AY758" t="str">
        <x:v>Official</x:v>
      </x:c>
      <x:c r="AZ758" t="str">
        <x:v>Official where available; curated Traditional Chinese/Japanese otherwise</x:v>
      </x:c>
      <x:c r="BA758" t="str">
        <x:v>Verified from official chart; digital HEX is approximate</x:v>
      </x:c>
      <x:c r="BB758" t="str">
        <x:v>Shares the same 84-colour palette as PASTEL PENCILS; physical application differs by format.</x:v>
      </x:c>
    </x:row>
    <x:row r="759">
      <x:c r="A759" t="str">
        <x:f>G759&amp;"|"&amp;L759</x:f>
        <x:v>PSTC|008</x:v>
      </x:c>
      <x:c r="B759" t="str">
        <x:v>bfeead99-57d2-5aef-8fe1-5bf0c9f3bb34</x:v>
      </x:c>
      <x:c r="C759" t="str">
        <x:v>CDA-PSTC-008</x:v>
      </x:c>
      <x:c r="D759" t="str">
        <x:v>062a6ddd-d99c-52e4-9ee7-c99c9dc90fe3</x:v>
      </x:c>
      <x:c r="E759" t="str">
        <x:v>CDA-CODE-008</x:v>
      </x:c>
      <x:c r="F759" t="str">
        <x:v>Caran d’Ache</x:v>
      </x:c>
      <x:c r="G759" t="str">
        <x:v>PSTC</x:v>
      </x:c>
      <x:c r="H759" t="str">
        <x:v>PASTEL CUBES</x:v>
      </x:c>
      <x:c r="I759" t="str">
        <x:v>Extra-fine dry pastel cube</x:v>
      </x:c>
      <x:c r="J759" t="str">
        <x:v>Professional</x:v>
      </x:c>
      <x:c r="K759" s="30" t="n">
        <x:v>78</x:v>
      </x:c>
      <x:c r="L759" s="30" t="str">
        <x:v>008</x:v>
      </x:c>
      <x:c r="M759" t="str">
        <x:v>Greyish black</x:v>
      </x:c>
      <x:c r="N759" t="str">
        <x:v>灰黑色</x:v>
      </x:c>
      <x:c r="O759" t="str">
        <x:v>グレイッシュブラック</x:v>
      </x:c>
      <x:c r="P759" t="str"/>
      <x:c r="Q759" t="str">
        <x:v>Gris noir</x:v>
      </x:c>
      <x:c r="R759" t="str">
        <x:v>Grauschwarz</x:v>
      </x:c>
      <x:c r="S759" t="str">
        <x:v>Grigio nero</x:v>
      </x:c>
      <x:c r="T759" t="str">
        <x:v>Gris negro</x:v>
      </x:c>
      <x:c r="U759" t="str">
        <x:v>Cinzento preto</x:v>
      </x:c>
      <x:c r="V759" t="str"/>
      <x:c r="W759" t="str">
        <x:v>PB15/PBk6</x:v>
      </x:c>
      <x:c r="X759" t="n">
        <x:f>IF(W759="",0,LEN(W759)-LEN(SUBSTITUTE(W759,"/",""))+1)</x:f>
        <x:v>2</x:v>
      </x:c>
      <x:c r="Y759" t="str">
        <x:v>HHH</x:v>
      </x:c>
      <x:c r="Z759" s="32" t="n">
        <x:v>3</x:v>
      </x:c>
      <x:c r="AA759" s="32" t="n">
        <x:v>5</x:v>
      </x:c>
      <x:c r="AB759" s="32" t="str">
        <x:v>Blue Wool Scale / UV 150h</x:v>
      </x:c>
      <x:c r="AC759" t="str">
        <x:v>#3B4752</x:v>
      </x:c>
      <x:c r="AD759" s="34" t="n">
        <x:v>59</x:v>
      </x:c>
      <x:c r="AE759" s="34" t="n">
        <x:v>71</x:v>
      </x:c>
      <x:c r="AF759" s="34" t="n">
        <x:v>82</x:v>
      </x:c>
      <x:c r="AG759" s="32" t="n">
        <x:v>208.7</x:v>
      </x:c>
      <x:c r="AH759" s="32" t="n">
        <x:v>16.31</x:v>
      </x:c>
      <x:c r="AI759" s="32" t="n">
        <x:v>27.65</x:v>
      </x:c>
      <x:c r="AJ759" s="32" t="n">
        <x:v>29.53</x:v>
      </x:c>
      <x:c r="AK759" s="32" t="n">
        <x:v>-1.91</x:v>
      </x:c>
      <x:c r="AL759" s="32" t="n">
        <x:v>-8.15</x:v>
      </x:c>
      <x:c r="AM759" s="32" t="str">
        <x:v>#FFFFFF</x:v>
      </x:c>
      <x:c r="AN759" s="32" t="str">
        <x:v>White</x:v>
      </x:c>
      <x:c r="AO759" s="32" t="n">
        <x:v>9.51</x:v>
      </x:c>
      <x:c r="AP759" s="32" t="n">
        <x:v>2.21</x:v>
      </x:c>
      <x:c r="AQ759" s="32" t="n">
        <x:v>9.51</x:v>
      </x:c>
      <x:c r="AR759" s="32" t="n">
        <x:v>0.060455</x:v>
      </x:c>
      <x:c r="AS759" t="str">
        <x:v>PASS</x:v>
      </x:c>
      <x:c r="AT759" t="str">
        <x:v>--cda-pstc-008</x:v>
      </x:c>
      <x:c r="AU759" t="str">
        <x:v>var(--cda-pstc-008)</x:v>
      </x:c>
      <x:c r="AV759" t="str">
        <x:v>Median RGB from official PDF swatch (screen reference only)</x:v>
      </x:c>
      <x:c r="AW759" t="str">
        <x:v>https://www.carandache.com/content_files/uploaded_doc/product/10985/Colour_Chart_Pastel_Pencil.pdf</x:v>
      </x:c>
      <x:c r="AX759" t="n">
        <x:v>1</x:v>
      </x:c>
      <x:c r="AY759" t="str">
        <x:v>Official</x:v>
      </x:c>
      <x:c r="AZ759" t="str">
        <x:v>Official where available; curated Traditional Chinese/Japanese otherwise</x:v>
      </x:c>
      <x:c r="BA759" t="str">
        <x:v>Verified from official chart; digital HEX is approximate</x:v>
      </x:c>
      <x:c r="BB759" t="str">
        <x:v>Shares the same 84-colour palette as PASTEL PENCILS; physical application differs by format.</x:v>
      </x:c>
    </x:row>
    <x:row r="760">
      <x:c r="A760" t="str">
        <x:f>G760&amp;"|"&amp;L760</x:f>
        <x:v>PSTC|808</x:v>
      </x:c>
      <x:c r="B760" t="str">
        <x:v>1fe4290a-7119-5fc0-8a63-537b4628283e</x:v>
      </x:c>
      <x:c r="C760" t="str">
        <x:v>CDA-PSTC-808</x:v>
      </x:c>
      <x:c r="D760" t="str">
        <x:v>6cbb1dd3-e8e7-5b5f-a6af-10bc7843d2f6</x:v>
      </x:c>
      <x:c r="E760" t="str">
        <x:v>CDA-CODE-808</x:v>
      </x:c>
      <x:c r="F760" t="str">
        <x:v>Caran d’Ache</x:v>
      </x:c>
      <x:c r="G760" t="str">
        <x:v>PSTC</x:v>
      </x:c>
      <x:c r="H760" t="str">
        <x:v>PASTEL CUBES</x:v>
      </x:c>
      <x:c r="I760" t="str">
        <x:v>Extra-fine dry pastel cube</x:v>
      </x:c>
      <x:c r="J760" t="str">
        <x:v>Professional</x:v>
      </x:c>
      <x:c r="K760" s="30" t="n">
        <x:v>79</x:v>
      </x:c>
      <x:c r="L760" s="30" t="str">
        <x:v>808</x:v>
      </x:c>
      <x:c r="M760" t="str">
        <x:v>French grey</x:v>
      </x:c>
      <x:c r="N760" t="str">
        <x:v>法國灰</x:v>
      </x:c>
      <x:c r="O760" t="str">
        <x:v>フレンチグレー</x:v>
      </x:c>
      <x:c r="P760" t="str"/>
      <x:c r="Q760" t="str">
        <x:v>Gris français</x:v>
      </x:c>
      <x:c r="R760" t="str">
        <x:v>Französischgrau</x:v>
      </x:c>
      <x:c r="S760" t="str">
        <x:v>Grigio francese</x:v>
      </x:c>
      <x:c r="T760" t="str">
        <x:v>Gris Francés</x:v>
      </x:c>
      <x:c r="U760" t="str">
        <x:v>Cinzento Francês</x:v>
      </x:c>
      <x:c r="V760" t="str"/>
      <x:c r="W760" t="str"/>
      <x:c r="X760" t="n">
        <x:f>IF(W760="",0,LEN(W760)-LEN(SUBSTITUTE(W760,"/",""))+1)</x:f>
        <x:v>0</x:v>
      </x:c>
      <x:c r="Y760" t="str">
        <x:v>HHH</x:v>
      </x:c>
      <x:c r="Z760" s="32" t="n">
        <x:v>3</x:v>
      </x:c>
      <x:c r="AA760" s="32" t="n">
        <x:v>5</x:v>
      </x:c>
      <x:c r="AB760" s="32" t="str">
        <x:v>Blue Wool Scale / UV 150h</x:v>
      </x:c>
      <x:c r="AC760" t="str">
        <x:v>#6E665A</x:v>
      </x:c>
      <x:c r="AD760" s="34" t="n">
        <x:v>110</x:v>
      </x:c>
      <x:c r="AE760" s="34" t="n">
        <x:v>102</x:v>
      </x:c>
      <x:c r="AF760" s="34" t="n">
        <x:v>90</x:v>
      </x:c>
      <x:c r="AG760" s="32" t="n">
        <x:v>36</x:v>
      </x:c>
      <x:c r="AH760" s="32" t="n">
        <x:v>10</x:v>
      </x:c>
      <x:c r="AI760" s="32" t="n">
        <x:v>39.22</x:v>
      </x:c>
      <x:c r="AJ760" s="32" t="n">
        <x:v>43.59</x:v>
      </x:c>
      <x:c r="AK760" s="32" t="n">
        <x:v>0.94</x:v>
      </x:c>
      <x:c r="AL760" s="32" t="n">
        <x:v>7.93</x:v>
      </x:c>
      <x:c r="AM760" s="32" t="str">
        <x:v>#FFFFFF</x:v>
      </x:c>
      <x:c r="AN760" s="32" t="str">
        <x:v>White</x:v>
      </x:c>
      <x:c r="AO760" s="32" t="n">
        <x:v>5.66</x:v>
      </x:c>
      <x:c r="AP760" s="32" t="n">
        <x:v>3.71</x:v>
      </x:c>
      <x:c r="AQ760" s="32" t="n">
        <x:v>5.66</x:v>
      </x:c>
      <x:c r="AR760" s="32" t="n">
        <x:v>0.135559</x:v>
      </x:c>
      <x:c r="AS760" t="str">
        <x:v>PASS</x:v>
      </x:c>
      <x:c r="AT760" t="str">
        <x:v>--cda-pstc-808</x:v>
      </x:c>
      <x:c r="AU760" t="str">
        <x:v>var(--cda-pstc-808)</x:v>
      </x:c>
      <x:c r="AV760" t="str">
        <x:v>Median RGB from official PDF swatch (screen reference only)</x:v>
      </x:c>
      <x:c r="AW760" t="str">
        <x:v>https://www.carandache.com/content_files/uploaded_doc/product/10985/Colour_Chart_Pastel_Pencil.pdf</x:v>
      </x:c>
      <x:c r="AX760" t="n">
        <x:v>1</x:v>
      </x:c>
      <x:c r="AY760" t="str">
        <x:v>Official</x:v>
      </x:c>
      <x:c r="AZ760" t="str">
        <x:v>Official where available; curated Traditional Chinese/Japanese otherwise</x:v>
      </x:c>
      <x:c r="BA760" t="str">
        <x:v>Verified from official chart; digital HEX is approximate</x:v>
      </x:c>
      <x:c r="BB760" t="str">
        <x:v>Shares the same 84-colour palette as PASTEL PENCILS; physical application differs by format.</x:v>
      </x:c>
    </x:row>
    <x:row r="761">
      <x:c r="A761" t="str">
        <x:f>G761&amp;"|"&amp;L761</x:f>
        <x:v>PSTC|495</x:v>
      </x:c>
      <x:c r="B761" t="str">
        <x:v>be2195a4-47bb-5a67-a4e8-e4b36af7ebff</x:v>
      </x:c>
      <x:c r="C761" t="str">
        <x:v>CDA-PSTC-495</x:v>
      </x:c>
      <x:c r="D761" t="str">
        <x:v>2389d9d0-ecac-5dc3-922c-5004968271df</x:v>
      </x:c>
      <x:c r="E761" t="str">
        <x:v>CDA-CODE-495</x:v>
      </x:c>
      <x:c r="F761" t="str">
        <x:v>Caran d’Ache</x:v>
      </x:c>
      <x:c r="G761" t="str">
        <x:v>PSTC</x:v>
      </x:c>
      <x:c r="H761" t="str">
        <x:v>PASTEL CUBES</x:v>
      </x:c>
      <x:c r="I761" t="str">
        <x:v>Extra-fine dry pastel cube</x:v>
      </x:c>
      <x:c r="J761" t="str">
        <x:v>Professional</x:v>
      </x:c>
      <x:c r="K761" s="30" t="n">
        <x:v>80</x:v>
      </x:c>
      <x:c r="L761" s="30" t="str">
        <x:v>495</x:v>
      </x:c>
      <x:c r="M761" t="str">
        <x:v>Slate grey</x:v>
      </x:c>
      <x:c r="N761" t="str">
        <x:v>板岩灰</x:v>
      </x:c>
      <x:c r="O761" t="str">
        <x:v>スレートグレー</x:v>
      </x:c>
      <x:c r="P761" t="str"/>
      <x:c r="Q761" t="str">
        <x:v>Gris ardoise</x:v>
      </x:c>
      <x:c r="R761" t="str">
        <x:v>Schiefergrau</x:v>
      </x:c>
      <x:c r="S761" t="str">
        <x:v>Grigio ardesia</x:v>
      </x:c>
      <x:c r="T761" t="str">
        <x:v>Gris pizarra</x:v>
      </x:c>
      <x:c r="U761" t="str">
        <x:v>Cinzento ardósia</x:v>
      </x:c>
      <x:c r="V761" t="str"/>
      <x:c r="W761" t="str">
        <x:v>PBk9</x:v>
      </x:c>
      <x:c r="X761" t="n">
        <x:f>IF(W761="",0,LEN(W761)-LEN(SUBSTITUTE(W761,"/",""))+1)</x:f>
        <x:v>1</x:v>
      </x:c>
      <x:c r="Y761" t="str">
        <x:v>HHH</x:v>
      </x:c>
      <x:c r="Z761" s="32" t="n">
        <x:v>3</x:v>
      </x:c>
      <x:c r="AA761" s="32" t="n">
        <x:v>5</x:v>
      </x:c>
      <x:c r="AB761" s="32" t="str">
        <x:v>Blue Wool Scale / UV 150h</x:v>
      </x:c>
      <x:c r="AC761" t="str">
        <x:v>#524C48</x:v>
      </x:c>
      <x:c r="AD761" s="34" t="n">
        <x:v>82</x:v>
      </x:c>
      <x:c r="AE761" s="34" t="n">
        <x:v>76</x:v>
      </x:c>
      <x:c r="AF761" s="34" t="n">
        <x:v>72</x:v>
      </x:c>
      <x:c r="AG761" s="32" t="n">
        <x:v>24</x:v>
      </x:c>
      <x:c r="AH761" s="32" t="n">
        <x:v>6.49</x:v>
      </x:c>
      <x:c r="AI761" s="32" t="n">
        <x:v>30.2</x:v>
      </x:c>
      <x:c r="AJ761" s="32" t="n">
        <x:v>32.77</x:v>
      </x:c>
      <x:c r="AK761" s="32" t="n">
        <x:v>1.68</x:v>
      </x:c>
      <x:c r="AL761" s="32" t="n">
        <x:v>3.27</x:v>
      </x:c>
      <x:c r="AM761" s="32" t="str">
        <x:v>#FFFFFF</x:v>
      </x:c>
      <x:c r="AN761" s="32" t="str">
        <x:v>White</x:v>
      </x:c>
      <x:c r="AO761" s="32" t="n">
        <x:v>8.45</x:v>
      </x:c>
      <x:c r="AP761" s="32" t="n">
        <x:v>2.49</x:v>
      </x:c>
      <x:c r="AQ761" s="32" t="n">
        <x:v>8.45</x:v>
      </x:c>
      <x:c r="AR761" s="32" t="n">
        <x:v>0.074306</x:v>
      </x:c>
      <x:c r="AS761" t="str">
        <x:v>PASS</x:v>
      </x:c>
      <x:c r="AT761" t="str">
        <x:v>--cda-pstc-495</x:v>
      </x:c>
      <x:c r="AU761" t="str">
        <x:v>var(--cda-pstc-495)</x:v>
      </x:c>
      <x:c r="AV761" t="str">
        <x:v>Median RGB from official PDF swatch (screen reference only)</x:v>
      </x:c>
      <x:c r="AW761" t="str">
        <x:v>https://www.carandache.com/content_files/uploaded_doc/product/10985/Colour_Chart_Pastel_Pencil.pdf</x:v>
      </x:c>
      <x:c r="AX761" t="n">
        <x:v>1</x:v>
      </x:c>
      <x:c r="AY761" t="str">
        <x:v>Official</x:v>
      </x:c>
      <x:c r="AZ761" t="str">
        <x:v>Official where available; curated Traditional Chinese/Japanese otherwise</x:v>
      </x:c>
      <x:c r="BA761" t="str">
        <x:v>Verified from official chart; digital HEX is approximate</x:v>
      </x:c>
      <x:c r="BB761" t="str">
        <x:v>Shares the same 84-colour palette as PASTEL PENCILS; physical application differs by format.</x:v>
      </x:c>
    </x:row>
    <x:row r="762">
      <x:c r="A762" t="str">
        <x:f>G762&amp;"|"&amp;L762</x:f>
        <x:v>PSTC|046</x:v>
      </x:c>
      <x:c r="B762" t="str">
        <x:v>e22d8472-8e41-55b7-b352-92f8317801e3</x:v>
      </x:c>
      <x:c r="C762" t="str">
        <x:v>CDA-PSTC-046</x:v>
      </x:c>
      <x:c r="D762" t="str">
        <x:v>d6092a56-5cb2-52a3-93d7-9c1109a5f21e</x:v>
      </x:c>
      <x:c r="E762" t="str">
        <x:v>CDA-CODE-046</x:v>
      </x:c>
      <x:c r="F762" t="str">
        <x:v>Caran d’Ache</x:v>
      </x:c>
      <x:c r="G762" t="str">
        <x:v>PSTC</x:v>
      </x:c>
      <x:c r="H762" t="str">
        <x:v>PASTEL CUBES</x:v>
      </x:c>
      <x:c r="I762" t="str">
        <x:v>Extra-fine dry pastel cube</x:v>
      </x:c>
      <x:c r="J762" t="str">
        <x:v>Professional</x:v>
      </x:c>
      <x:c r="K762" s="30" t="n">
        <x:v>81</x:v>
      </x:c>
      <x:c r="L762" s="30" t="str">
        <x:v>046</x:v>
      </x:c>
      <x:c r="M762" t="str">
        <x:v>Cassel earth</x:v>
      </x:c>
      <x:c r="N762" t="str">
        <x:v>卡塞爾土色</x:v>
      </x:c>
      <x:c r="O762" t="str">
        <x:v>カッセルアース</x:v>
      </x:c>
      <x:c r="P762" t="str"/>
      <x:c r="Q762" t="str">
        <x:v>Terre de Cassel</x:v>
      </x:c>
      <x:c r="R762" t="str">
        <x:v>Kasseler Erde</x:v>
      </x:c>
      <x:c r="S762" t="str">
        <x:v>Terra di Kassel</x:v>
      </x:c>
      <x:c r="T762" t="str">
        <x:v>Tierra de Cassel</x:v>
      </x:c>
      <x:c r="U762" t="str">
        <x:v>Terra de Cassel</x:v>
      </x:c>
      <x:c r="V762" t="str"/>
      <x:c r="W762" t="str"/>
      <x:c r="X762" t="n">
        <x:f>IF(W762="",0,LEN(W762)-LEN(SUBSTITUTE(W762,"/",""))+1)</x:f>
        <x:v>0</x:v>
      </x:c>
      <x:c r="Y762" t="str">
        <x:v>HHH</x:v>
      </x:c>
      <x:c r="Z762" s="32" t="n">
        <x:v>3</x:v>
      </x:c>
      <x:c r="AA762" s="32" t="n">
        <x:v>5</x:v>
      </x:c>
      <x:c r="AB762" s="32" t="str">
        <x:v>Blue Wool Scale / UV 150h</x:v>
      </x:c>
      <x:c r="AC762" t="str">
        <x:v>#584439</x:v>
      </x:c>
      <x:c r="AD762" s="34" t="n">
        <x:v>88</x:v>
      </x:c>
      <x:c r="AE762" s="34" t="n">
        <x:v>68</x:v>
      </x:c>
      <x:c r="AF762" s="34" t="n">
        <x:v>57</x:v>
      </x:c>
      <x:c r="AG762" s="32" t="n">
        <x:v>21.29</x:v>
      </x:c>
      <x:c r="AH762" s="32" t="n">
        <x:v>21.38</x:v>
      </x:c>
      <x:c r="AI762" s="32" t="n">
        <x:v>28.43</x:v>
      </x:c>
      <x:c r="AJ762" s="32" t="n">
        <x:v>30.65</x:v>
      </x:c>
      <x:c r="AK762" s="32" t="n">
        <x:v>6.79</x:v>
      </x:c>
      <x:c r="AL762" s="32" t="n">
        <x:v>9.95</x:v>
      </x:c>
      <x:c r="AM762" s="32" t="str">
        <x:v>#FFFFFF</x:v>
      </x:c>
      <x:c r="AN762" s="32" t="str">
        <x:v>White</x:v>
      </x:c>
      <x:c r="AO762" s="32" t="n">
        <x:v>9.13</x:v>
      </x:c>
      <x:c r="AP762" s="32" t="n">
        <x:v>2.3</x:v>
      </x:c>
      <x:c r="AQ762" s="32" t="n">
        <x:v>9.13</x:v>
      </x:c>
      <x:c r="AR762" s="32" t="n">
        <x:v>0.065044</x:v>
      </x:c>
      <x:c r="AS762" t="str">
        <x:v>PASS</x:v>
      </x:c>
      <x:c r="AT762" t="str">
        <x:v>--cda-pstc-046</x:v>
      </x:c>
      <x:c r="AU762" t="str">
        <x:v>var(--cda-pstc-046)</x:v>
      </x:c>
      <x:c r="AV762" t="str">
        <x:v>Median RGB from official PDF swatch (screen reference only)</x:v>
      </x:c>
      <x:c r="AW762" t="str">
        <x:v>https://www.carandache.com/content_files/uploaded_doc/product/10985/Colour_Chart_Pastel_Pencil.pdf</x:v>
      </x:c>
      <x:c r="AX762" t="n">
        <x:v>1</x:v>
      </x:c>
      <x:c r="AY762" t="str">
        <x:v>Official</x:v>
      </x:c>
      <x:c r="AZ762" t="str">
        <x:v>Official where available; curated Traditional Chinese/Japanese otherwise</x:v>
      </x:c>
      <x:c r="BA762" t="str">
        <x:v>Verified from official chart; digital HEX is approximate</x:v>
      </x:c>
      <x:c r="BB762" t="str">
        <x:v>Shares the same 84-colour palette as PASTEL PENCILS; physical application differs by format.</x:v>
      </x:c>
    </x:row>
    <x:row r="763">
      <x:c r="A763" t="str">
        <x:f>G763&amp;"|"&amp;L763</x:f>
        <x:v>PSTC|748</x:v>
      </x:c>
      <x:c r="B763" t="str">
        <x:v>5db90e4e-d29d-51e6-af61-699982315b8d</x:v>
      </x:c>
      <x:c r="C763" t="str">
        <x:v>CDA-PSTC-748</x:v>
      </x:c>
      <x:c r="D763" t="str">
        <x:v>fb8b22bf-931a-5020-aba1-6e2f47b4542f</x:v>
      </x:c>
      <x:c r="E763" t="str">
        <x:v>CDA-CODE-748</x:v>
      </x:c>
      <x:c r="F763" t="str">
        <x:v>Caran d’Ache</x:v>
      </x:c>
      <x:c r="G763" t="str">
        <x:v>PSTC</x:v>
      </x:c>
      <x:c r="H763" t="str">
        <x:v>PASTEL CUBES</x:v>
      </x:c>
      <x:c r="I763" t="str">
        <x:v>Extra-fine dry pastel cube</x:v>
      </x:c>
      <x:c r="J763" t="str">
        <x:v>Professional</x:v>
      </x:c>
      <x:c r="K763" s="30" t="n">
        <x:v>82</x:v>
      </x:c>
      <x:c r="L763" s="30" t="str">
        <x:v>748</x:v>
      </x:c>
      <x:c r="M763" t="str">
        <x:v>Dark flesh</x:v>
      </x:c>
      <x:c r="N763" t="str">
        <x:v>深膚色</x:v>
      </x:c>
      <x:c r="O763" t="str">
        <x:v>ダークフレッシュ</x:v>
      </x:c>
      <x:c r="P763" t="str"/>
      <x:c r="Q763" t="str">
        <x:v>Chair foncée</x:v>
      </x:c>
      <x:c r="R763" t="str">
        <x:v>Dunkel Fleischfarbig</x:v>
      </x:c>
      <x:c r="S763" t="str">
        <x:v>Incarnato scuro</x:v>
      </x:c>
      <x:c r="T763" t="str">
        <x:v>Carne oscuro</x:v>
      </x:c>
      <x:c r="U763" t="str">
        <x:v>Carne escuro</x:v>
      </x:c>
      <x:c r="V763" t="str"/>
      <x:c r="W763" t="str">
        <x:v>PR179/PBk7/PBr7/PBk11/PY42/PR101</x:v>
      </x:c>
      <x:c r="X763" t="n">
        <x:f>IF(W763="",0,LEN(W763)-LEN(SUBSTITUTE(W763,"/",""))+1)</x:f>
        <x:v>6</x:v>
      </x:c>
      <x:c r="Y763" t="str">
        <x:v>HHH</x:v>
      </x:c>
      <x:c r="Z763" s="32" t="n">
        <x:v>3</x:v>
      </x:c>
      <x:c r="AA763" s="32" t="n">
        <x:v>5</x:v>
      </x:c>
      <x:c r="AB763" s="32" t="str">
        <x:v>Blue Wool Scale / UV 150h</x:v>
      </x:c>
      <x:c r="AC763" t="str">
        <x:v>#43302D</x:v>
      </x:c>
      <x:c r="AD763" s="34" t="n">
        <x:v>67</x:v>
      </x:c>
      <x:c r="AE763" s="34" t="n">
        <x:v>48</x:v>
      </x:c>
      <x:c r="AF763" s="34" t="n">
        <x:v>45</x:v>
      </x:c>
      <x:c r="AG763" s="32" t="n">
        <x:v>8.18</x:v>
      </x:c>
      <x:c r="AH763" s="32" t="n">
        <x:v>19.64</x:v>
      </x:c>
      <x:c r="AI763" s="32" t="n">
        <x:v>21.96</x:v>
      </x:c>
      <x:c r="AJ763" s="32" t="n">
        <x:v>21.93</x:v>
      </x:c>
      <x:c r="AK763" s="32" t="n">
        <x:v>8.14</x:v>
      </x:c>
      <x:c r="AL763" s="32" t="n">
        <x:v>5.3</x:v>
      </x:c>
      <x:c r="AM763" s="32" t="str">
        <x:v>#FFFFFF</x:v>
      </x:c>
      <x:c r="AN763" s="32" t="str">
        <x:v>White</x:v>
      </x:c>
      <x:c r="AO763" s="32" t="n">
        <x:v>12.36</x:v>
      </x:c>
      <x:c r="AP763" s="32" t="n">
        <x:v>1.7</x:v>
      </x:c>
      <x:c r="AQ763" s="32" t="n">
        <x:v>12.36</x:v>
      </x:c>
      <x:c r="AR763" s="32" t="n">
        <x:v>0.034967</x:v>
      </x:c>
      <x:c r="AS763" t="str">
        <x:v>PASS</x:v>
      </x:c>
      <x:c r="AT763" t="str">
        <x:v>--cda-pstc-748</x:v>
      </x:c>
      <x:c r="AU763" t="str">
        <x:v>var(--cda-pstc-748)</x:v>
      </x:c>
      <x:c r="AV763" t="str">
        <x:v>Median RGB from official PDF swatch (screen reference only)</x:v>
      </x:c>
      <x:c r="AW763" t="str">
        <x:v>https://www.carandache.com/content_files/uploaded_doc/product/10985/Colour_Chart_Pastel_Pencil.pdf</x:v>
      </x:c>
      <x:c r="AX763" t="n">
        <x:v>1</x:v>
      </x:c>
      <x:c r="AY763" t="str">
        <x:v>Official</x:v>
      </x:c>
      <x:c r="AZ763" t="str">
        <x:v>Official where available; curated Traditional Chinese/Japanese otherwise</x:v>
      </x:c>
      <x:c r="BA763" t="str">
        <x:v>Verified from official chart; digital HEX is approximate</x:v>
      </x:c>
      <x:c r="BB763" t="str">
        <x:v>Shares the same 84-colour palette as PASTEL PENCILS; physical application differs by format.</x:v>
      </x:c>
    </x:row>
    <x:row r="764">
      <x:c r="A764" t="str">
        <x:f>G764&amp;"|"&amp;L764</x:f>
        <x:v>PSTC|408</x:v>
      </x:c>
      <x:c r="B764" t="str">
        <x:v>8d2cd860-6b4f-5e7c-9171-da39842c05df</x:v>
      </x:c>
      <x:c r="C764" t="str">
        <x:v>CDA-PSTC-408</x:v>
      </x:c>
      <x:c r="D764" t="str">
        <x:v>7a98f2fc-d14c-5f7a-be39-a7e7c879131c</x:v>
      </x:c>
      <x:c r="E764" t="str">
        <x:v>CDA-CODE-408</x:v>
      </x:c>
      <x:c r="F764" t="str">
        <x:v>Caran d’Ache</x:v>
      </x:c>
      <x:c r="G764" t="str">
        <x:v>PSTC</x:v>
      </x:c>
      <x:c r="H764" t="str">
        <x:v>PASTEL CUBES</x:v>
      </x:c>
      <x:c r="I764" t="str">
        <x:v>Extra-fine dry pastel cube</x:v>
      </x:c>
      <x:c r="J764" t="str">
        <x:v>Professional</x:v>
      </x:c>
      <x:c r="K764" s="30" t="n">
        <x:v>83</x:v>
      </x:c>
      <x:c r="L764" s="30" t="str">
        <x:v>408</x:v>
      </x:c>
      <x:c r="M764" t="str">
        <x:v>Dark Sepia</x:v>
      </x:c>
      <x:c r="N764" t="str">
        <x:v>深褐棕</x:v>
      </x:c>
      <x:c r="O764" t="str">
        <x:v>ダークセピア</x:v>
      </x:c>
      <x:c r="P764" t="str"/>
      <x:c r="Q764" t="str">
        <x:v>Sépia foncé</x:v>
      </x:c>
      <x:c r="R764" t="str">
        <x:v>Dunkel Sepia</x:v>
      </x:c>
      <x:c r="S764" t="str">
        <x:v>Seppia scuro</x:v>
      </x:c>
      <x:c r="T764" t="str">
        <x:v>Sepia oscuro</x:v>
      </x:c>
      <x:c r="U764" t="str">
        <x:v>Sépia escuro</x:v>
      </x:c>
      <x:c r="V764" t="str"/>
      <x:c r="W764" t="str"/>
      <x:c r="X764" t="n">
        <x:f>IF(W764="",0,LEN(W764)-LEN(SUBSTITUTE(W764,"/",""))+1)</x:f>
        <x:v>0</x:v>
      </x:c>
      <x:c r="Y764" t="str">
        <x:v>HHH</x:v>
      </x:c>
      <x:c r="Z764" s="32" t="n">
        <x:v>3</x:v>
      </x:c>
      <x:c r="AA764" s="32" t="n">
        <x:v>5</x:v>
      </x:c>
      <x:c r="AB764" s="32" t="str">
        <x:v>Blue Wool Scale / UV 150h</x:v>
      </x:c>
      <x:c r="AC764" t="str">
        <x:v>#3A2F2B</x:v>
      </x:c>
      <x:c r="AD764" s="34" t="n">
        <x:v>58</x:v>
      </x:c>
      <x:c r="AE764" s="34" t="n">
        <x:v>47</x:v>
      </x:c>
      <x:c r="AF764" s="34" t="n">
        <x:v>43</x:v>
      </x:c>
      <x:c r="AG764" s="32" t="n">
        <x:v>16</x:v>
      </x:c>
      <x:c r="AH764" s="32" t="n">
        <x:v>14.85</x:v>
      </x:c>
      <x:c r="AI764" s="32" t="n">
        <x:v>19.8</x:v>
      </x:c>
      <x:c r="AJ764" s="32" t="n">
        <x:v>20.47</x:v>
      </x:c>
      <x:c r="AK764" s="32" t="n">
        <x:v>4.22</x:v>
      </x:c>
      <x:c r="AL764" s="32" t="n">
        <x:v>4.44</x:v>
      </x:c>
      <x:c r="AM764" s="32" t="str">
        <x:v>#FFFFFF</x:v>
      </x:c>
      <x:c r="AN764" s="32" t="str">
        <x:v>White</x:v>
      </x:c>
      <x:c r="AO764" s="32" t="n">
        <x:v>12.95</x:v>
      </x:c>
      <x:c r="AP764" s="32" t="n">
        <x:v>1.62</x:v>
      </x:c>
      <x:c r="AQ764" s="32" t="n">
        <x:v>12.95</x:v>
      </x:c>
      <x:c r="AR764" s="32" t="n">
        <x:v>0.03107</x:v>
      </x:c>
      <x:c r="AS764" t="str">
        <x:v>PASS</x:v>
      </x:c>
      <x:c r="AT764" t="str">
        <x:v>--cda-pstc-408</x:v>
      </x:c>
      <x:c r="AU764" t="str">
        <x:v>var(--cda-pstc-408)</x:v>
      </x:c>
      <x:c r="AV764" t="str">
        <x:v>Median RGB from official PDF swatch (screen reference only)</x:v>
      </x:c>
      <x:c r="AW764" t="str">
        <x:v>https://www.carandache.com/content_files/uploaded_doc/product/10985/Colour_Chart_Pastel_Pencil.pdf</x:v>
      </x:c>
      <x:c r="AX764" t="n">
        <x:v>1</x:v>
      </x:c>
      <x:c r="AY764" t="str">
        <x:v>Official</x:v>
      </x:c>
      <x:c r="AZ764" t="str">
        <x:v>Official where available; curated Traditional Chinese/Japanese otherwise</x:v>
      </x:c>
      <x:c r="BA764" t="str">
        <x:v>Verified from official chart; digital HEX is approximate</x:v>
      </x:c>
      <x:c r="BB764" t="str">
        <x:v>Shares the same 84-colour palette as PASTEL PENCILS; physical application differs by format.</x:v>
      </x:c>
    </x:row>
    <x:row r="765">
      <x:c r="A765" t="str">
        <x:f>G765&amp;"|"&amp;L765</x:f>
        <x:v>PSTC|009</x:v>
      </x:c>
      <x:c r="B765" t="str">
        <x:v>1e1465ed-f6de-54c9-93b0-85b16b547c1a</x:v>
      </x:c>
      <x:c r="C765" t="str">
        <x:v>CDA-PSTC-009</x:v>
      </x:c>
      <x:c r="D765" t="str">
        <x:v>2d957d29-ed22-5cec-97bd-83295e45a493</x:v>
      </x:c>
      <x:c r="E765" t="str">
        <x:v>CDA-CODE-009</x:v>
      </x:c>
      <x:c r="F765" t="str">
        <x:v>Caran d’Ache</x:v>
      </x:c>
      <x:c r="G765" t="str">
        <x:v>PSTC</x:v>
      </x:c>
      <x:c r="H765" t="str">
        <x:v>PASTEL CUBES</x:v>
      </x:c>
      <x:c r="I765" t="str">
        <x:v>Extra-fine dry pastel cube</x:v>
      </x:c>
      <x:c r="J765" t="str">
        <x:v>Professional</x:v>
      </x:c>
      <x:c r="K765" s="30" t="n">
        <x:v>84</x:v>
      </x:c>
      <x:c r="L765" s="30" t="str">
        <x:v>009</x:v>
      </x:c>
      <x:c r="M765" t="str">
        <x:v>Black</x:v>
      </x:c>
      <x:c r="N765" t="str">
        <x:v>黑色</x:v>
      </x:c>
      <x:c r="O765" t="str">
        <x:v>ブラック</x:v>
      </x:c>
      <x:c r="P765" t="str"/>
      <x:c r="Q765" t="str">
        <x:v>Noir</x:v>
      </x:c>
      <x:c r="R765" t="str">
        <x:v>Schwarz</x:v>
      </x:c>
      <x:c r="S765" t="str">
        <x:v>Nero</x:v>
      </x:c>
      <x:c r="T765" t="str">
        <x:v>Negro</x:v>
      </x:c>
      <x:c r="U765" t="str">
        <x:v>Preto</x:v>
      </x:c>
      <x:c r="V765" t="str"/>
      <x:c r="W765" t="str">
        <x:v>PBk7</x:v>
      </x:c>
      <x:c r="X765" t="n">
        <x:f>IF(W765="",0,LEN(W765)-LEN(SUBSTITUTE(W765,"/",""))+1)</x:f>
        <x:v>1</x:v>
      </x:c>
      <x:c r="Y765" t="str">
        <x:v>HHH</x:v>
      </x:c>
      <x:c r="Z765" s="32" t="n">
        <x:v>3</x:v>
      </x:c>
      <x:c r="AA765" s="32" t="n">
        <x:v>5</x:v>
      </x:c>
      <x:c r="AB765" s="32" t="str">
        <x:v>Blue Wool Scale / UV 150h</x:v>
      </x:c>
      <x:c r="AC765" t="str">
        <x:v>#363538</x:v>
      </x:c>
      <x:c r="AD765" s="34" t="n">
        <x:v>54</x:v>
      </x:c>
      <x:c r="AE765" s="34" t="n">
        <x:v>53</x:v>
      </x:c>
      <x:c r="AF765" s="34" t="n">
        <x:v>56</x:v>
      </x:c>
      <x:c r="AG765" s="32" t="n">
        <x:v>260</x:v>
      </x:c>
      <x:c r="AH765" s="32" t="n">
        <x:v>2.75</x:v>
      </x:c>
      <x:c r="AI765" s="32" t="n">
        <x:v>21.37</x:v>
      </x:c>
      <x:c r="AJ765" s="32" t="n">
        <x:v>22.36</x:v>
      </x:c>
      <x:c r="AK765" s="32" t="n">
        <x:v>1.13</x:v>
      </x:c>
      <x:c r="AL765" s="32" t="n">
        <x:v>-1.73</x:v>
      </x:c>
      <x:c r="AM765" s="32" t="str">
        <x:v>#FFFFFF</x:v>
      </x:c>
      <x:c r="AN765" s="32" t="str">
        <x:v>White</x:v>
      </x:c>
      <x:c r="AO765" s="32" t="n">
        <x:v>12.19</x:v>
      </x:c>
      <x:c r="AP765" s="32" t="n">
        <x:v>1.72</x:v>
      </x:c>
      <x:c r="AQ765" s="32" t="n">
        <x:v>12.19</x:v>
      </x:c>
      <x:c r="AR765" s="32" t="n">
        <x:v>0.03616</x:v>
      </x:c>
      <x:c r="AS765" t="str">
        <x:v>PASS</x:v>
      </x:c>
      <x:c r="AT765" t="str">
        <x:v>--cda-pstc-009</x:v>
      </x:c>
      <x:c r="AU765" t="str">
        <x:v>var(--cda-pstc-009)</x:v>
      </x:c>
      <x:c r="AV765" t="str">
        <x:v>Median RGB from official PDF swatch (screen reference only)</x:v>
      </x:c>
      <x:c r="AW765" t="str">
        <x:v>https://www.carandache.com/content_files/uploaded_doc/product/10985/Colour_Chart_Pastel_Pencil.pdf</x:v>
      </x:c>
      <x:c r="AX765" t="n">
        <x:v>1</x:v>
      </x:c>
      <x:c r="AY765" t="str">
        <x:v>Official</x:v>
      </x:c>
      <x:c r="AZ765" t="str">
        <x:v>Official where available; curated Traditional Chinese/Japanese otherwise</x:v>
      </x:c>
      <x:c r="BA765" t="str">
        <x:v>Verified from official chart; digital HEX is approximate</x:v>
      </x:c>
      <x:c r="BB765" t="str">
        <x:v>Shares the same 84-colour palette as PASTEL PENCILS; physical application differs by format.</x:v>
      </x:c>
    </x:row>
    <x:row r="766">
      <x:c r="A766" t="str">
        <x:v>NART|001</x:v>
      </x:c>
      <x:c r="B766" t="str">
        <x:v>9a3f6b3e-a64c-506e-8259-97a369354dac</x:v>
      </x:c>
      <x:c r="C766" t="str">
        <x:v>CDA-NART-001</x:v>
      </x:c>
      <x:c r="D766" t="str">
        <x:v>1fdf2a25-f600-5523-bc97-56cadaedc26c</x:v>
      </x:c>
      <x:c r="E766" t="str">
        <x:v>CDA-CODE-001</x:v>
      </x:c>
      <x:c r="F766" t="str">
        <x:v>Caran d’Ache</x:v>
      </x:c>
      <x:c r="G766" t="str">
        <x:v>NART</x:v>
      </x:c>
      <x:c r="H766" t="str">
        <x:v>NEOART 6901</x:v>
      </x:c>
      <x:c r="I766" t="str">
        <x:v>Permanent wax-and-oil pastel</x:v>
      </x:c>
      <x:c r="J766" t="str">
        <x:v>Professional</x:v>
      </x:c>
      <x:c r="K766" t="n">
        <x:v>1</x:v>
      </x:c>
      <x:c r="L766" t="str">
        <x:v>001</x:v>
      </x:c>
      <x:c r="M766" t="str">
        <x:v>White</x:v>
      </x:c>
      <x:c r="N766" t="str">
        <x:v>白色</x:v>
      </x:c>
      <x:c r="O766" t="str">
        <x:v>ホワイト</x:v>
      </x:c>
      <x:c r="P766"/>
      <x:c r="Q766" t="str">
        <x:v>Blanc</x:v>
      </x:c>
      <x:c r="R766" t="str">
        <x:v>Weiss</x:v>
      </x:c>
      <x:c r="S766" t="str">
        <x:v>Bianco</x:v>
      </x:c>
      <x:c r="T766" t="str">
        <x:v>Blanco</x:v>
      </x:c>
      <x:c r="U766" t="str">
        <x:v>Branco</x:v>
      </x:c>
      <x:c r="V766" t="str">
        <x:v>흰색</x:v>
      </x:c>
      <x:c r="W766" t="str">
        <x:v>PW6</x:v>
      </x:c>
      <x:c r="X766" t="n">
        <x:v>1</x:v>
      </x:c>
      <x:c r="Y766" t="str">
        <x:v>I</x:v>
      </x:c>
      <x:c r="Z766" t="n">
        <x:v>1.67</x:v>
      </x:c>
      <x:c r="AA766" t="n">
        <x:v>3</x:v>
      </x:c>
      <x:c r="AB766" t="str">
        <x:v>ASTM D-6901</x:v>
      </x:c>
      <x:c r="AC766" s="173" t="str">
        <x:v>#FFFFFF</x:v>
      </x:c>
      <x:c r="AD766" t="n">
        <x:v>255</x:v>
      </x:c>
      <x:c r="AE766" t="n">
        <x:v>255</x:v>
      </x:c>
      <x:c r="AF766" t="n">
        <x:v>255</x:v>
      </x:c>
      <x:c r="AG766" t="n">
        <x:v>0</x:v>
      </x:c>
      <x:c r="AH766" t="n">
        <x:v>0</x:v>
      </x:c>
      <x:c r="AI766" t="n">
        <x:v>100</x:v>
      </x:c>
      <x:c r="AJ766" t="n">
        <x:v>100</x:v>
      </x:c>
      <x:c r="AK766" t="n">
        <x:v>0</x:v>
      </x:c>
      <x:c r="AL766" t="n">
        <x:v>0</x:v>
      </x:c>
      <x:c r="AM766" t="str">
        <x:v>#000000</x:v>
      </x:c>
      <x:c r="AN766" t="str">
        <x:v>Black</x:v>
      </x:c>
      <x:c r="AO766" t="n">
        <x:v>21</x:v>
      </x:c>
      <x:c r="AP766" t="n">
        <x:v>21</x:v>
      </x:c>
      <x:c r="AQ766" t="n">
        <x:v>1</x:v>
      </x:c>
      <x:c r="AR766" t="n">
        <x:v>1</x:v>
      </x:c>
      <x:c r="AS766" t="str">
        <x:v>PASS</x:v>
      </x:c>
      <x:c r="AT766" t="str">
        <x:v>--cda-nart-001</x:v>
      </x:c>
      <x:c r="AU766" t="str">
        <x:v>var(--cda-nart-001)</x:v>
      </x:c>
      <x:c r="AV766" t="str">
        <x:v>Dense right-edge colour sampled from the official 2025 catalogue chart gradient; screen-reference approximation only</x:v>
      </x:c>
      <x:c r="AW766" t="str">
        <x:v>https://www.carandache.com/</x:v>
      </x:c>
      <x:c r="AX766" t="n">
        <x:v>18</x:v>
      </x:c>
      <x:c r="AY766" t="str">
        <x:v>Official</x:v>
      </x:c>
      <x:c r="AZ766" t="str">
        <x:v>English official from 2025 catalogue; Traditional Chinese/Japanese curated; other languages inherited from existing official code mappings where available</x:v>
      </x:c>
      <x:c r="BA766" t="str">
        <x:v>Verified from official 2025 catalogue; digital HEX sampled from catalogue chart and is approximate</x:v>
      </x:c>
      <x:c r="BB766" t="str">
        <x:v>Source: Catcoul_Beauxarts_2025_EN_BD.pdf, Ref. 100011.211 ENG 2025, PDF p.18 (catalogue pp.32-33). NEOART 6901 has 48 colours; 44 codes are shared with LUMINANCE 6901.</x:v>
      </x:c>
    </x:row>
    <x:row r="767">
      <x:c r="A767" t="str">
        <x:v>NART|002</x:v>
      </x:c>
      <x:c r="B767" t="str">
        <x:v>4b3b20c8-f77e-5387-9139-14986ac6e8fa</x:v>
      </x:c>
      <x:c r="C767" t="str">
        <x:v>CDA-NART-002</x:v>
      </x:c>
      <x:c r="D767" t="str">
        <x:v>5bb6a1fa-d374-5bae-b129-520775dd165f</x:v>
      </x:c>
      <x:c r="E767" t="str">
        <x:v>CDA-CODE-002</x:v>
      </x:c>
      <x:c r="F767" t="str">
        <x:v>Caran d’Ache</x:v>
      </x:c>
      <x:c r="G767" t="str">
        <x:v>NART</x:v>
      </x:c>
      <x:c r="H767" t="str">
        <x:v>NEOART 6901</x:v>
      </x:c>
      <x:c r="I767" t="str">
        <x:v>Permanent wax-and-oil pastel</x:v>
      </x:c>
      <x:c r="J767" t="str">
        <x:v>Professional</x:v>
      </x:c>
      <x:c r="K767" t="n">
        <x:v>2</x:v>
      </x:c>
      <x:c r="L767" t="str">
        <x:v>002</x:v>
      </x:c>
      <x:c r="M767" t="str">
        <x:v>Silver grey</x:v>
      </x:c>
      <x:c r="N767" t="str">
        <x:v>銀灰色</x:v>
      </x:c>
      <x:c r="O767" t="str">
        <x:v>シルバーグレー</x:v>
      </x:c>
      <x:c r="P767"/>
      <x:c r="Q767" t="str">
        <x:v>Gris argenté</x:v>
      </x:c>
      <x:c r="R767" t="str">
        <x:v>Silbergrau</x:v>
      </x:c>
      <x:c r="S767" t="str">
        <x:v>Grigio argento</x:v>
      </x:c>
      <x:c r="T767" t="str">
        <x:v>Gris plateado</x:v>
      </x:c>
      <x:c r="U767" t="str">
        <x:v>Cinzento prateado</x:v>
      </x:c>
      <x:c r="V767" t="str">
        <x:v>은회색</x:v>
      </x:c>
      <x:c r="W767" t="str">
        <x:v>PW6/PBk6/PB15</x:v>
      </x:c>
      <x:c r="X767" t="n">
        <x:v>3</x:v>
      </x:c>
      <x:c r="Y767" t="str">
        <x:v>I</x:v>
      </x:c>
      <x:c r="Z767" t="n">
        <x:v>1.67</x:v>
      </x:c>
      <x:c r="AA767" t="n">
        <x:v>3</x:v>
      </x:c>
      <x:c r="AB767" t="str">
        <x:v>ASTM D-6901</x:v>
      </x:c>
      <x:c r="AC767" s="175" t="str">
        <x:v>#D6DBDD</x:v>
      </x:c>
      <x:c r="AD767" t="n">
        <x:v>214</x:v>
      </x:c>
      <x:c r="AE767" t="n">
        <x:v>219</x:v>
      </x:c>
      <x:c r="AF767" t="n">
        <x:v>221</x:v>
      </x:c>
      <x:c r="AG767" t="n">
        <x:v>197.14</x:v>
      </x:c>
      <x:c r="AH767" t="n">
        <x:v>9.33</x:v>
      </x:c>
      <x:c r="AI767" t="n">
        <x:v>85.29</x:v>
      </x:c>
      <x:c r="AJ767" t="n">
        <x:v>87.08</x:v>
      </x:c>
      <x:c r="AK767" t="n">
        <x:v>-1.32</x:v>
      </x:c>
      <x:c r="AL767" t="n">
        <x:v>-1.57</x:v>
      </x:c>
      <x:c r="AM767" t="str">
        <x:v>#000000</x:v>
      </x:c>
      <x:c r="AN767" t="str">
        <x:v>Black</x:v>
      </x:c>
      <x:c r="AO767" t="n">
        <x:v>15.04</x:v>
      </x:c>
      <x:c r="AP767" t="n">
        <x:v>15.04</x:v>
      </x:c>
      <x:c r="AQ767" t="n">
        <x:v>1.4</x:v>
      </x:c>
      <x:c r="AR767" t="n">
        <x:v>0.701796</x:v>
      </x:c>
      <x:c r="AS767" t="str">
        <x:v>PASS</x:v>
      </x:c>
      <x:c r="AT767" t="str">
        <x:v>--cda-nart-002</x:v>
      </x:c>
      <x:c r="AU767" t="str">
        <x:v>var(--cda-nart-002)</x:v>
      </x:c>
      <x:c r="AV767" t="str">
        <x:v>Dense right-edge colour sampled from the official 2025 catalogue chart gradient; screen-reference approximation only</x:v>
      </x:c>
      <x:c r="AW767" t="str">
        <x:v>https://www.carandache.com/</x:v>
      </x:c>
      <x:c r="AX767" t="n">
        <x:v>18</x:v>
      </x:c>
      <x:c r="AY767" t="str">
        <x:v>Official</x:v>
      </x:c>
      <x:c r="AZ767" t="str">
        <x:v>English official from 2025 catalogue; Traditional Chinese/Japanese curated; other languages inherited from existing official code mappings where available</x:v>
      </x:c>
      <x:c r="BA767" t="str">
        <x:v>Verified from official 2025 catalogue; digital HEX sampled from catalogue chart and is approximate</x:v>
      </x:c>
      <x:c r="BB767" t="str">
        <x:v>Source: Catcoul_Beauxarts_2025_EN_BD.pdf, Ref. 100011.211 ENG 2025, PDF p.18 (catalogue pp.32-33). NEOART 6901 has 48 colours; 44 codes are shared with LUMINANCE 6901.</x:v>
      </x:c>
    </x:row>
    <x:row r="768">
      <x:c r="A768" t="str">
        <x:v>NART|009</x:v>
      </x:c>
      <x:c r="B768" t="str">
        <x:v>549b0280-b6ba-50a1-9bff-e941a4ca4b8b</x:v>
      </x:c>
      <x:c r="C768" t="str">
        <x:v>CDA-NART-009</x:v>
      </x:c>
      <x:c r="D768" t="str">
        <x:v>2d957d29-ed22-5cec-97bd-83295e45a493</x:v>
      </x:c>
      <x:c r="E768" t="str">
        <x:v>CDA-CODE-009</x:v>
      </x:c>
      <x:c r="F768" t="str">
        <x:v>Caran d’Ache</x:v>
      </x:c>
      <x:c r="G768" t="str">
        <x:v>NART</x:v>
      </x:c>
      <x:c r="H768" t="str">
        <x:v>NEOART 6901</x:v>
      </x:c>
      <x:c r="I768" t="str">
        <x:v>Permanent wax-and-oil pastel</x:v>
      </x:c>
      <x:c r="J768" t="str">
        <x:v>Professional</x:v>
      </x:c>
      <x:c r="K768" t="n">
        <x:v>3</x:v>
      </x:c>
      <x:c r="L768" t="str">
        <x:v>009</x:v>
      </x:c>
      <x:c r="M768" t="str">
        <x:v>Black</x:v>
      </x:c>
      <x:c r="N768" t="str">
        <x:v>黑色</x:v>
      </x:c>
      <x:c r="O768" t="str">
        <x:v>ブラック</x:v>
      </x:c>
      <x:c r="P768"/>
      <x:c r="Q768" t="str">
        <x:v>Noir</x:v>
      </x:c>
      <x:c r="R768" t="str">
        <x:v>Schwarz</x:v>
      </x:c>
      <x:c r="S768" t="str">
        <x:v>Nero</x:v>
      </x:c>
      <x:c r="T768" t="str">
        <x:v>Negro</x:v>
      </x:c>
      <x:c r="U768" t="str">
        <x:v>Preto</x:v>
      </x:c>
      <x:c r="V768" t="str">
        <x:v>검정색</x:v>
      </x:c>
      <x:c r="W768" t="str">
        <x:v>PBk6</x:v>
      </x:c>
      <x:c r="X768" t="n">
        <x:v>1</x:v>
      </x:c>
      <x:c r="Y768" t="str">
        <x:v>I</x:v>
      </x:c>
      <x:c r="Z768" t="n">
        <x:v>1.67</x:v>
      </x:c>
      <x:c r="AA768" t="n">
        <x:v>3</x:v>
      </x:c>
      <x:c r="AB768" t="str">
        <x:v>ASTM D-6901</x:v>
      </x:c>
      <x:c r="AC768" s="179" t="str">
        <x:v>#191F2A</x:v>
      </x:c>
      <x:c r="AD768" t="n">
        <x:v>25</x:v>
      </x:c>
      <x:c r="AE768" t="n">
        <x:v>31</x:v>
      </x:c>
      <x:c r="AF768" t="n">
        <x:v>42</x:v>
      </x:c>
      <x:c r="AG768" t="n">
        <x:v>218.82</x:v>
      </x:c>
      <x:c r="AH768" t="n">
        <x:v>25.37</x:v>
      </x:c>
      <x:c r="AI768" t="n">
        <x:v>13.14</x:v>
      </x:c>
      <x:c r="AJ768" t="n">
        <x:v>11.65</x:v>
      </x:c>
      <x:c r="AK768" t="n">
        <x:v>0.67</x:v>
      </x:c>
      <x:c r="AL768" t="n">
        <x:v>-8.27</x:v>
      </x:c>
      <x:c r="AM768" t="str">
        <x:v>#FFFFFF</x:v>
      </x:c>
      <x:c r="AN768" t="str">
        <x:v>White</x:v>
      </x:c>
      <x:c r="AO768" t="n">
        <x:v>16.53</x:v>
      </x:c>
      <x:c r="AP768" t="n">
        <x:v>1.27</x:v>
      </x:c>
      <x:c r="AQ768" t="n">
        <x:v>16.53</x:v>
      </x:c>
      <x:c r="AR768" t="n">
        <x:v>0.013538</x:v>
      </x:c>
      <x:c r="AS768" t="str">
        <x:v>PASS</x:v>
      </x:c>
      <x:c r="AT768" t="str">
        <x:v>--cda-nart-009</x:v>
      </x:c>
      <x:c r="AU768" t="str">
        <x:v>var(--cda-nart-009)</x:v>
      </x:c>
      <x:c r="AV768" t="str">
        <x:v>Dense right-edge colour sampled from the official 2025 catalogue chart gradient; screen-reference approximation only</x:v>
      </x:c>
      <x:c r="AW768" t="str">
        <x:v>https://www.carandache.com/</x:v>
      </x:c>
      <x:c r="AX768" t="n">
        <x:v>18</x:v>
      </x:c>
      <x:c r="AY768" t="str">
        <x:v>Official</x:v>
      </x:c>
      <x:c r="AZ768" t="str">
        <x:v>English official from 2025 catalogue; Traditional Chinese/Japanese curated; other languages inherited from existing official code mappings where available</x:v>
      </x:c>
      <x:c r="BA768" t="str">
        <x:v>Verified from official 2025 catalogue; digital HEX sampled from catalogue chart and is approximate</x:v>
      </x:c>
      <x:c r="BB768" t="str">
        <x:v>Source: Catcoul_Beauxarts_2025_EN_BD.pdf, Ref. 100011.211 ENG 2025, PDF p.18 (catalogue pp.32-33). NEOART 6901 has 48 colours; 44 codes are shared with LUMINANCE 6901.</x:v>
      </x:c>
    </x:row>
    <x:row r="769">
      <x:c r="A769" t="str">
        <x:v>NART|010</x:v>
      </x:c>
      <x:c r="B769" t="str">
        <x:v>208c95ce-4379-5af5-bd1d-19f502c850d9</x:v>
      </x:c>
      <x:c r="C769" t="str">
        <x:v>CDA-NART-010</x:v>
      </x:c>
      <x:c r="D769" t="str">
        <x:v>2eb703d0-d144-5025-ac87-72936a922e7c</x:v>
      </x:c>
      <x:c r="E769" t="str">
        <x:v>CDA-CODE-010</x:v>
      </x:c>
      <x:c r="F769" t="str">
        <x:v>Caran d’Ache</x:v>
      </x:c>
      <x:c r="G769" t="str">
        <x:v>NART</x:v>
      </x:c>
      <x:c r="H769" t="str">
        <x:v>NEOART 6901</x:v>
      </x:c>
      <x:c r="I769" t="str">
        <x:v>Permanent wax-and-oil pastel</x:v>
      </x:c>
      <x:c r="J769" t="str">
        <x:v>Professional</x:v>
      </x:c>
      <x:c r="K769" t="n">
        <x:v>4</x:v>
      </x:c>
      <x:c r="L769" t="str">
        <x:v>010</x:v>
      </x:c>
      <x:c r="M769" t="str">
        <x:v>Yellow</x:v>
      </x:c>
      <x:c r="N769" t="str">
        <x:v>黃色</x:v>
      </x:c>
      <x:c r="O769" t="str">
        <x:v>イエロー</x:v>
      </x:c>
      <x:c r="P769"/>
      <x:c r="Q769" t="str">
        <x:v>Jaune</x:v>
      </x:c>
      <x:c r="R769" t="str">
        <x:v>Gelb</x:v>
      </x:c>
      <x:c r="S769" t="str">
        <x:v>Giallo</x:v>
      </x:c>
      <x:c r="T769" t="str">
        <x:v>Amarillo</x:v>
      </x:c>
      <x:c r="U769" t="str">
        <x:v>Amarelo</x:v>
      </x:c>
      <x:c r="V769" t="str">
        <x:v>노랑색</x:v>
      </x:c>
      <x:c r="W769" t="str">
        <x:v>PY154</x:v>
      </x:c>
      <x:c r="X769" t="n">
        <x:v>1</x:v>
      </x:c>
      <x:c r="Y769" t="str">
        <x:v>I</x:v>
      </x:c>
      <x:c r="Z769" t="n">
        <x:v>1.67</x:v>
      </x:c>
      <x:c r="AA769" t="n">
        <x:v>3</x:v>
      </x:c>
      <x:c r="AB769" t="str">
        <x:v>ASTM D-6901</x:v>
      </x:c>
      <x:c r="AC769" s="181" t="str">
        <x:v>#FFD556</x:v>
      </x:c>
      <x:c r="AD769" t="n">
        <x:v>255</x:v>
      </x:c>
      <x:c r="AE769" t="n">
        <x:v>213</x:v>
      </x:c>
      <x:c r="AF769" t="n">
        <x:v>86</x:v>
      </x:c>
      <x:c r="AG769" t="n">
        <x:v>45.09</x:v>
      </x:c>
      <x:c r="AH769" t="n">
        <x:v>100</x:v>
      </x:c>
      <x:c r="AI769" t="n">
        <x:v>66.86</x:v>
      </x:c>
      <x:c r="AJ769" t="n">
        <x:v>86.76</x:v>
      </x:c>
      <x:c r="AK769" t="n">
        <x:v>1.42</x:v>
      </x:c>
      <x:c r="AL769" t="n">
        <x:v>65.99</x:v>
      </x:c>
      <x:c r="AM769" t="str">
        <x:v>#000000</x:v>
      </x:c>
      <x:c r="AN769" t="str">
        <x:v>Black</x:v>
      </x:c>
      <x:c r="AO769" t="n">
        <x:v>14.9</x:v>
      </x:c>
      <x:c r="AP769" t="n">
        <x:v>14.9</x:v>
      </x:c>
      <x:c r="AQ769" t="n">
        <x:v>1.41</x:v>
      </x:c>
      <x:c r="AR769" t="n">
        <x:v>0.695204</x:v>
      </x:c>
      <x:c r="AS769" t="str">
        <x:v>PASS</x:v>
      </x:c>
      <x:c r="AT769" t="str">
        <x:v>--cda-nart-010</x:v>
      </x:c>
      <x:c r="AU769" t="str">
        <x:v>var(--cda-nart-010)</x:v>
      </x:c>
      <x:c r="AV769" t="str">
        <x:v>Dense right-edge colour sampled from the official 2025 catalogue chart gradient; screen-reference approximation only</x:v>
      </x:c>
      <x:c r="AW769" t="str">
        <x:v>https://www.carandache.com/</x:v>
      </x:c>
      <x:c r="AX769" t="n">
        <x:v>18</x:v>
      </x:c>
      <x:c r="AY769" t="str">
        <x:v>Official</x:v>
      </x:c>
      <x:c r="AZ769" t="str">
        <x:v>English official from 2025 catalogue; Traditional Chinese/Japanese curated; other languages inherited from existing official code mappings where available</x:v>
      </x:c>
      <x:c r="BA769" t="str">
        <x:v>Verified from official 2025 catalogue; digital HEX sampled from catalogue chart and is approximate</x:v>
      </x:c>
      <x:c r="BB769" t="str">
        <x:v>Source: Catcoul_Beauxarts_2025_EN_BD.pdf, Ref. 100011.211 ENG 2025, PDF p.18 (catalogue pp.32-33). NEOART 6901 has 48 colours; 44 codes are shared with LUMINANCE 6901.</x:v>
      </x:c>
    </x:row>
    <x:row r="770">
      <x:c r="A770" t="str">
        <x:v>NART|030</x:v>
      </x:c>
      <x:c r="B770" t="str">
        <x:v>b87005d4-4bee-5c1d-aaaf-382326a970bf</x:v>
      </x:c>
      <x:c r="C770" t="str">
        <x:v>CDA-NART-030</x:v>
      </x:c>
      <x:c r="D770" t="str">
        <x:v>ebda54ca-102e-54e3-a9ae-065baab1ac50</x:v>
      </x:c>
      <x:c r="E770" t="str">
        <x:v>CDA-CODE-030</x:v>
      </x:c>
      <x:c r="F770" t="str">
        <x:v>Caran d’Ache</x:v>
      </x:c>
      <x:c r="G770" t="str">
        <x:v>NART</x:v>
      </x:c>
      <x:c r="H770" t="str">
        <x:v>NEOART 6901</x:v>
      </x:c>
      <x:c r="I770" t="str">
        <x:v>Permanent wax-and-oil pastel</x:v>
      </x:c>
      <x:c r="J770" t="str">
        <x:v>Professional</x:v>
      </x:c>
      <x:c r="K770" t="n">
        <x:v>5</x:v>
      </x:c>
      <x:c r="L770" t="str">
        <x:v>030</x:v>
      </x:c>
      <x:c r="M770" t="str">
        <x:v>Orange</x:v>
      </x:c>
      <x:c r="N770" t="str">
        <x:v>橙色</x:v>
      </x:c>
      <x:c r="O770" t="str">
        <x:v>オレンジ</x:v>
      </x:c>
      <x:c r="P770"/>
      <x:c r="Q770" t="str">
        <x:v>Orange</x:v>
      </x:c>
      <x:c r="R770" t="str">
        <x:v>Orange</x:v>
      </x:c>
      <x:c r="S770" t="str">
        <x:v>Arancio</x:v>
      </x:c>
      <x:c r="T770" t="str">
        <x:v>Naranja</x:v>
      </x:c>
      <x:c r="U770" t="str">
        <x:v>Laranja</x:v>
      </x:c>
      <x:c r="V770" t="str">
        <x:v>오렌지색</x:v>
      </x:c>
      <x:c r="W770" t="str">
        <x:v>PO62</x:v>
      </x:c>
      <x:c r="X770" t="n">
        <x:v>1</x:v>
      </x:c>
      <x:c r="Y770" t="str">
        <x:v>II</x:v>
      </x:c>
      <x:c r="Z770" t="n">
        <x:v>3.33</x:v>
      </x:c>
      <x:c r="AA770" t="n">
        <x:v>3</x:v>
      </x:c>
      <x:c r="AB770" t="str">
        <x:v>ASTM D-6901</x:v>
      </x:c>
      <x:c r="AC770" s="183" t="str">
        <x:v>#F5A746</x:v>
      </x:c>
      <x:c r="AD770" t="n">
        <x:v>245</x:v>
      </x:c>
      <x:c r="AE770" t="n">
        <x:v>167</x:v>
      </x:c>
      <x:c r="AF770" t="n">
        <x:v>70</x:v>
      </x:c>
      <x:c r="AG770" t="n">
        <x:v>33.26</x:v>
      </x:c>
      <x:c r="AH770" t="n">
        <x:v>89.74</x:v>
      </x:c>
      <x:c r="AI770" t="n">
        <x:v>61.76</x:v>
      </x:c>
      <x:c r="AJ770" t="n">
        <x:v>74.51</x:v>
      </x:c>
      <x:c r="AK770" t="n">
        <x:v>20.35</x:v>
      </x:c>
      <x:c r="AL770" t="n">
        <x:v>59.65</x:v>
      </x:c>
      <x:c r="AM770" t="str">
        <x:v>#000000</x:v>
      </x:c>
      <x:c r="AN770" t="str">
        <x:v>Black</x:v>
      </x:c>
      <x:c r="AO770" t="n">
        <x:v>10.5</x:v>
      </x:c>
      <x:c r="AP770" t="n">
        <x:v>10.5</x:v>
      </x:c>
      <x:c r="AQ770" t="n">
        <x:v>2</x:v>
      </x:c>
      <x:c r="AR770" t="n">
        <x:v>0.474921</x:v>
      </x:c>
      <x:c r="AS770" t="str">
        <x:v>PASS</x:v>
      </x:c>
      <x:c r="AT770" t="str">
        <x:v>--cda-nart-030</x:v>
      </x:c>
      <x:c r="AU770" t="str">
        <x:v>var(--cda-nart-030)</x:v>
      </x:c>
      <x:c r="AV770" t="str">
        <x:v>Dense right-edge colour sampled from the official 2025 catalogue chart gradient; screen-reference approximation only</x:v>
      </x:c>
      <x:c r="AW770" t="str">
        <x:v>https://www.carandache.com/</x:v>
      </x:c>
      <x:c r="AX770" t="n">
        <x:v>18</x:v>
      </x:c>
      <x:c r="AY770" t="str">
        <x:v>Official</x:v>
      </x:c>
      <x:c r="AZ770" t="str">
        <x:v>English official from 2025 catalogue; Traditional Chinese/Japanese curated; other languages inherited from existing official code mappings where available</x:v>
      </x:c>
      <x:c r="BA770" t="str">
        <x:v>Verified from official 2025 catalogue; digital HEX sampled from catalogue chart and is approximate</x:v>
      </x:c>
      <x:c r="BB770" t="str">
        <x:v>Source: Catcoul_Beauxarts_2025_EN_BD.pdf, Ref. 100011.211 ENG 2025, PDF p.18 (catalogue pp.32-33). NEOART 6901 has 48 colours; 44 codes are shared with LUMINANCE 6901.</x:v>
      </x:c>
    </x:row>
    <x:row r="771">
      <x:c r="A771" t="str">
        <x:v>NART|035</x:v>
      </x:c>
      <x:c r="B771" t="str">
        <x:v>711b3647-cc13-5434-abd6-b966378326df</x:v>
      </x:c>
      <x:c r="C771" t="str">
        <x:v>CDA-NART-035</x:v>
      </x:c>
      <x:c r="D771" t="str">
        <x:v>e6cc537a-bb6e-50c6-99e9-ab46db58910a</x:v>
      </x:c>
      <x:c r="E771" t="str">
        <x:v>CDA-CODE-035</x:v>
      </x:c>
      <x:c r="F771" t="str">
        <x:v>Caran d’Ache</x:v>
      </x:c>
      <x:c r="G771" t="str">
        <x:v>NART</x:v>
      </x:c>
      <x:c r="H771" t="str">
        <x:v>NEOART 6901</x:v>
      </x:c>
      <x:c r="I771" t="str">
        <x:v>Permanent wax-and-oil pastel</x:v>
      </x:c>
      <x:c r="J771" t="str">
        <x:v>Professional</x:v>
      </x:c>
      <x:c r="K771" t="n">
        <x:v>6</x:v>
      </x:c>
      <x:c r="L771" t="str">
        <x:v>035</x:v>
      </x:c>
      <x:c r="M771" t="str">
        <x:v>Ochre</x:v>
      </x:c>
      <x:c r="N771" t="str">
        <x:v>赭色</x:v>
      </x:c>
      <x:c r="O771" t="str">
        <x:v>オーカー</x:v>
      </x:c>
      <x:c r="P771"/>
      <x:c r="Q771" t="str">
        <x:v>Ocre</x:v>
      </x:c>
      <x:c r="R771" t="str">
        <x:v>Ocker</x:v>
      </x:c>
      <x:c r="S771" t="str">
        <x:v>Ocra</x:v>
      </x:c>
      <x:c r="T771" t="str">
        <x:v>Ocre</x:v>
      </x:c>
      <x:c r="U771" t="str">
        <x:v>Ocre</x:v>
      </x:c>
      <x:c r="V771" t="str">
        <x:v>황토색</x:v>
      </x:c>
      <x:c r="W771" t="str">
        <x:v>PY42</x:v>
      </x:c>
      <x:c r="X771" t="n">
        <x:v>1</x:v>
      </x:c>
      <x:c r="Y771" t="str">
        <x:v>I</x:v>
      </x:c>
      <x:c r="Z771" t="n">
        <x:v>1.67</x:v>
      </x:c>
      <x:c r="AA771" t="n">
        <x:v>3</x:v>
      </x:c>
      <x:c r="AB771" t="str">
        <x:v>ASTM D-6901</x:v>
      </x:c>
      <x:c r="AC771" s="185" t="str">
        <x:v>#F3BD54</x:v>
      </x:c>
      <x:c r="AD771" t="n">
        <x:v>243</x:v>
      </x:c>
      <x:c r="AE771" t="n">
        <x:v>189</x:v>
      </x:c>
      <x:c r="AF771" t="n">
        <x:v>84</x:v>
      </x:c>
      <x:c r="AG771" t="n">
        <x:v>39.62</x:v>
      </x:c>
      <x:c r="AH771" t="n">
        <x:v>86.89</x:v>
      </x:c>
      <x:c r="AI771" t="n">
        <x:v>64.12</x:v>
      </x:c>
      <x:c r="AJ771" t="n">
        <x:v>79.67</x:v>
      </x:c>
      <x:c r="AK771" t="n">
        <x:v>8.7</x:v>
      </x:c>
      <x:c r="AL771" t="n">
        <x:v>58.91</x:v>
      </x:c>
      <x:c r="AM771" t="str">
        <x:v>#000000</x:v>
      </x:c>
      <x:c r="AN771" t="str">
        <x:v>Black</x:v>
      </x:c>
      <x:c r="AO771" t="n">
        <x:v>12.22</x:v>
      </x:c>
      <x:c r="AP771" t="n">
        <x:v>12.22</x:v>
      </x:c>
      <x:c r="AQ771" t="n">
        <x:v>1.72</x:v>
      </x:c>
      <x:c r="AR771" t="n">
        <x:v>0.5609</x:v>
      </x:c>
      <x:c r="AS771" t="str">
        <x:v>PASS</x:v>
      </x:c>
      <x:c r="AT771" t="str">
        <x:v>--cda-nart-035</x:v>
      </x:c>
      <x:c r="AU771" t="str">
        <x:v>var(--cda-nart-035)</x:v>
      </x:c>
      <x:c r="AV771" t="str">
        <x:v>Dense right-edge colour sampled from the official 2025 catalogue chart gradient; screen-reference approximation only</x:v>
      </x:c>
      <x:c r="AW771" t="str">
        <x:v>https://www.carandache.com/</x:v>
      </x:c>
      <x:c r="AX771" t="n">
        <x:v>18</x:v>
      </x:c>
      <x:c r="AY771" t="str">
        <x:v>Official</x:v>
      </x:c>
      <x:c r="AZ771" t="str">
        <x:v>English official from 2025 catalogue; Traditional Chinese/Japanese curated; other languages inherited from existing official code mappings where available</x:v>
      </x:c>
      <x:c r="BA771" t="str">
        <x:v>Verified from official 2025 catalogue; digital HEX sampled from catalogue chart and is approximate</x:v>
      </x:c>
      <x:c r="BB771" t="str">
        <x:v>Source: Catcoul_Beauxarts_2025_EN_BD.pdf, Ref. 100011.211 ENG 2025, PDF p.18 (catalogue pp.32-33). NEOART 6901 has 48 colours; 44 codes are shared with LUMINANCE 6901.</x:v>
      </x:c>
    </x:row>
    <x:row r="772">
      <x:c r="A772" t="str">
        <x:v>NART|037</x:v>
      </x:c>
      <x:c r="B772" t="str">
        <x:v>1d82eaeb-1956-5680-82fd-d60c2a8261bb</x:v>
      </x:c>
      <x:c r="C772" t="str">
        <x:v>CDA-NART-037</x:v>
      </x:c>
      <x:c r="D772" t="str">
        <x:v>59b41d64-1bde-519b-97de-9680e20c652e</x:v>
      </x:c>
      <x:c r="E772" t="str">
        <x:v>CDA-CODE-037</x:v>
      </x:c>
      <x:c r="F772" t="str">
        <x:v>Caran d’Ache</x:v>
      </x:c>
      <x:c r="G772" t="str">
        <x:v>NART</x:v>
      </x:c>
      <x:c r="H772" t="str">
        <x:v>NEOART 6901</x:v>
      </x:c>
      <x:c r="I772" t="str">
        <x:v>Permanent wax-and-oil pastel</x:v>
      </x:c>
      <x:c r="J772" t="str">
        <x:v>Professional</x:v>
      </x:c>
      <x:c r="K772" t="n">
        <x:v>7</x:v>
      </x:c>
      <x:c r="L772" t="str">
        <x:v>037</x:v>
      </x:c>
      <x:c r="M772" t="str">
        <x:v>Brown ochre</x:v>
      </x:c>
      <x:c r="N772" t="str">
        <x:v>棕赭色</x:v>
      </x:c>
      <x:c r="O772" t="str">
        <x:v>ブラウンオーカー</x:v>
      </x:c>
      <x:c r="P772"/>
      <x:c r="Q772" t="str">
        <x:v>Ocre brun</x:v>
      </x:c>
      <x:c r="R772" t="str">
        <x:v>Braunocker</x:v>
      </x:c>
      <x:c r="S772" t="str">
        <x:v>Ocra bruna</x:v>
      </x:c>
      <x:c r="T772" t="str">
        <x:v>Ocre pardo</x:v>
      </x:c>
      <x:c r="U772" t="str">
        <x:v>Ocre acastanhado</x:v>
      </x:c>
      <x:c r="V772" t="str">
        <x:v>갈색빛 황토색</x:v>
      </x:c>
      <x:c r="W772" t="str">
        <x:v>PBk9/PR101/PY42</x:v>
      </x:c>
      <x:c r="X772" t="n">
        <x:v>3</x:v>
      </x:c>
      <x:c r="Y772" t="str">
        <x:v>I</x:v>
      </x:c>
      <x:c r="Z772" t="n">
        <x:v>1.67</x:v>
      </x:c>
      <x:c r="AA772" t="n">
        <x:v>3</x:v>
      </x:c>
      <x:c r="AB772" t="str">
        <x:v>ASTM D-6901</x:v>
      </x:c>
      <x:c r="AC772" s="187" t="str">
        <x:v>#B7804D</x:v>
      </x:c>
      <x:c r="AD772" t="n">
        <x:v>183</x:v>
      </x:c>
      <x:c r="AE772" t="n">
        <x:v>128</x:v>
      </x:c>
      <x:c r="AF772" t="n">
        <x:v>77</x:v>
      </x:c>
      <x:c r="AG772" t="n">
        <x:v>28.87</x:v>
      </x:c>
      <x:c r="AH772" t="n">
        <x:v>42.4</x:v>
      </x:c>
      <x:c r="AI772" t="n">
        <x:v>50.98</x:v>
      </x:c>
      <x:c r="AJ772" t="n">
        <x:v>58.08</x:v>
      </x:c>
      <x:c r="AK772" t="n">
        <x:v>15.7</x:v>
      </x:c>
      <x:c r="AL772" t="n">
        <x:v>35.89</x:v>
      </x:c>
      <x:c r="AM772" t="str">
        <x:v>#000000</x:v>
      </x:c>
      <x:c r="AN772" t="str">
        <x:v>Black</x:v>
      </x:c>
      <x:c r="AO772" t="n">
        <x:v>6.21</x:v>
      </x:c>
      <x:c r="AP772" t="n">
        <x:v>6.21</x:v>
      </x:c>
      <x:c r="AQ772" t="n">
        <x:v>3.38</x:v>
      </x:c>
      <x:c r="AR772" t="n">
        <x:v>0.260414</x:v>
      </x:c>
      <x:c r="AS772" t="str">
        <x:v>PASS</x:v>
      </x:c>
      <x:c r="AT772" t="str">
        <x:v>--cda-nart-037</x:v>
      </x:c>
      <x:c r="AU772" t="str">
        <x:v>var(--cda-nart-037)</x:v>
      </x:c>
      <x:c r="AV772" t="str">
        <x:v>Dense right-edge colour sampled from the official 2025 catalogue chart gradient; screen-reference approximation only</x:v>
      </x:c>
      <x:c r="AW772" t="str">
        <x:v>https://www.carandache.com/</x:v>
      </x:c>
      <x:c r="AX772" t="n">
        <x:v>18</x:v>
      </x:c>
      <x:c r="AY772" t="str">
        <x:v>Official</x:v>
      </x:c>
      <x:c r="AZ772" t="str">
        <x:v>English official from 2025 catalogue; Traditional Chinese/Japanese curated; other languages inherited from existing official code mappings where available</x:v>
      </x:c>
      <x:c r="BA772" t="str">
        <x:v>Verified from official 2025 catalogue; digital HEX sampled from catalogue chart and is approximate</x:v>
      </x:c>
      <x:c r="BB772" t="str">
        <x:v>Source: Catcoul_Beauxarts_2025_EN_BD.pdf, Ref. 100011.211 ENG 2025, PDF p.18 (catalogue pp.32-33). NEOART 6901 has 48 colours; 44 codes are shared with LUMINANCE 6901.</x:v>
      </x:c>
    </x:row>
    <x:row r="773">
      <x:c r="A773" t="str">
        <x:v>NART|044</x:v>
      </x:c>
      <x:c r="B773" t="str">
        <x:v>2f5057e3-7e69-58da-b2ef-e16a1a45b4c9</x:v>
      </x:c>
      <x:c r="C773" t="str">
        <x:v>CDA-NART-044</x:v>
      </x:c>
      <x:c r="D773" t="str">
        <x:v>a055982d-ba3a-5326-a9f9-53708f4fbbec</x:v>
      </x:c>
      <x:c r="E773" t="str">
        <x:v>CDA-CODE-044</x:v>
      </x:c>
      <x:c r="F773" t="str">
        <x:v>Caran d’Ache</x:v>
      </x:c>
      <x:c r="G773" t="str">
        <x:v>NART</x:v>
      </x:c>
      <x:c r="H773" t="str">
        <x:v>NEOART 6901</x:v>
      </x:c>
      <x:c r="I773" t="str">
        <x:v>Permanent wax-and-oil pastel</x:v>
      </x:c>
      <x:c r="J773" t="str">
        <x:v>Professional</x:v>
      </x:c>
      <x:c r="K773" t="n">
        <x:v>8</x:v>
      </x:c>
      <x:c r="L773" t="str">
        <x:v>044</x:v>
      </x:c>
      <x:c r="M773" t="str">
        <x:v>Terracotta</x:v>
      </x:c>
      <x:c r="N773" t="str">
        <x:v>赤陶色</x:v>
      </x:c>
      <x:c r="O773" t="str">
        <x:v>テラコッタ</x:v>
      </x:c>
      <x:c r="P773"/>
      <x:c r="Q773" t="str">
        <x:v>Terracotta</x:v>
      </x:c>
      <x:c r="R773" t="str">
        <x:v>Terracotta</x:v>
      </x:c>
      <x:c r="S773" t="str">
        <x:v>Terracotta</x:v>
      </x:c>
      <x:c r="T773" t="str">
        <x:v>Terracota</x:v>
      </x:c>
      <x:c r="U773" t="str">
        <x:v>Terracotta</x:v>
      </x:c>
      <x:c r="V773"/>
      <x:c r="W773" t="str">
        <x:v>PR101/PO82</x:v>
      </x:c>
      <x:c r="X773" t="n">
        <x:v>2</x:v>
      </x:c>
      <x:c r="Y773" t="str">
        <x:v>I</x:v>
      </x:c>
      <x:c r="Z773" t="n">
        <x:v>1.67</x:v>
      </x:c>
      <x:c r="AA773" t="n">
        <x:v>3</x:v>
      </x:c>
      <x:c r="AB773" t="str">
        <x:v>ASTM D-6901</x:v>
      </x:c>
      <x:c r="AC773" s="189" t="str">
        <x:v>#D3856E</x:v>
      </x:c>
      <x:c r="AD773" t="n">
        <x:v>211</x:v>
      </x:c>
      <x:c r="AE773" t="n">
        <x:v>133</x:v>
      </x:c>
      <x:c r="AF773" t="n">
        <x:v>110</x:v>
      </x:c>
      <x:c r="AG773" t="n">
        <x:v>13.66</x:v>
      </x:c>
      <x:c r="AH773" t="n">
        <x:v>53.44</x:v>
      </x:c>
      <x:c r="AI773" t="n">
        <x:v>62.94</x:v>
      </x:c>
      <x:c r="AJ773" t="n">
        <x:v>63.14</x:v>
      </x:c>
      <x:c r="AK773" t="n">
        <x:v>27.45</x:v>
      </x:c>
      <x:c r="AL773" t="n">
        <x:v>24.93</x:v>
      </x:c>
      <x:c r="AM773" t="str">
        <x:v>#000000</x:v>
      </x:c>
      <x:c r="AN773" t="str">
        <x:v>Black</x:v>
      </x:c>
      <x:c r="AO773" t="n">
        <x:v>7.35</x:v>
      </x:c>
      <x:c r="AP773" t="n">
        <x:v>7.35</x:v>
      </x:c>
      <x:c r="AQ773" t="n">
        <x:v>2.86</x:v>
      </x:c>
      <x:c r="AR773" t="n">
        <x:v>0.317497</x:v>
      </x:c>
      <x:c r="AS773" t="str">
        <x:v>PASS</x:v>
      </x:c>
      <x:c r="AT773" t="str">
        <x:v>--cda-nart-044</x:v>
      </x:c>
      <x:c r="AU773" t="str">
        <x:v>var(--cda-nart-044)</x:v>
      </x:c>
      <x:c r="AV773" t="str">
        <x:v>Dense right-edge colour sampled from the official 2025 catalogue chart gradient; screen-reference approximation only</x:v>
      </x:c>
      <x:c r="AW773" t="str">
        <x:v>https://www.carandache.com/</x:v>
      </x:c>
      <x:c r="AX773" t="n">
        <x:v>18</x:v>
      </x:c>
      <x:c r="AY773" t="str">
        <x:v>Official</x:v>
      </x:c>
      <x:c r="AZ773" t="str">
        <x:v>English official from 2025 catalogue; Traditional Chinese/Japanese curated; other languages inherited from existing official code mappings where available</x:v>
      </x:c>
      <x:c r="BA773" t="str">
        <x:v>Verified from official 2025 catalogue; digital HEX sampled from catalogue chart and is approximate</x:v>
      </x:c>
      <x:c r="BB773" t="str">
        <x:v>Source: Catcoul_Beauxarts_2025_EN_BD.pdf, Ref. 100011.211 ENG 2025, PDF p.18 (catalogue pp.32-33). NEOART 6901 has 48 colours; 44 codes are shared with LUMINANCE 6901.</x:v>
      </x:c>
    </x:row>
    <x:row r="774">
      <x:c r="A774" t="str">
        <x:v>NART|052</x:v>
      </x:c>
      <x:c r="B774" t="str">
        <x:v>5f3974b2-044c-5fcf-8d26-2f824bd25349</x:v>
      </x:c>
      <x:c r="C774" t="str">
        <x:v>CDA-NART-052</x:v>
      </x:c>
      <x:c r="D774" t="str">
        <x:v>c578249b-2849-5910-b333-baf5c652e1b3</x:v>
      </x:c>
      <x:c r="E774" t="str">
        <x:v>CDA-CODE-052</x:v>
      </x:c>
      <x:c r="F774" t="str">
        <x:v>Caran d’Ache</x:v>
      </x:c>
      <x:c r="G774" t="str">
        <x:v>NART</x:v>
      </x:c>
      <x:c r="H774" t="str">
        <x:v>NEOART 6901</x:v>
      </x:c>
      <x:c r="I774" t="str">
        <x:v>Permanent wax-and-oil pastel</x:v>
      </x:c>
      <x:c r="J774" t="str">
        <x:v>Professional</x:v>
      </x:c>
      <x:c r="K774" t="n">
        <x:v>9</x:v>
      </x:c>
      <x:c r="L774" t="str">
        <x:v>052</x:v>
      </x:c>
      <x:c r="M774" t="str">
        <x:v>Saffron</x:v>
      </x:c>
      <x:c r="N774" t="str">
        <x:v>藏紅花黃</x:v>
      </x:c>
      <x:c r="O774" t="str">
        <x:v>サフラン</x:v>
      </x:c>
      <x:c r="P774"/>
      <x:c r="Q774" t="str">
        <x:v>Safran</x:v>
      </x:c>
      <x:c r="R774" t="str">
        <x:v>Safran</x:v>
      </x:c>
      <x:c r="S774" t="str">
        <x:v>Zafferano</x:v>
      </x:c>
      <x:c r="T774" t="str">
        <x:v>Azafrán</x:v>
      </x:c>
      <x:c r="U774" t="str">
        <x:v>Açafrão</x:v>
      </x:c>
      <x:c r="V774"/>
      <x:c r="W774" t="str">
        <x:v>PR101/PO82</x:v>
      </x:c>
      <x:c r="X774" t="n">
        <x:v>2</x:v>
      </x:c>
      <x:c r="Y774" t="str">
        <x:v>I</x:v>
      </x:c>
      <x:c r="Z774" t="n">
        <x:v>1.67</x:v>
      </x:c>
      <x:c r="AA774" t="n">
        <x:v>3</x:v>
      </x:c>
      <x:c r="AB774" t="str">
        <x:v>ASTM D-6901</x:v>
      </x:c>
      <x:c r="AC774" s="191" t="str">
        <x:v>#CD5549</x:v>
      </x:c>
      <x:c r="AD774" t="n">
        <x:v>205</x:v>
      </x:c>
      <x:c r="AE774" t="n">
        <x:v>85</x:v>
      </x:c>
      <x:c r="AF774" t="n">
        <x:v>73</x:v>
      </x:c>
      <x:c r="AG774" t="n">
        <x:v>5.45</x:v>
      </x:c>
      <x:c r="AH774" t="n">
        <x:v>56.9</x:v>
      </x:c>
      <x:c r="AI774" t="n">
        <x:v>54.51</x:v>
      </x:c>
      <x:c r="AJ774" t="n">
        <x:v>51.79</x:v>
      </x:c>
      <x:c r="AK774" t="n">
        <x:v>46.82</x:v>
      </x:c>
      <x:c r="AL774" t="n">
        <x:v>31.09</x:v>
      </x:c>
      <x:c r="AM774" t="str">
        <x:v>#000000</x:v>
      </x:c>
      <x:c r="AN774" t="str">
        <x:v>Black</x:v>
      </x:c>
      <x:c r="AO774" t="n">
        <x:v>4.99</x:v>
      </x:c>
      <x:c r="AP774" t="n">
        <x:v>4.99</x:v>
      </x:c>
      <x:c r="AQ774" t="n">
        <x:v>4.21</x:v>
      </x:c>
      <x:c r="AR774" t="n">
        <x:v>0.199572</x:v>
      </x:c>
      <x:c r="AS774" t="str">
        <x:v>PASS</x:v>
      </x:c>
      <x:c r="AT774" t="str">
        <x:v>--cda-nart-052</x:v>
      </x:c>
      <x:c r="AU774" t="str">
        <x:v>var(--cda-nart-052)</x:v>
      </x:c>
      <x:c r="AV774" t="str">
        <x:v>Dense right-edge colour sampled from the official 2025 catalogue chart gradient; screen-reference approximation only</x:v>
      </x:c>
      <x:c r="AW774" t="str">
        <x:v>https://www.carandache.com/</x:v>
      </x:c>
      <x:c r="AX774" t="n">
        <x:v>18</x:v>
      </x:c>
      <x:c r="AY774" t="str">
        <x:v>Official</x:v>
      </x:c>
      <x:c r="AZ774" t="str">
        <x:v>English official from 2025 catalogue; Traditional Chinese/Japanese curated; other languages inherited from existing official code mappings where available</x:v>
      </x:c>
      <x:c r="BA774" t="str">
        <x:v>Verified from official 2025 catalogue; digital HEX sampled from catalogue chart and is approximate</x:v>
      </x:c>
      <x:c r="BB774" t="str">
        <x:v>Source: Catcoul_Beauxarts_2025_EN_BD.pdf, Ref. 100011.211 ENG 2025, PDF p.18 (catalogue pp.32-33). NEOART 6901 has 48 colours; 44 codes are shared with LUMINANCE 6901.</x:v>
      </x:c>
    </x:row>
    <x:row r="775">
      <x:c r="A775" t="str">
        <x:v>NART|061</x:v>
      </x:c>
      <x:c r="B775" t="str">
        <x:v>136ab932-6b7f-5f52-8ca8-4d25d1e4f3ed</x:v>
      </x:c>
      <x:c r="C775" t="str">
        <x:v>CDA-NART-061</x:v>
      </x:c>
      <x:c r="D775" t="str">
        <x:v>0e87f956-3dfa-5192-b356-95d43e98ea46</x:v>
      </x:c>
      <x:c r="E775" t="str">
        <x:v>CDA-CODE-061</x:v>
      </x:c>
      <x:c r="F775" t="str">
        <x:v>Caran d’Ache</x:v>
      </x:c>
      <x:c r="G775" t="str">
        <x:v>NART</x:v>
      </x:c>
      <x:c r="H775" t="str">
        <x:v>NEOART 6901</x:v>
      </x:c>
      <x:c r="I775" t="str">
        <x:v>Permanent wax-and-oil pastel</x:v>
      </x:c>
      <x:c r="J775" t="str">
        <x:v>Professional</x:v>
      </x:c>
      <x:c r="K775" t="n">
        <x:v>10</x:v>
      </x:c>
      <x:c r="L775" t="str">
        <x:v>061</x:v>
      </x:c>
      <x:c r="M775" t="str">
        <x:v>Permanent red</x:v>
      </x:c>
      <x:c r="N775" t="str">
        <x:v>永固紅</x:v>
      </x:c>
      <x:c r="O775" t="str">
        <x:v>パーマネントレッド</x:v>
      </x:c>
      <x:c r="P775"/>
      <x:c r="Q775" t="str">
        <x:v>Rouge permanent</x:v>
      </x:c>
      <x:c r="R775" t="str">
        <x:v>Permanentrot</x:v>
      </x:c>
      <x:c r="S775" t="str">
        <x:v>Rosso permanente</x:v>
      </x:c>
      <x:c r="T775" t="str">
        <x:v>Rojo permanente</x:v>
      </x:c>
      <x:c r="U775" t="str">
        <x:v>Vermelho permanente</x:v>
      </x:c>
      <x:c r="V775"/>
      <x:c r="W775" t="str">
        <x:v>PR242</x:v>
      </x:c>
      <x:c r="X775" t="n">
        <x:v>1</x:v>
      </x:c>
      <x:c r="Y775" t="str">
        <x:v>II</x:v>
      </x:c>
      <x:c r="Z775" t="n">
        <x:v>3.33</x:v>
      </x:c>
      <x:c r="AA775" t="n">
        <x:v>3</x:v>
      </x:c>
      <x:c r="AB775" t="str">
        <x:v>ASTM D-6901</x:v>
      </x:c>
      <x:c r="AC775" s="193" t="str">
        <x:v>#E8563B</x:v>
      </x:c>
      <x:c r="AD775" t="n">
        <x:v>232</x:v>
      </x:c>
      <x:c r="AE775" t="n">
        <x:v>86</x:v>
      </x:c>
      <x:c r="AF775" t="n">
        <x:v>59</x:v>
      </x:c>
      <x:c r="AG775" t="n">
        <x:v>9.36</x:v>
      </x:c>
      <x:c r="AH775" t="n">
        <x:v>79</x:v>
      </x:c>
      <x:c r="AI775" t="n">
        <x:v>57.06</x:v>
      </x:c>
      <x:c r="AJ775" t="n">
        <x:v>56.22</x:v>
      </x:c>
      <x:c r="AK775" t="n">
        <x:v>55.1</x:v>
      </x:c>
      <x:c r="AL775" t="n">
        <x:v>45.07</x:v>
      </x:c>
      <x:c r="AM775" t="str">
        <x:v>#000000</x:v>
      </x:c>
      <x:c r="AN775" t="str">
        <x:v>Black</x:v>
      </x:c>
      <x:c r="AO775" t="n">
        <x:v>5.83</x:v>
      </x:c>
      <x:c r="AP775" t="n">
        <x:v>5.83</x:v>
      </x:c>
      <x:c r="AQ775" t="n">
        <x:v>3.6</x:v>
      </x:c>
      <x:c r="AR775" t="n">
        <x:v>0.241271</x:v>
      </x:c>
      <x:c r="AS775" t="str">
        <x:v>PASS</x:v>
      </x:c>
      <x:c r="AT775" t="str">
        <x:v>--cda-nart-061</x:v>
      </x:c>
      <x:c r="AU775" t="str">
        <x:v>var(--cda-nart-061)</x:v>
      </x:c>
      <x:c r="AV775" t="str">
        <x:v>Dense right-edge colour sampled from the official 2025 catalogue chart gradient; screen-reference approximation only</x:v>
      </x:c>
      <x:c r="AW775" t="str">
        <x:v>https://www.carandache.com/</x:v>
      </x:c>
      <x:c r="AX775" t="n">
        <x:v>18</x:v>
      </x:c>
      <x:c r="AY775" t="str">
        <x:v>Official</x:v>
      </x:c>
      <x:c r="AZ775" t="str">
        <x:v>English official from 2025 catalogue; Traditional Chinese/Japanese curated; other languages inherited from existing official code mappings where available</x:v>
      </x:c>
      <x:c r="BA775" t="str">
        <x:v>Verified from official 2025 catalogue; digital HEX sampled from catalogue chart and is approximate</x:v>
      </x:c>
      <x:c r="BB775" t="str">
        <x:v>Source: Catcoul_Beauxarts_2025_EN_BD.pdf, Ref. 100011.211 ENG 2025, PDF p.18 (catalogue pp.32-33). NEOART 6901 has 48 colours; 44 codes are shared with LUMINANCE 6901.</x:v>
      </x:c>
    </x:row>
    <x:row r="776">
      <x:c r="A776" t="str">
        <x:v>NART|065</x:v>
      </x:c>
      <x:c r="B776" t="str">
        <x:v>c25bc4bc-b2c7-527a-bba1-84ca90c240d8</x:v>
      </x:c>
      <x:c r="C776" t="str">
        <x:v>CDA-NART-065</x:v>
      </x:c>
      <x:c r="D776" t="str">
        <x:v>91a3d2cf-6d79-536f-9dd3-6acea80af176</x:v>
      </x:c>
      <x:c r="E776" t="str">
        <x:v>CDA-CODE-065</x:v>
      </x:c>
      <x:c r="F776" t="str">
        <x:v>Caran d’Ache</x:v>
      </x:c>
      <x:c r="G776" t="str">
        <x:v>NART</x:v>
      </x:c>
      <x:c r="H776" t="str">
        <x:v>NEOART 6901</x:v>
      </x:c>
      <x:c r="I776" t="str">
        <x:v>Permanent wax-and-oil pastel</x:v>
      </x:c>
      <x:c r="J776" t="str">
        <x:v>Professional</x:v>
      </x:c>
      <x:c r="K776" t="n">
        <x:v>11</x:v>
      </x:c>
      <x:c r="L776" t="str">
        <x:v>065</x:v>
      </x:c>
      <x:c r="M776" t="str">
        <x:v>Russet</x:v>
      </x:c>
      <x:c r="N776" t="str">
        <x:v>赤褐色</x:v>
      </x:c>
      <x:c r="O776" t="str">
        <x:v>ラセット</x:v>
      </x:c>
      <x:c r="P776"/>
      <x:c r="Q776" t="str">
        <x:v>Sanguine</x:v>
      </x:c>
      <x:c r="R776" t="str">
        <x:v>Rotbraun</x:v>
      </x:c>
      <x:c r="S776" t="str">
        <x:v>Sanguigna</x:v>
      </x:c>
      <x:c r="T776" t="str">
        <x:v>Sanguina</x:v>
      </x:c>
      <x:c r="U776" t="str">
        <x:v>Sanguínea</x:v>
      </x:c>
      <x:c r="V776" t="str">
        <x:v>루셋</x:v>
      </x:c>
      <x:c r="W776" t="str">
        <x:v>PR188/PR101/PY42</x:v>
      </x:c>
      <x:c r="X776" t="n">
        <x:v>3</x:v>
      </x:c>
      <x:c r="Y776" t="str">
        <x:v>II</x:v>
      </x:c>
      <x:c r="Z776" t="n">
        <x:v>3.33</x:v>
      </x:c>
      <x:c r="AA776" t="n">
        <x:v>3</x:v>
      </x:c>
      <x:c r="AB776" t="str">
        <x:v>ASTM D-6901</x:v>
      </x:c>
      <x:c r="AC776" s="195" t="str">
        <x:v>#C75341</x:v>
      </x:c>
      <x:c r="AD776" t="n">
        <x:v>199</x:v>
      </x:c>
      <x:c r="AE776" t="n">
        <x:v>83</x:v>
      </x:c>
      <x:c r="AF776" t="n">
        <x:v>65</x:v>
      </x:c>
      <x:c r="AG776" t="n">
        <x:v>8.06</x:v>
      </x:c>
      <x:c r="AH776" t="n">
        <x:v>54.47</x:v>
      </x:c>
      <x:c r="AI776" t="n">
        <x:v>51.76</x:v>
      </x:c>
      <x:c r="AJ776" t="n">
        <x:v>50.35</x:v>
      </x:c>
      <x:c r="AK776" t="n">
        <x:v>45.12</x:v>
      </x:c>
      <x:c r="AL776" t="n">
        <x:v>33.68</x:v>
      </x:c>
      <x:c r="AM776" t="str">
        <x:v>#000000</x:v>
      </x:c>
      <x:c r="AN776" t="str">
        <x:v>Black</x:v>
      </x:c>
      <x:c r="AO776" t="n">
        <x:v>4.74</x:v>
      </x:c>
      <x:c r="AP776" t="n">
        <x:v>4.74</x:v>
      </x:c>
      <x:c r="AQ776" t="n">
        <x:v>4.43</x:v>
      </x:c>
      <x:c r="AR776" t="n">
        <x:v>0.187103</x:v>
      </x:c>
      <x:c r="AS776" t="str">
        <x:v>PASS</x:v>
      </x:c>
      <x:c r="AT776" t="str">
        <x:v>--cda-nart-065</x:v>
      </x:c>
      <x:c r="AU776" t="str">
        <x:v>var(--cda-nart-065)</x:v>
      </x:c>
      <x:c r="AV776" t="str">
        <x:v>Dense right-edge colour sampled from the official 2025 catalogue chart gradient; screen-reference approximation only</x:v>
      </x:c>
      <x:c r="AW776" t="str">
        <x:v>https://www.carandache.com/</x:v>
      </x:c>
      <x:c r="AX776" t="n">
        <x:v>18</x:v>
      </x:c>
      <x:c r="AY776" t="str">
        <x:v>Official</x:v>
      </x:c>
      <x:c r="AZ776" t="str">
        <x:v>English official from 2025 catalogue; Traditional Chinese/Japanese curated; other languages inherited from existing official code mappings where available</x:v>
      </x:c>
      <x:c r="BA776" t="str">
        <x:v>Verified from official 2025 catalogue; digital HEX sampled from catalogue chart and is approximate</x:v>
      </x:c>
      <x:c r="BB776" t="str">
        <x:v>Source: Catcoul_Beauxarts_2025_EN_BD.pdf, Ref. 100011.211 ENG 2025, PDF p.18 (catalogue pp.32-33). NEOART 6901 has 48 colours; 44 codes are shared with LUMINANCE 6901.</x:v>
      </x:c>
    </x:row>
    <x:row r="777">
      <x:c r="A777" t="str">
        <x:v>NART|068</x:v>
      </x:c>
      <x:c r="B777" t="str">
        <x:v>f9fa1137-c37f-581c-a091-91e087b91fbe</x:v>
      </x:c>
      <x:c r="C777" t="str">
        <x:v>CDA-NART-068</x:v>
      </x:c>
      <x:c r="D777" t="str">
        <x:v>cf74a785-f5e0-5e2c-bf77-3f77f5dd6745</x:v>
      </x:c>
      <x:c r="E777" t="str">
        <x:v>CDA-CODE-068</x:v>
      </x:c>
      <x:c r="F777" t="str">
        <x:v>Caran d’Ache</x:v>
      </x:c>
      <x:c r="G777" t="str">
        <x:v>NART</x:v>
      </x:c>
      <x:c r="H777" t="str">
        <x:v>NEOART 6901</x:v>
      </x:c>
      <x:c r="I777" t="str">
        <x:v>Permanent wax-and-oil pastel</x:v>
      </x:c>
      <x:c r="J777" t="str">
        <x:v>Professional</x:v>
      </x:c>
      <x:c r="K777" t="n">
        <x:v>12</x:v>
      </x:c>
      <x:c r="L777" t="str">
        <x:v>068</x:v>
      </x:c>
      <x:c r="M777" t="str">
        <x:v>Herculanum red</x:v>
      </x:c>
      <x:c r="N777" t="str">
        <x:v>赫庫蘭尼姆紅</x:v>
      </x:c>
      <x:c r="O777" t="str">
        <x:v>ヘルクラネウムレッド</x:v>
      </x:c>
      <x:c r="P777"/>
      <x:c r="Q777" t="str">
        <x:v>Rouge herculanum</x:v>
      </x:c>
      <x:c r="R777" t="str">
        <x:v>Herculanumrot</x:v>
      </x:c>
      <x:c r="S777" t="str">
        <x:v>Rosso Ercolano</x:v>
      </x:c>
      <x:c r="T777" t="str">
        <x:v>Rojo herculano</x:v>
      </x:c>
      <x:c r="U777" t="str">
        <x:v>Vermelho herculano</x:v>
      </x:c>
      <x:c r="V777"/>
      <x:c r="W777" t="str">
        <x:v>PR179/PR168/PR112/PY42</x:v>
      </x:c>
      <x:c r="X777" t="n">
        <x:v>4</x:v>
      </x:c>
      <x:c r="Y777" t="str">
        <x:v>I</x:v>
      </x:c>
      <x:c r="Z777" t="n">
        <x:v>1.67</x:v>
      </x:c>
      <x:c r="AA777" t="n">
        <x:v>3</x:v>
      </x:c>
      <x:c r="AB777" t="str">
        <x:v>ASTM D-6901</x:v>
      </x:c>
      <x:c r="AC777" s="197" t="str">
        <x:v>#F6B89F</x:v>
      </x:c>
      <x:c r="AD777" t="n">
        <x:v>246</x:v>
      </x:c>
      <x:c r="AE777" t="n">
        <x:v>184</x:v>
      </x:c>
      <x:c r="AF777" t="n">
        <x:v>159</x:v>
      </x:c>
      <x:c r="AG777" t="n">
        <x:v>17.24</x:v>
      </x:c>
      <x:c r="AH777" t="n">
        <x:v>82.86</x:v>
      </x:c>
      <x:c r="AI777" t="n">
        <x:v>79.41</x:v>
      </x:c>
      <x:c r="AJ777" t="n">
        <x:v>79.83</x:v>
      </x:c>
      <x:c r="AK777" t="n">
        <x:v>19.18</x:v>
      </x:c>
      <x:c r="AL777" t="n">
        <x:v>21.46</x:v>
      </x:c>
      <x:c r="AM777" t="str">
        <x:v>#000000</x:v>
      </x:c>
      <x:c r="AN777" t="str">
        <x:v>Black</x:v>
      </x:c>
      <x:c r="AO777" t="n">
        <x:v>12.28</x:v>
      </x:c>
      <x:c r="AP777" t="n">
        <x:v>12.28</x:v>
      </x:c>
      <x:c r="AQ777" t="n">
        <x:v>1.71</x:v>
      </x:c>
      <x:c r="AR777" t="n">
        <x:v>0.56377</x:v>
      </x:c>
      <x:c r="AS777" t="str">
        <x:v>PASS</x:v>
      </x:c>
      <x:c r="AT777" t="str">
        <x:v>--cda-nart-068</x:v>
      </x:c>
      <x:c r="AU777" t="str">
        <x:v>var(--cda-nart-068)</x:v>
      </x:c>
      <x:c r="AV777" t="str">
        <x:v>Dense right-edge colour sampled from the official 2025 catalogue chart gradient; screen-reference approximation only</x:v>
      </x:c>
      <x:c r="AW777" t="str">
        <x:v>https://www.carandache.com/</x:v>
      </x:c>
      <x:c r="AX777" t="n">
        <x:v>18</x:v>
      </x:c>
      <x:c r="AY777" t="str">
        <x:v>Official</x:v>
      </x:c>
      <x:c r="AZ777" t="str">
        <x:v>English official from 2025 catalogue; Traditional Chinese/Japanese curated; other languages inherited from existing official code mappings where available</x:v>
      </x:c>
      <x:c r="BA777" t="str">
        <x:v>Verified from official 2025 catalogue; digital HEX sampled from catalogue chart and is approximate</x:v>
      </x:c>
      <x:c r="BB777" t="str">
        <x:v>Source: Catcoul_Beauxarts_2025_EN_BD.pdf, Ref. 100011.211 ENG 2025, PDF p.18 (catalogue pp.32-33). NEOART 6901 has 48 colours; 44 codes are shared with LUMINANCE 6901.</x:v>
      </x:c>
    </x:row>
    <x:row r="778">
      <x:c r="A778" t="str">
        <x:v>NART|069</x:v>
      </x:c>
      <x:c r="B778" t="str">
        <x:v>6ea0f2ff-2960-5ce1-b44f-779497733b03</x:v>
      </x:c>
      <x:c r="C778" t="str">
        <x:v>CDA-NART-069</x:v>
      </x:c>
      <x:c r="D778" t="str">
        <x:v>cc93e1eb-34d0-5610-9562-5e234935f63d</x:v>
      </x:c>
      <x:c r="E778" t="str">
        <x:v>CDA-CODE-069</x:v>
      </x:c>
      <x:c r="F778" t="str">
        <x:v>Caran d’Ache</x:v>
      </x:c>
      <x:c r="G778" t="str">
        <x:v>NART</x:v>
      </x:c>
      <x:c r="H778" t="str">
        <x:v>NEOART 6901</x:v>
      </x:c>
      <x:c r="I778" t="str">
        <x:v>Permanent wax-and-oil pastel</x:v>
      </x:c>
      <x:c r="J778" t="str">
        <x:v>Professional</x:v>
      </x:c>
      <x:c r="K778" t="n">
        <x:v>13</x:v>
      </x:c>
      <x:c r="L778" t="str">
        <x:v>069</x:v>
      </x:c>
      <x:c r="M778" t="str">
        <x:v>Burnt Sienna</x:v>
      </x:c>
      <x:c r="N778" t="str">
        <x:v>熟赭紅</x:v>
      </x:c>
      <x:c r="O778" t="str">
        <x:v>バーントシェンナ</x:v>
      </x:c>
      <x:c r="P778"/>
      <x:c r="Q778" t="str">
        <x:v>Sienne brûlée</x:v>
      </x:c>
      <x:c r="R778" t="str">
        <x:v>Siena gebrannt</x:v>
      </x:c>
      <x:c r="S778" t="str">
        <x:v>Siena bruciata</x:v>
      </x:c>
      <x:c r="T778" t="str">
        <x:v>Siena quemada</x:v>
      </x:c>
      <x:c r="U778" t="str">
        <x:v>Siena queimado</x:v>
      </x:c>
      <x:c r="V778" t="str">
        <x:v>번트시너</x:v>
      </x:c>
      <x:c r="W778" t="str">
        <x:v>PR101/PBk6</x:v>
      </x:c>
      <x:c r="X778" t="n">
        <x:v>2</x:v>
      </x:c>
      <x:c r="Y778" t="str">
        <x:v>II</x:v>
      </x:c>
      <x:c r="Z778" t="n">
        <x:v>3.33</x:v>
      </x:c>
      <x:c r="AA778" t="n">
        <x:v>3</x:v>
      </x:c>
      <x:c r="AB778" t="str">
        <x:v>ASTM D-6901</x:v>
      </x:c>
      <x:c r="AC778" s="199" t="str">
        <x:v>#854C3E</x:v>
      </x:c>
      <x:c r="AD778" t="n">
        <x:v>133</x:v>
      </x:c>
      <x:c r="AE778" t="n">
        <x:v>76</x:v>
      </x:c>
      <x:c r="AF778" t="n">
        <x:v>62</x:v>
      </x:c>
      <x:c r="AG778" t="n">
        <x:v>11.83</x:v>
      </x:c>
      <x:c r="AH778" t="n">
        <x:v>36.41</x:v>
      </x:c>
      <x:c r="AI778" t="n">
        <x:v>38.24</x:v>
      </x:c>
      <x:c r="AJ778" t="n">
        <x:v>38.73</x:v>
      </x:c>
      <x:c r="AK778" t="n">
        <x:v>22.54</x:v>
      </x:c>
      <x:c r="AL778" t="n">
        <x:v>18.72</x:v>
      </x:c>
      <x:c r="AM778" t="str">
        <x:v>#FFFFFF</x:v>
      </x:c>
      <x:c r="AN778" t="str">
        <x:v>White</x:v>
      </x:c>
      <x:c r="AO778" t="n">
        <x:v>6.77</x:v>
      </x:c>
      <x:c r="AP778" t="n">
        <x:v>3.1</x:v>
      </x:c>
      <x:c r="AQ778" t="n">
        <x:v>6.77</x:v>
      </x:c>
      <x:c r="AR778" t="n">
        <x:v>0.105032</x:v>
      </x:c>
      <x:c r="AS778" t="str">
        <x:v>PASS</x:v>
      </x:c>
      <x:c r="AT778" t="str">
        <x:v>--cda-nart-069</x:v>
      </x:c>
      <x:c r="AU778" t="str">
        <x:v>var(--cda-nart-069)</x:v>
      </x:c>
      <x:c r="AV778" t="str">
        <x:v>Dense right-edge colour sampled from the official 2025 catalogue chart gradient; screen-reference approximation only</x:v>
      </x:c>
      <x:c r="AW778" t="str">
        <x:v>https://www.carandache.com/</x:v>
      </x:c>
      <x:c r="AX778" t="n">
        <x:v>18</x:v>
      </x:c>
      <x:c r="AY778" t="str">
        <x:v>Official</x:v>
      </x:c>
      <x:c r="AZ778" t="str">
        <x:v>English official from 2025 catalogue; Traditional Chinese/Japanese curated; other languages inherited from existing official code mappings where available</x:v>
      </x:c>
      <x:c r="BA778" t="str">
        <x:v>Verified from official 2025 catalogue; digital HEX sampled from catalogue chart and is approximate</x:v>
      </x:c>
      <x:c r="BB778" t="str">
        <x:v>Source: Catcoul_Beauxarts_2025_EN_BD.pdf, Ref. 100011.211 ENG 2025, PDF p.18 (catalogue pp.32-33). NEOART 6901 has 48 colours; 44 codes are shared with LUMINANCE 6901.</x:v>
      </x:c>
    </x:row>
    <x:row r="779">
      <x:c r="A779" t="str">
        <x:v>NART|070</x:v>
      </x:c>
      <x:c r="B779" t="str">
        <x:v>1667b19c-aa16-58aa-9427-d67c6e743caa</x:v>
      </x:c>
      <x:c r="C779" t="str">
        <x:v>CDA-NART-070</x:v>
      </x:c>
      <x:c r="D779" t="str">
        <x:v>2dcedd03-0d82-5dc4-a34e-7ed1c317e71e</x:v>
      </x:c>
      <x:c r="E779" t="str">
        <x:v>CDA-CODE-070</x:v>
      </x:c>
      <x:c r="F779" t="str">
        <x:v>Caran d’Ache</x:v>
      </x:c>
      <x:c r="G779" t="str">
        <x:v>NART</x:v>
      </x:c>
      <x:c r="H779" t="str">
        <x:v>NEOART 6901</x:v>
      </x:c>
      <x:c r="I779" t="str">
        <x:v>Permanent wax-and-oil pastel</x:v>
      </x:c>
      <x:c r="J779" t="str">
        <x:v>Professional</x:v>
      </x:c>
      <x:c r="K779" t="n">
        <x:v>14</x:v>
      </x:c>
      <x:c r="L779" t="str">
        <x:v>070</x:v>
      </x:c>
      <x:c r="M779" t="str">
        <x:v>Scarlet</x:v>
      </x:c>
      <x:c r="N779" t="str">
        <x:v>猩紅</x:v>
      </x:c>
      <x:c r="O779" t="str">
        <x:v>スカーレット</x:v>
      </x:c>
      <x:c r="P779"/>
      <x:c r="Q779" t="str">
        <x:v>Ecarlate</x:v>
      </x:c>
      <x:c r="R779" t="str">
        <x:v>Scharlachrot</x:v>
      </x:c>
      <x:c r="S779" t="str">
        <x:v>Scarlatto</x:v>
      </x:c>
      <x:c r="T779" t="str">
        <x:v>Escarlata</x:v>
      </x:c>
      <x:c r="U779" t="str">
        <x:v>Escarlate</x:v>
      </x:c>
      <x:c r="V779" t="str">
        <x:v>진홍색</x:v>
      </x:c>
      <x:c r="W779" t="str">
        <x:v>PR254</x:v>
      </x:c>
      <x:c r="X779" t="n">
        <x:v>1</x:v>
      </x:c>
      <x:c r="Y779" t="str">
        <x:v>II</x:v>
      </x:c>
      <x:c r="Z779" t="n">
        <x:v>3.33</x:v>
      </x:c>
      <x:c r="AA779" t="n">
        <x:v>3</x:v>
      </x:c>
      <x:c r="AB779" t="str">
        <x:v>ASTM D-6901</x:v>
      </x:c>
      <x:c r="AC779" s="201" t="str">
        <x:v>#DA4B33</x:v>
      </x:c>
      <x:c r="AD779" t="n">
        <x:v>218</x:v>
      </x:c>
      <x:c r="AE779" t="n">
        <x:v>75</x:v>
      </x:c>
      <x:c r="AF779" t="n">
        <x:v>51</x:v>
      </x:c>
      <x:c r="AG779" t="n">
        <x:v>8.62</x:v>
      </x:c>
      <x:c r="AH779" t="n">
        <x:v>69.29</x:v>
      </x:c>
      <x:c r="AI779" t="n">
        <x:v>52.75</x:v>
      </x:c>
      <x:c r="AJ779" t="n">
        <x:v>52.04</x:v>
      </x:c>
      <x:c r="AK779" t="n">
        <x:v>54.66</x:v>
      </x:c>
      <x:c r="AL779" t="n">
        <x:v>44.1</x:v>
      </x:c>
      <x:c r="AM779" t="str">
        <x:v>#000000</x:v>
      </x:c>
      <x:c r="AN779" t="str">
        <x:v>Black</x:v>
      </x:c>
      <x:c r="AO779" t="n">
        <x:v>5.04</x:v>
      </x:c>
      <x:c r="AP779" t="n">
        <x:v>5.04</x:v>
      </x:c>
      <x:c r="AQ779" t="n">
        <x:v>4.17</x:v>
      </x:c>
      <x:c r="AR779" t="n">
        <x:v>0.201766</x:v>
      </x:c>
      <x:c r="AS779" t="str">
        <x:v>PASS</x:v>
      </x:c>
      <x:c r="AT779" t="str">
        <x:v>--cda-nart-070</x:v>
      </x:c>
      <x:c r="AU779" t="str">
        <x:v>var(--cda-nart-070)</x:v>
      </x:c>
      <x:c r="AV779" t="str">
        <x:v>Dense right-edge colour sampled from the official 2025 catalogue chart gradient; screen-reference approximation only</x:v>
      </x:c>
      <x:c r="AW779" t="str">
        <x:v>https://www.carandache.com/</x:v>
      </x:c>
      <x:c r="AX779" t="n">
        <x:v>18</x:v>
      </x:c>
      <x:c r="AY779" t="str">
        <x:v>Official</x:v>
      </x:c>
      <x:c r="AZ779" t="str">
        <x:v>English official from 2025 catalogue; Traditional Chinese/Japanese curated; other languages inherited from existing official code mappings where available</x:v>
      </x:c>
      <x:c r="BA779" t="str">
        <x:v>Verified from official 2025 catalogue; digital HEX sampled from catalogue chart and is approximate</x:v>
      </x:c>
      <x:c r="BB779" t="str">
        <x:v>Source: Catcoul_Beauxarts_2025_EN_BD.pdf, Ref. 100011.211 ENG 2025, PDF p.18 (catalogue pp.32-33). NEOART 6901 has 48 colours; 44 codes are shared with LUMINANCE 6901.</x:v>
      </x:c>
    </x:row>
    <x:row r="780">
      <x:c r="A780" t="str">
        <x:v>NART|077</x:v>
      </x:c>
      <x:c r="B780" t="str">
        <x:v>682e4cd3-2916-5911-b6dd-41e89e06484f</x:v>
      </x:c>
      <x:c r="C780" t="str">
        <x:v>CDA-NART-077</x:v>
      </x:c>
      <x:c r="D780" t="str">
        <x:v>e3494ca6-14f6-5a22-a9b3-6f44868b6493</x:v>
      </x:c>
      <x:c r="E780" t="str">
        <x:v>CDA-CODE-077</x:v>
      </x:c>
      <x:c r="F780" t="str">
        <x:v>Caran d’Ache</x:v>
      </x:c>
      <x:c r="G780" t="str">
        <x:v>NART</x:v>
      </x:c>
      <x:c r="H780" t="str">
        <x:v>NEOART 6901</x:v>
      </x:c>
      <x:c r="I780" t="str">
        <x:v>Permanent wax-and-oil pastel</x:v>
      </x:c>
      <x:c r="J780" t="str">
        <x:v>Professional</x:v>
      </x:c>
      <x:c r="K780" t="n">
        <x:v>15</x:v>
      </x:c>
      <x:c r="L780" t="str">
        <x:v>077</x:v>
      </x:c>
      <x:c r="M780" t="str">
        <x:v>Burnt ochre</x:v>
      </x:c>
      <x:c r="N780" t="str">
        <x:v>熟赭色</x:v>
      </x:c>
      <x:c r="O780" t="str">
        <x:v>バーントオーカー</x:v>
      </x:c>
      <x:c r="P780"/>
      <x:c r="Q780" t="str">
        <x:v>Ocre brûlée</x:v>
      </x:c>
      <x:c r="R780" t="str">
        <x:v>Ocker gebrannt</x:v>
      </x:c>
      <x:c r="S780" t="str">
        <x:v>Ocra bruciata</x:v>
      </x:c>
      <x:c r="T780" t="str">
        <x:v>Ocre quemado</x:v>
      </x:c>
      <x:c r="U780" t="str">
        <x:v>Ocre queimado</x:v>
      </x:c>
      <x:c r="V780"/>
      <x:c r="W780" t="str">
        <x:v>PR101/PY42</x:v>
      </x:c>
      <x:c r="X780" t="n">
        <x:v>2</x:v>
      </x:c>
      <x:c r="Y780" t="str">
        <x:v>I</x:v>
      </x:c>
      <x:c r="Z780" t="n">
        <x:v>1.67</x:v>
      </x:c>
      <x:c r="AA780" t="n">
        <x:v>3</x:v>
      </x:c>
      <x:c r="AB780" t="str">
        <x:v>ASTM D-6901</x:v>
      </x:c>
      <x:c r="AC780" s="203" t="str">
        <x:v>#BE7A4B</x:v>
      </x:c>
      <x:c r="AD780" t="n">
        <x:v>190</x:v>
      </x:c>
      <x:c r="AE780" t="n">
        <x:v>122</x:v>
      </x:c>
      <x:c r="AF780" t="n">
        <x:v>75</x:v>
      </x:c>
      <x:c r="AG780" t="n">
        <x:v>24.52</x:v>
      </x:c>
      <x:c r="AH780" t="n">
        <x:v>46.94</x:v>
      </x:c>
      <x:c r="AI780" t="n">
        <x:v>51.96</x:v>
      </x:c>
      <x:c r="AJ780" t="n">
        <x:v>57.44</x:v>
      </x:c>
      <x:c r="AK780" t="n">
        <x:v>21.85</x:v>
      </x:c>
      <x:c r="AL780" t="n">
        <x:v>36.38</x:v>
      </x:c>
      <x:c r="AM780" t="str">
        <x:v>#000000</x:v>
      </x:c>
      <x:c r="AN780" t="str">
        <x:v>Black</x:v>
      </x:c>
      <x:c r="AO780" t="n">
        <x:v>6.07</x:v>
      </x:c>
      <x:c r="AP780" t="n">
        <x:v>6.07</x:v>
      </x:c>
      <x:c r="AQ780" t="n">
        <x:v>3.46</x:v>
      </x:c>
      <x:c r="AR780" t="n">
        <x:v>0.253742</x:v>
      </x:c>
      <x:c r="AS780" t="str">
        <x:v>PASS</x:v>
      </x:c>
      <x:c r="AT780" t="str">
        <x:v>--cda-nart-077</x:v>
      </x:c>
      <x:c r="AU780" t="str">
        <x:v>var(--cda-nart-077)</x:v>
      </x:c>
      <x:c r="AV780" t="str">
        <x:v>Dense right-edge colour sampled from the official 2025 catalogue chart gradient; screen-reference approximation only</x:v>
      </x:c>
      <x:c r="AW780" t="str">
        <x:v>https://www.carandache.com/</x:v>
      </x:c>
      <x:c r="AX780" t="n">
        <x:v>18</x:v>
      </x:c>
      <x:c r="AY780" t="str">
        <x:v>Official</x:v>
      </x:c>
      <x:c r="AZ780" t="str">
        <x:v>English official from 2025 catalogue; Traditional Chinese/Japanese curated; other languages inherited from existing official code mappings where available</x:v>
      </x:c>
      <x:c r="BA780" t="str">
        <x:v>Verified from official 2025 catalogue; digital HEX sampled from catalogue chart and is approximate</x:v>
      </x:c>
      <x:c r="BB780" t="str">
        <x:v>Source: Catcoul_Beauxarts_2025_EN_BD.pdf, Ref. 100011.211 ENG 2025, PDF p.18 (catalogue pp.32-33). NEOART 6901 has 48 colours; 44 codes are shared with LUMINANCE 6901.</x:v>
      </x:c>
    </x:row>
    <x:row r="781">
      <x:c r="A781" t="str">
        <x:v>NART|093</x:v>
      </x:c>
      <x:c r="B781" t="str">
        <x:v>91b57cd1-0738-5aa2-81bc-f5096ffa74f5</x:v>
      </x:c>
      <x:c r="C781" t="str">
        <x:v>CDA-NART-093</x:v>
      </x:c>
      <x:c r="D781" t="str">
        <x:v>e538ef64-8d9e-5a65-841e-49a8b475568d</x:v>
      </x:c>
      <x:c r="E781" t="str">
        <x:v>CDA-CODE-093</x:v>
      </x:c>
      <x:c r="F781" t="str">
        <x:v>Caran d’Ache</x:v>
      </x:c>
      <x:c r="G781" t="str">
        <x:v>NART</x:v>
      </x:c>
      <x:c r="H781" t="str">
        <x:v>NEOART 6901</x:v>
      </x:c>
      <x:c r="I781" t="str">
        <x:v>Permanent wax-and-oil pastel</x:v>
      </x:c>
      <x:c r="J781" t="str">
        <x:v>Professional</x:v>
      </x:c>
      <x:c r="K781" t="n">
        <x:v>16</x:v>
      </x:c>
      <x:c r="L781" t="str">
        <x:v>093</x:v>
      </x:c>
      <x:c r="M781" t="str">
        <x:v>Violet grey</x:v>
      </x:c>
      <x:c r="N781" t="str">
        <x:v>紫灰色</x:v>
      </x:c>
      <x:c r="O781" t="str">
        <x:v>バイオレットグレー</x:v>
      </x:c>
      <x:c r="P781"/>
      <x:c r="Q781" t="str">
        <x:v>Gris violet</x:v>
      </x:c>
      <x:c r="R781" t="str">
        <x:v>Grauviolet</x:v>
      </x:c>
      <x:c r="S781" t="str">
        <x:v>Viola grigiastro</x:v>
      </x:c>
      <x:c r="T781" t="str">
        <x:v>Gris violeta</x:v>
      </x:c>
      <x:c r="U781" t="str">
        <x:v>Violeta cinza</x:v>
      </x:c>
      <x:c r="V781"/>
      <x:c r="W781" t="str">
        <x:v>PR101/PV23/PY42/PBk6/PBk11</x:v>
      </x:c>
      <x:c r="X781" t="n">
        <x:v>5</x:v>
      </x:c>
      <x:c r="Y781" t="str">
        <x:v>I</x:v>
      </x:c>
      <x:c r="Z781" t="n">
        <x:v>1.67</x:v>
      </x:c>
      <x:c r="AA781" t="n">
        <x:v>3</x:v>
      </x:c>
      <x:c r="AB781" t="str">
        <x:v>ASTM D-6901</x:v>
      </x:c>
      <x:c r="AC781" s="205" t="str">
        <x:v>#BFAEBB</x:v>
      </x:c>
      <x:c r="AD781" t="n">
        <x:v>191</x:v>
      </x:c>
      <x:c r="AE781" t="n">
        <x:v>174</x:v>
      </x:c>
      <x:c r="AF781" t="n">
        <x:v>187</x:v>
      </x:c>
      <x:c r="AG781" t="n">
        <x:v>314.12</x:v>
      </x:c>
      <x:c r="AH781" t="n">
        <x:v>11.72</x:v>
      </x:c>
      <x:c r="AI781" t="n">
        <x:v>71.57</x:v>
      </x:c>
      <x:c r="AJ781" t="n">
        <x:v>72.85</x:v>
      </x:c>
      <x:c r="AK781" t="n">
        <x:v>8.42</x:v>
      </x:c>
      <x:c r="AL781" t="n">
        <x:v>-4.41</x:v>
      </x:c>
      <x:c r="AM781" t="str">
        <x:v>#000000</x:v>
      </x:c>
      <x:c r="AN781" t="str">
        <x:v>Black</x:v>
      </x:c>
      <x:c r="AO781" t="n">
        <x:v>9.99</x:v>
      </x:c>
      <x:c r="AP781" t="n">
        <x:v>9.99</x:v>
      </x:c>
      <x:c r="AQ781" t="n">
        <x:v>2.1</x:v>
      </x:c>
      <x:c r="AR781" t="n">
        <x:v>0.449363</x:v>
      </x:c>
      <x:c r="AS781" t="str">
        <x:v>PASS</x:v>
      </x:c>
      <x:c r="AT781" t="str">
        <x:v>--cda-nart-093</x:v>
      </x:c>
      <x:c r="AU781" t="str">
        <x:v>var(--cda-nart-093)</x:v>
      </x:c>
      <x:c r="AV781" t="str">
        <x:v>Dense right-edge colour sampled from the official 2025 catalogue chart gradient; screen-reference approximation only</x:v>
      </x:c>
      <x:c r="AW781" t="str">
        <x:v>https://www.carandache.com/</x:v>
      </x:c>
      <x:c r="AX781" t="n">
        <x:v>18</x:v>
      </x:c>
      <x:c r="AY781" t="str">
        <x:v>Official</x:v>
      </x:c>
      <x:c r="AZ781" t="str">
        <x:v>English official from 2025 catalogue; Traditional Chinese/Japanese curated; other languages inherited from existing official code mappings where available</x:v>
      </x:c>
      <x:c r="BA781" t="str">
        <x:v>Verified from official 2025 catalogue; digital HEX sampled from catalogue chart and is approximate</x:v>
      </x:c>
      <x:c r="BB781" t="str">
        <x:v>Source: Catcoul_Beauxarts_2025_EN_BD.pdf, Ref. 100011.211 ENG 2025, PDF p.18 (catalogue pp.32-33). NEOART 6901 has 48 colours; 44 codes are shared with LUMINANCE 6901.</x:v>
      </x:c>
    </x:row>
    <x:row r="782">
      <x:c r="A782" t="str">
        <x:v>NART|112</x:v>
      </x:c>
      <x:c r="B782" t="str">
        <x:v>0ff35958-668b-5cdc-8c6a-ad91a5121fce</x:v>
      </x:c>
      <x:c r="C782" t="str">
        <x:v>CDA-NART-112</x:v>
      </x:c>
      <x:c r="D782" t="str">
        <x:v>97472986-a576-545d-91ed-c62a5d5bf82d</x:v>
      </x:c>
      <x:c r="E782" t="str">
        <x:v>CDA-CODE-112</x:v>
      </x:c>
      <x:c r="F782" t="str">
        <x:v>Caran d’Ache</x:v>
      </x:c>
      <x:c r="G782" t="str">
        <x:v>NART</x:v>
      </x:c>
      <x:c r="H782" t="str">
        <x:v>NEOART 6901</x:v>
      </x:c>
      <x:c r="I782" t="str">
        <x:v>Permanent wax-and-oil pastel</x:v>
      </x:c>
      <x:c r="J782" t="str">
        <x:v>Professional</x:v>
      </x:c>
      <x:c r="K782" t="n">
        <x:v>17</x:v>
      </x:c>
      <x:c r="L782" t="str">
        <x:v>112</x:v>
      </x:c>
      <x:c r="M782" t="str">
        <x:v>Manganese violet</x:v>
      </x:c>
      <x:c r="N782" t="str">
        <x:v>錳紫</x:v>
      </x:c>
      <x:c r="O782" t="str">
        <x:v>マンガニーズバイオレット</x:v>
      </x:c>
      <x:c r="P782"/>
      <x:c r="Q782" t="str">
        <x:v>Violet de manganèse</x:v>
      </x:c>
      <x:c r="R782" t="str">
        <x:v>Manganviolett</x:v>
      </x:c>
      <x:c r="S782" t="str">
        <x:v>Viola manganese</x:v>
      </x:c>
      <x:c r="T782" t="str">
        <x:v>Violeta de manganeso</x:v>
      </x:c>
      <x:c r="U782" t="str">
        <x:v>Violeta manganês</x:v>
      </x:c>
      <x:c r="V782"/>
      <x:c r="W782" t="str">
        <x:v>PV16</x:v>
      </x:c>
      <x:c r="X782" t="n">
        <x:v>1</x:v>
      </x:c>
      <x:c r="Y782" t="str">
        <x:v>I</x:v>
      </x:c>
      <x:c r="Z782" t="n">
        <x:v>1.67</x:v>
      </x:c>
      <x:c r="AA782" t="n">
        <x:v>3</x:v>
      </x:c>
      <x:c r="AB782" t="str">
        <x:v>ASTM D-6901</x:v>
      </x:c>
      <x:c r="AC782" s="207" t="str">
        <x:v>#B59EBD</x:v>
      </x:c>
      <x:c r="AD782" t="n">
        <x:v>181</x:v>
      </x:c>
      <x:c r="AE782" t="n">
        <x:v>158</x:v>
      </x:c>
      <x:c r="AF782" t="n">
        <x:v>189</x:v>
      </x:c>
      <x:c r="AG782" t="n">
        <x:v>284.52</x:v>
      </x:c>
      <x:c r="AH782" t="n">
        <x:v>19.02</x:v>
      </x:c>
      <x:c r="AI782" t="n">
        <x:v>68.04</x:v>
      </x:c>
      <x:c r="AJ782" t="n">
        <x:v>67.99</x:v>
      </x:c>
      <x:c r="AK782" t="n">
        <x:v>14.14</x:v>
      </x:c>
      <x:c r="AL782" t="n">
        <x:v>-12.85</x:v>
      </x:c>
      <x:c r="AM782" t="str">
        <x:v>#000000</x:v>
      </x:c>
      <x:c r="AN782" t="str">
        <x:v>Black</x:v>
      </x:c>
      <x:c r="AO782" t="n">
        <x:v>8.59</x:v>
      </x:c>
      <x:c r="AP782" t="n">
        <x:v>8.59</x:v>
      </x:c>
      <x:c r="AQ782" t="n">
        <x:v>2.44</x:v>
      </x:c>
      <x:c r="AR782" t="n">
        <x:v>0.379516</x:v>
      </x:c>
      <x:c r="AS782" t="str">
        <x:v>PASS</x:v>
      </x:c>
      <x:c r="AT782" t="str">
        <x:v>--cda-nart-112</x:v>
      </x:c>
      <x:c r="AU782" t="str">
        <x:v>var(--cda-nart-112)</x:v>
      </x:c>
      <x:c r="AV782" t="str">
        <x:v>Dense right-edge colour sampled from the official 2025 catalogue chart gradient; screen-reference approximation only</x:v>
      </x:c>
      <x:c r="AW782" t="str">
        <x:v>https://www.carandache.com/</x:v>
      </x:c>
      <x:c r="AX782" t="n">
        <x:v>18</x:v>
      </x:c>
      <x:c r="AY782" t="str">
        <x:v>Official</x:v>
      </x:c>
      <x:c r="AZ782" t="str">
        <x:v>English official from 2025 catalogue; Traditional Chinese/Japanese curated; other languages inherited from existing official code mappings where available</x:v>
      </x:c>
      <x:c r="BA782" t="str">
        <x:v>Verified from official 2025 catalogue; digital HEX sampled from catalogue chart and is approximate</x:v>
      </x:c>
      <x:c r="BB782" t="str">
        <x:v>Source: Catcoul_Beauxarts_2025_EN_BD.pdf, Ref. 100011.211 ENG 2025, PDF p.18 (catalogue pp.32-33). NEOART 6901 has 48 colours; 44 codes are shared with LUMINANCE 6901.</x:v>
      </x:c>
    </x:row>
    <x:row r="783">
      <x:c r="A783" t="str">
        <x:v>NART|120</x:v>
      </x:c>
      <x:c r="B783" t="str">
        <x:v>b4bf0499-08c1-5b7f-ba48-6bda1df64d5d</x:v>
      </x:c>
      <x:c r="C783" t="str">
        <x:v>CDA-NART-120</x:v>
      </x:c>
      <x:c r="D783" t="str">
        <x:v>fee913f0-b01c-52a4-9be8-3e5be4c01b51</x:v>
      </x:c>
      <x:c r="E783" t="str">
        <x:v>CDA-CODE-120</x:v>
      </x:c>
      <x:c r="F783" t="str">
        <x:v>Caran d’Ache</x:v>
      </x:c>
      <x:c r="G783" t="str">
        <x:v>NART</x:v>
      </x:c>
      <x:c r="H783" t="str">
        <x:v>NEOART 6901</x:v>
      </x:c>
      <x:c r="I783" t="str">
        <x:v>Permanent wax-and-oil pastel</x:v>
      </x:c>
      <x:c r="J783" t="str">
        <x:v>Professional</x:v>
      </x:c>
      <x:c r="K783" t="n">
        <x:v>18</x:v>
      </x:c>
      <x:c r="L783" t="str">
        <x:v>120</x:v>
      </x:c>
      <x:c r="M783" t="str">
        <x:v>Violet</x:v>
      </x:c>
      <x:c r="N783" t="str">
        <x:v>紫羅蘭色</x:v>
      </x:c>
      <x:c r="O783" t="str">
        <x:v>バイオレット</x:v>
      </x:c>
      <x:c r="P783"/>
      <x:c r="Q783" t="str">
        <x:v>Violet</x:v>
      </x:c>
      <x:c r="R783" t="str">
        <x:v>Violett</x:v>
      </x:c>
      <x:c r="S783" t="str">
        <x:v>Violetto</x:v>
      </x:c>
      <x:c r="T783" t="str">
        <x:v>Violeta</x:v>
      </x:c>
      <x:c r="U783" t="str">
        <x:v>Violeta</x:v>
      </x:c>
      <x:c r="V783" t="str">
        <x:v>보라색</x:v>
      </x:c>
      <x:c r="W783" t="str">
        <x:v>PB15/PR122</x:v>
      </x:c>
      <x:c r="X783" t="n">
        <x:v>2</x:v>
      </x:c>
      <x:c r="Y783" t="str">
        <x:v>II</x:v>
      </x:c>
      <x:c r="Z783" t="n">
        <x:v>3.33</x:v>
      </x:c>
      <x:c r="AA783" t="n">
        <x:v>3</x:v>
      </x:c>
      <x:c r="AB783" t="str">
        <x:v>ASTM D-6901</x:v>
      </x:c>
      <x:c r="AC783" s="209" t="str">
        <x:v>#5F4390</x:v>
      </x:c>
      <x:c r="AD783" t="n">
        <x:v>95</x:v>
      </x:c>
      <x:c r="AE783" t="n">
        <x:v>67</x:v>
      </x:c>
      <x:c r="AF783" t="n">
        <x:v>144</x:v>
      </x:c>
      <x:c r="AG783" t="n">
        <x:v>261.82</x:v>
      </x:c>
      <x:c r="AH783" t="n">
        <x:v>36.49</x:v>
      </x:c>
      <x:c r="AI783" t="n">
        <x:v>41.37</x:v>
      </x:c>
      <x:c r="AJ783" t="n">
        <x:v>34.92</x:v>
      </x:c>
      <x:c r="AK783" t="n">
        <x:v>29.64</x:v>
      </x:c>
      <x:c r="AL783" t="n">
        <x:v>-38.46</x:v>
      </x:c>
      <x:c r="AM783" t="str">
        <x:v>#FFFFFF</x:v>
      </x:c>
      <x:c r="AN783" t="str">
        <x:v>White</x:v>
      </x:c>
      <x:c r="AO783" t="n">
        <x:v>7.8</x:v>
      </x:c>
      <x:c r="AP783" t="n">
        <x:v>2.69</x:v>
      </x:c>
      <x:c r="AQ783" t="n">
        <x:v>7.8</x:v>
      </x:c>
      <x:c r="AR783" t="n">
        <x:v>0.084608</x:v>
      </x:c>
      <x:c r="AS783" t="str">
        <x:v>PASS</x:v>
      </x:c>
      <x:c r="AT783" t="str">
        <x:v>--cda-nart-120</x:v>
      </x:c>
      <x:c r="AU783" t="str">
        <x:v>var(--cda-nart-120)</x:v>
      </x:c>
      <x:c r="AV783" t="str">
        <x:v>Dense right-edge colour sampled from the official 2025 catalogue chart gradient; screen-reference approximation only</x:v>
      </x:c>
      <x:c r="AW783" t="str">
        <x:v>https://www.carandache.com/</x:v>
      </x:c>
      <x:c r="AX783" t="n">
        <x:v>18</x:v>
      </x:c>
      <x:c r="AY783" t="str">
        <x:v>Official</x:v>
      </x:c>
      <x:c r="AZ783" t="str">
        <x:v>English official from 2025 catalogue; Traditional Chinese/Japanese curated; other languages inherited from existing official code mappings where available</x:v>
      </x:c>
      <x:c r="BA783" t="str">
        <x:v>Verified from official 2025 catalogue; digital HEX sampled from catalogue chart and is approximate</x:v>
      </x:c>
      <x:c r="BB783" t="str">
        <x:v>Source: Catcoul_Beauxarts_2025_EN_BD.pdf, Ref. 100011.211 ENG 2025, PDF p.18 (catalogue pp.32-33). NEOART 6901 has 48 colours; 44 codes are shared with LUMINANCE 6901.</x:v>
      </x:c>
    </x:row>
    <x:row r="784">
      <x:c r="A784" t="str">
        <x:v>NART|140</x:v>
      </x:c>
      <x:c r="B784" t="str">
        <x:v>9829f3e9-5244-577f-984f-923cc5eb4540</x:v>
      </x:c>
      <x:c r="C784" t="str">
        <x:v>CDA-NART-140</x:v>
      </x:c>
      <x:c r="D784" t="str">
        <x:v>1cc51d9d-3506-5022-8478-a1ae9af587e8</x:v>
      </x:c>
      <x:c r="E784" t="str">
        <x:v>CDA-CODE-140</x:v>
      </x:c>
      <x:c r="F784" t="str">
        <x:v>Caran d’Ache</x:v>
      </x:c>
      <x:c r="G784" t="str">
        <x:v>NART</x:v>
      </x:c>
      <x:c r="H784" t="str">
        <x:v>NEOART 6901</x:v>
      </x:c>
      <x:c r="I784" t="str">
        <x:v>Permanent wax-and-oil pastel</x:v>
      </x:c>
      <x:c r="J784" t="str">
        <x:v>Professional</x:v>
      </x:c>
      <x:c r="K784" t="n">
        <x:v>19</x:v>
      </x:c>
      <x:c r="L784" t="str">
        <x:v>140</x:v>
      </x:c>
      <x:c r="M784" t="str">
        <x:v>Ultramarine</x:v>
      </x:c>
      <x:c r="N784" t="str">
        <x:v>群青</x:v>
      </x:c>
      <x:c r="O784" t="str">
        <x:v>ウルトラマリン</x:v>
      </x:c>
      <x:c r="P784"/>
      <x:c r="Q784" t="str">
        <x:v>Bleu outremer</x:v>
      </x:c>
      <x:c r="R784" t="str">
        <x:v>Ultramarinblau</x:v>
      </x:c>
      <x:c r="S784" t="str">
        <x:v>Blu oltr  emare</x:v>
      </x:c>
      <x:c r="T784" t="str">
        <x:v>Azul ultramar</x:v>
      </x:c>
      <x:c r="U784" t="str">
        <x:v>Azul ultramarino</x:v>
      </x:c>
      <x:c r="V784" t="str">
        <x:v>군청색</x:v>
      </x:c>
      <x:c r="W784" t="str">
        <x:v>PB29/PB28</x:v>
      </x:c>
      <x:c r="X784" t="n">
        <x:v>2</x:v>
      </x:c>
      <x:c r="Y784" t="str">
        <x:v>I</x:v>
      </x:c>
      <x:c r="Z784" t="n">
        <x:v>1.67</x:v>
      </x:c>
      <x:c r="AA784" t="n">
        <x:v>3</x:v>
      </x:c>
      <x:c r="AB784" t="str">
        <x:v>ASTM D-6901</x:v>
      </x:c>
      <x:c r="AC784" s="211" t="str">
        <x:v>#216CAA</x:v>
      </x:c>
      <x:c r="AD784" t="n">
        <x:v>33</x:v>
      </x:c>
      <x:c r="AE784" t="n">
        <x:v>108</x:v>
      </x:c>
      <x:c r="AF784" t="n">
        <x:v>170</x:v>
      </x:c>
      <x:c r="AG784" t="n">
        <x:v>207.15</x:v>
      </x:c>
      <x:c r="AH784" t="n">
        <x:v>67.49</x:v>
      </x:c>
      <x:c r="AI784" t="n">
        <x:v>39.8</x:v>
      </x:c>
      <x:c r="AJ784" t="n">
        <x:v>44.16</x:v>
      </x:c>
      <x:c r="AK784" t="n">
        <x:v>-0.1</x:v>
      </x:c>
      <x:c r="AL784" t="n">
        <x:v>-39.54</x:v>
      </x:c>
      <x:c r="AM784" t="str">
        <x:v>#FFFFFF</x:v>
      </x:c>
      <x:c r="AN784" t="str">
        <x:v>White</x:v>
      </x:c>
      <x:c r="AO784" t="n">
        <x:v>5.54</x:v>
      </x:c>
      <x:c r="AP784" t="n">
        <x:v>3.79</x:v>
      </x:c>
      <x:c r="AQ784" t="n">
        <x:v>5.54</x:v>
      </x:c>
      <x:c r="AR784" t="n">
        <x:v>0.139507</x:v>
      </x:c>
      <x:c r="AS784" t="str">
        <x:v>PASS</x:v>
      </x:c>
      <x:c r="AT784" t="str">
        <x:v>--cda-nart-140</x:v>
      </x:c>
      <x:c r="AU784" t="str">
        <x:v>var(--cda-nart-140)</x:v>
      </x:c>
      <x:c r="AV784" t="str">
        <x:v>Dense right-edge colour sampled from the official 2025 catalogue chart gradient; screen-reference approximation only</x:v>
      </x:c>
      <x:c r="AW784" t="str">
        <x:v>https://www.carandache.com/</x:v>
      </x:c>
      <x:c r="AX784" t="n">
        <x:v>18</x:v>
      </x:c>
      <x:c r="AY784" t="str">
        <x:v>Official</x:v>
      </x:c>
      <x:c r="AZ784" t="str">
        <x:v>English official from 2025 catalogue; Traditional Chinese/Japanese curated; other languages inherited from existing official code mappings where available</x:v>
      </x:c>
      <x:c r="BA784" t="str">
        <x:v>Verified from official 2025 catalogue; digital HEX sampled from catalogue chart and is approximate</x:v>
      </x:c>
      <x:c r="BB784" t="str">
        <x:v>Source: Catcoul_Beauxarts_2025_EN_BD.pdf, Ref. 100011.211 ENG 2025, PDF p.18 (catalogue pp.32-33). NEOART 6901 has 48 colours; 44 codes are shared with LUMINANCE 6901.</x:v>
      </x:c>
    </x:row>
    <x:row r="785">
      <x:c r="A785" t="str">
        <x:v>NART|149</x:v>
      </x:c>
      <x:c r="B785" t="str">
        <x:v>55766906-8c8f-547d-9cce-f92813d52106</x:v>
      </x:c>
      <x:c r="C785" t="str">
        <x:v>CDA-NART-149</x:v>
      </x:c>
      <x:c r="D785" t="str">
        <x:v>b0b0f599-0beb-5dd7-b398-ef01ad96ff1b</x:v>
      </x:c>
      <x:c r="E785" t="str">
        <x:v>CDA-CODE-149</x:v>
      </x:c>
      <x:c r="F785" t="str">
        <x:v>Caran d’Ache</x:v>
      </x:c>
      <x:c r="G785" t="str">
        <x:v>NART</x:v>
      </x:c>
      <x:c r="H785" t="str">
        <x:v>NEOART 6901</x:v>
      </x:c>
      <x:c r="I785" t="str">
        <x:v>Permanent wax-and-oil pastel</x:v>
      </x:c>
      <x:c r="J785" t="str">
        <x:v>Professional</x:v>
      </x:c>
      <x:c r="K785" t="n">
        <x:v>20</x:v>
      </x:c>
      <x:c r="L785" t="str">
        <x:v>149</x:v>
      </x:c>
      <x:c r="M785" t="str">
        <x:v>Night blue</x:v>
      </x:c>
      <x:c r="N785" t="str">
        <x:v>夜藍</x:v>
      </x:c>
      <x:c r="O785" t="str">
        <x:v>ナイト ブルー</x:v>
      </x:c>
      <x:c r="P785"/>
      <x:c r="Q785" t="str">
        <x:v>Bleu nuit</x:v>
      </x:c>
      <x:c r="R785" t="str">
        <x:v>Nachtblau</x:v>
      </x:c>
      <x:c r="S785" t="str">
        <x:v>Blu notte</x:v>
      </x:c>
      <x:c r="T785" t="str">
        <x:v>Azul noche</x:v>
      </x:c>
      <x:c r="U785" t="str">
        <x:v>Azul noite</x:v>
      </x:c>
      <x:c r="V785" t="str">
        <x:v>나이트 블루</x:v>
      </x:c>
      <x:c r="W785" t="str">
        <x:v>PB15/PBk6/PB60/PB27</x:v>
      </x:c>
      <x:c r="X785" t="n">
        <x:v>4</x:v>
      </x:c>
      <x:c r="Y785" t="str">
        <x:v>II</x:v>
      </x:c>
      <x:c r="Z785" t="n">
        <x:v>3.33</x:v>
      </x:c>
      <x:c r="AA785" t="n">
        <x:v>3</x:v>
      </x:c>
      <x:c r="AB785" t="str">
        <x:v>ASTM D-6901</x:v>
      </x:c>
      <x:c r="AC785" s="213" t="str">
        <x:v>#1F416F</x:v>
      </x:c>
      <x:c r="AD785" t="n">
        <x:v>31</x:v>
      </x:c>
      <x:c r="AE785" t="n">
        <x:v>65</x:v>
      </x:c>
      <x:c r="AF785" t="n">
        <x:v>111</x:v>
      </x:c>
      <x:c r="AG785" t="n">
        <x:v>214.5</x:v>
      </x:c>
      <x:c r="AH785" t="n">
        <x:v>56.34</x:v>
      </x:c>
      <x:c r="AI785" t="n">
        <x:v>27.84</x:v>
      </x:c>
      <x:c r="AJ785" t="n">
        <x:v>27.35</x:v>
      </x:c>
      <x:c r="AK785" t="n">
        <x:v>4.45</x:v>
      </x:c>
      <x:c r="AL785" t="n">
        <x:v>-30.27</x:v>
      </x:c>
      <x:c r="AM785" t="str">
        <x:v>#FFFFFF</x:v>
      </x:c>
      <x:c r="AN785" t="str">
        <x:v>White</x:v>
      </x:c>
      <x:c r="AO785" t="n">
        <x:v>10.27</x:v>
      </x:c>
      <x:c r="AP785" t="n">
        <x:v>2.04</x:v>
      </x:c>
      <x:c r="AQ785" t="n">
        <x:v>10.27</x:v>
      </x:c>
      <x:c r="AR785" t="n">
        <x:v>0.052196</x:v>
      </x:c>
      <x:c r="AS785" t="str">
        <x:v>PASS</x:v>
      </x:c>
      <x:c r="AT785" t="str">
        <x:v>--cda-nart-149</x:v>
      </x:c>
      <x:c r="AU785" t="str">
        <x:v>var(--cda-nart-149)</x:v>
      </x:c>
      <x:c r="AV785" t="str">
        <x:v>Dense right-edge colour sampled from the official 2025 catalogue chart gradient; screen-reference approximation only</x:v>
      </x:c>
      <x:c r="AW785" t="str">
        <x:v>https://www.carandache.com/</x:v>
      </x:c>
      <x:c r="AX785" t="n">
        <x:v>18</x:v>
      </x:c>
      <x:c r="AY785" t="str">
        <x:v>Official</x:v>
      </x:c>
      <x:c r="AZ785" t="str">
        <x:v>English official from 2025 catalogue; Traditional Chinese/Japanese curated; other languages inherited from existing official code mappings where available</x:v>
      </x:c>
      <x:c r="BA785" t="str">
        <x:v>Verified from official 2025 catalogue; digital HEX sampled from catalogue chart and is approximate</x:v>
      </x:c>
      <x:c r="BB785" t="str">
        <x:v>Source: Catcoul_Beauxarts_2025_EN_BD.pdf, Ref. 100011.211 ENG 2025, PDF p.18 (catalogue pp.32-33). NEOART 6901 has 48 colours; 44 codes are shared with LUMINANCE 6901.</x:v>
      </x:c>
    </x:row>
    <x:row r="786">
      <x:c r="A786" t="str">
        <x:v>NART|181</x:v>
      </x:c>
      <x:c r="B786" t="str">
        <x:v>3a2d1dc9-f509-50a1-a78c-dfb85a0c2dd3</x:v>
      </x:c>
      <x:c r="C786" t="str">
        <x:v>CDA-NART-181</x:v>
      </x:c>
      <x:c r="D786" t="str">
        <x:v>af2a2944-e566-5dee-8ba8-64d621eb0cbf</x:v>
      </x:c>
      <x:c r="E786" t="str">
        <x:v>CDA-CODE-181</x:v>
      </x:c>
      <x:c r="F786" t="str">
        <x:v>Caran d’Ache</x:v>
      </x:c>
      <x:c r="G786" t="str">
        <x:v>NART</x:v>
      </x:c>
      <x:c r="H786" t="str">
        <x:v>NEOART 6901</x:v>
      </x:c>
      <x:c r="I786" t="str">
        <x:v>Permanent wax-and-oil pastel</x:v>
      </x:c>
      <x:c r="J786" t="str">
        <x:v>Professional</x:v>
      </x:c>
      <x:c r="K786" t="n">
        <x:v>21</x:v>
      </x:c>
      <x:c r="L786" t="str">
        <x:v>181</x:v>
      </x:c>
      <x:c r="M786" t="str">
        <x:v>Light malachite green</x:v>
      </x:c>
      <x:c r="N786" t="str">
        <x:v>淺孔雀石綠</x:v>
      </x:c>
      <x:c r="O786" t="str">
        <x:v>ライトマラカイトグリーン</x:v>
      </x:c>
      <x:c r="P786"/>
      <x:c r="Q786" t="str">
        <x:v>Vert malachite clair</x:v>
      </x:c>
      <x:c r="R786" t="str">
        <x:v>Hellmalachitgrün</x:v>
      </x:c>
      <x:c r="S786" t="str">
        <x:v>Verde malachite chiaro</x:v>
      </x:c>
      <x:c r="T786" t="str">
        <x:v>Verde malaquita claro</x:v>
      </x:c>
      <x:c r="U786" t="str">
        <x:v>Verde malaquite claro</x:v>
      </x:c>
      <x:c r="V786"/>
      <x:c r="W786" t="str">
        <x:v>PBk9/PG7</x:v>
      </x:c>
      <x:c r="X786" t="n">
        <x:v>2</x:v>
      </x:c>
      <x:c r="Y786" t="str">
        <x:v>I</x:v>
      </x:c>
      <x:c r="Z786" t="n">
        <x:v>1.67</x:v>
      </x:c>
      <x:c r="AA786" t="n">
        <x:v>3</x:v>
      </x:c>
      <x:c r="AB786" t="str">
        <x:v>ASTM D-6901</x:v>
      </x:c>
      <x:c r="AC786" s="215" t="str">
        <x:v>#99CFBA</x:v>
      </x:c>
      <x:c r="AD786" t="n">
        <x:v>153</x:v>
      </x:c>
      <x:c r="AE786" t="n">
        <x:v>207</x:v>
      </x:c>
      <x:c r="AF786" t="n">
        <x:v>186</x:v>
      </x:c>
      <x:c r="AG786" t="n">
        <x:v>156.67</x:v>
      </x:c>
      <x:c r="AH786" t="n">
        <x:v>36</x:v>
      </x:c>
      <x:c r="AI786" t="n">
        <x:v>70.59</x:v>
      </x:c>
      <x:c r="AJ786" t="n">
        <x:v>79.01</x:v>
      </x:c>
      <x:c r="AK786" t="n">
        <x:v>-21.82</x:v>
      </x:c>
      <x:c r="AL786" t="n">
        <x:v>4.8</x:v>
      </x:c>
      <x:c r="AM786" t="str">
        <x:v>#000000</x:v>
      </x:c>
      <x:c r="AN786" t="str">
        <x:v>Black</x:v>
      </x:c>
      <x:c r="AO786" t="n">
        <x:v>11.99</x:v>
      </x:c>
      <x:c r="AP786" t="n">
        <x:v>11.99</x:v>
      </x:c>
      <x:c r="AQ786" t="n">
        <x:v>1.75</x:v>
      </x:c>
      <x:c r="AR786" t="n">
        <x:v>0.549431</x:v>
      </x:c>
      <x:c r="AS786" t="str">
        <x:v>PASS</x:v>
      </x:c>
      <x:c r="AT786" t="str">
        <x:v>--cda-nart-181</x:v>
      </x:c>
      <x:c r="AU786" t="str">
        <x:v>var(--cda-nart-181)</x:v>
      </x:c>
      <x:c r="AV786" t="str">
        <x:v>Dense right-edge colour sampled from the official 2025 catalogue chart gradient; screen-reference approximation only</x:v>
      </x:c>
      <x:c r="AW786" t="str">
        <x:v>https://www.carandache.com/</x:v>
      </x:c>
      <x:c r="AX786" t="n">
        <x:v>18</x:v>
      </x:c>
      <x:c r="AY786" t="str">
        <x:v>Official</x:v>
      </x:c>
      <x:c r="AZ786" t="str">
        <x:v>English official from 2025 catalogue; Traditional Chinese/Japanese curated; other languages inherited from existing official code mappings where available</x:v>
      </x:c>
      <x:c r="BA786" t="str">
        <x:v>Verified from official 2025 catalogue; digital HEX sampled from catalogue chart and is approximate</x:v>
      </x:c>
      <x:c r="BB786" t="str">
        <x:v>Source: Catcoul_Beauxarts_2025_EN_BD.pdf, Ref. 100011.211 ENG 2025, PDF p.18 (catalogue pp.32-33). NEOART 6901 has 48 colours; 44 codes are shared with LUMINANCE 6901.</x:v>
      </x:c>
    </x:row>
    <x:row r="787">
      <x:c r="A787" t="str">
        <x:v>NART|182</x:v>
      </x:c>
      <x:c r="B787" t="str">
        <x:v>e076d753-b880-5205-b94d-e11d85cf922f</x:v>
      </x:c>
      <x:c r="C787" t="str">
        <x:v>CDA-NART-182</x:v>
      </x:c>
      <x:c r="D787" t="str">
        <x:v>1e70d834-fddd-5135-a908-aff1980efa95</x:v>
      </x:c>
      <x:c r="E787" t="str">
        <x:v>CDA-CODE-182</x:v>
      </x:c>
      <x:c r="F787" t="str">
        <x:v>Caran d’Ache</x:v>
      </x:c>
      <x:c r="G787" t="str">
        <x:v>NART</x:v>
      </x:c>
      <x:c r="H787" t="str">
        <x:v>NEOART 6901</x:v>
      </x:c>
      <x:c r="I787" t="str">
        <x:v>Permanent wax-and-oil pastel</x:v>
      </x:c>
      <x:c r="J787" t="str">
        <x:v>Professional</x:v>
      </x:c>
      <x:c r="K787" t="n">
        <x:v>22</x:v>
      </x:c>
      <x:c r="L787" t="str">
        <x:v>182</x:v>
      </x:c>
      <x:c r="M787" t="str">
        <x:v>Cobalt green</x:v>
      </x:c>
      <x:c r="N787" t="str">
        <x:v>鈷綠</x:v>
      </x:c>
      <x:c r="O787" t="str">
        <x:v>コバルトグリーン</x:v>
      </x:c>
      <x:c r="P787"/>
      <x:c r="Q787" t="str">
        <x:v>Vert de cobalt</x:v>
      </x:c>
      <x:c r="R787" t="str">
        <x:v>Kobaltgrün</x:v>
      </x:c>
      <x:c r="S787" t="str">
        <x:v>Verde di cobalto</x:v>
      </x:c>
      <x:c r="T787" t="str">
        <x:v>Verde cobalto</x:v>
      </x:c>
      <x:c r="U787" t="str">
        <x:v>Verde cobalto</x:v>
      </x:c>
      <x:c r="V787"/>
      <x:c r="W787" t="str">
        <x:v>PG50</x:v>
      </x:c>
      <x:c r="X787" t="n">
        <x:v>1</x:v>
      </x:c>
      <x:c r="Y787" t="str">
        <x:v>I</x:v>
      </x:c>
      <x:c r="Z787" t="n">
        <x:v>1.67</x:v>
      </x:c>
      <x:c r="AA787" t="n">
        <x:v>3</x:v>
      </x:c>
      <x:c r="AB787" t="str">
        <x:v>ASTM D-6901</x:v>
      </x:c>
      <x:c r="AC787" s="217" t="str">
        <x:v>#79BE8E</x:v>
      </x:c>
      <x:c r="AD787" t="n">
        <x:v>121</x:v>
      </x:c>
      <x:c r="AE787" t="n">
        <x:v>190</x:v>
      </x:c>
      <x:c r="AF787" t="n">
        <x:v>142</x:v>
      </x:c>
      <x:c r="AG787" t="n">
        <x:v>138.26</x:v>
      </x:c>
      <x:c r="AH787" t="n">
        <x:v>34.67</x:v>
      </x:c>
      <x:c r="AI787" t="n">
        <x:v>60.98</x:v>
      </x:c>
      <x:c r="AJ787" t="n">
        <x:v>71.45</x:v>
      </x:c>
      <x:c r="AK787" t="n">
        <x:v>-32.1</x:v>
      </x:c>
      <x:c r="AL787" t="n">
        <x:v>17.51</x:v>
      </x:c>
      <x:c r="AM787" t="str">
        <x:v>#000000</x:v>
      </x:c>
      <x:c r="AN787" t="str">
        <x:v>Black</x:v>
      </x:c>
      <x:c r="AO787" t="n">
        <x:v>9.57</x:v>
      </x:c>
      <x:c r="AP787" t="n">
        <x:v>9.57</x:v>
      </x:c>
      <x:c r="AQ787" t="n">
        <x:v>2.19</x:v>
      </x:c>
      <x:c r="AR787" t="n">
        <x:v>0.428449</x:v>
      </x:c>
      <x:c r="AS787" t="str">
        <x:v>PASS</x:v>
      </x:c>
      <x:c r="AT787" t="str">
        <x:v>--cda-nart-182</x:v>
      </x:c>
      <x:c r="AU787" t="str">
        <x:v>var(--cda-nart-182)</x:v>
      </x:c>
      <x:c r="AV787" t="str">
        <x:v>Dense right-edge colour sampled from the official 2025 catalogue chart gradient; screen-reference approximation only</x:v>
      </x:c>
      <x:c r="AW787" t="str">
        <x:v>https://www.carandache.com/</x:v>
      </x:c>
      <x:c r="AX787" t="n">
        <x:v>18</x:v>
      </x:c>
      <x:c r="AY787" t="str">
        <x:v>Official</x:v>
      </x:c>
      <x:c r="AZ787" t="str">
        <x:v>English official from 2025 catalogue; Traditional Chinese/Japanese curated; other languages inherited from existing official code mappings where available</x:v>
      </x:c>
      <x:c r="BA787" t="str">
        <x:v>Verified from official 2025 catalogue; digital HEX sampled from catalogue chart and is approximate</x:v>
      </x:c>
      <x:c r="BB787" t="str">
        <x:v>Source: Catcoul_Beauxarts_2025_EN_BD.pdf, Ref. 100011.211 ENG 2025, PDF p.18 (catalogue pp.32-33). NEOART 6901 has 48 colours; 44 codes are shared with LUMINANCE 6901.</x:v>
      </x:c>
    </x:row>
    <x:row r="788">
      <x:c r="A788" t="str">
        <x:v>NART|185</x:v>
      </x:c>
      <x:c r="B788" t="str">
        <x:v>ee78c7c5-9ba5-5b5d-ac7c-9dc759e94941</x:v>
      </x:c>
      <x:c r="C788" t="str">
        <x:v>CDA-NART-185</x:v>
      </x:c>
      <x:c r="D788" t="str">
        <x:v>12724f05-b502-59f7-a985-93fdace159dd</x:v>
      </x:c>
      <x:c r="E788" t="str">
        <x:v>CDA-CODE-185</x:v>
      </x:c>
      <x:c r="F788" t="str">
        <x:v>Caran d’Ache</x:v>
      </x:c>
      <x:c r="G788" t="str">
        <x:v>NART</x:v>
      </x:c>
      <x:c r="H788" t="str">
        <x:v>NEOART 6901</x:v>
      </x:c>
      <x:c r="I788" t="str">
        <x:v>Permanent wax-and-oil pastel</x:v>
      </x:c>
      <x:c r="J788" t="str">
        <x:v>Professional</x:v>
      </x:c>
      <x:c r="K788" t="n">
        <x:v>23</x:v>
      </x:c>
      <x:c r="L788" t="str">
        <x:v>185</x:v>
      </x:c>
      <x:c r="M788" t="str">
        <x:v>Ice blue</x:v>
      </x:c>
      <x:c r="N788" t="str">
        <x:v>冰藍</x:v>
      </x:c>
      <x:c r="O788" t="str">
        <x:v>アイスブルー</x:v>
      </x:c>
      <x:c r="P788"/>
      <x:c r="Q788" t="str">
        <x:v>Bleu glacier</x:v>
      </x:c>
      <x:c r="R788" t="str">
        <x:v>Eisblau</x:v>
      </x:c>
      <x:c r="S788" t="str">
        <x:v>Blu di ghiaccio</x:v>
      </x:c>
      <x:c r="T788" t="str">
        <x:v>Azul hielo</x:v>
      </x:c>
      <x:c r="U788" t="str">
        <x:v>Azul gelo</x:v>
      </x:c>
      <x:c r="V788"/>
      <x:c r="W788" t="str">
        <x:v>PB16</x:v>
      </x:c>
      <x:c r="X788" t="n">
        <x:v>1</x:v>
      </x:c>
      <x:c r="Y788" t="str">
        <x:v>II</x:v>
      </x:c>
      <x:c r="Z788" t="n">
        <x:v>3.33</x:v>
      </x:c>
      <x:c r="AA788" t="n">
        <x:v>3</x:v>
      </x:c>
      <x:c r="AB788" t="str">
        <x:v>ASTM D-6901</x:v>
      </x:c>
      <x:c r="AC788" s="219" t="str">
        <x:v>#2676A4</x:v>
      </x:c>
      <x:c r="AD788" t="n">
        <x:v>38</x:v>
      </x:c>
      <x:c r="AE788" t="n">
        <x:v>118</x:v>
      </x:c>
      <x:c r="AF788" t="n">
        <x:v>164</x:v>
      </x:c>
      <x:c r="AG788" t="n">
        <x:v>201.9</x:v>
      </x:c>
      <x:c r="AH788" t="n">
        <x:v>62.38</x:v>
      </x:c>
      <x:c r="AI788" t="n">
        <x:v>39.61</x:v>
      </x:c>
      <x:c r="AJ788" t="n">
        <x:v>47.04</x:v>
      </x:c>
      <x:c r="AK788" t="n">
        <x:v>-7.8</x:v>
      </x:c>
      <x:c r="AL788" t="n">
        <x:v>-31.48</x:v>
      </x:c>
      <x:c r="AM788" t="str">
        <x:v>#FFFFFF</x:v>
      </x:c>
      <x:c r="AN788" t="str">
        <x:v>White</x:v>
      </x:c>
      <x:c r="AO788" t="n">
        <x:v>4.99</x:v>
      </x:c>
      <x:c r="AP788" t="n">
        <x:v>4.21</x:v>
      </x:c>
      <x:c r="AQ788" t="n">
        <x:v>4.99</x:v>
      </x:c>
      <x:c r="AR788" t="n">
        <x:v>0.160493</x:v>
      </x:c>
      <x:c r="AS788" t="str">
        <x:v>PASS</x:v>
      </x:c>
      <x:c r="AT788" t="str">
        <x:v>--cda-nart-185</x:v>
      </x:c>
      <x:c r="AU788" t="str">
        <x:v>var(--cda-nart-185)</x:v>
      </x:c>
      <x:c r="AV788" t="str">
        <x:v>Dense right-edge colour sampled from the official 2025 catalogue chart gradient; screen-reference approximation only</x:v>
      </x:c>
      <x:c r="AW788" t="str">
        <x:v>https://www.carandache.com/</x:v>
      </x:c>
      <x:c r="AX788" t="n">
        <x:v>18</x:v>
      </x:c>
      <x:c r="AY788" t="str">
        <x:v>Official</x:v>
      </x:c>
      <x:c r="AZ788" t="str">
        <x:v>English official from 2025 catalogue; Traditional Chinese/Japanese curated; other languages inherited from existing official code mappings where available</x:v>
      </x:c>
      <x:c r="BA788" t="str">
        <x:v>Verified from official 2025 catalogue; digital HEX sampled from catalogue chart and is approximate</x:v>
      </x:c>
      <x:c r="BB788" t="str">
        <x:v>Source: Catcoul_Beauxarts_2025_EN_BD.pdf, Ref. 100011.211 ENG 2025, PDF p.18 (catalogue pp.32-33). NEOART 6901 has 48 colours; 44 codes are shared with LUMINANCE 6901.</x:v>
      </x:c>
    </x:row>
    <x:row r="789">
      <x:c r="A789" t="str">
        <x:v>NART|220</x:v>
      </x:c>
      <x:c r="B789" t="str">
        <x:v>d52dd500-b531-5bc4-a930-aaf4fbc97149</x:v>
      </x:c>
      <x:c r="C789" t="str">
        <x:v>CDA-NART-220</x:v>
      </x:c>
      <x:c r="D789" t="str">
        <x:v>69a03597-fa02-5bd4-9968-b3f74f6fcd04</x:v>
      </x:c>
      <x:c r="E789" t="str">
        <x:v>CDA-CODE-220</x:v>
      </x:c>
      <x:c r="F789" t="str">
        <x:v>Caran d’Ache</x:v>
      </x:c>
      <x:c r="G789" t="str">
        <x:v>NART</x:v>
      </x:c>
      <x:c r="H789" t="str">
        <x:v>NEOART 6901</x:v>
      </x:c>
      <x:c r="I789" t="str">
        <x:v>Permanent wax-and-oil pastel</x:v>
      </x:c>
      <x:c r="J789" t="str">
        <x:v>Professional</x:v>
      </x:c>
      <x:c r="K789" t="n">
        <x:v>24</x:v>
      </x:c>
      <x:c r="L789" t="str">
        <x:v>220</x:v>
      </x:c>
      <x:c r="M789" t="str">
        <x:v>Grass green</x:v>
      </x:c>
      <x:c r="N789" t="str">
        <x:v>草綠色</x:v>
      </x:c>
      <x:c r="O789" t="str">
        <x:v>グラスグリーン</x:v>
      </x:c>
      <x:c r="P789"/>
      <x:c r="Q789" t="str">
        <x:v>Vert prairie</x:v>
      </x:c>
      <x:c r="R789" t="str">
        <x:v>Grasgrün</x:v>
      </x:c>
      <x:c r="S789" t="str">
        <x:v>Verde prato</x:v>
      </x:c>
      <x:c r="T789" t="str">
        <x:v>Verde prado</x:v>
      </x:c>
      <x:c r="U789" t="str">
        <x:v>Verde prato</x:v>
      </x:c>
      <x:c r="V789" t="str">
        <x:v>풀색</x:v>
      </x:c>
      <x:c r="W789" t="str">
        <x:v>PG7/PY3/PY1</x:v>
      </x:c>
      <x:c r="X789" t="n">
        <x:v>3</x:v>
      </x:c>
      <x:c r="Y789" t="str">
        <x:v>II</x:v>
      </x:c>
      <x:c r="Z789" t="n">
        <x:v>3.33</x:v>
      </x:c>
      <x:c r="AA789" t="n">
        <x:v>3</x:v>
      </x:c>
      <x:c r="AB789" t="str">
        <x:v>ASTM D-6901</x:v>
      </x:c>
      <x:c r="AC789" s="221" t="str">
        <x:v>#1FA55B</x:v>
      </x:c>
      <x:c r="AD789" t="n">
        <x:v>31</x:v>
      </x:c>
      <x:c r="AE789" t="n">
        <x:v>165</x:v>
      </x:c>
      <x:c r="AF789" t="n">
        <x:v>91</x:v>
      </x:c>
      <x:c r="AG789" t="n">
        <x:v>146.87</x:v>
      </x:c>
      <x:c r="AH789" t="n">
        <x:v>68.37</x:v>
      </x:c>
      <x:c r="AI789" t="n">
        <x:v>38.43</x:v>
      </x:c>
      <x:c r="AJ789" t="n">
        <x:v>59.85</x:v>
      </x:c>
      <x:c r="AK789" t="n">
        <x:v>-51.39</x:v>
      </x:c>
      <x:c r="AL789" t="n">
        <x:v>28.75</x:v>
      </x:c>
      <x:c r="AM789" t="str">
        <x:v>#000000</x:v>
      </x:c>
      <x:c r="AN789" t="str">
        <x:v>Black</x:v>
      </x:c>
      <x:c r="AO789" t="n">
        <x:v>6.59</x:v>
      </x:c>
      <x:c r="AP789" t="n">
        <x:v>6.59</x:v>
      </x:c>
      <x:c r="AQ789" t="n">
        <x:v>3.19</x:v>
      </x:c>
      <x:c r="AR789" t="n">
        <x:v>0.279569</x:v>
      </x:c>
      <x:c r="AS789" t="str">
        <x:v>PASS</x:v>
      </x:c>
      <x:c r="AT789" t="str">
        <x:v>--cda-nart-220</x:v>
      </x:c>
      <x:c r="AU789" t="str">
        <x:v>var(--cda-nart-220)</x:v>
      </x:c>
      <x:c r="AV789" t="str">
        <x:v>Dense right-edge colour sampled from the official 2025 catalogue chart gradient; screen-reference approximation only</x:v>
      </x:c>
      <x:c r="AW789" t="str">
        <x:v>https://www.carandache.com/</x:v>
      </x:c>
      <x:c r="AX789" t="n">
        <x:v>18</x:v>
      </x:c>
      <x:c r="AY789" t="str">
        <x:v>Official</x:v>
      </x:c>
      <x:c r="AZ789" t="str">
        <x:v>English official from 2025 catalogue; Traditional Chinese/Japanese curated; other languages inherited from existing official code mappings where available</x:v>
      </x:c>
      <x:c r="BA789" t="str">
        <x:v>Verified from official 2025 catalogue; digital HEX sampled from catalogue chart and is approximate</x:v>
      </x:c>
      <x:c r="BB789" t="str">
        <x:v>Source: Catcoul_Beauxarts_2025_EN_BD.pdf, Ref. 100011.211 ENG 2025, PDF p.18 (catalogue pp.32-33). NEOART 6901 has 48 colours; 44 codes are shared with LUMINANCE 6901.</x:v>
      </x:c>
    </x:row>
    <x:row r="790">
      <x:c r="A790" t="str">
        <x:v>NART|225</x:v>
      </x:c>
      <x:c r="B790" t="str">
        <x:v>3d35aeb6-03cc-52c6-860f-5bdbf6c87937</x:v>
      </x:c>
      <x:c r="C790" t="str">
        <x:v>CDA-NART-225</x:v>
      </x:c>
      <x:c r="D790" t="str">
        <x:v>d67f22eb-8649-5739-bafd-f445d45c47b5</x:v>
      </x:c>
      <x:c r="E790" t="str">
        <x:v>CDA-CODE-225</x:v>
      </x:c>
      <x:c r="F790" t="str">
        <x:v>Caran d’Ache</x:v>
      </x:c>
      <x:c r="G790" t="str">
        <x:v>NART</x:v>
      </x:c>
      <x:c r="H790" t="str">
        <x:v>NEOART 6901</x:v>
      </x:c>
      <x:c r="I790" t="str">
        <x:v>Permanent wax-and-oil pastel</x:v>
      </x:c>
      <x:c r="J790" t="str">
        <x:v>Professional</x:v>
      </x:c>
      <x:c r="K790" t="n">
        <x:v>25</x:v>
      </x:c>
      <x:c r="L790" t="str">
        <x:v>225</x:v>
      </x:c>
      <x:c r="M790" t="str">
        <x:v>Moss green</x:v>
      </x:c>
      <x:c r="N790" t="str">
        <x:v>苔綠色</x:v>
      </x:c>
      <x:c r="O790" t="str">
        <x:v>モスグリーン</x:v>
      </x:c>
      <x:c r="P790"/>
      <x:c r="Q790" t="str">
        <x:v>Vert mousse</x:v>
      </x:c>
      <x:c r="R790" t="str">
        <x:v>Moosgrün</x:v>
      </x:c>
      <x:c r="S790" t="str">
        <x:v>Verde muschio</x:v>
      </x:c>
      <x:c r="T790" t="str">
        <x:v>Verde musgo</x:v>
      </x:c>
      <x:c r="U790" t="str">
        <x:v>Verde musgo</x:v>
      </x:c>
      <x:c r="V790" t="str">
        <x:v>황녹색</x:v>
      </x:c>
      <x:c r="W790" t="str">
        <x:v>PBk6/PB60/PY3</x:v>
      </x:c>
      <x:c r="X790" t="n">
        <x:v>3</x:v>
      </x:c>
      <x:c r="Y790" t="str">
        <x:v>II</x:v>
      </x:c>
      <x:c r="Z790" t="n">
        <x:v>3.33</x:v>
      </x:c>
      <x:c r="AA790" t="n">
        <x:v>3</x:v>
      </x:c>
      <x:c r="AB790" t="str">
        <x:v>ASTM D-6901</x:v>
      </x:c>
      <x:c r="AC790" s="223" t="str">
        <x:v>#618540</x:v>
      </x:c>
      <x:c r="AD790" t="n">
        <x:v>97</x:v>
      </x:c>
      <x:c r="AE790" t="n">
        <x:v>133</x:v>
      </x:c>
      <x:c r="AF790" t="n">
        <x:v>64</x:v>
      </x:c>
      <x:c r="AG790" t="n">
        <x:v>91.3</x:v>
      </x:c>
      <x:c r="AH790" t="n">
        <x:v>35.03</x:v>
      </x:c>
      <x:c r="AI790" t="n">
        <x:v>38.63</x:v>
      </x:c>
      <x:c r="AJ790" t="n">
        <x:v>51.48</x:v>
      </x:c>
      <x:c r="AK790" t="n">
        <x:v>-25.29</x:v>
      </x:c>
      <x:c r="AL790" t="n">
        <x:v>32.93</x:v>
      </x:c>
      <x:c r="AM790" t="str">
        <x:v>#000000</x:v>
      </x:c>
      <x:c r="AN790" t="str">
        <x:v>Black</x:v>
      </x:c>
      <x:c r="AO790" t="n">
        <x:v>4.94</x:v>
      </x:c>
      <x:c r="AP790" t="n">
        <x:v>4.94</x:v>
      </x:c>
      <x:c r="AQ790" t="n">
        <x:v>4.25</x:v>
      </x:c>
      <x:c r="AR790" t="n">
        <x:v>0.196866</x:v>
      </x:c>
      <x:c r="AS790" t="str">
        <x:v>PASS</x:v>
      </x:c>
      <x:c r="AT790" t="str">
        <x:v>--cda-nart-225</x:v>
      </x:c>
      <x:c r="AU790" t="str">
        <x:v>var(--cda-nart-225)</x:v>
      </x:c>
      <x:c r="AV790" t="str">
        <x:v>Dense right-edge colour sampled from the official 2025 catalogue chart gradient; screen-reference approximation only</x:v>
      </x:c>
      <x:c r="AW790" t="str">
        <x:v>https://www.carandache.com/</x:v>
      </x:c>
      <x:c r="AX790" t="n">
        <x:v>18</x:v>
      </x:c>
      <x:c r="AY790" t="str">
        <x:v>Official</x:v>
      </x:c>
      <x:c r="AZ790" t="str">
        <x:v>English official from 2025 catalogue; Traditional Chinese/Japanese curated; other languages inherited from existing official code mappings where available</x:v>
      </x:c>
      <x:c r="BA790" t="str">
        <x:v>Verified from official 2025 catalogue; digital HEX sampled from catalogue chart and is approximate</x:v>
      </x:c>
      <x:c r="BB790" t="str">
        <x:v>Source: Catcoul_Beauxarts_2025_EN_BD.pdf, Ref. 100011.211 ENG 2025, PDF p.18 (catalogue pp.32-33). NEOART 6901 has 48 colours; 44 codes are shared with LUMINANCE 6901.</x:v>
      </x:c>
    </x:row>
    <x:row r="791">
      <x:c r="A791" t="str">
        <x:v>NART|240</x:v>
      </x:c>
      <x:c r="B791" t="str">
        <x:v>48b7d970-094c-575f-9b81-def645e380bd</x:v>
      </x:c>
      <x:c r="C791" t="str">
        <x:v>CDA-NART-240</x:v>
      </x:c>
      <x:c r="D791" t="str">
        <x:v>e71849e5-e37c-518f-99a0-9189b6af2b63</x:v>
      </x:c>
      <x:c r="E791" t="str">
        <x:v>CDA-CODE-240</x:v>
      </x:c>
      <x:c r="F791" t="str">
        <x:v>Caran d’Ache</x:v>
      </x:c>
      <x:c r="G791" t="str">
        <x:v>NART</x:v>
      </x:c>
      <x:c r="H791" t="str">
        <x:v>NEOART 6901</x:v>
      </x:c>
      <x:c r="I791" t="str">
        <x:v>Permanent wax-and-oil pastel</x:v>
      </x:c>
      <x:c r="J791" t="str">
        <x:v>Professional</x:v>
      </x:c>
      <x:c r="K791" t="n">
        <x:v>26</x:v>
      </x:c>
      <x:c r="L791" t="str">
        <x:v>240</x:v>
      </x:c>
      <x:c r="M791" t="str">
        <x:v>Lemon yellow</x:v>
      </x:c>
      <x:c r="N791" t="str">
        <x:v>檸檬黃</x:v>
      </x:c>
      <x:c r="O791" t="str">
        <x:v>レモンイエロー</x:v>
      </x:c>
      <x:c r="P791"/>
      <x:c r="Q791" t="str">
        <x:v>Jaune citron</x:v>
      </x:c>
      <x:c r="R791" t="str">
        <x:v>Zitronengelb</x:v>
      </x:c>
      <x:c r="S791" t="str">
        <x:v>Giallo limone</x:v>
      </x:c>
      <x:c r="T791" t="str">
        <x:v>Amarillo limón</x:v>
      </x:c>
      <x:c r="U791" t="str">
        <x:v>Amarelo limão</x:v>
      </x:c>
      <x:c r="V791" t="str">
        <x:v>레몬색</x:v>
      </x:c>
      <x:c r="W791" t="str">
        <x:v>PY3</x:v>
      </x:c>
      <x:c r="X791" t="n">
        <x:v>1</x:v>
      </x:c>
      <x:c r="Y791" t="str">
        <x:v>I</x:v>
      </x:c>
      <x:c r="Z791" t="n">
        <x:v>1.67</x:v>
      </x:c>
      <x:c r="AA791" t="n">
        <x:v>3</x:v>
      </x:c>
      <x:c r="AB791" t="str">
        <x:v>ASTM D-6901</x:v>
      </x:c>
      <x:c r="AC791" s="225" t="str">
        <x:v>#FDEB3F</x:v>
      </x:c>
      <x:c r="AD791" t="n">
        <x:v>253</x:v>
      </x:c>
      <x:c r="AE791" t="n">
        <x:v>235</x:v>
      </x:c>
      <x:c r="AF791" t="n">
        <x:v>63</x:v>
      </x:c>
      <x:c r="AG791" t="n">
        <x:v>54.32</x:v>
      </x:c>
      <x:c r="AH791" t="n">
        <x:v>97.94</x:v>
      </x:c>
      <x:c r="AI791" t="n">
        <x:v>61.96</x:v>
      </x:c>
      <x:c r="AJ791" t="n">
        <x:v>91.98</x:v>
      </x:c>
      <x:c r="AK791" t="n">
        <x:v>-11.51</x:v>
      </x:c>
      <x:c r="AL791" t="n">
        <x:v>79.49</x:v>
      </x:c>
      <x:c r="AM791" t="str">
        <x:v>#000000</x:v>
      </x:c>
      <x:c r="AN791" t="str">
        <x:v>Black</x:v>
      </x:c>
      <x:c r="AO791" t="n">
        <x:v>17.13</x:v>
      </x:c>
      <x:c r="AP791" t="n">
        <x:v>17.13</x:v>
      </x:c>
      <x:c r="AQ791" t="n">
        <x:v>1.23</x:v>
      </x:c>
      <x:c r="AR791" t="n">
        <x:v>0.806582</x:v>
      </x:c>
      <x:c r="AS791" t="str">
        <x:v>PASS</x:v>
      </x:c>
      <x:c r="AT791" t="str">
        <x:v>--cda-nart-240</x:v>
      </x:c>
      <x:c r="AU791" t="str">
        <x:v>var(--cda-nart-240)</x:v>
      </x:c>
      <x:c r="AV791" t="str">
        <x:v>Dense right-edge colour sampled from the official 2025 catalogue chart gradient; screen-reference approximation only</x:v>
      </x:c>
      <x:c r="AW791" t="str">
        <x:v>https://www.carandache.com/</x:v>
      </x:c>
      <x:c r="AX791" t="n">
        <x:v>18</x:v>
      </x:c>
      <x:c r="AY791" t="str">
        <x:v>Official</x:v>
      </x:c>
      <x:c r="AZ791" t="str">
        <x:v>English official from 2025 catalogue; Traditional Chinese/Japanese curated; other languages inherited from existing official code mappings where available</x:v>
      </x:c>
      <x:c r="BA791" t="str">
        <x:v>Verified from official 2025 catalogue; digital HEX sampled from catalogue chart and is approximate</x:v>
      </x:c>
      <x:c r="BB791" t="str">
        <x:v>Source: Catcoul_Beauxarts_2025_EN_BD.pdf, Ref. 100011.211 ENG 2025, PDF p.18 (catalogue pp.32-33). NEOART 6901 has 48 colours; 44 codes are shared with LUMINANCE 6901.</x:v>
      </x:c>
    </x:row>
    <x:row r="792">
      <x:c r="A792" t="str">
        <x:v>NART|242</x:v>
      </x:c>
      <x:c r="B792" t="str">
        <x:v>b50ae0f3-25a4-53f7-b9e5-e6644e37e5c8</x:v>
      </x:c>
      <x:c r="C792" t="str">
        <x:v>CDA-NART-242</x:v>
      </x:c>
      <x:c r="D792" t="str">
        <x:v>002524a5-f889-5959-9b3e-11b1cd28562b</x:v>
      </x:c>
      <x:c r="E792" t="str">
        <x:v>CDA-CODE-242</x:v>
      </x:c>
      <x:c r="F792" t="str">
        <x:v>Caran d’Ache</x:v>
      </x:c>
      <x:c r="G792" t="str">
        <x:v>NART</x:v>
      </x:c>
      <x:c r="H792" t="str">
        <x:v>NEOART 6901</x:v>
      </x:c>
      <x:c r="I792" t="str">
        <x:v>Permanent wax-and-oil pastel</x:v>
      </x:c>
      <x:c r="J792" t="str">
        <x:v>Professional</x:v>
      </x:c>
      <x:c r="K792" t="n">
        <x:v>27</x:v>
      </x:c>
      <x:c r="L792" t="str">
        <x:v>242</x:v>
      </x:c>
      <x:c r="M792" t="str">
        <x:v>Primerose</x:v>
      </x:c>
      <x:c r="N792" t="str">
        <x:v>報春花黃</x:v>
      </x:c>
      <x:c r="O792" t="str">
        <x:v>プリムローズ</x:v>
      </x:c>
      <x:c r="P792"/>
      <x:c r="Q792" t="str">
        <x:v>Primevère</x:v>
      </x:c>
      <x:c r="R792" t="str">
        <x:v>Schlusseblüme</x:v>
      </x:c>
      <x:c r="S792" t="str">
        <x:v>Primavera</x:v>
      </x:c>
      <x:c r="T792" t="str">
        <x:v>Primavera</x:v>
      </x:c>
      <x:c r="U792" t="str">
        <x:v>Primavera</x:v>
      </x:c>
      <x:c r="V792"/>
      <x:c r="W792" t="str">
        <x:v>PY53/PY42</x:v>
      </x:c>
      <x:c r="X792" t="n">
        <x:v>2</x:v>
      </x:c>
      <x:c r="Y792" t="str">
        <x:v>I</x:v>
      </x:c>
      <x:c r="Z792" t="n">
        <x:v>1.67</x:v>
      </x:c>
      <x:c r="AA792" t="n">
        <x:v>3</x:v>
      </x:c>
      <x:c r="AB792" t="str">
        <x:v>ASTM D-6901</x:v>
      </x:c>
      <x:c r="AC792" s="227" t="str">
        <x:v>#FFFCDF</x:v>
      </x:c>
      <x:c r="AD792" t="n">
        <x:v>255</x:v>
      </x:c>
      <x:c r="AE792" t="n">
        <x:v>252</x:v>
      </x:c>
      <x:c r="AF792" t="n">
        <x:v>223</x:v>
      </x:c>
      <x:c r="AG792" t="n">
        <x:v>54.38</x:v>
      </x:c>
      <x:c r="AH792" t="n">
        <x:v>100</x:v>
      </x:c>
      <x:c r="AI792" t="n">
        <x:v>93.73</x:v>
      </x:c>
      <x:c r="AJ792" t="n">
        <x:v>98.52</x:v>
      </x:c>
      <x:c r="AK792" t="n">
        <x:v>-3.76</x:v>
      </x:c>
      <x:c r="AL792" t="n">
        <x:v>14.26</x:v>
      </x:c>
      <x:c r="AM792" t="str">
        <x:v>#000000</x:v>
      </x:c>
      <x:c r="AN792" t="str">
        <x:v>Black</x:v>
      </x:c>
      <x:c r="AO792" t="n">
        <x:v>20.24</x:v>
      </x:c>
      <x:c r="AP792" t="n">
        <x:v>20.24</x:v>
      </x:c>
      <x:c r="AQ792" t="n">
        <x:v>1.04</x:v>
      </x:c>
      <x:c r="AR792" t="n">
        <x:v>0.962085</x:v>
      </x:c>
      <x:c r="AS792" t="str">
        <x:v>PASS</x:v>
      </x:c>
      <x:c r="AT792" t="str">
        <x:v>--cda-nart-242</x:v>
      </x:c>
      <x:c r="AU792" t="str">
        <x:v>var(--cda-nart-242)</x:v>
      </x:c>
      <x:c r="AV792" t="str">
        <x:v>Dense right-edge colour sampled from the official 2025 catalogue chart gradient; screen-reference approximation only</x:v>
      </x:c>
      <x:c r="AW792" t="str">
        <x:v>https://www.carandache.com/</x:v>
      </x:c>
      <x:c r="AX792" t="n">
        <x:v>18</x:v>
      </x:c>
      <x:c r="AY792" t="str">
        <x:v>Official</x:v>
      </x:c>
      <x:c r="AZ792" t="str">
        <x:v>English official from 2025 catalogue; Traditional Chinese/Japanese curated; other languages inherited from existing official code mappings where available</x:v>
      </x:c>
      <x:c r="BA792" t="str">
        <x:v>Verified from official 2025 catalogue; digital HEX sampled from catalogue chart and is approximate</x:v>
      </x:c>
      <x:c r="BB792" t="str">
        <x:v>Source: Catcoul_Beauxarts_2025_EN_BD.pdf, Ref. 100011.211 ENG 2025, PDF p.18 (catalogue pp.32-33). NEOART 6901 has 48 colours; 44 codes are shared with LUMINANCE 6901.</x:v>
      </x:c>
    </x:row>
    <x:row r="793">
      <x:c r="A793" t="str">
        <x:v>NART|350</x:v>
      </x:c>
      <x:c r="B793" t="str">
        <x:v>1d08b00f-4993-5ab6-a005-bb4fa0c1e574</x:v>
      </x:c>
      <x:c r="C793" t="str">
        <x:v>CDA-NART-350</x:v>
      </x:c>
      <x:c r="D793" t="str">
        <x:v>39bf01fa-a31a-593e-a617-859ebd045d80</x:v>
      </x:c>
      <x:c r="E793" t="str">
        <x:v>CDA-CODE-350</x:v>
      </x:c>
      <x:c r="F793" t="str">
        <x:v>Caran d’Ache</x:v>
      </x:c>
      <x:c r="G793" t="str">
        <x:v>NART</x:v>
      </x:c>
      <x:c r="H793" t="str">
        <x:v>NEOART 6901</x:v>
      </x:c>
      <x:c r="I793" t="str">
        <x:v>Permanent wax-and-oil pastel</x:v>
      </x:c>
      <x:c r="J793" t="str">
        <x:v>Professional</x:v>
      </x:c>
      <x:c r="K793" t="n">
        <x:v>28</x:v>
      </x:c>
      <x:c r="L793" t="str">
        <x:v>350</x:v>
      </x:c>
      <x:c r="M793" t="str">
        <x:v>Purplish red</x:v>
      </x:c>
      <x:c r="N793" t="str">
        <x:v>紫紅色</x:v>
      </x:c>
      <x:c r="O793" t="str">
        <x:v>パープリッシュレッド</x:v>
      </x:c>
      <x:c r="P793"/>
      <x:c r="Q793" t="str">
        <x:v>Rouge pourpre</x:v>
      </x:c>
      <x:c r="R793" t="str">
        <x:v>Purpurrot</x:v>
      </x:c>
      <x:c r="S793" t="str">
        <x:v>Rosso porpora</x:v>
      </x:c>
      <x:c r="T793" t="str">
        <x:v>Rojo púrpura</x:v>
      </x:c>
      <x:c r="U793" t="str">
        <x:v>Vermelho púrpura</x:v>
      </x:c>
      <x:c r="V793" t="str">
        <x:v>자주빛 붉은색</x:v>
      </x:c>
      <x:c r="W793" t="str">
        <x:v>PR122/PR179</x:v>
      </x:c>
      <x:c r="X793" t="n">
        <x:v>2</x:v>
      </x:c>
      <x:c r="Y793" t="str">
        <x:v>II</x:v>
      </x:c>
      <x:c r="Z793" t="n">
        <x:v>3.33</x:v>
      </x:c>
      <x:c r="AA793" t="n">
        <x:v>3</x:v>
      </x:c>
      <x:c r="AB793" t="str">
        <x:v>ASTM D-6901</x:v>
      </x:c>
      <x:c r="AC793" s="229" t="str">
        <x:v>#BD3C7A</x:v>
      </x:c>
      <x:c r="AD793" t="n">
        <x:v>189</x:v>
      </x:c>
      <x:c r="AE793" t="n">
        <x:v>60</x:v>
      </x:c>
      <x:c r="AF793" t="n">
        <x:v>122</x:v>
      </x:c>
      <x:c r="AG793" t="n">
        <x:v>331.16</x:v>
      </x:c>
      <x:c r="AH793" t="n">
        <x:v>51.81</x:v>
      </x:c>
      <x:c r="AI793" t="n">
        <x:v>48.82</x:v>
      </x:c>
      <x:c r="AJ793" t="n">
        <x:v>46.26</x:v>
      </x:c>
      <x:c r="AK793" t="n">
        <x:v>56.71</x:v>
      </x:c>
      <x:c r="AL793" t="n">
        <x:v>-6.38</x:v>
      </x:c>
      <x:c r="AM793" t="str">
        <x:v>#FFFFFF</x:v>
      </x:c>
      <x:c r="AN793" t="str">
        <x:v>White</x:v>
      </x:c>
      <x:c r="AO793" t="n">
        <x:v>5.13</x:v>
      </x:c>
      <x:c r="AP793" t="n">
        <x:v>4.09</x:v>
      </x:c>
      <x:c r="AQ793" t="n">
        <x:v>5.13</x:v>
      </x:c>
      <x:c r="AR793" t="n">
        <x:v>0.154557</x:v>
      </x:c>
      <x:c r="AS793" t="str">
        <x:v>PASS</x:v>
      </x:c>
      <x:c r="AT793" t="str">
        <x:v>--cda-nart-350</x:v>
      </x:c>
      <x:c r="AU793" t="str">
        <x:v>var(--cda-nart-350)</x:v>
      </x:c>
      <x:c r="AV793" t="str">
        <x:v>Dense right-edge colour sampled from the official 2025 catalogue chart gradient; screen-reference approximation only</x:v>
      </x:c>
      <x:c r="AW793" t="str">
        <x:v>https://www.carandache.com/</x:v>
      </x:c>
      <x:c r="AX793" t="n">
        <x:v>18</x:v>
      </x:c>
      <x:c r="AY793" t="str">
        <x:v>Official</x:v>
      </x:c>
      <x:c r="AZ793" t="str">
        <x:v>English official from 2025 catalogue; Traditional Chinese/Japanese curated; other languages inherited from existing official code mappings where available</x:v>
      </x:c>
      <x:c r="BA793" t="str">
        <x:v>Verified from official 2025 catalogue; digital HEX sampled from catalogue chart and is approximate</x:v>
      </x:c>
      <x:c r="BB793" t="str">
        <x:v>Source: Catcoul_Beauxarts_2025_EN_BD.pdf, Ref. 100011.211 ENG 2025, PDF p.18 (catalogue pp.32-33). NEOART 6901 has 48 colours; 44 codes are shared with LUMINANCE 6901.</x:v>
      </x:c>
    </x:row>
    <x:row r="794">
      <x:c r="A794" t="str">
        <x:v>NART|407</x:v>
      </x:c>
      <x:c r="B794" t="str">
        <x:v>ebde7b36-617c-5b79-bb70-3b9501b32782</x:v>
      </x:c>
      <x:c r="C794" t="str">
        <x:v>CDA-NART-407</x:v>
      </x:c>
      <x:c r="D794" t="str">
        <x:v>031b6d1b-99f0-5097-97b4-5f2daeaf1a50</x:v>
      </x:c>
      <x:c r="E794" t="str">
        <x:v>CDA-CODE-407</x:v>
      </x:c>
      <x:c r="F794" t="str">
        <x:v>Caran d’Ache</x:v>
      </x:c>
      <x:c r="G794" t="str">
        <x:v>NART</x:v>
      </x:c>
      <x:c r="H794" t="str">
        <x:v>NEOART 6901</x:v>
      </x:c>
      <x:c r="I794" t="str">
        <x:v>Permanent wax-and-oil pastel</x:v>
      </x:c>
      <x:c r="J794" t="str">
        <x:v>Professional</x:v>
      </x:c>
      <x:c r="K794" t="n">
        <x:v>29</x:v>
      </x:c>
      <x:c r="L794" t="str">
        <x:v>407</x:v>
      </x:c>
      <x:c r="M794" t="str">
        <x:v>Sepia</x:v>
      </x:c>
      <x:c r="N794" t="str">
        <x:v>深褐色</x:v>
      </x:c>
      <x:c r="O794" t="str">
        <x:v>セピア</x:v>
      </x:c>
      <x:c r="P794"/>
      <x:c r="Q794" t="str">
        <x:v>Sépia</x:v>
      </x:c>
      <x:c r="R794" t="str">
        <x:v>Sepia</x:v>
      </x:c>
      <x:c r="S794" t="str">
        <x:v>Seppia</x:v>
      </x:c>
      <x:c r="T794" t="str">
        <x:v>Sepia</x:v>
      </x:c>
      <x:c r="U794" t="str">
        <x:v>Sépia</x:v>
      </x:c>
      <x:c r="V794" t="str">
        <x:v>세피아</x:v>
      </x:c>
      <x:c r="W794" t="str">
        <x:v>PBk6/PR101/PY42/PBk11</x:v>
      </x:c>
      <x:c r="X794" t="n">
        <x:v>4</x:v>
      </x:c>
      <x:c r="Y794" t="str">
        <x:v>I</x:v>
      </x:c>
      <x:c r="Z794" t="n">
        <x:v>1.67</x:v>
      </x:c>
      <x:c r="AA794" t="n">
        <x:v>3</x:v>
      </x:c>
      <x:c r="AB794" t="str">
        <x:v>ASTM D-6901</x:v>
      </x:c>
      <x:c r="AC794" s="231" t="str">
        <x:v>#81654C</x:v>
      </x:c>
      <x:c r="AD794" t="n">
        <x:v>129</x:v>
      </x:c>
      <x:c r="AE794" t="n">
        <x:v>101</x:v>
      </x:c>
      <x:c r="AF794" t="n">
        <x:v>76</x:v>
      </x:c>
      <x:c r="AG794" t="n">
        <x:v>28.3</x:v>
      </x:c>
      <x:c r="AH794" t="n">
        <x:v>25.85</x:v>
      </x:c>
      <x:c r="AI794" t="n">
        <x:v>40.2</x:v>
      </x:c>
      <x:c r="AJ794" t="n">
        <x:v>44.94</x:v>
      </x:c>
      <x:c r="AK794" t="n">
        <x:v>7.61</x:v>
      </x:c>
      <x:c r="AL794" t="n">
        <x:v>18.45</x:v>
      </x:c>
      <x:c r="AM794" t="str">
        <x:v>#FFFFFF</x:v>
      </x:c>
      <x:c r="AN794" t="str">
        <x:v>White</x:v>
      </x:c>
      <x:c r="AO794" t="n">
        <x:v>5.39</x:v>
      </x:c>
      <x:c r="AP794" t="n">
        <x:v>3.9</x:v>
      </x:c>
      <x:c r="AQ794" t="n">
        <x:v>5.39</x:v>
      </x:c>
      <x:c r="AR794" t="n">
        <x:v>0.144963</x:v>
      </x:c>
      <x:c r="AS794" t="str">
        <x:v>PASS</x:v>
      </x:c>
      <x:c r="AT794" t="str">
        <x:v>--cda-nart-407</x:v>
      </x:c>
      <x:c r="AU794" t="str">
        <x:v>var(--cda-nart-407)</x:v>
      </x:c>
      <x:c r="AV794" t="str">
        <x:v>Dense right-edge colour sampled from the official 2025 catalogue chart gradient; screen-reference approximation only</x:v>
      </x:c>
      <x:c r="AW794" t="str">
        <x:v>https://www.carandache.com/</x:v>
      </x:c>
      <x:c r="AX794" t="n">
        <x:v>18</x:v>
      </x:c>
      <x:c r="AY794" t="str">
        <x:v>Official</x:v>
      </x:c>
      <x:c r="AZ794" t="str">
        <x:v>English official from 2025 catalogue; Traditional Chinese/Japanese curated; other languages inherited from existing official code mappings where available</x:v>
      </x:c>
      <x:c r="BA794" t="str">
        <x:v>Verified from official 2025 catalogue; digital HEX sampled from catalogue chart and is approximate</x:v>
      </x:c>
      <x:c r="BB794" t="str">
        <x:v>Source: Catcoul_Beauxarts_2025_EN_BD.pdf, Ref. 100011.211 ENG 2025, PDF p.18 (catalogue pp.32-33). NEOART 6901 has 48 colours; 44 codes are shared with LUMINANCE 6901.</x:v>
      </x:c>
    </x:row>
    <x:row r="795">
      <x:c r="A795" t="str">
        <x:v>NART|470</x:v>
      </x:c>
      <x:c r="B795" t="str">
        <x:v>fdd3e75d-2b2a-5219-9fcd-3460615c692c</x:v>
      </x:c>
      <x:c r="C795" t="str">
        <x:v>CDA-NART-470</x:v>
      </x:c>
      <x:c r="D795" t="str">
        <x:v>e5fd455d-0e91-54ba-bac2-04493fa22e11</x:v>
      </x:c>
      <x:c r="E795" t="str">
        <x:v>CDA-CODE-470</x:v>
      </x:c>
      <x:c r="F795" t="str">
        <x:v>Caran d’Ache</x:v>
      </x:c>
      <x:c r="G795" t="str">
        <x:v>NART</x:v>
      </x:c>
      <x:c r="H795" t="str">
        <x:v>NEOART 6901</x:v>
      </x:c>
      <x:c r="I795" t="str">
        <x:v>Permanent wax-and-oil pastel</x:v>
      </x:c>
      <x:c r="J795" t="str">
        <x:v>Professional</x:v>
      </x:c>
      <x:c r="K795" t="n">
        <x:v>30</x:v>
      </x:c>
      <x:c r="L795" t="str">
        <x:v>470</x:v>
      </x:c>
      <x:c r="M795" t="str">
        <x:v>Spring green</x:v>
      </x:c>
      <x:c r="N795" t="str">
        <x:v>春綠色</x:v>
      </x:c>
      <x:c r="O795" t="str">
        <x:v>スプリンググリーン</x:v>
      </x:c>
      <x:c r="P795"/>
      <x:c r="Q795" t="str">
        <x:v>Vert de mai</x:v>
      </x:c>
      <x:c r="R795" t="str">
        <x:v>Maigrün</x:v>
      </x:c>
      <x:c r="S795" t="str">
        <x:v>Verde primavera</x:v>
      </x:c>
      <x:c r="T795" t="str">
        <x:v>Verde de mayo</x:v>
      </x:c>
      <x:c r="U795" t="str">
        <x:v>Verde maio</x:v>
      </x:c>
      <x:c r="V795" t="str">
        <x:v>스프링 그린</x:v>
      </x:c>
      <x:c r="W795" t="str">
        <x:v>PG7/PY3</x:v>
      </x:c>
      <x:c r="X795" t="n">
        <x:v>2</x:v>
      </x:c>
      <x:c r="Y795" t="str">
        <x:v>I</x:v>
      </x:c>
      <x:c r="Z795" t="n">
        <x:v>1.67</x:v>
      </x:c>
      <x:c r="AA795" t="n">
        <x:v>3</x:v>
      </x:c>
      <x:c r="AB795" t="str">
        <x:v>ASTM D-6901</x:v>
      </x:c>
      <x:c r="AC795" s="233" t="str">
        <x:v>#BBCE37</x:v>
      </x:c>
      <x:c r="AD795" t="n">
        <x:v>187</x:v>
      </x:c>
      <x:c r="AE795" t="n">
        <x:v>206</x:v>
      </x:c>
      <x:c r="AF795" t="n">
        <x:v>55</x:v>
      </x:c>
      <x:c r="AG795" t="n">
        <x:v>67.55</x:v>
      </x:c>
      <x:c r="AH795" t="n">
        <x:v>60.64</x:v>
      </x:c>
      <x:c r="AI795" t="n">
        <x:v>51.18</x:v>
      </x:c>
      <x:c r="AJ795" t="n">
        <x:v>79.03</x:v>
      </x:c>
      <x:c r="AK795" t="n">
        <x:v>-25.02</x:v>
      </x:c>
      <x:c r="AL795" t="n">
        <x:v>68.1</x:v>
      </x:c>
      <x:c r="AM795" t="str">
        <x:v>#000000</x:v>
      </x:c>
      <x:c r="AN795" t="str">
        <x:v>Black</x:v>
      </x:c>
      <x:c r="AO795" t="n">
        <x:v>12</x:v>
      </x:c>
      <x:c r="AP795" t="n">
        <x:v>12</x:v>
      </x:c>
      <x:c r="AQ795" t="n">
        <x:v>1.75</x:v>
      </x:c>
      <x:c r="AR795" t="n">
        <x:v>0.549832</x:v>
      </x:c>
      <x:c r="AS795" t="str">
        <x:v>PASS</x:v>
      </x:c>
      <x:c r="AT795" t="str">
        <x:v>--cda-nart-470</x:v>
      </x:c>
      <x:c r="AU795" t="str">
        <x:v>var(--cda-nart-470)</x:v>
      </x:c>
      <x:c r="AV795" t="str">
        <x:v>Dense right-edge colour sampled from the official 2025 catalogue chart gradient; screen-reference approximation only</x:v>
      </x:c>
      <x:c r="AW795" t="str">
        <x:v>https://www.carandache.com/</x:v>
      </x:c>
      <x:c r="AX795" t="n">
        <x:v>18</x:v>
      </x:c>
      <x:c r="AY795" t="str">
        <x:v>Official</x:v>
      </x:c>
      <x:c r="AZ795" t="str">
        <x:v>English official from 2025 catalogue; Traditional Chinese/Japanese curated; other languages inherited from existing official code mappings where available</x:v>
      </x:c>
      <x:c r="BA795" t="str">
        <x:v>Verified from official 2025 catalogue; digital HEX sampled from catalogue chart and is approximate</x:v>
      </x:c>
      <x:c r="BB795" t="str">
        <x:v>Source: Catcoul_Beauxarts_2025_EN_BD.pdf, Ref. 100011.211 ENG 2025, PDF p.18 (catalogue pp.32-33). NEOART 6901 has 48 colours; 44 codes are shared with LUMINANCE 6901.</x:v>
      </x:c>
    </x:row>
    <x:row r="796">
      <x:c r="A796" t="str">
        <x:v>NART|495</x:v>
      </x:c>
      <x:c r="B796" t="str">
        <x:v>78e1458e-dc59-5659-b67b-67b6c2c2cf31</x:v>
      </x:c>
      <x:c r="C796" t="str">
        <x:v>CDA-NART-495</x:v>
      </x:c>
      <x:c r="D796" t="str">
        <x:v>2389d9d0-ecac-5dc3-922c-5004968271df</x:v>
      </x:c>
      <x:c r="E796" t="str">
        <x:v>CDA-CODE-495</x:v>
      </x:c>
      <x:c r="F796" t="str">
        <x:v>Caran d’Ache</x:v>
      </x:c>
      <x:c r="G796" t="str">
        <x:v>NART</x:v>
      </x:c>
      <x:c r="H796" t="str">
        <x:v>NEOART 6901</x:v>
      </x:c>
      <x:c r="I796" t="str">
        <x:v>Permanent wax-and-oil pastel</x:v>
      </x:c>
      <x:c r="J796" t="str">
        <x:v>Professional</x:v>
      </x:c>
      <x:c r="K796" t="n">
        <x:v>31</x:v>
      </x:c>
      <x:c r="L796" t="str">
        <x:v>495</x:v>
      </x:c>
      <x:c r="M796" t="str">
        <x:v>Slate grey</x:v>
      </x:c>
      <x:c r="N796" t="str">
        <x:v>板岩灰</x:v>
      </x:c>
      <x:c r="O796" t="str">
        <x:v>スレートグレー</x:v>
      </x:c>
      <x:c r="P796"/>
      <x:c r="Q796" t="str">
        <x:v>Gris ardoise</x:v>
      </x:c>
      <x:c r="R796" t="str">
        <x:v>Schiefergrau</x:v>
      </x:c>
      <x:c r="S796" t="str">
        <x:v>Grigio ardesia</x:v>
      </x:c>
      <x:c r="T796" t="str">
        <x:v>Gris pizarra</x:v>
      </x:c>
      <x:c r="U796" t="str">
        <x:v>Cinzento ardósia</x:v>
      </x:c>
      <x:c r="V796" t="str">
        <x:v>스레이트 그레이</x:v>
      </x:c>
      <x:c r="W796" t="str">
        <x:v>Graphite</x:v>
      </x:c>
      <x:c r="X796" t="n">
        <x:v>1</x:v>
      </x:c>
      <x:c r="Y796" t="str">
        <x:v>I</x:v>
      </x:c>
      <x:c r="Z796" t="n">
        <x:v>1.67</x:v>
      </x:c>
      <x:c r="AA796" t="n">
        <x:v>3</x:v>
      </x:c>
      <x:c r="AB796" t="str">
        <x:v>ASTM D-6901</x:v>
      </x:c>
      <x:c r="AC796" s="235" t="str">
        <x:v>#4C5155</x:v>
      </x:c>
      <x:c r="AD796" t="n">
        <x:v>76</x:v>
      </x:c>
      <x:c r="AE796" t="n">
        <x:v>81</x:v>
      </x:c>
      <x:c r="AF796" t="n">
        <x:v>85</x:v>
      </x:c>
      <x:c r="AG796" t="n">
        <x:v>206.67</x:v>
      </x:c>
      <x:c r="AH796" t="n">
        <x:v>5.59</x:v>
      </x:c>
      <x:c r="AI796" t="n">
        <x:v>31.57</x:v>
      </x:c>
      <x:c r="AJ796" t="n">
        <x:v>34.14</x:v>
      </x:c>
      <x:c r="AK796" t="n">
        <x:v>-1.08</x:v>
      </x:c>
      <x:c r="AL796" t="n">
        <x:v>-3.03</x:v>
      </x:c>
      <x:c r="AM796" t="str">
        <x:v>#FFFFFF</x:v>
      </x:c>
      <x:c r="AN796" t="str">
        <x:v>White</x:v>
      </x:c>
      <x:c r="AO796" t="n">
        <x:v>8.03</x:v>
      </x:c>
      <x:c r="AP796" t="n">
        <x:v>2.62</x:v>
      </x:c>
      <x:c r="AQ796" t="n">
        <x:v>8.03</x:v>
      </x:c>
      <x:c r="AR796" t="n">
        <x:v>0.080772</x:v>
      </x:c>
      <x:c r="AS796" t="str">
        <x:v>PASS</x:v>
      </x:c>
      <x:c r="AT796" t="str">
        <x:v>--cda-nart-495</x:v>
      </x:c>
      <x:c r="AU796" t="str">
        <x:v>var(--cda-nart-495)</x:v>
      </x:c>
      <x:c r="AV796" t="str">
        <x:v>Dense right-edge colour sampled from the official 2025 catalogue chart gradient; screen-reference approximation only</x:v>
      </x:c>
      <x:c r="AW796" t="str">
        <x:v>https://www.carandache.com/</x:v>
      </x:c>
      <x:c r="AX796" t="n">
        <x:v>18</x:v>
      </x:c>
      <x:c r="AY796" t="str">
        <x:v>Official</x:v>
      </x:c>
      <x:c r="AZ796" t="str">
        <x:v>English official from 2025 catalogue; Traditional Chinese/Japanese curated; other languages inherited from existing official code mappings where available</x:v>
      </x:c>
      <x:c r="BA796" t="str">
        <x:v>Verified from official 2025 catalogue; digital HEX sampled from catalogue chart and is approximate</x:v>
      </x:c>
      <x:c r="BB796" t="str">
        <x:v>Source: Catcoul_Beauxarts_2025_EN_BD.pdf, Ref. 100011.211 ENG 2025, PDF p.18 (catalogue pp.32-33). NEOART 6901 has 48 colours; 44 codes are shared with LUMINANCE 6901.</x:v>
      </x:c>
    </x:row>
    <x:row r="797">
      <x:c r="A797" t="str">
        <x:v>NART|504</x:v>
      </x:c>
      <x:c r="B797" t="str">
        <x:v>29db854a-0d87-5b94-b3c3-28e9c8408009</x:v>
      </x:c>
      <x:c r="C797" t="str">
        <x:v>CDA-NART-504</x:v>
      </x:c>
      <x:c r="D797" t="str">
        <x:v>dc4c1cca-6a3d-57e2-91d0-ab77e4c3a7f1</x:v>
      </x:c>
      <x:c r="E797" t="str">
        <x:v>CDA-CODE-504</x:v>
      </x:c>
      <x:c r="F797" t="str">
        <x:v>Caran d’Ache</x:v>
      </x:c>
      <x:c r="G797" t="str">
        <x:v>NART</x:v>
      </x:c>
      <x:c r="H797" t="str">
        <x:v>NEOART 6901</x:v>
      </x:c>
      <x:c r="I797" t="str">
        <x:v>Permanent wax-and-oil pastel</x:v>
      </x:c>
      <x:c r="J797" t="str">
        <x:v>Professional</x:v>
      </x:c>
      <x:c r="K797" t="n">
        <x:v>32</x:v>
      </x:c>
      <x:c r="L797" t="str">
        <x:v>504</x:v>
      </x:c>
      <x:c r="M797" t="str">
        <x:v>Payne's grey 30%</x:v>
      </x:c>
      <x:c r="N797" t="str">
        <x:v>佩恩灰 30%</x:v>
      </x:c>
      <x:c r="O797" t="str">
        <x:v>ペインズグレー 30%</x:v>
      </x:c>
      <x:c r="P797"/>
      <x:c r="Q797" t="str">
        <x:v>Gris de Payne 30%</x:v>
      </x:c>
      <x:c r="R797" t="str">
        <x:v>Paynesgrau 30%</x:v>
      </x:c>
      <x:c r="S797" t="str">
        <x:v>Grigio di Payne 30%</x:v>
      </x:c>
      <x:c r="T797" t="str">
        <x:v>Gris de Payne 30%</x:v>
      </x:c>
      <x:c r="U797" t="str">
        <x:v>Cinzento de Payne 30%</x:v>
      </x:c>
      <x:c r="V797"/>
      <x:c r="W797" t="str">
        <x:v>PB29/PBk6</x:v>
      </x:c>
      <x:c r="X797" t="n">
        <x:v>2</x:v>
      </x:c>
      <x:c r="Y797" t="str">
        <x:v>I</x:v>
      </x:c>
      <x:c r="Z797" t="n">
        <x:v>1.67</x:v>
      </x:c>
      <x:c r="AA797" t="n">
        <x:v>3</x:v>
      </x:c>
      <x:c r="AB797" t="str">
        <x:v>ASTM D-6901</x:v>
      </x:c>
      <x:c r="AC797" s="237" t="str">
        <x:v>#A7A7A8</x:v>
      </x:c>
      <x:c r="AD797" t="n">
        <x:v>167</x:v>
      </x:c>
      <x:c r="AE797" t="n">
        <x:v>167</x:v>
      </x:c>
      <x:c r="AF797" t="n">
        <x:v>168</x:v>
      </x:c>
      <x:c r="AG797" t="n">
        <x:v>240</x:v>
      </x:c>
      <x:c r="AH797" t="n">
        <x:v>0.57</x:v>
      </x:c>
      <x:c r="AI797" t="n">
        <x:v>65.69</x:v>
      </x:c>
      <x:c r="AJ797" t="n">
        <x:v>68.52</x:v>
      </x:c>
      <x:c r="AK797" t="n">
        <x:v>0.19</x:v>
      </x:c>
      <x:c r="AL797" t="n">
        <x:v>-0.52</x:v>
      </x:c>
      <x:c r="AM797" t="str">
        <x:v>#000000</x:v>
      </x:c>
      <x:c r="AN797" t="str">
        <x:v>Black</x:v>
      </x:c>
      <x:c r="AO797" t="n">
        <x:v>8.74</x:v>
      </x:c>
      <x:c r="AP797" t="n">
        <x:v>8.74</x:v>
      </x:c>
      <x:c r="AQ797" t="n">
        <x:v>2.4</x:v>
      </x:c>
      <x:c r="AR797" t="n">
        <x:v>0.386801</x:v>
      </x:c>
      <x:c r="AS797" t="str">
        <x:v>PASS</x:v>
      </x:c>
      <x:c r="AT797" t="str">
        <x:v>--cda-nart-504</x:v>
      </x:c>
      <x:c r="AU797" t="str">
        <x:v>var(--cda-nart-504)</x:v>
      </x:c>
      <x:c r="AV797" t="str">
        <x:v>Dense right-edge colour sampled from the official 2025 catalogue chart gradient; screen-reference approximation only</x:v>
      </x:c>
      <x:c r="AW797" t="str">
        <x:v>https://www.carandache.com/</x:v>
      </x:c>
      <x:c r="AX797" t="n">
        <x:v>18</x:v>
      </x:c>
      <x:c r="AY797" t="str">
        <x:v>Official</x:v>
      </x:c>
      <x:c r="AZ797" t="str">
        <x:v>English official from 2025 catalogue; Traditional Chinese/Japanese curated; other languages inherited from existing official code mappings where available</x:v>
      </x:c>
      <x:c r="BA797" t="str">
        <x:v>Verified from official 2025 catalogue; digital HEX sampled from catalogue chart and is approximate</x:v>
      </x:c>
      <x:c r="BB797" t="str">
        <x:v>Source: Catcoul_Beauxarts_2025_EN_BD.pdf, Ref. 100011.211 ENG 2025, PDF p.18 (catalogue pp.32-33). NEOART 6901 has 48 colours; 44 codes are shared with LUMINANCE 6901.</x:v>
      </x:c>
    </x:row>
    <x:row r="798">
      <x:c r="A798" t="str">
        <x:v>NART|530</x:v>
      </x:c>
      <x:c r="B798" t="str">
        <x:v>f50a152e-a974-57c6-a7f1-52d7a408aa7a</x:v>
      </x:c>
      <x:c r="C798" t="str">
        <x:v>CDA-NART-530</x:v>
      </x:c>
      <x:c r="D798" t="str">
        <x:v>10923d99-7757-55a9-b1f4-db9c8bd7d6be</x:v>
      </x:c>
      <x:c r="E798" t="str">
        <x:v>CDA-CODE-530</x:v>
      </x:c>
      <x:c r="F798" t="str">
        <x:v>Caran d’Ache</x:v>
      </x:c>
      <x:c r="G798" t="str">
        <x:v>NART</x:v>
      </x:c>
      <x:c r="H798" t="str">
        <x:v>NEOART 6901</x:v>
      </x:c>
      <x:c r="I798" t="str">
        <x:v>Permanent wax-and-oil pastel</x:v>
      </x:c>
      <x:c r="J798" t="str">
        <x:v>Professional</x:v>
      </x:c>
      <x:c r="K798" t="n">
        <x:v>33</x:v>
      </x:c>
      <x:c r="L798" t="str">
        <x:v>530</x:v>
      </x:c>
      <x:c r="M798" t="str">
        <x:v>Gold cadmium yellow (hue)</x:v>
      </x:c>
      <x:c r="N798" t="str">
        <x:v>金鎘黃</x:v>
      </x:c>
      <x:c r="O798" t="str">
        <x:v>ゴールドカドミウムイエロー</x:v>
      </x:c>
      <x:c r="P798"/>
      <x:c r="Q798" t="str">
        <x:v>Jaune Cadmium doré imit.</x:v>
      </x:c>
      <x:c r="R798" t="str">
        <x:v>Gold Kadmiumgelb</x:v>
      </x:c>
      <x:c r="S798" t="str">
        <x:v>Giallo di cadmio dorato</x:v>
      </x:c>
      <x:c r="T798" t="str">
        <x:v>Amarillo cadmio dorado</x:v>
      </x:c>
      <x:c r="U798" t="str">
        <x:v>Amarelo cádmio dourado</x:v>
      </x:c>
      <x:c r="V798"/>
      <x:c r="W798" t="str">
        <x:v>PY184</x:v>
      </x:c>
      <x:c r="X798" t="n">
        <x:v>1</x:v>
      </x:c>
      <x:c r="Y798" t="str">
        <x:v>I</x:v>
      </x:c>
      <x:c r="Z798" t="n">
        <x:v>1.67</x:v>
      </x:c>
      <x:c r="AA798" t="n">
        <x:v>3</x:v>
      </x:c>
      <x:c r="AB798" t="str">
        <x:v>ASTM D-6901</x:v>
      </x:c>
      <x:c r="AC798" s="239" t="str">
        <x:v>#F8B22A</x:v>
      </x:c>
      <x:c r="AD798" t="n">
        <x:v>248</x:v>
      </x:c>
      <x:c r="AE798" t="n">
        <x:v>178</x:v>
      </x:c>
      <x:c r="AF798" t="n">
        <x:v>42</x:v>
      </x:c>
      <x:c r="AG798" t="n">
        <x:v>39.61</x:v>
      </x:c>
      <x:c r="AH798" t="n">
        <x:v>93.64</x:v>
      </x:c>
      <x:c r="AI798" t="n">
        <x:v>56.86</x:v>
      </x:c>
      <x:c r="AJ798" t="n">
        <x:v>77.26</x:v>
      </x:c>
      <x:c r="AK798" t="n">
        <x:v>14.8</x:v>
      </x:c>
      <x:c r="AL798" t="n">
        <x:v>72.65</x:v>
      </x:c>
      <x:c r="AM798" t="str">
        <x:v>#000000</x:v>
      </x:c>
      <x:c r="AN798" t="str">
        <x:v>Black</x:v>
      </x:c>
      <x:c r="AO798" t="n">
        <x:v>11.39</x:v>
      </x:c>
      <x:c r="AP798" t="n">
        <x:v>11.39</x:v>
      </x:c>
      <x:c r="AQ798" t="n">
        <x:v>1.84</x:v>
      </x:c>
      <x:c r="AR798" t="n">
        <x:v>0.519644</x:v>
      </x:c>
      <x:c r="AS798" t="str">
        <x:v>PASS</x:v>
      </x:c>
      <x:c r="AT798" t="str">
        <x:v>--cda-nart-530</x:v>
      </x:c>
      <x:c r="AU798" t="str">
        <x:v>var(--cda-nart-530)</x:v>
      </x:c>
      <x:c r="AV798" t="str">
        <x:v>Dense right-edge colour sampled from the official 2025 catalogue chart gradient; screen-reference approximation only</x:v>
      </x:c>
      <x:c r="AW798" t="str">
        <x:v>https://www.carandache.com/</x:v>
      </x:c>
      <x:c r="AX798" t="n">
        <x:v>18</x:v>
      </x:c>
      <x:c r="AY798" t="str">
        <x:v>Official</x:v>
      </x:c>
      <x:c r="AZ798" t="str">
        <x:v>English official from 2025 catalogue; Traditional Chinese/Japanese curated; other languages inherited from existing official code mappings where available</x:v>
      </x:c>
      <x:c r="BA798" t="str">
        <x:v>Verified from official 2025 catalogue; digital HEX sampled from catalogue chart and is approximate</x:v>
      </x:c>
      <x:c r="BB798" t="str">
        <x:v>Source: Catcoul_Beauxarts_2025_EN_BD.pdf, Ref. 100011.211 ENG 2025, PDF p.18 (catalogue pp.32-33). NEOART 6901 has 48 colours; 44 codes are shared with LUMINANCE 6901.</x:v>
      </x:c>
    </x:row>
    <x:row r="799">
      <x:c r="A799" t="str">
        <x:v>NART|542</x:v>
      </x:c>
      <x:c r="B799" t="str">
        <x:v>7498ea0c-4290-5539-a759-406bc5fd5774</x:v>
      </x:c>
      <x:c r="C799" t="str">
        <x:v>CDA-NART-542</x:v>
      </x:c>
      <x:c r="D799" t="str">
        <x:v>e6b97c63-44ad-5921-912c-ff40fdb5df56</x:v>
      </x:c>
      <x:c r="E799" t="str">
        <x:v>CDA-CODE-542</x:v>
      </x:c>
      <x:c r="F799" t="str">
        <x:v>Caran d’Ache</x:v>
      </x:c>
      <x:c r="G799" t="str">
        <x:v>NART</x:v>
      </x:c>
      <x:c r="H799" t="str">
        <x:v>NEOART 6901</x:v>
      </x:c>
      <x:c r="I799" t="str">
        <x:v>Permanent wax-and-oil pastel</x:v>
      </x:c>
      <x:c r="J799" t="str">
        <x:v>Professional</x:v>
      </x:c>
      <x:c r="K799" t="n">
        <x:v>34</x:v>
      </x:c>
      <x:c r="L799" t="str">
        <x:v>542</x:v>
      </x:c>
      <x:c r="M799" t="str">
        <x:v>Butternut</x:v>
      </x:c>
      <x:c r="N799" t="str">
        <x:v>淺膚色 10%</x:v>
      </x:c>
      <x:c r="O799" t="str">
        <x:v>ライトフレッシュ10%</x:v>
      </x:c>
      <x:c r="P799"/>
      <x:c r="Q799" t="str">
        <x:v>Butternut</x:v>
      </x:c>
      <x:c r="R799" t="str">
        <x:v>Butternut</x:v>
      </x:c>
      <x:c r="S799" t="str">
        <x:v>Butternut</x:v>
      </x:c>
      <x:c r="T799" t="str">
        <x:v>Nuez</x:v>
      </x:c>
      <x:c r="U799" t="str">
        <x:v>Butternut</x:v>
      </x:c>
      <x:c r="V799"/>
      <x:c r="W799" t="str">
        <x:v>PO82</x:v>
      </x:c>
      <x:c r="X799" t="n">
        <x:v>1</x:v>
      </x:c>
      <x:c r="Y799" t="str">
        <x:v>I</x:v>
      </x:c>
      <x:c r="Z799" t="n">
        <x:v>1.67</x:v>
      </x:c>
      <x:c r="AA799" t="n">
        <x:v>3</x:v>
      </x:c>
      <x:c r="AB799" t="str">
        <x:v>ASTM D-6901</x:v>
      </x:c>
      <x:c r="AC799" s="241" t="str">
        <x:v>#FDDBA9</x:v>
      </x:c>
      <x:c r="AD799" t="n">
        <x:v>253</x:v>
      </x:c>
      <x:c r="AE799" t="n">
        <x:v>219</x:v>
      </x:c>
      <x:c r="AF799" t="n">
        <x:v>169</x:v>
      </x:c>
      <x:c r="AG799" t="n">
        <x:v>35.71</x:v>
      </x:c>
      <x:c r="AH799" t="n">
        <x:v>95.45</x:v>
      </x:c>
      <x:c r="AI799" t="n">
        <x:v>82.75</x:v>
      </x:c>
      <x:c r="AJ799" t="n">
        <x:v>89.12</x:v>
      </x:c>
      <x:c r="AK799" t="n">
        <x:v>4.81</x:v>
      </x:c>
      <x:c r="AL799" t="n">
        <x:v>28.97</x:v>
      </x:c>
      <x:c r="AM799" t="str">
        <x:v>#000000</x:v>
      </x:c>
      <x:c r="AN799" t="str">
        <x:v>Black</x:v>
      </x:c>
      <x:c r="AO799" t="n">
        <x:v>15.88</x:v>
      </x:c>
      <x:c r="AP799" t="n">
        <x:v>15.88</x:v>
      </x:c>
      <x:c r="AQ799" t="n">
        <x:v>1.32</x:v>
      </x:c>
      <x:c r="AR799" t="n">
        <x:v>0.744103</x:v>
      </x:c>
      <x:c r="AS799" t="str">
        <x:v>PASS</x:v>
      </x:c>
      <x:c r="AT799" t="str">
        <x:v>--cda-nart-542</x:v>
      </x:c>
      <x:c r="AU799" t="str">
        <x:v>var(--cda-nart-542)</x:v>
      </x:c>
      <x:c r="AV799" t="str">
        <x:v>Dense right-edge colour sampled from the official 2025 catalogue chart gradient; screen-reference approximation only</x:v>
      </x:c>
      <x:c r="AW799" t="str">
        <x:v>https://www.carandache.com/</x:v>
      </x:c>
      <x:c r="AX799" t="n">
        <x:v>18</x:v>
      </x:c>
      <x:c r="AY799" t="str">
        <x:v>Official</x:v>
      </x:c>
      <x:c r="AZ799" t="str">
        <x:v>English official from 2025 catalogue; Traditional Chinese/Japanese curated; other languages inherited from existing official code mappings where available</x:v>
      </x:c>
      <x:c r="BA799" t="str">
        <x:v>Verified from official 2025 catalogue; digital HEX sampled from catalogue chart and is approximate</x:v>
      </x:c>
      <x:c r="BB799" t="str">
        <x:v>Source: Catcoul_Beauxarts_2025_EN_BD.pdf, Ref. 100011.211 ENG 2025, PDF p.18 (catalogue pp.32-33). NEOART 6901 has 48 colours; 44 codes are shared with LUMINANCE 6901.</x:v>
      </x:c>
    </x:row>
    <x:row r="800">
      <x:c r="A800" t="str">
        <x:v>NART|548</x:v>
      </x:c>
      <x:c r="B800" t="str">
        <x:v>81282f97-8d00-5280-afa4-d9820bc5d5c7</x:v>
      </x:c>
      <x:c r="C800" t="str">
        <x:v>CDA-NART-548</x:v>
      </x:c>
      <x:c r="D800" t="str">
        <x:v>797bbd12-75ce-5096-9f93-f1c2fd4218a3</x:v>
      </x:c>
      <x:c r="E800" t="str">
        <x:v>CDA-CODE-548</x:v>
      </x:c>
      <x:c r="F800" t="str">
        <x:v>Caran d’Ache</x:v>
      </x:c>
      <x:c r="G800" t="str">
        <x:v>NART</x:v>
      </x:c>
      <x:c r="H800" t="str">
        <x:v>NEOART 6901</x:v>
      </x:c>
      <x:c r="I800" t="str">
        <x:v>Permanent wax-and-oil pastel</x:v>
      </x:c>
      <x:c r="J800" t="str">
        <x:v>Professional</x:v>
      </x:c>
      <x:c r="K800" t="n">
        <x:v>35</x:v>
      </x:c>
      <x:c r="L800" t="str">
        <x:v>548</x:v>
      </x:c>
      <x:c r="M800" t="str">
        <x:v>Raw umber</x:v>
      </x:c>
      <x:c r="N800" t="str">
        <x:v>生褐色</x:v>
      </x:c>
      <x:c r="O800" t="str">
        <x:v>ローアンバー</x:v>
      </x:c>
      <x:c r="P800"/>
      <x:c r="Q800" t="str">
        <x:v>Ombre naturelle</x:v>
      </x:c>
      <x:c r="R800" t="str">
        <x:v>Echtumbra</x:v>
      </x:c>
      <x:c r="S800" t="str">
        <x:v>Ombra naturale</x:v>
      </x:c>
      <x:c r="T800" t="str">
        <x:v>Sombra natural</x:v>
      </x:c>
      <x:c r="U800" t="str">
        <x:v>Sombra natural</x:v>
      </x:c>
      <x:c r="V800"/>
      <x:c r="W800" t="str">
        <x:v>PBk11/PY42/PR101</x:v>
      </x:c>
      <x:c r="X800" t="n">
        <x:v>3</x:v>
      </x:c>
      <x:c r="Y800" t="str">
        <x:v>I</x:v>
      </x:c>
      <x:c r="Z800" t="n">
        <x:v>1.67</x:v>
      </x:c>
      <x:c r="AA800" t="n">
        <x:v>3</x:v>
      </x:c>
      <x:c r="AB800" t="str">
        <x:v>ASTM D-6901</x:v>
      </x:c>
      <x:c r="AC800" s="243" t="str">
        <x:v>#947157</x:v>
      </x:c>
      <x:c r="AD800" t="n">
        <x:v>148</x:v>
      </x:c>
      <x:c r="AE800" t="n">
        <x:v>113</x:v>
      </x:c>
      <x:c r="AF800" t="n">
        <x:v>87</x:v>
      </x:c>
      <x:c r="AG800" t="n">
        <x:v>25.57</x:v>
      </x:c>
      <x:c r="AH800" t="n">
        <x:v>25.96</x:v>
      </x:c>
      <x:c r="AI800" t="n">
        <x:v>46.08</x:v>
      </x:c>
      <x:c r="AJ800" t="n">
        <x:v>50.45</x:v>
      </x:c>
      <x:c r="AK800" t="n">
        <x:v>10.18</x:v>
      </x:c>
      <x:c r="AL800" t="n">
        <x:v>19.76</x:v>
      </x:c>
      <x:c r="AM800" t="str">
        <x:v>#000000</x:v>
      </x:c>
      <x:c r="AN800" t="str">
        <x:v>Black</x:v>
      </x:c>
      <x:c r="AO800" t="n">
        <x:v>4.76</x:v>
      </x:c>
      <x:c r="AP800" t="n">
        <x:v>4.76</x:v>
      </x:c>
      <x:c r="AQ800" t="n">
        <x:v>4.41</x:v>
      </x:c>
      <x:c r="AR800" t="n">
        <x:v>0.187943</x:v>
      </x:c>
      <x:c r="AS800" t="str">
        <x:v>PASS</x:v>
      </x:c>
      <x:c r="AT800" t="str">
        <x:v>--cda-nart-548</x:v>
      </x:c>
      <x:c r="AU800" t="str">
        <x:v>var(--cda-nart-548)</x:v>
      </x:c>
      <x:c r="AV800" t="str">
        <x:v>Dense right-edge colour sampled from the official 2025 catalogue chart gradient; screen-reference approximation only</x:v>
      </x:c>
      <x:c r="AW800" t="str">
        <x:v>https://www.carandache.com/</x:v>
      </x:c>
      <x:c r="AX800" t="n">
        <x:v>18</x:v>
      </x:c>
      <x:c r="AY800" t="str">
        <x:v>Official</x:v>
      </x:c>
      <x:c r="AZ800" t="str">
        <x:v>English official from 2025 catalogue; Traditional Chinese/Japanese curated; other languages inherited from existing official code mappings where available</x:v>
      </x:c>
      <x:c r="BA800" t="str">
        <x:v>Verified from official 2025 catalogue; digital HEX sampled from catalogue chart and is approximate</x:v>
      </x:c>
      <x:c r="BB800" t="str">
        <x:v>Source: Catcoul_Beauxarts_2025_EN_BD.pdf, Ref. 100011.211 ENG 2025, PDF p.18 (catalogue pp.32-33). NEOART 6901 has 48 colours; 44 codes are shared with LUMINANCE 6901.</x:v>
      </x:c>
    </x:row>
    <x:row r="801">
      <x:c r="A801" t="str">
        <x:v>NART|580</x:v>
      </x:c>
      <x:c r="B801" t="str">
        <x:v>9748c772-6a35-55bb-b530-a26d05f6bfd2</x:v>
      </x:c>
      <x:c r="C801" t="str">
        <x:v>CDA-NART-580</x:v>
      </x:c>
      <x:c r="D801" t="str">
        <x:v>a6ba056d-6724-54ba-b405-10d9de67b4a4</x:v>
      </x:c>
      <x:c r="E801" t="str">
        <x:v>CDA-CODE-580</x:v>
      </x:c>
      <x:c r="F801" t="str">
        <x:v>Caran d’Ache</x:v>
      </x:c>
      <x:c r="G801" t="str">
        <x:v>NART</x:v>
      </x:c>
      <x:c r="H801" t="str">
        <x:v>NEOART 6901</x:v>
      </x:c>
      <x:c r="I801" t="str">
        <x:v>Permanent wax-and-oil pastel</x:v>
      </x:c>
      <x:c r="J801" t="str">
        <x:v>Professional</x:v>
      </x:c>
      <x:c r="K801" t="n">
        <x:v>36</x:v>
      </x:c>
      <x:c r="L801" t="str">
        <x:v>580</x:v>
      </x:c>
      <x:c r="M801" t="str">
        <x:v>Anthraquinone carmine</x:v>
      </x:c>
      <x:c r="N801" t="str">
        <x:v>蒽醌胭脂紅</x:v>
      </x:c>
      <x:c r="O801" t="str">
        <x:v>アントラキノンカーマイン</x:v>
      </x:c>
      <x:c r="P801"/>
      <x:c r="Q801" t="str">
        <x:v>Carmin anthraquinone</x:v>
      </x:c>
      <x:c r="R801" t="str">
        <x:v>Anthrachinon-Karmin</x:v>
      </x:c>
      <x:c r="S801" t="str">
        <x:v>Carminio antrachinone</x:v>
      </x:c>
      <x:c r="T801" t="str">
        <x:v>Carmín antraquinona</x:v>
      </x:c>
      <x:c r="U801" t="str">
        <x:v>Antraquinona carmim</x:v>
      </x:c>
      <x:c r="V801"/>
      <x:c r="W801" t="str">
        <x:v>PR177</x:v>
      </x:c>
      <x:c r="X801" t="n">
        <x:v>1</x:v>
      </x:c>
      <x:c r="Y801" t="str">
        <x:v>II</x:v>
      </x:c>
      <x:c r="Z801" t="n">
        <x:v>3.33</x:v>
      </x:c>
      <x:c r="AA801" t="n">
        <x:v>3</x:v>
      </x:c>
      <x:c r="AB801" t="str">
        <x:v>ASTM D-6901</x:v>
      </x:c>
      <x:c r="AC801" s="245" t="str">
        <x:v>#CB3D5A</x:v>
      </x:c>
      <x:c r="AD801" t="n">
        <x:v>203</x:v>
      </x:c>
      <x:c r="AE801" t="n">
        <x:v>61</x:v>
      </x:c>
      <x:c r="AF801" t="n">
        <x:v>90</x:v>
      </x:c>
      <x:c r="AG801" t="n">
        <x:v>347.75</x:v>
      </x:c>
      <x:c r="AH801" t="n">
        <x:v>57.72</x:v>
      </x:c>
      <x:c r="AI801" t="n">
        <x:v>51.76</x:v>
      </x:c>
      <x:c r="AJ801" t="n">
        <x:v>47.98</x:v>
      </x:c>
      <x:c r="AK801" t="n">
        <x:v>57.51</x:v>
      </x:c>
      <x:c r="AL801" t="n">
        <x:v>15.97</x:v>
      </x:c>
      <x:c r="AM801" t="str">
        <x:v>#FFFFFF</x:v>
      </x:c>
      <x:c r="AN801" t="str">
        <x:v>White</x:v>
      </x:c>
      <x:c r="AO801" t="n">
        <x:v>4.82</x:v>
      </x:c>
      <x:c r="AP801" t="n">
        <x:v>4.35</x:v>
      </x:c>
      <x:c r="AQ801" t="n">
        <x:v>4.82</x:v>
      </x:c>
      <x:c r="AR801" t="n">
        <x:v>0.167722</x:v>
      </x:c>
      <x:c r="AS801" t="str">
        <x:v>PASS</x:v>
      </x:c>
      <x:c r="AT801" t="str">
        <x:v>--cda-nart-580</x:v>
      </x:c>
      <x:c r="AU801" t="str">
        <x:v>var(--cda-nart-580)</x:v>
      </x:c>
      <x:c r="AV801" t="str">
        <x:v>Dense right-edge colour sampled from the official 2025 catalogue chart gradient; screen-reference approximation only</x:v>
      </x:c>
      <x:c r="AW801" t="str">
        <x:v>https://www.carandache.com/</x:v>
      </x:c>
      <x:c r="AX801" t="n">
        <x:v>18</x:v>
      </x:c>
      <x:c r="AY801" t="str">
        <x:v>Official</x:v>
      </x:c>
      <x:c r="AZ801" t="str">
        <x:v>English official from 2025 catalogue; Traditional Chinese/Japanese curated; other languages inherited from existing official code mappings where available</x:v>
      </x:c>
      <x:c r="BA801" t="str">
        <x:v>Verified from official 2025 catalogue; digital HEX sampled from catalogue chart and is approximate</x:v>
      </x:c>
      <x:c r="BB801" t="str">
        <x:v>Source: Catcoul_Beauxarts_2025_EN_BD.pdf, Ref. 100011.211 ENG 2025, PDF p.18 (catalogue pp.32-33). NEOART 6901 has 48 colours; 44 codes are shared with LUMINANCE 6901.</x:v>
      </x:c>
    </x:row>
    <x:row r="802">
      <x:c r="A802" t="str">
        <x:v>NART|583</x:v>
      </x:c>
      <x:c r="B802" t="str">
        <x:v>6dce82f4-fcd9-5f3c-b8f1-3adbc0e1d445</x:v>
      </x:c>
      <x:c r="C802" t="str">
        <x:v>CDA-NART-583</x:v>
      </x:c>
      <x:c r="D802" t="str">
        <x:v>5780f78b-af0e-59ae-80af-4c20afd80775</x:v>
      </x:c>
      <x:c r="E802" t="str">
        <x:v>CDA-CODE-583</x:v>
      </x:c>
      <x:c r="F802" t="str">
        <x:v>Caran d’Ache</x:v>
      </x:c>
      <x:c r="G802" t="str">
        <x:v>NART</x:v>
      </x:c>
      <x:c r="H802" t="str">
        <x:v>NEOART 6901</x:v>
      </x:c>
      <x:c r="I802" t="str">
        <x:v>Permanent wax-and-oil pastel</x:v>
      </x:c>
      <x:c r="J802" t="str">
        <x:v>Professional</x:v>
      </x:c>
      <x:c r="K802" t="n">
        <x:v>37</x:v>
      </x:c>
      <x:c r="L802" t="str">
        <x:v>583</x:v>
      </x:c>
      <x:c r="M802" t="str">
        <x:v>Violet pink</x:v>
      </x:c>
      <x:c r="N802" t="str">
        <x:v>紫粉紅</x:v>
      </x:c>
      <x:c r="O802" t="str">
        <x:v>バイオレットピンク</x:v>
      </x:c>
      <x:c r="P802"/>
      <x:c r="Q802" t="str">
        <x:v>Rose violine</x:v>
      </x:c>
      <x:c r="R802" t="str">
        <x:v>Violettrosa</x:v>
      </x:c>
      <x:c r="S802" t="str">
        <x:v>Rosa violetto</x:v>
      </x:c>
      <x:c r="T802" t="str">
        <x:v>Rosa violáceo púrpuramorado</x:v>
      </x:c>
      <x:c r="U802" t="str">
        <x:v>Rosa violino</x:v>
      </x:c>
      <x:c r="V802"/>
      <x:c r="W802" t="str">
        <x:v>PR101/PR168/PO82/PR122/PY42/PBr7/PBk7/PBk11</x:v>
      </x:c>
      <x:c r="X802" t="n">
        <x:v>8</x:v>
      </x:c>
      <x:c r="Y802" t="str">
        <x:v>II</x:v>
      </x:c>
      <x:c r="Z802" t="n">
        <x:v>3.33</x:v>
      </x:c>
      <x:c r="AA802" t="n">
        <x:v>3</x:v>
      </x:c>
      <x:c r="AB802" t="str">
        <x:v>ASTM D-6901</x:v>
      </x:c>
      <x:c r="AC802" s="247" t="str">
        <x:v>#D89299</x:v>
      </x:c>
      <x:c r="AD802" t="n">
        <x:v>216</x:v>
      </x:c>
      <x:c r="AE802" t="n">
        <x:v>146</x:v>
      </x:c>
      <x:c r="AF802" t="n">
        <x:v>153</x:v>
      </x:c>
      <x:c r="AG802" t="n">
        <x:v>354</x:v>
      </x:c>
      <x:c r="AH802" t="n">
        <x:v>47.3</x:v>
      </x:c>
      <x:c r="AI802" t="n">
        <x:v>70.98</x:v>
      </x:c>
      <x:c r="AJ802" t="n">
        <x:v>67.62</x:v>
      </x:c>
      <x:c r="AK802" t="n">
        <x:v>27.38</x:v>
      </x:c>
      <x:c r="AL802" t="n">
        <x:v>7.14</x:v>
      </x:c>
      <x:c r="AM802" t="str">
        <x:v>#000000</x:v>
      </x:c>
      <x:c r="AN802" t="str">
        <x:v>Black</x:v>
      </x:c>
      <x:c r="AO802" t="n">
        <x:v>8.49</x:v>
      </x:c>
      <x:c r="AP802" t="n">
        <x:v>8.49</x:v>
      </x:c>
      <x:c r="AQ802" t="n">
        <x:v>2.47</x:v>
      </x:c>
      <x:c r="AR802" t="n">
        <x:v>0.374566</x:v>
      </x:c>
      <x:c r="AS802" t="str">
        <x:v>PASS</x:v>
      </x:c>
      <x:c r="AT802" t="str">
        <x:v>--cda-nart-583</x:v>
      </x:c>
      <x:c r="AU802" t="str">
        <x:v>var(--cda-nart-583)</x:v>
      </x:c>
      <x:c r="AV802" t="str">
        <x:v>Dense right-edge colour sampled from the official 2025 catalogue chart gradient; screen-reference approximation only</x:v>
      </x:c>
      <x:c r="AW802" t="str">
        <x:v>https://www.carandache.com/</x:v>
      </x:c>
      <x:c r="AX802" t="n">
        <x:v>18</x:v>
      </x:c>
      <x:c r="AY802" t="str">
        <x:v>Official</x:v>
      </x:c>
      <x:c r="AZ802" t="str">
        <x:v>English official from 2025 catalogue; Traditional Chinese/Japanese curated; other languages inherited from existing official code mappings where available</x:v>
      </x:c>
      <x:c r="BA802" t="str">
        <x:v>Verified from official 2025 catalogue; digital HEX sampled from catalogue chart and is approximate</x:v>
      </x:c>
      <x:c r="BB802" t="str">
        <x:v>Source: Catcoul_Beauxarts_2025_EN_BD.pdf, Ref. 100011.211 ENG 2025, PDF p.18 (catalogue pp.32-33). NEOART 6901 has 48 colours; 44 codes are shared with LUMINANCE 6901.</x:v>
      </x:c>
    </x:row>
    <x:row r="803">
      <x:c r="A803" t="str">
        <x:v>NART|585</x:v>
      </x:c>
      <x:c r="B803" t="str">
        <x:v>27b0d87d-8e98-5ea8-9321-9988458339c4</x:v>
      </x:c>
      <x:c r="C803" t="str">
        <x:v>CDA-NART-585</x:v>
      </x:c>
      <x:c r="D803" t="str">
        <x:v>191801bc-d7f5-59fc-95eb-bde93a74e9ef</x:v>
      </x:c>
      <x:c r="E803" t="str">
        <x:v>CDA-CODE-585</x:v>
      </x:c>
      <x:c r="F803" t="str">
        <x:v>Caran d’Ache</x:v>
      </x:c>
      <x:c r="G803" t="str">
        <x:v>NART</x:v>
      </x:c>
      <x:c r="H803" t="str">
        <x:v>NEOART 6901</x:v>
      </x:c>
      <x:c r="I803" t="str">
        <x:v>Permanent wax-and-oil pastel</x:v>
      </x:c>
      <x:c r="J803" t="str">
        <x:v>Professional</x:v>
      </x:c>
      <x:c r="K803" t="n">
        <x:v>38</x:v>
      </x:c>
      <x:c r="L803" t="str">
        <x:v>585</x:v>
      </x:c>
      <x:c r="M803" t="str">
        <x:v>Perylene brown</x:v>
      </x:c>
      <x:c r="N803" t="str">
        <x:v>苝棕</x:v>
      </x:c>
      <x:c r="O803" t="str">
        <x:v>ペリレンブラウン</x:v>
      </x:c>
      <x:c r="P803"/>
      <x:c r="Q803" t="str">
        <x:v>Marron de pérylène</x:v>
      </x:c>
      <x:c r="R803" t="str">
        <x:v>Perylen braun</x:v>
      </x:c>
      <x:c r="S803" t="str">
        <x:v>Bruno di pérylène</x:v>
      </x:c>
      <x:c r="T803" t="str">
        <x:v>Marrón de peryleno</x:v>
      </x:c>
      <x:c r="U803" t="str">
        <x:v>Castanho Perylene</x:v>
      </x:c>
      <x:c r="V803"/>
      <x:c r="W803" t="str">
        <x:v>PR179</x:v>
      </x:c>
      <x:c r="X803" t="n">
        <x:v>1</x:v>
      </x:c>
      <x:c r="Y803" t="str">
        <x:v>II</x:v>
      </x:c>
      <x:c r="Z803" t="n">
        <x:v>3.33</x:v>
      </x:c>
      <x:c r="AA803" t="n">
        <x:v>3</x:v>
      </x:c>
      <x:c r="AB803" t="str">
        <x:v>ASTM D-6901</x:v>
      </x:c>
      <x:c r="AC803" s="249" t="str">
        <x:v>#A34737</x:v>
      </x:c>
      <x:c r="AD803" t="n">
        <x:v>163</x:v>
      </x:c>
      <x:c r="AE803" t="n">
        <x:v>71</x:v>
      </x:c>
      <x:c r="AF803" t="n">
        <x:v>55</x:v>
      </x:c>
      <x:c r="AG803" t="n">
        <x:v>8.89</x:v>
      </x:c>
      <x:c r="AH803" t="n">
        <x:v>49.54</x:v>
      </x:c>
      <x:c r="AI803" t="n">
        <x:v>42.75</x:v>
      </x:c>
      <x:c r="AJ803" t="n">
        <x:v>42.11</x:v>
      </x:c>
      <x:c r="AK803" t="n">
        <x:v>36.92</x:v>
      </x:c>
      <x:c r="AL803" t="n">
        <x:v>28.14</x:v>
      </x:c>
      <x:c r="AM803" t="str">
        <x:v>#FFFFFF</x:v>
      </x:c>
      <x:c r="AN803" t="str">
        <x:v>White</x:v>
      </x:c>
      <x:c r="AO803" t="n">
        <x:v>5.98</x:v>
      </x:c>
      <x:c r="AP803" t="n">
        <x:v>3.51</x:v>
      </x:c>
      <x:c r="AQ803" t="n">
        <x:v>5.98</x:v>
      </x:c>
      <x:c r="AR803" t="n">
        <x:v>0.125688</x:v>
      </x:c>
      <x:c r="AS803" t="str">
        <x:v>PASS</x:v>
      </x:c>
      <x:c r="AT803" t="str">
        <x:v>--cda-nart-585</x:v>
      </x:c>
      <x:c r="AU803" t="str">
        <x:v>var(--cda-nart-585)</x:v>
      </x:c>
      <x:c r="AV803" t="str">
        <x:v>Dense right-edge colour sampled from the official 2025 catalogue chart gradient; screen-reference approximation only</x:v>
      </x:c>
      <x:c r="AW803" t="str">
        <x:v>https://www.carandache.com/</x:v>
      </x:c>
      <x:c r="AX803" t="n">
        <x:v>18</x:v>
      </x:c>
      <x:c r="AY803" t="str">
        <x:v>Official</x:v>
      </x:c>
      <x:c r="AZ803" t="str">
        <x:v>English official from 2025 catalogue; Traditional Chinese/Japanese curated; other languages inherited from existing official code mappings where available</x:v>
      </x:c>
      <x:c r="BA803" t="str">
        <x:v>Verified from official 2025 catalogue; digital HEX sampled from catalogue chart and is approximate</x:v>
      </x:c>
      <x:c r="BB803" t="str">
        <x:v>Source: Catcoul_Beauxarts_2025_EN_BD.pdf, Ref. 100011.211 ENG 2025, PDF p.18 (catalogue pp.32-33). NEOART 6901 has 48 colours; 44 codes are shared with LUMINANCE 6901.</x:v>
      </x:c>
    </x:row>
    <x:row r="804">
      <x:c r="A804" t="str">
        <x:v>NART|639</x:v>
      </x:c>
      <x:c r="B804" t="str">
        <x:v>a35c971a-4ea7-5236-9cac-3a992426ede8</x:v>
      </x:c>
      <x:c r="C804" t="str">
        <x:v>CDA-NART-639</x:v>
      </x:c>
      <x:c r="D804" t="str">
        <x:v>2eb95630-5bad-5fcf-bd5f-cba4f8aed753</x:v>
      </x:c>
      <x:c r="E804" t="str">
        <x:v>CDA-CODE-639</x:v>
      </x:c>
      <x:c r="F804" t="str">
        <x:v>Caran d’Ache</x:v>
      </x:c>
      <x:c r="G804" t="str">
        <x:v>NART</x:v>
      </x:c>
      <x:c r="H804" t="str">
        <x:v>NEOART 6901</x:v>
      </x:c>
      <x:c r="I804" t="str">
        <x:v>Permanent wax-and-oil pastel</x:v>
      </x:c>
      <x:c r="J804" t="str">
        <x:v>Professional</x:v>
      </x:c>
      <x:c r="K804" t="n">
        <x:v>39</x:v>
      </x:c>
      <x:c r="L804" t="str">
        <x:v>639</x:v>
      </x:c>
      <x:c r="M804" t="str">
        <x:v>Dark indigo</x:v>
      </x:c>
      <x:c r="N804" t="str">
        <x:v>深靛藍</x:v>
      </x:c>
      <x:c r="O804" t="str">
        <x:v>ダークインディゴ</x:v>
      </x:c>
      <x:c r="P804"/>
      <x:c r="Q804" t="str">
        <x:v>Indigo foncé</x:v>
      </x:c>
      <x:c r="R804" t="str">
        <x:v>Indigoblau dunkel</x:v>
      </x:c>
      <x:c r="S804" t="str">
        <x:v>Indaco scuro</x:v>
      </x:c>
      <x:c r="T804" t="str">
        <x:v>Índigo oscuro</x:v>
      </x:c>
      <x:c r="U804" t="str">
        <x:v>Índigo escuro</x:v>
      </x:c>
      <x:c r="V804"/>
      <x:c r="W804" t="str">
        <x:v>PB60/PR254</x:v>
      </x:c>
      <x:c r="X804" t="n">
        <x:v>2</x:v>
      </x:c>
      <x:c r="Y804" t="str">
        <x:v>I</x:v>
      </x:c>
      <x:c r="Z804" t="n">
        <x:v>1.67</x:v>
      </x:c>
      <x:c r="AA804" t="n">
        <x:v>3</x:v>
      </x:c>
      <x:c r="AB804" t="str">
        <x:v>ASTM D-6901</x:v>
      </x:c>
      <x:c r="AC804" s="251" t="str">
        <x:v>#4D4350</x:v>
      </x:c>
      <x:c r="AD804" t="n">
        <x:v>77</x:v>
      </x:c>
      <x:c r="AE804" t="n">
        <x:v>67</x:v>
      </x:c>
      <x:c r="AF804" t="n">
        <x:v>80</x:v>
      </x:c>
      <x:c r="AG804" t="n">
        <x:v>286.15</x:v>
      </x:c>
      <x:c r="AH804" t="n">
        <x:v>8.84</x:v>
      </x:c>
      <x:c r="AI804" t="n">
        <x:v>28.82</x:v>
      </x:c>
      <x:c r="AJ804" t="n">
        <x:v>29.84</x:v>
      </x:c>
      <x:c r="AK804" t="n">
        <x:v>7.04</x:v>
      </x:c>
      <x:c r="AL804" t="n">
        <x:v>-6.23</x:v>
      </x:c>
      <x:c r="AM804" t="str">
        <x:v>#FFFFFF</x:v>
      </x:c>
      <x:c r="AN804" t="str">
        <x:v>White</x:v>
      </x:c>
      <x:c r="AO804" t="n">
        <x:v>9.4</x:v>
      </x:c>
      <x:c r="AP804" t="n">
        <x:v>2.23</x:v>
      </x:c>
      <x:c r="AQ804" t="n">
        <x:v>9.4</x:v>
      </x:c>
      <x:c r="AR804" t="n">
        <x:v>0.061713</x:v>
      </x:c>
      <x:c r="AS804" t="str">
        <x:v>PASS</x:v>
      </x:c>
      <x:c r="AT804" t="str">
        <x:v>--cda-nart-639</x:v>
      </x:c>
      <x:c r="AU804" t="str">
        <x:v>var(--cda-nart-639)</x:v>
      </x:c>
      <x:c r="AV804" t="str">
        <x:v>Dense right-edge colour sampled from the official 2025 catalogue chart gradient; screen-reference approximation only</x:v>
      </x:c>
      <x:c r="AW804" t="str">
        <x:v>https://www.carandache.com/</x:v>
      </x:c>
      <x:c r="AX804" t="n">
        <x:v>18</x:v>
      </x:c>
      <x:c r="AY804" t="str">
        <x:v>Official</x:v>
      </x:c>
      <x:c r="AZ804" t="str">
        <x:v>English official from 2025 catalogue; Traditional Chinese/Japanese curated; other languages inherited from existing official code mappings where available</x:v>
      </x:c>
      <x:c r="BA804" t="str">
        <x:v>Verified from official 2025 catalogue; digital HEX sampled from catalogue chart and is approximate</x:v>
      </x:c>
      <x:c r="BB804" t="str">
        <x:v>Source: Catcoul_Beauxarts_2025_EN_BD.pdf, Ref. 100011.211 ENG 2025, PDF p.18 (catalogue pp.32-33). NEOART 6901 has 48 colours; 44 codes are shared with LUMINANCE 6901.</x:v>
      </x:c>
    </x:row>
    <x:row r="805">
      <x:c r="A805" t="str">
        <x:v>NART|661</x:v>
      </x:c>
      <x:c r="B805" t="str">
        <x:v>f2410df9-8030-526b-9187-2ce4aefc0342</x:v>
      </x:c>
      <x:c r="C805" t="str">
        <x:v>CDA-NART-661</x:v>
      </x:c>
      <x:c r="D805" t="str">
        <x:v>ae9ade29-b330-52ae-9360-9950a169fd51</x:v>
      </x:c>
      <x:c r="E805" t="str">
        <x:v>CDA-CODE-661</x:v>
      </x:c>
      <x:c r="F805" t="str">
        <x:v>Caran d’Ache</x:v>
      </x:c>
      <x:c r="G805" t="str">
        <x:v>NART</x:v>
      </x:c>
      <x:c r="H805" t="str">
        <x:v>NEOART 6901</x:v>
      </x:c>
      <x:c r="I805" t="str">
        <x:v>Permanent wax-and-oil pastel</x:v>
      </x:c>
      <x:c r="J805" t="str">
        <x:v>Professional</x:v>
      </x:c>
      <x:c r="K805" t="n">
        <x:v>40</x:v>
      </x:c>
      <x:c r="L805" t="str">
        <x:v>661</x:v>
      </x:c>
      <x:c r="M805" t="str">
        <x:v>Cobalt blue 5%</x:v>
      </x:c>
      <x:c r="N805" t="str">
        <x:v>鈷藍 5%</x:v>
      </x:c>
      <x:c r="O805" t="str">
        <x:v>コバルトブルー 5%</x:v>
      </x:c>
      <x:c r="P805"/>
      <x:c r="Q805" t="str">
        <x:v>Bleu cobalt 5%</x:v>
      </x:c>
      <x:c r="R805" t="str">
        <x:v>Kobaltblau 5%</x:v>
      </x:c>
      <x:c r="S805" t="str">
        <x:v>Blu cobalto 5%</x:v>
      </x:c>
      <x:c r="T805" t="str">
        <x:v>Azul cobalto 5%</x:v>
      </x:c>
      <x:c r="U805" t="str">
        <x:v>Azul cobalto 5%</x:v>
      </x:c>
      <x:c r="V805"/>
      <x:c r="W805" t="str">
        <x:v>PB28</x:v>
      </x:c>
      <x:c r="X805" t="n">
        <x:v>1</x:v>
      </x:c>
      <x:c r="Y805" t="str">
        <x:v>I</x:v>
      </x:c>
      <x:c r="Z805" t="n">
        <x:v>1.67</x:v>
      </x:c>
      <x:c r="AA805" t="n">
        <x:v>3</x:v>
      </x:c>
      <x:c r="AB805" t="str">
        <x:v>ASTM D-6901</x:v>
      </x:c>
      <x:c r="AC805" s="253" t="str">
        <x:v>#BCD7EE</x:v>
      </x:c>
      <x:c r="AD805" t="n">
        <x:v>188</x:v>
      </x:c>
      <x:c r="AE805" t="n">
        <x:v>215</x:v>
      </x:c>
      <x:c r="AF805" t="n">
        <x:v>238</x:v>
      </x:c>
      <x:c r="AG805" t="n">
        <x:v>207.6</x:v>
      </x:c>
      <x:c r="AH805" t="n">
        <x:v>59.52</x:v>
      </x:c>
      <x:c r="AI805" t="n">
        <x:v>83.53</x:v>
      </x:c>
      <x:c r="AJ805" t="n">
        <x:v>84.72</x:v>
      </x:c>
      <x:c r="AK805" t="n">
        <x:v>-4.12</x:v>
      </x:c>
      <x:c r="AL805" t="n">
        <x:v>-14.26</x:v>
      </x:c>
      <x:c r="AM805" t="str">
        <x:v>#000000</x:v>
      </x:c>
      <x:c r="AN805" t="str">
        <x:v>Black</x:v>
      </x:c>
      <x:c r="AO805" t="n">
        <x:v>14.09</x:v>
      </x:c>
      <x:c r="AP805" t="n">
        <x:v>14.09</x:v>
      </x:c>
      <x:c r="AQ805" t="n">
        <x:v>1.49</x:v>
      </x:c>
      <x:c r="AR805" t="n">
        <x:v>0.654653</x:v>
      </x:c>
      <x:c r="AS805" t="str">
        <x:v>PASS</x:v>
      </x:c>
      <x:c r="AT805" t="str">
        <x:v>--cda-nart-661</x:v>
      </x:c>
      <x:c r="AU805" t="str">
        <x:v>var(--cda-nart-661)</x:v>
      </x:c>
      <x:c r="AV805" t="str">
        <x:v>Dense right-edge colour sampled from the official 2025 catalogue chart gradient; screen-reference approximation only</x:v>
      </x:c>
      <x:c r="AW805" t="str">
        <x:v>https://www.carandache.com/</x:v>
      </x:c>
      <x:c r="AX805" t="n">
        <x:v>18</x:v>
      </x:c>
      <x:c r="AY805" t="str">
        <x:v>Official</x:v>
      </x:c>
      <x:c r="AZ805" t="str">
        <x:v>English official from 2025 catalogue; Traditional Chinese/Japanese curated; other languages inherited from existing official code mappings where available</x:v>
      </x:c>
      <x:c r="BA805" t="str">
        <x:v>Verified from official 2025 catalogue; digital HEX sampled from catalogue chart and is approximate</x:v>
      </x:c>
      <x:c r="BB805" t="str">
        <x:v>Source: Catcoul_Beauxarts_2025_EN_BD.pdf, Ref. 100011.211 ENG 2025, PDF p.18 (catalogue pp.32-33). NEOART 6901 has 48 colours; 44 codes are shared with LUMINANCE 6901.</x:v>
      </x:c>
    </x:row>
    <x:row r="806">
      <x:c r="A806" t="str">
        <x:v>NART|662</x:v>
      </x:c>
      <x:c r="B806" t="str">
        <x:v>3d7f0608-0049-5c59-ad3e-ac244961640d</x:v>
      </x:c>
      <x:c r="C806" t="str">
        <x:v>CDA-NART-662</x:v>
      </x:c>
      <x:c r="D806" t="str">
        <x:v>843d7a32-b595-5877-aa98-10ee6d7cff66</x:v>
      </x:c>
      <x:c r="E806" t="str">
        <x:v>CDA-CODE-662</x:v>
      </x:c>
      <x:c r="F806" t="str">
        <x:v>Caran d’Ache</x:v>
      </x:c>
      <x:c r="G806" t="str">
        <x:v>NART</x:v>
      </x:c>
      <x:c r="H806" t="str">
        <x:v>NEOART 6901</x:v>
      </x:c>
      <x:c r="I806" t="str">
        <x:v>Permanent wax-and-oil pastel</x:v>
      </x:c>
      <x:c r="J806" t="str">
        <x:v>Professional</x:v>
      </x:c>
      <x:c r="K806" t="n">
        <x:v>41</x:v>
      </x:c>
      <x:c r="L806" t="str">
        <x:v>662</x:v>
      </x:c>
      <x:c r="M806" t="str">
        <x:v>Cobalt blue 10%</x:v>
      </x:c>
      <x:c r="N806" t="str">
        <x:v>鈷藍 10%</x:v>
      </x:c>
      <x:c r="O806" t="str">
        <x:v>コバルトブルー 10%</x:v>
      </x:c>
      <x:c r="P806"/>
      <x:c r="Q806" t="str">
        <x:v>Bleu cobalt 10%</x:v>
      </x:c>
      <x:c r="R806" t="str">
        <x:v>Kobaltblau 10%</x:v>
      </x:c>
      <x:c r="S806" t="str">
        <x:v>Blu cobalto 10%</x:v>
      </x:c>
      <x:c r="T806" t="str">
        <x:v>Azul cobalto 10%</x:v>
      </x:c>
      <x:c r="U806" t="str">
        <x:v>Azul cobalto 10%</x:v>
      </x:c>
      <x:c r="V806"/>
      <x:c r="W806" t="str">
        <x:v>PB28</x:v>
      </x:c>
      <x:c r="X806" t="n">
        <x:v>1</x:v>
      </x:c>
      <x:c r="Y806" t="str">
        <x:v>I</x:v>
      </x:c>
      <x:c r="Z806" t="n">
        <x:v>1.67</x:v>
      </x:c>
      <x:c r="AA806" t="n">
        <x:v>3</x:v>
      </x:c>
      <x:c r="AB806" t="str">
        <x:v>ASTM D-6901</x:v>
      </x:c>
      <x:c r="AC806" s="255" t="str">
        <x:v>#86B1DA</x:v>
      </x:c>
      <x:c r="AD806" t="n">
        <x:v>134</x:v>
      </x:c>
      <x:c r="AE806" t="n">
        <x:v>177</x:v>
      </x:c>
      <x:c r="AF806" t="n">
        <x:v>218</x:v>
      </x:c>
      <x:c r="AG806" t="n">
        <x:v>209.29</x:v>
      </x:c>
      <x:c r="AH806" t="n">
        <x:v>53.16</x:v>
      </x:c>
      <x:c r="AI806" t="n">
        <x:v>69.02</x:v>
      </x:c>
      <x:c r="AJ806" t="n">
        <x:v>70.58</x:v>
      </x:c>
      <x:c r="AK806" t="n">
        <x:v>-4.17</x:v>
      </x:c>
      <x:c r="AL806" t="n">
        <x:v>-25.24</x:v>
      </x:c>
      <x:c r="AM806" t="str">
        <x:v>#000000</x:v>
      </x:c>
      <x:c r="AN806" t="str">
        <x:v>Black</x:v>
      </x:c>
      <x:c r="AO806" t="n">
        <x:v>9.31</x:v>
      </x:c>
      <x:c r="AP806" t="n">
        <x:v>9.31</x:v>
      </x:c>
      <x:c r="AQ806" t="n">
        <x:v>2.25</x:v>
      </x:c>
      <x:c r="AR806" t="n">
        <x:v>0.415746</x:v>
      </x:c>
      <x:c r="AS806" t="str">
        <x:v>PASS</x:v>
      </x:c>
      <x:c r="AT806" t="str">
        <x:v>--cda-nart-662</x:v>
      </x:c>
      <x:c r="AU806" t="str">
        <x:v>var(--cda-nart-662)</x:v>
      </x:c>
      <x:c r="AV806" t="str">
        <x:v>Dense right-edge colour sampled from the official 2025 catalogue chart gradient; screen-reference approximation only</x:v>
      </x:c>
      <x:c r="AW806" t="str">
        <x:v>https://www.carandache.com/</x:v>
      </x:c>
      <x:c r="AX806" t="n">
        <x:v>18</x:v>
      </x:c>
      <x:c r="AY806" t="str">
        <x:v>Official</x:v>
      </x:c>
      <x:c r="AZ806" t="str">
        <x:v>English official from 2025 catalogue; Traditional Chinese/Japanese curated; other languages inherited from existing official code mappings where available</x:v>
      </x:c>
      <x:c r="BA806" t="str">
        <x:v>Verified from official 2025 catalogue; digital HEX sampled from catalogue chart and is approximate</x:v>
      </x:c>
      <x:c r="BB806" t="str">
        <x:v>Source: Catcoul_Beauxarts_2025_EN_BD.pdf, Ref. 100011.211 ENG 2025, PDF p.18 (catalogue pp.32-33). NEOART 6901 has 48 colours; 44 codes are shared with LUMINANCE 6901.</x:v>
      </x:c>
    </x:row>
    <x:row r="807">
      <x:c r="A807" t="str">
        <x:v>NART|671</x:v>
      </x:c>
      <x:c r="B807" t="str">
        <x:v>43087b2a-4064-5914-b103-27d325918635</x:v>
      </x:c>
      <x:c r="C807" t="str">
        <x:v>CDA-NART-671</x:v>
      </x:c>
      <x:c r="D807" t="str">
        <x:v>e2230f13-16ca-5a7a-a705-fef540d1b9f2</x:v>
      </x:c>
      <x:c r="E807" t="str">
        <x:v>CDA-CODE-671</x:v>
      </x:c>
      <x:c r="F807" t="str">
        <x:v>Caran d’Ache</x:v>
      </x:c>
      <x:c r="G807" t="str">
        <x:v>NART</x:v>
      </x:c>
      <x:c r="H807" t="str">
        <x:v>NEOART 6901</x:v>
      </x:c>
      <x:c r="I807" t="str">
        <x:v>Permanent wax-and-oil pastel</x:v>
      </x:c>
      <x:c r="J807" t="str">
        <x:v>Professional</x:v>
      </x:c>
      <x:c r="K807" t="n">
        <x:v>42</x:v>
      </x:c>
      <x:c r="L807" t="str">
        <x:v>671</x:v>
      </x:c>
      <x:c r="M807" t="str">
        <x:v>Chrysocolla blue</x:v>
      </x:c>
      <x:c r="N807" t="str">
        <x:v>矽孔雀石藍</x:v>
      </x:c>
      <x:c r="O807" t="str">
        <x:v>クリソコラブルー</x:v>
      </x:c>
      <x:c r="P807"/>
      <x:c r="Q807" t="str">
        <x:v>Bleu chrysocolle</x:v>
      </x:c>
      <x:c r="R807" t="str">
        <x:v>Chrysokoll-Blau</x:v>
      </x:c>
      <x:c r="S807" t="str">
        <x:v>Azzurro crisocolla</x:v>
      </x:c>
      <x:c r="T807" t="str">
        <x:v>Azul crisocola</x:v>
      </x:c>
      <x:c r="U807" t="str">
        <x:v>Azul-crisocola</x:v>
      </x:c>
      <x:c r="V807"/>
      <x:c r="W807" t="str">
        <x:v>PB28</x:v>
      </x:c>
      <x:c r="X807" t="n">
        <x:v>1</x:v>
      </x:c>
      <x:c r="Y807" t="str">
        <x:v>I</x:v>
      </x:c>
      <x:c r="Z807" t="n">
        <x:v>1.67</x:v>
      </x:c>
      <x:c r="AA807" t="n">
        <x:v>3</x:v>
      </x:c>
      <x:c r="AB807" t="str">
        <x:v>ASTM D-6901</x:v>
      </x:c>
      <x:c r="AC807" s="257" t="str">
        <x:v>#44BAC5</x:v>
      </x:c>
      <x:c r="AD807" t="n">
        <x:v>68</x:v>
      </x:c>
      <x:c r="AE807" t="n">
        <x:v>186</x:v>
      </x:c>
      <x:c r="AF807" t="n">
        <x:v>197</x:v>
      </x:c>
      <x:c r="AG807" t="n">
        <x:v>185.12</x:v>
      </x:c>
      <x:c r="AH807" t="n">
        <x:v>52.65</x:v>
      </x:c>
      <x:c r="AI807" t="n">
        <x:v>51.96</x:v>
      </x:c>
      <x:c r="AJ807" t="n">
        <x:v>69.74</x:v>
      </x:c>
      <x:c r="AK807" t="n">
        <x:v>-29.05</x:v>
      </x:c>
      <x:c r="AL807" t="n">
        <x:v>-15.25</x:v>
      </x:c>
      <x:c r="AM807" t="str">
        <x:v>#000000</x:v>
      </x:c>
      <x:c r="AN807" t="str">
        <x:v>Black</x:v>
      </x:c>
      <x:c r="AO807" t="n">
        <x:v>9.08</x:v>
      </x:c>
      <x:c r="AP807" t="n">
        <x:v>9.08</x:v>
      </x:c>
      <x:c r="AQ807" t="n">
        <x:v>2.31</x:v>
      </x:c>
      <x:c r="AR807" t="n">
        <x:v>0.40378</x:v>
      </x:c>
      <x:c r="AS807" t="str">
        <x:v>PASS</x:v>
      </x:c>
      <x:c r="AT807" t="str">
        <x:v>--cda-nart-671</x:v>
      </x:c>
      <x:c r="AU807" t="str">
        <x:v>var(--cda-nart-671)</x:v>
      </x:c>
      <x:c r="AV807" t="str">
        <x:v>Dense right-edge colour sampled from the official 2025 catalogue chart gradient; screen-reference approximation only</x:v>
      </x:c>
      <x:c r="AW807" t="str">
        <x:v>https://www.carandache.com/</x:v>
      </x:c>
      <x:c r="AX807" t="n">
        <x:v>18</x:v>
      </x:c>
      <x:c r="AY807" t="str">
        <x:v>Official</x:v>
      </x:c>
      <x:c r="AZ807" t="str">
        <x:v>English official from 2025 catalogue; Traditional Chinese/Japanese curated; other languages inherited from existing official code mappings where available</x:v>
      </x:c>
      <x:c r="BA807" t="str">
        <x:v>Verified from official 2025 catalogue; digital HEX sampled from catalogue chart and is approximate</x:v>
      </x:c>
      <x:c r="BB807" t="str">
        <x:v>Source: Catcoul_Beauxarts_2025_EN_BD.pdf, Ref. 100011.211 ENG 2025, PDF p.18 (catalogue pp.32-33). NEOART 6901 has 48 colours; 44 codes are shared with LUMINANCE 6901.</x:v>
      </x:c>
    </x:row>
    <x:row r="808">
      <x:c r="A808" t="str">
        <x:v>NART|719</x:v>
      </x:c>
      <x:c r="B808" t="str">
        <x:v>7f715717-5e6a-5628-9468-915c706dd563</x:v>
      </x:c>
      <x:c r="C808" t="str">
        <x:v>CDA-NART-719</x:v>
      </x:c>
      <x:c r="D808" t="str">
        <x:v>01dd26ab-6e02-5056-9d96-5443617efb5f</x:v>
      </x:c>
      <x:c r="E808" t="str">
        <x:v>CDA-CODE-719</x:v>
      </x:c>
      <x:c r="F808" t="str">
        <x:v>Caran d’Ache</x:v>
      </x:c>
      <x:c r="G808" t="str">
        <x:v>NART</x:v>
      </x:c>
      <x:c r="H808" t="str">
        <x:v>NEOART 6901</x:v>
      </x:c>
      <x:c r="I808" t="str">
        <x:v>Permanent wax-and-oil pastel</x:v>
      </x:c>
      <x:c r="J808" t="str">
        <x:v>Professional</x:v>
      </x:c>
      <x:c r="K808" t="n">
        <x:v>43</x:v>
      </x:c>
      <x:c r="L808" t="str">
        <x:v>719</x:v>
      </x:c>
      <x:c r="M808" t="str">
        <x:v>Dark phthalocyanine green</x:v>
      </x:c>
      <x:c r="N808" t="str">
        <x:v>深酞菁綠</x:v>
      </x:c>
      <x:c r="O808" t="str">
        <x:v>ダークフタロシアニングリーン</x:v>
      </x:c>
      <x:c r="P808"/>
      <x:c r="Q808" t="str">
        <x:v>Vert phtalo foncé</x:v>
      </x:c>
      <x:c r="R808" t="str">
        <x:v>Dunkelphthalocyaningrün</x:v>
      </x:c>
      <x:c r="S808" t="str">
        <x:v>Verde ftalo scuro</x:v>
      </x:c>
      <x:c r="T808" t="str">
        <x:v>Verde phtalo oscuro</x:v>
      </x:c>
      <x:c r="U808" t="str">
        <x:v>Verde ftálico escuro</x:v>
      </x:c>
      <x:c r="V808"/>
      <x:c r="W808" t="str">
        <x:v>PBk6/PB15/PY3/PY74</x:v>
      </x:c>
      <x:c r="X808" t="n">
        <x:v>4</x:v>
      </x:c>
      <x:c r="Y808" t="str">
        <x:v>I</x:v>
      </x:c>
      <x:c r="Z808" t="n">
        <x:v>1.67</x:v>
      </x:c>
      <x:c r="AA808" t="n">
        <x:v>3</x:v>
      </x:c>
      <x:c r="AB808" t="str">
        <x:v>ASTM D-6901</x:v>
      </x:c>
      <x:c r="AC808" s="259" t="str">
        <x:v>#546153</x:v>
      </x:c>
      <x:c r="AD808" t="n">
        <x:v>84</x:v>
      </x:c>
      <x:c r="AE808" t="n">
        <x:v>97</x:v>
      </x:c>
      <x:c r="AF808" t="n">
        <x:v>83</x:v>
      </x:c>
      <x:c r="AG808" t="n">
        <x:v>115.71</x:v>
      </x:c>
      <x:c r="AH808" t="n">
        <x:v>7.78</x:v>
      </x:c>
      <x:c r="AI808" t="n">
        <x:v>35.29</x:v>
      </x:c>
      <x:c r="AJ808" t="n">
        <x:v>39.68</x:v>
      </x:c>
      <x:c r="AK808" t="n">
        <x:v>-8.02</x:v>
      </x:c>
      <x:c r="AL808" t="n">
        <x:v>6.32</x:v>
      </x:c>
      <x:c r="AM808" t="str">
        <x:v>#FFFFFF</x:v>
      </x:c>
      <x:c r="AN808" t="str">
        <x:v>White</x:v>
      </x:c>
      <x:c r="AO808" t="n">
        <x:v>6.54</x:v>
      </x:c>
      <x:c r="AP808" t="n">
        <x:v>3.21</x:v>
      </x:c>
      <x:c r="AQ808" t="n">
        <x:v>6.54</x:v>
      </x:c>
      <x:c r="AR808" t="n">
        <x:v>0.110587</x:v>
      </x:c>
      <x:c r="AS808" t="str">
        <x:v>PASS</x:v>
      </x:c>
      <x:c r="AT808" t="str">
        <x:v>--cda-nart-719</x:v>
      </x:c>
      <x:c r="AU808" t="str">
        <x:v>var(--cda-nart-719)</x:v>
      </x:c>
      <x:c r="AV808" t="str">
        <x:v>Dense right-edge colour sampled from the official 2025 catalogue chart gradient; screen-reference approximation only</x:v>
      </x:c>
      <x:c r="AW808" t="str">
        <x:v>https://www.carandache.com/</x:v>
      </x:c>
      <x:c r="AX808" t="n">
        <x:v>18</x:v>
      </x:c>
      <x:c r="AY808" t="str">
        <x:v>Official</x:v>
      </x:c>
      <x:c r="AZ808" t="str">
        <x:v>English official from 2025 catalogue; Traditional Chinese/Japanese curated; other languages inherited from existing official code mappings where available</x:v>
      </x:c>
      <x:c r="BA808" t="str">
        <x:v>Verified from official 2025 catalogue; digital HEX sampled from catalogue chart and is approximate</x:v>
      </x:c>
      <x:c r="BB808" t="str">
        <x:v>Source: Catcoul_Beauxarts_2025_EN_BD.pdf, Ref. 100011.211 ENG 2025, PDF p.18 (catalogue pp.32-33). NEOART 6901 has 48 colours; 44 codes are shared with LUMINANCE 6901.</x:v>
      </x:c>
    </x:row>
    <x:row r="809">
      <x:c r="A809" t="str">
        <x:v>NART|729</x:v>
      </x:c>
      <x:c r="B809" t="str">
        <x:v>3d8f3d4d-2b7a-5d3d-b56b-6b49205248a5</x:v>
      </x:c>
      <x:c r="C809" t="str">
        <x:v>CDA-NART-729</x:v>
      </x:c>
      <x:c r="D809" t="str">
        <x:v>fe471dd8-33c9-54df-a9b0-faeeebc6123e</x:v>
      </x:c>
      <x:c r="E809" t="str">
        <x:v>CDA-CODE-729</x:v>
      </x:c>
      <x:c r="F809" t="str">
        <x:v>Caran d’Ache</x:v>
      </x:c>
      <x:c r="G809" t="str">
        <x:v>NART</x:v>
      </x:c>
      <x:c r="H809" t="str">
        <x:v>NEOART 6901</x:v>
      </x:c>
      <x:c r="I809" t="str">
        <x:v>Permanent wax-and-oil pastel</x:v>
      </x:c>
      <x:c r="J809" t="str">
        <x:v>Professional</x:v>
      </x:c>
      <x:c r="K809" t="n">
        <x:v>44</x:v>
      </x:c>
      <x:c r="L809" t="str">
        <x:v>729</x:v>
      </x:c>
      <x:c r="M809" t="str">
        <x:v>Dark english green</x:v>
      </x:c>
      <x:c r="N809" t="str">
        <x:v>深英國綠</x:v>
      </x:c>
      <x:c r="O809" t="str">
        <x:v>ダークイングリッシュグリーン</x:v>
      </x:c>
      <x:c r="P809"/>
      <x:c r="Q809" t="str">
        <x:v>Vert anglais foncé</x:v>
      </x:c>
      <x:c r="R809" t="str">
        <x:v>Dunkelenglischgrün</x:v>
      </x:c>
      <x:c r="S809" t="str">
        <x:v>Verde inglese scuro</x:v>
      </x:c>
      <x:c r="T809" t="str">
        <x:v>Verde Inglés oscuro</x:v>
      </x:c>
      <x:c r="U809" t="str">
        <x:v>Verde inglês escuro</x:v>
      </x:c>
      <x:c r="V809"/>
      <x:c r="W809" t="str">
        <x:v>PBk9/PG7</x:v>
      </x:c>
      <x:c r="X809" t="n">
        <x:v>2</x:v>
      </x:c>
      <x:c r="Y809" t="str">
        <x:v>I</x:v>
      </x:c>
      <x:c r="Z809" t="n">
        <x:v>1.67</x:v>
      </x:c>
      <x:c r="AA809" t="n">
        <x:v>3</x:v>
      </x:c>
      <x:c r="AB809" t="str">
        <x:v>ASTM D-6901</x:v>
      </x:c>
      <x:c r="AC809" s="261" t="str">
        <x:v>#00A38E</x:v>
      </x:c>
      <x:c r="AD809" t="n">
        <x:v>0</x:v>
      </x:c>
      <x:c r="AE809" t="n">
        <x:v>163</x:v>
      </x:c>
      <x:c r="AF809" t="n">
        <x:v>142</x:v>
      </x:c>
      <x:c r="AG809" t="n">
        <x:v>172.27</x:v>
      </x:c>
      <x:c r="AH809" t="n">
        <x:v>100</x:v>
      </x:c>
      <x:c r="AI809" t="n">
        <x:v>31.96</x:v>
      </x:c>
      <x:c r="AJ809" t="n">
        <x:v>60.02</x:v>
      </x:c>
      <x:c r="AK809" t="n">
        <x:v>-40.66</x:v>
      </x:c>
      <x:c r="AL809" t="n">
        <x:v>0.82</x:v>
      </x:c>
      <x:c r="AM809" t="str">
        <x:v>#000000</x:v>
      </x:c>
      <x:c r="AN809" t="str">
        <x:v>Black</x:v>
      </x:c>
      <x:c r="AO809" t="n">
        <x:v>6.63</x:v>
      </x:c>
      <x:c r="AP809" t="n">
        <x:v>6.63</x:v>
      </x:c>
      <x:c r="AQ809" t="n">
        <x:v>3.17</x:v>
      </x:c>
      <x:c r="AR809" t="n">
        <x:v>0.281474</x:v>
      </x:c>
      <x:c r="AS809" t="str">
        <x:v>PASS</x:v>
      </x:c>
      <x:c r="AT809" t="str">
        <x:v>--cda-nart-729</x:v>
      </x:c>
      <x:c r="AU809" t="str">
        <x:v>var(--cda-nart-729)</x:v>
      </x:c>
      <x:c r="AV809" t="str">
        <x:v>Dense right-edge colour sampled from the official 2025 catalogue chart gradient; screen-reference approximation only</x:v>
      </x:c>
      <x:c r="AW809" t="str">
        <x:v>https://www.carandache.com/</x:v>
      </x:c>
      <x:c r="AX809" t="n">
        <x:v>18</x:v>
      </x:c>
      <x:c r="AY809" t="str">
        <x:v>Official</x:v>
      </x:c>
      <x:c r="AZ809" t="str">
        <x:v>English official from 2025 catalogue; Traditional Chinese/Japanese curated; other languages inherited from existing official code mappings where available</x:v>
      </x:c>
      <x:c r="BA809" t="str">
        <x:v>Verified from official 2025 catalogue; digital HEX sampled from catalogue chart and is approximate</x:v>
      </x:c>
      <x:c r="BB809" t="str">
        <x:v>Source: Catcoul_Beauxarts_2025_EN_BD.pdf, Ref. 100011.211 ENG 2025, PDF p.18 (catalogue pp.32-33). NEOART 6901 has 48 colours; 44 codes are shared with LUMINANCE 6901.</x:v>
      </x:c>
    </x:row>
    <x:row r="810">
      <x:c r="A810" t="str">
        <x:v>NART|736</x:v>
      </x:c>
      <x:c r="B810" t="str">
        <x:v>01fd8a31-a4fa-5cbd-a845-f8fa68e5d543</x:v>
      </x:c>
      <x:c r="C810" t="str">
        <x:v>CDA-NART-736</x:v>
      </x:c>
      <x:c r="D810" t="str">
        <x:v>d40b9436-8b9d-5cce-9be9-a1f17bad987d</x:v>
      </x:c>
      <x:c r="E810" t="str">
        <x:v>CDA-CODE-736</x:v>
      </x:c>
      <x:c r="F810" t="str">
        <x:v>Caran d’Ache</x:v>
      </x:c>
      <x:c r="G810" t="str">
        <x:v>NART</x:v>
      </x:c>
      <x:c r="H810" t="str">
        <x:v>NEOART 6901</x:v>
      </x:c>
      <x:c r="I810" t="str">
        <x:v>Permanent wax-and-oil pastel</x:v>
      </x:c>
      <x:c r="J810" t="str">
        <x:v>Professional</x:v>
      </x:c>
      <x:c r="K810" t="n">
        <x:v>45</x:v>
      </x:c>
      <x:c r="L810" t="str">
        <x:v>736</x:v>
      </x:c>
      <x:c r="M810" t="str">
        <x:v>Brown olive 50%</x:v>
      </x:c>
      <x:c r="N810" t="str">
        <x:v>棕橄欖色 50%</x:v>
      </x:c>
      <x:c r="O810" t="str">
        <x:v>ブラウンオリーブ 50%</x:v>
      </x:c>
      <x:c r="P810"/>
      <x:c r="Q810" t="str">
        <x:v>Olive brunâtre 50%</x:v>
      </x:c>
      <x:c r="R810" t="str">
        <x:v>Braunoliv 50%</x:v>
      </x:c>
      <x:c r="S810" t="str">
        <x:v>Oliva bruna 50%</x:v>
      </x:c>
      <x:c r="T810" t="str">
        <x:v>Oliva marrón 50%</x:v>
      </x:c>
      <x:c r="U810" t="str">
        <x:v>Castanho Azeitona 50%</x:v>
      </x:c>
      <x:c r="V810"/>
      <x:c r="W810" t="str">
        <x:v>PBk6/PY42</x:v>
      </x:c>
      <x:c r="X810" t="n">
        <x:v>2</x:v>
      </x:c>
      <x:c r="Y810" t="str">
        <x:v>I</x:v>
      </x:c>
      <x:c r="Z810" t="n">
        <x:v>1.67</x:v>
      </x:c>
      <x:c r="AA810" t="n">
        <x:v>3</x:v>
      </x:c>
      <x:c r="AB810" t="str">
        <x:v>ASTM D-6901</x:v>
      </x:c>
      <x:c r="AC810" s="263" t="str">
        <x:v>#C3AC88</x:v>
      </x:c>
      <x:c r="AD810" t="n">
        <x:v>195</x:v>
      </x:c>
      <x:c r="AE810" t="n">
        <x:v>172</x:v>
      </x:c>
      <x:c r="AF810" t="n">
        <x:v>136</x:v>
      </x:c>
      <x:c r="AG810" t="n">
        <x:v>36.61</x:v>
      </x:c>
      <x:c r="AH810" t="n">
        <x:v>32.96</x:v>
      </x:c>
      <x:c r="AI810" t="n">
        <x:v>64.9</x:v>
      </x:c>
      <x:c r="AJ810" t="n">
        <x:v>71.48</x:v>
      </x:c>
      <x:c r="AK810" t="n">
        <x:v>2.88</x:v>
      </x:c>
      <x:c r="AL810" t="n">
        <x:v>21.6</x:v>
      </x:c>
      <x:c r="AM810" t="str">
        <x:v>#000000</x:v>
      </x:c>
      <x:c r="AN810" t="str">
        <x:v>Black</x:v>
      </x:c>
      <x:c r="AO810" t="n">
        <x:v>9.58</x:v>
      </x:c>
      <x:c r="AP810" t="n">
        <x:v>9.58</x:v>
      </x:c>
      <x:c r="AQ810" t="n">
        <x:v>2.19</x:v>
      </x:c>
      <x:c r="AR810" t="n">
        <x:v>0.428847</x:v>
      </x:c>
      <x:c r="AS810" t="str">
        <x:v>PASS</x:v>
      </x:c>
      <x:c r="AT810" t="str">
        <x:v>--cda-nart-736</x:v>
      </x:c>
      <x:c r="AU810" t="str">
        <x:v>var(--cda-nart-736)</x:v>
      </x:c>
      <x:c r="AV810" t="str">
        <x:v>Dense right-edge colour sampled from the official 2025 catalogue chart gradient; screen-reference approximation only</x:v>
      </x:c>
      <x:c r="AW810" t="str">
        <x:v>https://www.carandache.com/</x:v>
      </x:c>
      <x:c r="AX810" t="n">
        <x:v>18</x:v>
      </x:c>
      <x:c r="AY810" t="str">
        <x:v>Official</x:v>
      </x:c>
      <x:c r="AZ810" t="str">
        <x:v>English official from 2025 catalogue; Traditional Chinese/Japanese curated; other languages inherited from existing official code mappings where available</x:v>
      </x:c>
      <x:c r="BA810" t="str">
        <x:v>Verified from official 2025 catalogue; digital HEX sampled from catalogue chart and is approximate</x:v>
      </x:c>
      <x:c r="BB810" t="str">
        <x:v>Source: Catcoul_Beauxarts_2025_EN_BD.pdf, Ref. 100011.211 ENG 2025, PDF p.18 (catalogue pp.32-33). NEOART 6901 has 48 colours; 44 codes are shared with LUMINANCE 6901.</x:v>
      </x:c>
    </x:row>
    <x:row r="811">
      <x:c r="A811" t="str">
        <x:v>NART|811</x:v>
      </x:c>
      <x:c r="B811" t="str">
        <x:v>9afe22a8-41f8-5782-9884-3bc3f3247680</x:v>
      </x:c>
      <x:c r="C811" t="str">
        <x:v>CDA-NART-811</x:v>
      </x:c>
      <x:c r="D811" t="str">
        <x:v>68b3f090-65b0-5df9-a1a2-1a0d6c86c9d3</x:v>
      </x:c>
      <x:c r="E811" t="str">
        <x:v>CDA-CODE-811</x:v>
      </x:c>
      <x:c r="F811" t="str">
        <x:v>Caran d’Ache</x:v>
      </x:c>
      <x:c r="G811" t="str">
        <x:v>NART</x:v>
      </x:c>
      <x:c r="H811" t="str">
        <x:v>NEOART 6901</x:v>
      </x:c>
      <x:c r="I811" t="str">
        <x:v>Permanent wax-and-oil pastel</x:v>
      </x:c>
      <x:c r="J811" t="str">
        <x:v>Professional</x:v>
      </x:c>
      <x:c r="K811" t="n">
        <x:v>46</x:v>
      </x:c>
      <x:c r="L811" t="str">
        <x:v>811</x:v>
      </x:c>
      <x:c r="M811" t="str">
        <x:v>Bismuth white</x:v>
      </x:c>
      <x:c r="N811" t="str">
        <x:v>鉍白</x:v>
      </x:c>
      <x:c r="O811" t="str">
        <x:v>ビスマスホワイト</x:v>
      </x:c>
      <x:c r="P811"/>
      <x:c r="Q811" t="str">
        <x:v>Blanc bismuthé</x:v>
      </x:c>
      <x:c r="R811" t="str">
        <x:v>Bismuthweiss</x:v>
      </x:c>
      <x:c r="S811" t="str">
        <x:v>Bianco Bismuth</x:v>
      </x:c>
      <x:c r="T811" t="str">
        <x:v>Blanco Bismuth</x:v>
      </x:c>
      <x:c r="U811" t="str">
        <x:v>Branco Bismuth</x:v>
      </x:c>
      <x:c r="V811"/>
      <x:c r="W811" t="str">
        <x:v>PY184</x:v>
      </x:c>
      <x:c r="X811" t="n">
        <x:v>1</x:v>
      </x:c>
      <x:c r="Y811" t="str">
        <x:v>I</x:v>
      </x:c>
      <x:c r="Z811" t="n">
        <x:v>1.67</x:v>
      </x:c>
      <x:c r="AA811" t="n">
        <x:v>3</x:v>
      </x:c>
      <x:c r="AB811" t="str">
        <x:v>ASTM D-6901</x:v>
      </x:c>
      <x:c r="AC811" s="265" t="str">
        <x:v>#F9FAE9</x:v>
      </x:c>
      <x:c r="AD811" t="n">
        <x:v>249</x:v>
      </x:c>
      <x:c r="AE811" t="n">
        <x:v>250</x:v>
      </x:c>
      <x:c r="AF811" t="n">
        <x:v>233</x:v>
      </x:c>
      <x:c r="AG811" t="n">
        <x:v>63.53</x:v>
      </x:c>
      <x:c r="AH811" t="n">
        <x:v>62.96</x:v>
      </x:c>
      <x:c r="AI811" t="n">
        <x:v>94.71</x:v>
      </x:c>
      <x:c r="AJ811" t="n">
        <x:v>97.79</x:v>
      </x:c>
      <x:c r="AK811" t="n">
        <x:v>-3.23</x:v>
      </x:c>
      <x:c r="AL811" t="n">
        <x:v>8.04</x:v>
      </x:c>
      <x:c r="AM811" t="str">
        <x:v>#000000</x:v>
      </x:c>
      <x:c r="AN811" t="str">
        <x:v>Black</x:v>
      </x:c>
      <x:c r="AO811" t="n">
        <x:v>19.88</x:v>
      </x:c>
      <x:c r="AP811" t="n">
        <x:v>19.88</x:v>
      </x:c>
      <x:c r="AQ811" t="n">
        <x:v>1.06</x:v>
      </x:c>
      <x:c r="AR811" t="n">
        <x:v>0.943941</x:v>
      </x:c>
      <x:c r="AS811" t="str">
        <x:v>PASS</x:v>
      </x:c>
      <x:c r="AT811" t="str">
        <x:v>--cda-nart-811</x:v>
      </x:c>
      <x:c r="AU811" t="str">
        <x:v>var(--cda-nart-811)</x:v>
      </x:c>
      <x:c r="AV811" t="str">
        <x:v>Dense right-edge colour sampled from the official 2025 catalogue chart gradient; screen-reference approximation only</x:v>
      </x:c>
      <x:c r="AW811" t="str">
        <x:v>https://www.carandache.com/</x:v>
      </x:c>
      <x:c r="AX811" t="n">
        <x:v>18</x:v>
      </x:c>
      <x:c r="AY811" t="str">
        <x:v>Official</x:v>
      </x:c>
      <x:c r="AZ811" t="str">
        <x:v>English official from 2025 catalogue; Traditional Chinese/Japanese curated; other languages inherited from existing official code mappings where available</x:v>
      </x:c>
      <x:c r="BA811" t="str">
        <x:v>Verified from official 2025 catalogue; digital HEX sampled from catalogue chart and is approximate</x:v>
      </x:c>
      <x:c r="BB811" t="str">
        <x:v>Source: Catcoul_Beauxarts_2025_EN_BD.pdf, Ref. 100011.211 ENG 2025, PDF p.18 (catalogue pp.32-33). NEOART 6901 has 48 colours; 44 codes are shared with LUMINANCE 6901.</x:v>
      </x:c>
    </x:row>
    <x:row r="812">
      <x:c r="A812" t="str">
        <x:v>NART|850</x:v>
      </x:c>
      <x:c r="B812" t="str">
        <x:v>2ee63d64-1e27-5063-ba66-8105a31a695c</x:v>
      </x:c>
      <x:c r="C812" t="str">
        <x:v>CDA-NART-850</x:v>
      </x:c>
      <x:c r="D812" t="str">
        <x:v>a152ca18-ad8d-5774-9bb9-3f9df85d57a5</x:v>
      </x:c>
      <x:c r="E812" t="str">
        <x:v>CDA-CODE-850</x:v>
      </x:c>
      <x:c r="F812" t="str">
        <x:v>Caran d’Ache</x:v>
      </x:c>
      <x:c r="G812" t="str">
        <x:v>NART</x:v>
      </x:c>
      <x:c r="H812" t="str">
        <x:v>NEOART 6901</x:v>
      </x:c>
      <x:c r="I812" t="str">
        <x:v>Permanent wax-and-oil pastel</x:v>
      </x:c>
      <x:c r="J812" t="str">
        <x:v>Professional</x:v>
      </x:c>
      <x:c r="K812" t="n">
        <x:v>47</x:v>
      </x:c>
      <x:c r="L812" t="str">
        <x:v>850</x:v>
      </x:c>
      <x:c r="M812" t="str">
        <x:v>Cornelian</x:v>
      </x:c>
      <x:c r="N812" t="str">
        <x:v>紅玉髓色</x:v>
      </x:c>
      <x:c r="O812" t="str">
        <x:v>カーネリアン</x:v>
      </x:c>
      <x:c r="P812"/>
      <x:c r="Q812" t="str">
        <x:v>Cornaline</x:v>
      </x:c>
      <x:c r="R812" t="str">
        <x:v>Kornalin</x:v>
      </x:c>
      <x:c r="S812" t="str">
        <x:v>Cornalina</x:v>
      </x:c>
      <x:c r="T812" t="str">
        <x:v>Cornalina</x:v>
      </x:c>
      <x:c r="U812" t="str">
        <x:v>Cornalina</x:v>
      </x:c>
      <x:c r="V812"/>
      <x:c r="W812" t="str">
        <x:v>PO61</x:v>
      </x:c>
      <x:c r="X812" t="n">
        <x:v>1</x:v>
      </x:c>
      <x:c r="Y812" t="str">
        <x:v>I</x:v>
      </x:c>
      <x:c r="Z812" t="n">
        <x:v>1.67</x:v>
      </x:c>
      <x:c r="AA812" t="n">
        <x:v>3</x:v>
      </x:c>
      <x:c r="AB812" t="str">
        <x:v>ASTM D-6901</x:v>
      </x:c>
      <x:c r="AC812" s="267" t="str">
        <x:v>#ED7936</x:v>
      </x:c>
      <x:c r="AD812" t="n">
        <x:v>237</x:v>
      </x:c>
      <x:c r="AE812" t="n">
        <x:v>121</x:v>
      </x:c>
      <x:c r="AF812" t="n">
        <x:v>54</x:v>
      </x:c>
      <x:c r="AG812" t="n">
        <x:v>21.97</x:v>
      </x:c>
      <x:c r="AH812" t="n">
        <x:v>83.56</x:v>
      </x:c>
      <x:c r="AI812" t="n">
        <x:v>57.06</x:v>
      </x:c>
      <x:c r="AJ812" t="n">
        <x:v>63.3</x:v>
      </x:c>
      <x:c r="AK812" t="n">
        <x:v>40.32</x:v>
      </x:c>
      <x:c r="AL812" t="n">
        <x:v>55.03</x:v>
      </x:c>
      <x:c r="AM812" t="str">
        <x:v>#000000</x:v>
      </x:c>
      <x:c r="AN812" t="str">
        <x:v>Black</x:v>
      </x:c>
      <x:c r="AO812" t="n">
        <x:v>7.39</x:v>
      </x:c>
      <x:c r="AP812" t="n">
        <x:v>7.39</x:v>
      </x:c>
      <x:c r="AQ812" t="n">
        <x:v>2.84</x:v>
      </x:c>
      <x:c r="AR812" t="n">
        <x:v>0.319456</x:v>
      </x:c>
      <x:c r="AS812" t="str">
        <x:v>PASS</x:v>
      </x:c>
      <x:c r="AT812" t="str">
        <x:v>--cda-nart-850</x:v>
      </x:c>
      <x:c r="AU812" t="str">
        <x:v>var(--cda-nart-850)</x:v>
      </x:c>
      <x:c r="AV812" t="str">
        <x:v>Dense right-edge colour sampled from the official 2025 catalogue chart gradient; screen-reference approximation only</x:v>
      </x:c>
      <x:c r="AW812" t="str">
        <x:v>https://www.carandache.com/</x:v>
      </x:c>
      <x:c r="AX812" t="n">
        <x:v>18</x:v>
      </x:c>
      <x:c r="AY812" t="str">
        <x:v>Official</x:v>
      </x:c>
      <x:c r="AZ812" t="str">
        <x:v>English official from 2025 catalogue; Traditional Chinese/Japanese curated; other languages inherited from existing official code mappings where available</x:v>
      </x:c>
      <x:c r="BA812" t="str">
        <x:v>Verified from official 2025 catalogue; digital HEX sampled from catalogue chart and is approximate</x:v>
      </x:c>
      <x:c r="BB812" t="str">
        <x:v>Source: Catcoul_Beauxarts_2025_EN_BD.pdf, Ref. 100011.211 ENG 2025, PDF p.18 (catalogue pp.32-33). NEOART 6901 has 48 colours; 44 codes are shared with LUMINANCE 6901.</x:v>
      </x:c>
    </x:row>
    <x:row r="813">
      <x:c r="A813" t="str">
        <x:v>NART|872</x:v>
      </x:c>
      <x:c r="B813" t="str">
        <x:v>22b45d78-13b8-59a6-b47c-5d9a666e5410</x:v>
      </x:c>
      <x:c r="C813" t="str">
        <x:v>CDA-NART-872</x:v>
      </x:c>
      <x:c r="D813" t="str">
        <x:v>155fc5c7-93e7-5547-b187-0f21844ff5c1</x:v>
      </x:c>
      <x:c r="E813" t="str">
        <x:v>CDA-CODE-872</x:v>
      </x:c>
      <x:c r="F813" t="str">
        <x:v>Caran d’Ache</x:v>
      </x:c>
      <x:c r="G813" t="str">
        <x:v>NART</x:v>
      </x:c>
      <x:c r="H813" t="str">
        <x:v>NEOART 6901</x:v>
      </x:c>
      <x:c r="I813" t="str">
        <x:v>Permanent wax-and-oil pastel</x:v>
      </x:c>
      <x:c r="J813" t="str">
        <x:v>Professional</x:v>
      </x:c>
      <x:c r="K813" t="n">
        <x:v>48</x:v>
      </x:c>
      <x:c r="L813" t="str">
        <x:v>872</x:v>
      </x:c>
      <x:c r="M813" t="str">
        <x:v>Burnt ochre 10%</x:v>
      </x:c>
      <x:c r="N813" t="str">
        <x:v>熟赭色 10%</x:v>
      </x:c>
      <x:c r="O813" t="str">
        <x:v>バーントオーカー 10%</x:v>
      </x:c>
      <x:c r="P813"/>
      <x:c r="Q813" t="str">
        <x:v>Ocre brûlée 10%</x:v>
      </x:c>
      <x:c r="R813" t="str">
        <x:v>Ocker gebrannt 10%</x:v>
      </x:c>
      <x:c r="S813" t="str">
        <x:v>Ocra bruciata 10%</x:v>
      </x:c>
      <x:c r="T813" t="str">
        <x:v>Ocre quemado 10%</x:v>
      </x:c>
      <x:c r="U813" t="str">
        <x:v>Ocre queimado 10%</x:v>
      </x:c>
      <x:c r="V813"/>
      <x:c r="W813" t="str">
        <x:v>PR101/PY42</x:v>
      </x:c>
      <x:c r="X813" t="n">
        <x:v>2</x:v>
      </x:c>
      <x:c r="Y813" t="str">
        <x:v>I</x:v>
      </x:c>
      <x:c r="Z813" t="n">
        <x:v>1.67</x:v>
      </x:c>
      <x:c r="AA813" t="n">
        <x:v>3</x:v>
      </x:c>
      <x:c r="AB813" t="str">
        <x:v>ASTM D-6901</x:v>
      </x:c>
      <x:c r="AC813" s="269" t="str">
        <x:v>#F9C9B4</x:v>
      </x:c>
      <x:c r="AD813" t="n">
        <x:v>249</x:v>
      </x:c>
      <x:c r="AE813" t="n">
        <x:v>201</x:v>
      </x:c>
      <x:c r="AF813" t="n">
        <x:v>180</x:v>
      </x:c>
      <x:c r="AG813" t="n">
        <x:v>18.26</x:v>
      </x:c>
      <x:c r="AH813" t="n">
        <x:v>85.19</x:v>
      </x:c>
      <x:c r="AI813" t="n">
        <x:v>84.12</x:v>
      </x:c>
      <x:c r="AJ813" t="n">
        <x:v>84.59</x:v>
      </x:c>
      <x:c r="AK813" t="n">
        <x:v>14.03</x:v>
      </x:c>
      <x:c r="AL813" t="n">
        <x:v>16.94</x:v>
      </x:c>
      <x:c r="AM813" t="str">
        <x:v>#000000</x:v>
      </x:c>
      <x:c r="AN813" t="str">
        <x:v>Black</x:v>
      </x:c>
      <x:c r="AO813" t="n">
        <x:v>14.04</x:v>
      </x:c>
      <x:c r="AP813" t="n">
        <x:v>14.04</x:v>
      </x:c>
      <x:c r="AQ813" t="n">
        <x:v>1.5</x:v>
      </x:c>
      <x:c r="AR813" t="n">
        <x:v>0.652083</x:v>
      </x:c>
      <x:c r="AS813" t="str">
        <x:v>PASS</x:v>
      </x:c>
      <x:c r="AT813" t="str">
        <x:v>--cda-nart-872</x:v>
      </x:c>
      <x:c r="AU813" t="str">
        <x:v>var(--cda-nart-872)</x:v>
      </x:c>
      <x:c r="AV813" t="str">
        <x:v>Dense right-edge colour sampled from the official 2025 catalogue chart gradient; screen-reference approximation only</x:v>
      </x:c>
      <x:c r="AW813" t="str">
        <x:v>https://www.carandache.com/</x:v>
      </x:c>
      <x:c r="AX813" t="n">
        <x:v>18</x:v>
      </x:c>
      <x:c r="AY813" t="str">
        <x:v>Official</x:v>
      </x:c>
      <x:c r="AZ813" t="str">
        <x:v>English official from 2025 catalogue; Traditional Chinese/Japanese curated; other languages inherited from existing official code mappings where available</x:v>
      </x:c>
      <x:c r="BA813" t="str">
        <x:v>Verified from official 2025 catalogue; digital HEX sampled from catalogue chart and is approximate</x:v>
      </x:c>
      <x:c r="BB813" t="str">
        <x:v>Source: Catcoul_Beauxarts_2025_EN_BD.pdf, Ref. 100011.211 ENG 2025, PDF p.18 (catalogue pp.32-33). NEOART 6901 has 48 colours; 44 codes are shared with LUMINANCE 6901.</x:v>
      </x:c>
    </x:row>
  </x:sheetData>
  <x:conditionalFormatting sqref="Z2:Z76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O2:AO765">
    <x:cfRule type="dataBar" priority="2">
      <x:dataBar>
        <x:cfvo type="min"/>
        <x:cfvo type="max"/>
        <x:color rgb="FFE63329"/>
      </x:dataBar>
      <x:extLst>
        <x:ext xmlns:x14="http://schemas.microsoft.com/office/spreadsheetml/2009/9/main" uri="{B025F937-C7B1-47D3-B67F-A62EFF666E3E}">
          <x14:id>{3FBD9AB6-2484-100A-297C-F4BFC3B553F9}</x14:id>
        </x:ext>
      </x:extLst>
    </x:cfRule>
  </x:conditionalFormatting>
  <x:conditionalFormatting sqref="AS2:AS765">
    <x:cfRule type="expression" dxfId="2" priority="3">
      <x:formula>AS2="FAIL"</x:formula>
    </x:cfRule>
    <x:cfRule type="expression" dxfId="3" priority="4">
      <x:formula>AS2="PASS"</x:formula>
    </x:cfRule>
  </x:conditionalFormatting>
  <x:dataValidations count="1">
    <x:dataValidation type="list" sqref="G2:G765">
      <x:formula1>Validation_Lists!$A$2:$A$9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9994bbb9641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BD9AB6-2484-100A-297C-F4BFC3B553F9}">
            <x14:dataBar gradient="1">
              <x14:cfvo type="min"/>
              <x14:cfvo type="max"/>
              <x14:fillColor rgb="FFE63329"/>
            </x14:dataBar>
          </x14:cfRule>
          <xm:sqref>AO2:AO765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1" hidden="0" customWidth="1"/>
    <x:col min="4" max="4" width="10" hidden="0" customWidth="1"/>
    <x:col min="5" max="5" width="27" hidden="0" customWidth="1"/>
    <x:col min="6" max="6" width="12" hidden="0" customWidth="1"/>
    <x:col min="7" max="7" width="23" hidden="0" customWidth="1"/>
    <x:col min="8" max="8" width="36" hidden="0" customWidth="1"/>
    <x:col min="9" max="9" width="85" hidden="0" customWidth="1"/>
  </x:cols>
  <x:sheetData>
    <x:row r="1" ht="30" customHeight="1">
      <x:c r="A1" s="25" t="str">
        <x:v>series_color_id</x:v>
      </x:c>
      <x:c r="B1" s="25" t="str">
        <x:v>series_id</x:v>
      </x:c>
      <x:c r="C1" s="25" t="str">
        <x:v>series_name</x:v>
      </x:c>
      <x:c r="D1" s="25" t="str">
        <x:v>color_code</x:v>
      </x:c>
      <x:c r="E1" s="25" t="str">
        <x:v>color_name_en</x:v>
      </x:c>
      <x:c r="F1" s="25" t="str">
        <x:v>pigment_order</x:v>
      </x:c>
      <x:c r="G1" s="25" t="str">
        <x:v>pigment_component</x:v>
      </x:c>
      <x:c r="H1" s="25" t="str">
        <x:v>pigment_formula_raw</x:v>
      </x:c>
      <x:c r="I1" s="25" t="str">
        <x:v>source_url</x:v>
      </x:c>
    </x:row>
    <x:row r="2">
      <x:c r="A2" t="str">
        <x:v>CDA-LUM-001</x:v>
      </x:c>
      <x:c r="B2" t="str">
        <x:v>LUM</x:v>
      </x:c>
      <x:c r="C2" t="str">
        <x:v>LUMINANCE 6901</x:v>
      </x:c>
      <x:c r="D2" t="str">
        <x:v>001</x:v>
      </x:c>
      <x:c r="E2" t="str">
        <x:v>White</x:v>
      </x:c>
      <x:c r="F2" t="n">
        <x:v>1</x:v>
      </x:c>
      <x:c r="G2" t="str">
        <x:v>PW6</x:v>
      </x:c>
      <x:c r="H2" t="str">
        <x:v>PW6</x:v>
      </x:c>
      <x:c r="I2" t="str">
        <x:v>https://www.carandache.com/content_files/uploaded_doc/product/10580/nuancier_luminance_fr.pdf</x:v>
      </x:c>
    </x:row>
    <x:row r="3">
      <x:c r="A3" t="str">
        <x:v>CDA-LUM-581</x:v>
      </x:c>
      <x:c r="B3" t="str">
        <x:v>LUM</x:v>
      </x:c>
      <x:c r="C3" t="str">
        <x:v>LUMINANCE 6901</x:v>
      </x:c>
      <x:c r="D3" t="str">
        <x:v>581</x:v>
      </x:c>
      <x:c r="E3" t="str">
        <x:v>Pink white</x:v>
      </x:c>
      <x:c r="F3" t="n">
        <x:v>1</x:v>
      </x:c>
      <x:c r="G3" t="str">
        <x:v>PR101</x:v>
      </x:c>
      <x:c r="H3" t="str">
        <x:v>PR101</x:v>
      </x:c>
      <x:c r="I3" t="str">
        <x:v>https://www.carandache.com/content_files/uploaded_doc/product/10580/nuancier_luminance_fr.pdf</x:v>
      </x:c>
    </x:row>
    <x:row r="4">
      <x:c r="A4" t="str">
        <x:v>CDA-LUM-801</x:v>
      </x:c>
      <x:c r="B4" t="str">
        <x:v>LUM</x:v>
      </x:c>
      <x:c r="C4" t="str">
        <x:v>LUMINANCE 6901</x:v>
      </x:c>
      <x:c r="D4" t="str">
        <x:v>801</x:v>
      </x:c>
      <x:c r="E4" t="str">
        <x:v>Buff titanium</x:v>
      </x:c>
      <x:c r="F4" t="n">
        <x:v>1</x:v>
      </x:c>
      <x:c r="G4" t="str">
        <x:v>PY151</x:v>
      </x:c>
      <x:c r="H4" t="str">
        <x:v>PY151/PR101</x:v>
      </x:c>
      <x:c r="I4" t="str">
        <x:v>https://www.carandache.com/content_files/uploaded_doc/product/10580/nuancier_luminance_fr.pdf</x:v>
      </x:c>
    </x:row>
    <x:row r="5">
      <x:c r="A5" t="str">
        <x:v>CDA-LUM-801</x:v>
      </x:c>
      <x:c r="B5" t="str">
        <x:v>LUM</x:v>
      </x:c>
      <x:c r="C5" t="str">
        <x:v>LUMINANCE 6901</x:v>
      </x:c>
      <x:c r="D5" t="str">
        <x:v>801</x:v>
      </x:c>
      <x:c r="E5" t="str">
        <x:v>Buff titanium</x:v>
      </x:c>
      <x:c r="F5" t="n">
        <x:v>2</x:v>
      </x:c>
      <x:c r="G5" t="str">
        <x:v>PR101</x:v>
      </x:c>
      <x:c r="H5" t="str">
        <x:v>PY151/PR101</x:v>
      </x:c>
      <x:c r="I5" t="str">
        <x:v>https://www.carandache.com/content_files/uploaded_doc/product/10580/nuancier_luminance_fr.pdf</x:v>
      </x:c>
    </x:row>
    <x:row r="6">
      <x:c r="A6" t="str">
        <x:v>CDA-LUM-242</x:v>
      </x:c>
      <x:c r="B6" t="str">
        <x:v>LUM</x:v>
      </x:c>
      <x:c r="C6" t="str">
        <x:v>LUMINANCE 6901</x:v>
      </x:c>
      <x:c r="D6" t="str">
        <x:v>242</x:v>
      </x:c>
      <x:c r="E6" t="str">
        <x:v>Primerose</x:v>
      </x:c>
      <x:c r="F6" t="n">
        <x:v>1</x:v>
      </x:c>
      <x:c r="G6" t="str">
        <x:v>PY42</x:v>
      </x:c>
      <x:c r="H6" t="str">
        <x:v>PY42/PY53</x:v>
      </x:c>
      <x:c r="I6" t="str">
        <x:v>https://www.carandache.com/content_files/uploaded_doc/product/10580/nuancier_luminance_fr.pdf</x:v>
      </x:c>
    </x:row>
    <x:row r="7">
      <x:c r="A7" t="str">
        <x:v>CDA-LUM-242</x:v>
      </x:c>
      <x:c r="B7" t="str">
        <x:v>LUM</x:v>
      </x:c>
      <x:c r="C7" t="str">
        <x:v>LUMINANCE 6901</x:v>
      </x:c>
      <x:c r="D7" t="str">
        <x:v>242</x:v>
      </x:c>
      <x:c r="E7" t="str">
        <x:v>Primerose</x:v>
      </x:c>
      <x:c r="F7" t="n">
        <x:v>2</x:v>
      </x:c>
      <x:c r="G7" t="str">
        <x:v>PY53</x:v>
      </x:c>
      <x:c r="H7" t="str">
        <x:v>PY42/PY53</x:v>
      </x:c>
      <x:c r="I7" t="str">
        <x:v>https://www.carandache.com/content_files/uploaded_doc/product/10580/nuancier_luminance_fr.pdf</x:v>
      </x:c>
    </x:row>
    <x:row r="8">
      <x:c r="A8" t="str">
        <x:v>CDA-LUM-821</x:v>
      </x:c>
      <x:c r="B8" t="str">
        <x:v>LUM</x:v>
      </x:c>
      <x:c r="C8" t="str">
        <x:v>LUMINANCE 6901</x:v>
      </x:c>
      <x:c r="D8" t="str">
        <x:v>821</x:v>
      </x:c>
      <x:c r="E8" t="str">
        <x:v>Naples ochre</x:v>
      </x:c>
      <x:c r="F8" t="n">
        <x:v>1</x:v>
      </x:c>
      <x:c r="G8" t="str">
        <x:v>PY42</x:v>
      </x:c>
      <x:c r="H8" t="str">
        <x:v>PY42/PY184/PBr7</x:v>
      </x:c>
      <x:c r="I8" t="str">
        <x:v>https://www.carandache.com/content_files/uploaded_doc/product/10580/nuancier_luminance_fr.pdf</x:v>
      </x:c>
    </x:row>
    <x:row r="9">
      <x:c r="A9" t="str">
        <x:v>CDA-LUM-821</x:v>
      </x:c>
      <x:c r="B9" t="str">
        <x:v>LUM</x:v>
      </x:c>
      <x:c r="C9" t="str">
        <x:v>LUMINANCE 6901</x:v>
      </x:c>
      <x:c r="D9" t="str">
        <x:v>821</x:v>
      </x:c>
      <x:c r="E9" t="str">
        <x:v>Naples ochre</x:v>
      </x:c>
      <x:c r="F9" t="n">
        <x:v>2</x:v>
      </x:c>
      <x:c r="G9" t="str">
        <x:v>PY184</x:v>
      </x:c>
      <x:c r="H9" t="str">
        <x:v>PY42/PY184/PBr7</x:v>
      </x:c>
      <x:c r="I9" t="str">
        <x:v>https://www.carandache.com/content_files/uploaded_doc/product/10580/nuancier_luminance_fr.pdf</x:v>
      </x:c>
    </x:row>
    <x:row r="10">
      <x:c r="A10" t="str">
        <x:v>CDA-LUM-821</x:v>
      </x:c>
      <x:c r="B10" t="str">
        <x:v>LUM</x:v>
      </x:c>
      <x:c r="C10" t="str">
        <x:v>LUMINANCE 6901</x:v>
      </x:c>
      <x:c r="D10" t="str">
        <x:v>821</x:v>
      </x:c>
      <x:c r="E10" t="str">
        <x:v>Naples ochre</x:v>
      </x:c>
      <x:c r="F10" t="n">
        <x:v>3</x:v>
      </x:c>
      <x:c r="G10" t="str">
        <x:v>PBr7</x:v>
      </x:c>
      <x:c r="H10" t="str">
        <x:v>PY42/PY184/PBr7</x:v>
      </x:c>
      <x:c r="I10" t="str">
        <x:v>https://www.carandache.com/content_files/uploaded_doc/product/10580/nuancier_luminance_fr.pdf</x:v>
      </x:c>
    </x:row>
    <x:row r="11">
      <x:c r="A11" t="str">
        <x:v>CDA-LUM-240</x:v>
      </x:c>
      <x:c r="B11" t="str">
        <x:v>LUM</x:v>
      </x:c>
      <x:c r="C11" t="str">
        <x:v>LUMINANCE 6901</x:v>
      </x:c>
      <x:c r="D11" t="str">
        <x:v>240</x:v>
      </x:c>
      <x:c r="E11" t="str">
        <x:v>Lemon yellow</x:v>
      </x:c>
      <x:c r="F11" t="n">
        <x:v>1</x:v>
      </x:c>
      <x:c r="G11" t="str">
        <x:v>PY3</x:v>
      </x:c>
      <x:c r="H11" t="str">
        <x:v>PY3</x:v>
      </x:c>
      <x:c r="I11" t="str">
        <x:v>https://www.carandache.com/content_files/uploaded_doc/product/10580/nuancier_luminance_fr.pdf</x:v>
      </x:c>
    </x:row>
    <x:row r="12">
      <x:c r="A12" t="str">
        <x:v>CDA-LUM-520</x:v>
      </x:c>
      <x:c r="B12" t="str">
        <x:v>LUM</x:v>
      </x:c>
      <x:c r="C12" t="str">
        <x:v>LUMINANCE 6901</x:v>
      </x:c>
      <x:c r="D12" t="str">
        <x:v>520</x:v>
      </x:c>
      <x:c r="E12" t="str">
        <x:v>Medium cadmium yellow (imit.)</x:v>
      </x:c>
      <x:c r="F12" t="n">
        <x:v>1</x:v>
      </x:c>
      <x:c r="G12" t="str">
        <x:v>PY154</x:v>
      </x:c>
      <x:c r="H12" t="str">
        <x:v>PY154</x:v>
      </x:c>
      <x:c r="I12" t="str">
        <x:v>https://www.carandache.com/content_files/uploaded_doc/product/10580/nuancier_luminance_fr.pdf</x:v>
      </x:c>
    </x:row>
    <x:row r="13">
      <x:c r="A13" t="str">
        <x:v>CDA-LUM-810</x:v>
      </x:c>
      <x:c r="B13" t="str">
        <x:v>LUM</x:v>
      </x:c>
      <x:c r="C13" t="str">
        <x:v>LUMINANCE 6901</x:v>
      </x:c>
      <x:c r="D13" t="str">
        <x:v>810</x:v>
      </x:c>
      <x:c r="E13" t="str">
        <x:v>Bismuth yellow</x:v>
      </x:c>
      <x:c r="F13" t="n">
        <x:v>1</x:v>
      </x:c>
      <x:c r="G13" t="str">
        <x:v>PY184</x:v>
      </x:c>
      <x:c r="H13" t="str">
        <x:v>PY184</x:v>
      </x:c>
      <x:c r="I13" t="str">
        <x:v>https://www.carandache.com/content_files/uploaded_doc/product/10580/nuancier_luminance_fr.pdf</x:v>
      </x:c>
    </x:row>
    <x:row r="14">
      <x:c r="A14" t="str">
        <x:v>CDA-LUM-820</x:v>
      </x:c>
      <x:c r="B14" t="str">
        <x:v>LUM</x:v>
      </x:c>
      <x:c r="C14" t="str">
        <x:v>LUMINANCE 6901</x:v>
      </x:c>
      <x:c r="D14" t="str">
        <x:v>820</x:v>
      </x:c>
      <x:c r="E14" t="str">
        <x:v>Golden bismuth yellow</x:v>
      </x:c>
      <x:c r="F14" t="n">
        <x:v>1</x:v>
      </x:c>
      <x:c r="G14" t="str">
        <x:v>PY184</x:v>
      </x:c>
      <x:c r="H14" t="str">
        <x:v>PY184</x:v>
      </x:c>
      <x:c r="I14" t="str">
        <x:v>https://www.carandache.com/content_files/uploaded_doc/product/10580/nuancier_luminance_fr.pdf</x:v>
      </x:c>
    </x:row>
    <x:row r="15">
      <x:c r="A15" t="str">
        <x:v>CDA-LUM-523</x:v>
      </x:c>
      <x:c r="B15" t="str">
        <x:v>LUM</x:v>
      </x:c>
      <x:c r="C15" t="str">
        <x:v>LUMINANCE 6901</x:v>
      </x:c>
      <x:c r="D15" t="str">
        <x:v>523</x:v>
      </x:c>
      <x:c r="E15" t="str">
        <x:v>Indian yellow</x:v>
      </x:c>
      <x:c r="F15" t="n">
        <x:v>1</x:v>
      </x:c>
      <x:c r="G15" t="str">
        <x:v>PY150</x:v>
      </x:c>
      <x:c r="H15" t="str">
        <x:v>PY150</x:v>
      </x:c>
      <x:c r="I15" t="str">
        <x:v>https://www.carandache.com/content_files/uploaded_doc/product/10580/nuancier_luminance_fr.pdf</x:v>
      </x:c>
    </x:row>
    <x:row r="16">
      <x:c r="A16" t="str">
        <x:v>CDA-LUM-030</x:v>
      </x:c>
      <x:c r="B16" t="str">
        <x:v>LUM</x:v>
      </x:c>
      <x:c r="C16" t="str">
        <x:v>LUMINANCE 6901</x:v>
      </x:c>
      <x:c r="D16" t="str">
        <x:v>030</x:v>
      </x:c>
      <x:c r="E16" t="str">
        <x:v>Orange</x:v>
      </x:c>
      <x:c r="F16" t="n">
        <x:v>1</x:v>
      </x:c>
      <x:c r="G16" t="str">
        <x:v>PO62</x:v>
      </x:c>
      <x:c r="H16" t="str">
        <x:v>PO62</x:v>
      </x:c>
      <x:c r="I16" t="str">
        <x:v>https://www.carandache.com/content_files/uploaded_doc/product/10580/nuancier_luminance_fr.pdf</x:v>
      </x:c>
    </x:row>
    <x:row r="17">
      <x:c r="A17" t="str">
        <x:v>CDA-LUM-533</x:v>
      </x:c>
      <x:c r="B17" t="str">
        <x:v>LUM</x:v>
      </x:c>
      <x:c r="C17" t="str">
        <x:v>LUMINANCE 6901</x:v>
      </x:c>
      <x:c r="D17" t="str">
        <x:v>533</x:v>
      </x:c>
      <x:c r="E17" t="str">
        <x:v>Dark cadmium orange (imit.)</x:v>
      </x:c>
      <x:c r="F17" t="n">
        <x:v>1</x:v>
      </x:c>
      <x:c r="G17" t="str">
        <x:v>PO43</x:v>
      </x:c>
      <x:c r="H17" t="str">
        <x:v>PO43</x:v>
      </x:c>
      <x:c r="I17" t="str">
        <x:v>https://www.carandache.com/content_files/uploaded_doc/product/10580/nuancier_luminance_fr.pdf</x:v>
      </x:c>
    </x:row>
    <x:row r="18">
      <x:c r="A18" t="str">
        <x:v>CDA-LUM-850</x:v>
      </x:c>
      <x:c r="B18" t="str">
        <x:v>LUM</x:v>
      </x:c>
      <x:c r="C18" t="str">
        <x:v>LUMINANCE 6901</x:v>
      </x:c>
      <x:c r="D18" t="str">
        <x:v>850</x:v>
      </x:c>
      <x:c r="E18" t="str">
        <x:v>Cornelian</x:v>
      </x:c>
      <x:c r="F18" t="n">
        <x:v>1</x:v>
      </x:c>
      <x:c r="G18" t="str">
        <x:v>PO61</x:v>
      </x:c>
      <x:c r="H18" t="str">
        <x:v>PO61</x:v>
      </x:c>
      <x:c r="I18" t="str">
        <x:v>https://www.carandache.com/content_files/uploaded_doc/product/10580/nuancier_luminance_fr.pdf</x:v>
      </x:c>
    </x:row>
    <x:row r="19">
      <x:c r="A19" t="str">
        <x:v>CDA-LUM-061</x:v>
      </x:c>
      <x:c r="B19" t="str">
        <x:v>LUM</x:v>
      </x:c>
      <x:c r="C19" t="str">
        <x:v>LUMINANCE 6901</x:v>
      </x:c>
      <x:c r="D19" t="str">
        <x:v>061</x:v>
      </x:c>
      <x:c r="E19" t="str">
        <x:v>Permanent red</x:v>
      </x:c>
      <x:c r="F19" t="n">
        <x:v>1</x:v>
      </x:c>
      <x:c r="G19" t="str">
        <x:v>PR242</x:v>
      </x:c>
      <x:c r="H19" t="str">
        <x:v>PR242</x:v>
      </x:c>
      <x:c r="I19" t="str">
        <x:v>https://www.carandache.com/content_files/uploaded_doc/product/10580/nuancier_luminance_fr.pdf</x:v>
      </x:c>
    </x:row>
    <x:row r="20">
      <x:c r="A20" t="str">
        <x:v>CDA-LUM-580</x:v>
      </x:c>
      <x:c r="B20" t="str">
        <x:v>LUM</x:v>
      </x:c>
      <x:c r="C20" t="str">
        <x:v>LUMINANCE 6901</x:v>
      </x:c>
      <x:c r="D20" t="str">
        <x:v>580</x:v>
      </x:c>
      <x:c r="E20" t="str">
        <x:v>Anthraquinone carmine</x:v>
      </x:c>
      <x:c r="F20" t="n">
        <x:v>1</x:v>
      </x:c>
      <x:c r="G20" t="str">
        <x:v>PR177</x:v>
      </x:c>
      <x:c r="H20" t="str">
        <x:v>PR177</x:v>
      </x:c>
      <x:c r="I20" t="str">
        <x:v>https://www.carandache.com/content_files/uploaded_doc/product/10580/nuancier_luminance_fr.pdf</x:v>
      </x:c>
    </x:row>
    <x:row r="21">
      <x:c r="A21" t="str">
        <x:v>CDA-LUM-070</x:v>
      </x:c>
      <x:c r="B21" t="str">
        <x:v>LUM</x:v>
      </x:c>
      <x:c r="C21" t="str">
        <x:v>LUMINANCE 6901</x:v>
      </x:c>
      <x:c r="D21" t="str">
        <x:v>070</x:v>
      </x:c>
      <x:c r="E21" t="str">
        <x:v>Scarlet</x:v>
      </x:c>
      <x:c r="F21" t="n">
        <x:v>1</x:v>
      </x:c>
      <x:c r="G21" t="str">
        <x:v>PR254</x:v>
      </x:c>
      <x:c r="H21" t="str">
        <x:v>PR254</x:v>
      </x:c>
      <x:c r="I21" t="str">
        <x:v>https://www.carandache.com/content_files/uploaded_doc/product/10580/nuancier_luminance_fr.pdf</x:v>
      </x:c>
    </x:row>
    <x:row r="22">
      <x:c r="A22" t="str">
        <x:v>CDA-LUM-350</x:v>
      </x:c>
      <x:c r="B22" t="str">
        <x:v>LUM</x:v>
      </x:c>
      <x:c r="C22" t="str">
        <x:v>LUMINANCE 6901</x:v>
      </x:c>
      <x:c r="D22" t="str">
        <x:v>350</x:v>
      </x:c>
      <x:c r="E22" t="str">
        <x:v>Purplish red</x:v>
      </x:c>
      <x:c r="F22" t="n">
        <x:v>1</x:v>
      </x:c>
      <x:c r="G22" t="str">
        <x:v>PR122</x:v>
      </x:c>
      <x:c r="H22" t="str">
        <x:v>PR122/PR179</x:v>
      </x:c>
      <x:c r="I22" t="str">
        <x:v>https://www.carandache.com/content_files/uploaded_doc/product/10580/nuancier_luminance_fr.pdf</x:v>
      </x:c>
    </x:row>
    <x:row r="23">
      <x:c r="A23" t="str">
        <x:v>CDA-LUM-350</x:v>
      </x:c>
      <x:c r="B23" t="str">
        <x:v>LUM</x:v>
      </x:c>
      <x:c r="C23" t="str">
        <x:v>LUMINANCE 6901</x:v>
      </x:c>
      <x:c r="D23" t="str">
        <x:v>350</x:v>
      </x:c>
      <x:c r="E23" t="str">
        <x:v>Purplish red</x:v>
      </x:c>
      <x:c r="F23" t="n">
        <x:v>2</x:v>
      </x:c>
      <x:c r="G23" t="str">
        <x:v>PR179</x:v>
      </x:c>
      <x:c r="H23" t="str">
        <x:v>PR122/PR179</x:v>
      </x:c>
      <x:c r="I23" t="str">
        <x:v>https://www.carandache.com/content_files/uploaded_doc/product/10580/nuancier_luminance_fr.pdf</x:v>
      </x:c>
    </x:row>
    <x:row r="24">
      <x:c r="A24" t="str">
        <x:v>CDA-LUM-589</x:v>
      </x:c>
      <x:c r="B24" t="str">
        <x:v>LUM</x:v>
      </x:c>
      <x:c r="C24" t="str">
        <x:v>LUMINANCE 6901</x:v>
      </x:c>
      <x:c r="D24" t="str">
        <x:v>589</x:v>
      </x:c>
      <x:c r="E24" t="str">
        <x:v>Crimson alizarin (hue)</x:v>
      </x:c>
      <x:c r="F24" t="n">
        <x:v>1</x:v>
      </x:c>
      <x:c r="G24" t="str">
        <x:v>PR178</x:v>
      </x:c>
      <x:c r="H24" t="str">
        <x:v>PR178/PV19</x:v>
      </x:c>
      <x:c r="I24" t="str">
        <x:v>https://www.carandache.com/content_files/uploaded_doc/product/10580/nuancier_luminance_fr.pdf</x:v>
      </x:c>
    </x:row>
    <x:row r="25">
      <x:c r="A25" t="str">
        <x:v>CDA-LUM-589</x:v>
      </x:c>
      <x:c r="B25" t="str">
        <x:v>LUM</x:v>
      </x:c>
      <x:c r="C25" t="str">
        <x:v>LUMINANCE 6901</x:v>
      </x:c>
      <x:c r="D25" t="str">
        <x:v>589</x:v>
      </x:c>
      <x:c r="E25" t="str">
        <x:v>Crimson alizarin (hue)</x:v>
      </x:c>
      <x:c r="F25" t="n">
        <x:v>2</x:v>
      </x:c>
      <x:c r="G25" t="str">
        <x:v>PV19</x:v>
      </x:c>
      <x:c r="H25" t="str">
        <x:v>PR178/PV19</x:v>
      </x:c>
      <x:c r="I25" t="str">
        <x:v>https://www.carandache.com/content_files/uploaded_doc/product/10580/nuancier_luminance_fr.pdf</x:v>
      </x:c>
    </x:row>
    <x:row r="26">
      <x:c r="A26" t="str">
        <x:v>CDA-LUM-585</x:v>
      </x:c>
      <x:c r="B26" t="str">
        <x:v>LUM</x:v>
      </x:c>
      <x:c r="C26" t="str">
        <x:v>LUMINANCE 6901</x:v>
      </x:c>
      <x:c r="D26" t="str">
        <x:v>585</x:v>
      </x:c>
      <x:c r="E26" t="str">
        <x:v>Perylene brown</x:v>
      </x:c>
      <x:c r="F26" t="n">
        <x:v>1</x:v>
      </x:c>
      <x:c r="G26" t="str">
        <x:v>PR179</x:v>
      </x:c>
      <x:c r="H26" t="str">
        <x:v>PR179</x:v>
      </x:c>
      <x:c r="I26" t="str">
        <x:v>https://www.carandache.com/content_files/uploaded_doc/product/10580/nuancier_luminance_fr.pdf</x:v>
      </x:c>
    </x:row>
    <x:row r="27">
      <x:c r="A27" t="str">
        <x:v>CDA-LUM-599</x:v>
      </x:c>
      <x:c r="B27" t="str">
        <x:v>LUM</x:v>
      </x:c>
      <x:c r="C27" t="str">
        <x:v>LUMINANCE 6901</x:v>
      </x:c>
      <x:c r="D27" t="str">
        <x:v>599</x:v>
      </x:c>
      <x:c r="E27" t="str">
        <x:v>Crimson aubergine</x:v>
      </x:c>
      <x:c r="F27" t="n">
        <x:v>1</x:v>
      </x:c>
      <x:c r="G27" t="str">
        <x:v>PR179</x:v>
      </x:c>
      <x:c r="H27" t="str">
        <x:v>PR179/PV19/PB15</x:v>
      </x:c>
      <x:c r="I27" t="str">
        <x:v>https://www.carandache.com/content_files/uploaded_doc/product/10580/nuancier_luminance_fr.pdf</x:v>
      </x:c>
    </x:row>
    <x:row r="28">
      <x:c r="A28" t="str">
        <x:v>CDA-LUM-599</x:v>
      </x:c>
      <x:c r="B28" t="str">
        <x:v>LUM</x:v>
      </x:c>
      <x:c r="C28" t="str">
        <x:v>LUMINANCE 6901</x:v>
      </x:c>
      <x:c r="D28" t="str">
        <x:v>599</x:v>
      </x:c>
      <x:c r="E28" t="str">
        <x:v>Crimson aubergine</x:v>
      </x:c>
      <x:c r="F28" t="n">
        <x:v>2</x:v>
      </x:c>
      <x:c r="G28" t="str">
        <x:v>PV19</x:v>
      </x:c>
      <x:c r="H28" t="str">
        <x:v>PR179/PV19/PB15</x:v>
      </x:c>
      <x:c r="I28" t="str">
        <x:v>https://www.carandache.com/content_files/uploaded_doc/product/10580/nuancier_luminance_fr.pdf</x:v>
      </x:c>
    </x:row>
    <x:row r="29">
      <x:c r="A29" t="str">
        <x:v>CDA-LUM-599</x:v>
      </x:c>
      <x:c r="B29" t="str">
        <x:v>LUM</x:v>
      </x:c>
      <x:c r="C29" t="str">
        <x:v>LUMINANCE 6901</x:v>
      </x:c>
      <x:c r="D29" t="str">
        <x:v>599</x:v>
      </x:c>
      <x:c r="E29" t="str">
        <x:v>Crimson aubergine</x:v>
      </x:c>
      <x:c r="F29" t="n">
        <x:v>3</x:v>
      </x:c>
      <x:c r="G29" t="str">
        <x:v>PB15</x:v>
      </x:c>
      <x:c r="H29" t="str">
        <x:v>PR179/PV19/PB15</x:v>
      </x:c>
      <x:c r="I29" t="str">
        <x:v>https://www.carandache.com/content_files/uploaded_doc/product/10580/nuancier_luminance_fr.pdf</x:v>
      </x:c>
    </x:row>
    <x:row r="30">
      <x:c r="A30" t="str">
        <x:v>CDA-LUM-120</x:v>
      </x:c>
      <x:c r="B30" t="str">
        <x:v>LUM</x:v>
      </x:c>
      <x:c r="C30" t="str">
        <x:v>LUMINANCE 6901</x:v>
      </x:c>
      <x:c r="D30" t="str">
        <x:v>120</x:v>
      </x:c>
      <x:c r="E30" t="str">
        <x:v>Violet</x:v>
      </x:c>
      <x:c r="F30" t="n">
        <x:v>1</x:v>
      </x:c>
      <x:c r="G30" t="str">
        <x:v>PV23</x:v>
      </x:c>
      <x:c r="H30" t="str">
        <x:v>PV23</x:v>
      </x:c>
      <x:c r="I30" t="str">
        <x:v>https://www.carandache.com/content_files/uploaded_doc/product/10580/nuancier_luminance_fr.pdf</x:v>
      </x:c>
    </x:row>
    <x:row r="31">
      <x:c r="A31" t="str">
        <x:v>CDA-LUM-140</x:v>
      </x:c>
      <x:c r="B31" t="str">
        <x:v>LUM</x:v>
      </x:c>
      <x:c r="C31" t="str">
        <x:v>LUMINANCE 6901</x:v>
      </x:c>
      <x:c r="D31" t="str">
        <x:v>140</x:v>
      </x:c>
      <x:c r="E31" t="str">
        <x:v>Ultramarine</x:v>
      </x:c>
      <x:c r="F31" t="n">
        <x:v>1</x:v>
      </x:c>
      <x:c r="G31" t="str">
        <x:v>PB29</x:v>
      </x:c>
      <x:c r="H31" t="str">
        <x:v>PB29</x:v>
      </x:c>
      <x:c r="I31" t="str">
        <x:v>https://www.carandache.com/content_files/uploaded_doc/product/10580/nuancier_luminance_fr.pdf</x:v>
      </x:c>
    </x:row>
    <x:row r="32">
      <x:c r="A32" t="str">
        <x:v>CDA-LUM-660</x:v>
      </x:c>
      <x:c r="B32" t="str">
        <x:v>LUM</x:v>
      </x:c>
      <x:c r="C32" t="str">
        <x:v>LUMINANCE 6901</x:v>
      </x:c>
      <x:c r="D32" t="str">
        <x:v>660</x:v>
      </x:c>
      <x:c r="E32" t="str">
        <x:v>Cobalt blue</x:v>
      </x:c>
      <x:c r="F32" t="n">
        <x:v>1</x:v>
      </x:c>
      <x:c r="G32" t="str">
        <x:v>PB15</x:v>
      </x:c>
      <x:c r="H32" t="str">
        <x:v>PB15/PB29</x:v>
      </x:c>
      <x:c r="I32" t="str">
        <x:v>https://www.carandache.com/content_files/uploaded_doc/product/10580/nuancier_luminance_fr.pdf</x:v>
      </x:c>
    </x:row>
    <x:row r="33">
      <x:c r="A33" t="str">
        <x:v>CDA-LUM-660</x:v>
      </x:c>
      <x:c r="B33" t="str">
        <x:v>LUM</x:v>
      </x:c>
      <x:c r="C33" t="str">
        <x:v>LUMINANCE 6901</x:v>
      </x:c>
      <x:c r="D33" t="str">
        <x:v>660</x:v>
      </x:c>
      <x:c r="E33" t="str">
        <x:v>Cobalt blue</x:v>
      </x:c>
      <x:c r="F33" t="n">
        <x:v>2</x:v>
      </x:c>
      <x:c r="G33" t="str">
        <x:v>PB29</x:v>
      </x:c>
      <x:c r="H33" t="str">
        <x:v>PB15/PB29</x:v>
      </x:c>
      <x:c r="I33" t="str">
        <x:v>https://www.carandache.com/content_files/uploaded_doc/product/10580/nuancier_luminance_fr.pdf</x:v>
      </x:c>
    </x:row>
    <x:row r="34">
      <x:c r="A34" t="str">
        <x:v>CDA-LUM-162</x:v>
      </x:c>
      <x:c r="B34" t="str">
        <x:v>LUM</x:v>
      </x:c>
      <x:c r="C34" t="str">
        <x:v>LUMINANCE 6901</x:v>
      </x:c>
      <x:c r="D34" t="str">
        <x:v>162</x:v>
      </x:c>
      <x:c r="E34" t="str">
        <x:v>Phthalocyanine blue</x:v>
      </x:c>
      <x:c r="F34" t="n">
        <x:v>1</x:v>
      </x:c>
      <x:c r="G34" t="str">
        <x:v>PB15:3</x:v>
      </x:c>
      <x:c r="H34" t="str">
        <x:v>PB15:3</x:v>
      </x:c>
      <x:c r="I34" t="str">
        <x:v>https://www.carandache.com/content_files/uploaded_doc/product/10580/nuancier_luminance_fr.pdf</x:v>
      </x:c>
    </x:row>
    <x:row r="35">
      <x:c r="A35" t="str">
        <x:v>CDA-LUM-755</x:v>
      </x:c>
      <x:c r="B35" t="str">
        <x:v>LUM</x:v>
      </x:c>
      <x:c r="C35" t="str">
        <x:v>LUMINANCE 6901</x:v>
      </x:c>
      <x:c r="D35" t="str">
        <x:v>755</x:v>
      </x:c>
      <x:c r="E35" t="str">
        <x:v>Grey blue</x:v>
      </x:c>
      <x:c r="F35" t="n">
        <x:v>1</x:v>
      </x:c>
      <x:c r="G35" t="str">
        <x:v>PB15</x:v>
      </x:c>
      <x:c r="H35" t="str">
        <x:v>PB15/PB27/PBk6</x:v>
      </x:c>
      <x:c r="I35" t="str">
        <x:v>https://www.carandache.com/content_files/uploaded_doc/product/10580/nuancier_luminance_fr.pdf</x:v>
      </x:c>
    </x:row>
    <x:row r="36">
      <x:c r="A36" t="str">
        <x:v>CDA-LUM-755</x:v>
      </x:c>
      <x:c r="B36" t="str">
        <x:v>LUM</x:v>
      </x:c>
      <x:c r="C36" t="str">
        <x:v>LUMINANCE 6901</x:v>
      </x:c>
      <x:c r="D36" t="str">
        <x:v>755</x:v>
      </x:c>
      <x:c r="E36" t="str">
        <x:v>Grey blue</x:v>
      </x:c>
      <x:c r="F36" t="n">
        <x:v>2</x:v>
      </x:c>
      <x:c r="G36" t="str">
        <x:v>PB27</x:v>
      </x:c>
      <x:c r="H36" t="str">
        <x:v>PB15/PB27/PBk6</x:v>
      </x:c>
      <x:c r="I36" t="str">
        <x:v>https://www.carandache.com/content_files/uploaded_doc/product/10580/nuancier_luminance_fr.pdf</x:v>
      </x:c>
    </x:row>
    <x:row r="37">
      <x:c r="A37" t="str">
        <x:v>CDA-LUM-755</x:v>
      </x:c>
      <x:c r="B37" t="str">
        <x:v>LUM</x:v>
      </x:c>
      <x:c r="C37" t="str">
        <x:v>LUMINANCE 6901</x:v>
      </x:c>
      <x:c r="D37" t="str">
        <x:v>755</x:v>
      </x:c>
      <x:c r="E37" t="str">
        <x:v>Grey blue</x:v>
      </x:c>
      <x:c r="F37" t="n">
        <x:v>3</x:v>
      </x:c>
      <x:c r="G37" t="str">
        <x:v>PBk6</x:v>
      </x:c>
      <x:c r="H37" t="str">
        <x:v>PB15/PB27/PBk6</x:v>
      </x:c>
      <x:c r="I37" t="str">
        <x:v>https://www.carandache.com/content_files/uploaded_doc/product/10580/nuancier_luminance_fr.pdf</x:v>
      </x:c>
    </x:row>
    <x:row r="38">
      <x:c r="A38" t="str">
        <x:v>CDA-LUM-662</x:v>
      </x:c>
      <x:c r="B38" t="str">
        <x:v>LUM</x:v>
      </x:c>
      <x:c r="C38" t="str">
        <x:v>LUMINANCE 6901</x:v>
      </x:c>
      <x:c r="D38" t="str">
        <x:v>662</x:v>
      </x:c>
      <x:c r="E38" t="str">
        <x:v>Cobalt blue 10%</x:v>
      </x:c>
      <x:c r="F38" t="n">
        <x:v>1</x:v>
      </x:c>
      <x:c r="G38" t="str">
        <x:v>PB28</x:v>
      </x:c>
      <x:c r="H38" t="str">
        <x:v>PB28</x:v>
      </x:c>
      <x:c r="I38" t="str">
        <x:v>https://www.carandache.com/content_files/uploaded_doc/product/10580/nuancier_luminance_fr.pdf</x:v>
      </x:c>
    </x:row>
    <x:row r="39">
      <x:c r="A39" t="str">
        <x:v>CDA-LUM-161</x:v>
      </x:c>
      <x:c r="B39" t="str">
        <x:v>LUM</x:v>
      </x:c>
      <x:c r="C39" t="str">
        <x:v>LUMINANCE 6901</x:v>
      </x:c>
      <x:c r="D39" t="str">
        <x:v>161</x:v>
      </x:c>
      <x:c r="E39" t="str">
        <x:v>Light blue</x:v>
      </x:c>
      <x:c r="F39" t="n">
        <x:v>1</x:v>
      </x:c>
      <x:c r="G39" t="str">
        <x:v>PB15:3</x:v>
      </x:c>
      <x:c r="H39" t="str">
        <x:v>PB15:3/PBk9</x:v>
      </x:c>
      <x:c r="I39" t="str">
        <x:v>https://www.carandache.com/content_files/uploaded_doc/product/10580/nuancier_luminance_fr.pdf</x:v>
      </x:c>
    </x:row>
    <x:row r="40">
      <x:c r="A40" t="str">
        <x:v>CDA-LUM-161</x:v>
      </x:c>
      <x:c r="B40" t="str">
        <x:v>LUM</x:v>
      </x:c>
      <x:c r="C40" t="str">
        <x:v>LUMINANCE 6901</x:v>
      </x:c>
      <x:c r="D40" t="str">
        <x:v>161</x:v>
      </x:c>
      <x:c r="E40" t="str">
        <x:v>Light blue</x:v>
      </x:c>
      <x:c r="F40" t="n">
        <x:v>2</x:v>
      </x:c>
      <x:c r="G40" t="str">
        <x:v>PBk9</x:v>
      </x:c>
      <x:c r="H40" t="str">
        <x:v>PB15:3/PBk9</x:v>
      </x:c>
      <x:c r="I40" t="str">
        <x:v>https://www.carandache.com/content_files/uploaded_doc/product/10580/nuancier_luminance_fr.pdf</x:v>
      </x:c>
    </x:row>
    <x:row r="41">
      <x:c r="A41" t="str">
        <x:v>CDA-LUM-671</x:v>
      </x:c>
      <x:c r="B41" t="str">
        <x:v>LUM</x:v>
      </x:c>
      <x:c r="C41" t="str">
        <x:v>LUMINANCE 6901</x:v>
      </x:c>
      <x:c r="D41" t="str">
        <x:v>671</x:v>
      </x:c>
      <x:c r="E41" t="str">
        <x:v>Chrysocolla blue</x:v>
      </x:c>
      <x:c r="F41" t="n">
        <x:v>1</x:v>
      </x:c>
      <x:c r="G41" t="str">
        <x:v>PB28</x:v>
      </x:c>
      <x:c r="H41" t="str">
        <x:v>PB28</x:v>
      </x:c>
      <x:c r="I41" t="str">
        <x:v>https://www.carandache.com/content_files/uploaded_doc/product/10580/nuancier_luminance_fr.pdf</x:v>
      </x:c>
    </x:row>
    <x:row r="42">
      <x:c r="A42" t="str">
        <x:v>CDA-LUM-171</x:v>
      </x:c>
      <x:c r="B42" t="str">
        <x:v>LUM</x:v>
      </x:c>
      <x:c r="C42" t="str">
        <x:v>LUMINANCE 6901</x:v>
      </x:c>
      <x:c r="D42" t="str">
        <x:v>171</x:v>
      </x:c>
      <x:c r="E42" t="str">
        <x:v>Turquoise blue</x:v>
      </x:c>
      <x:c r="F42" t="n">
        <x:v>1</x:v>
      </x:c>
      <x:c r="G42" t="str">
        <x:v>PB15:3</x:v>
      </x:c>
      <x:c r="H42" t="str">
        <x:v>PB15:3/PG7/PBk9</x:v>
      </x:c>
      <x:c r="I42" t="str">
        <x:v>https://www.carandache.com/content_files/uploaded_doc/product/10580/nuancier_luminance_fr.pdf</x:v>
      </x:c>
    </x:row>
    <x:row r="43">
      <x:c r="A43" t="str">
        <x:v>CDA-LUM-171</x:v>
      </x:c>
      <x:c r="B43" t="str">
        <x:v>LUM</x:v>
      </x:c>
      <x:c r="C43" t="str">
        <x:v>LUMINANCE 6901</x:v>
      </x:c>
      <x:c r="D43" t="str">
        <x:v>171</x:v>
      </x:c>
      <x:c r="E43" t="str">
        <x:v>Turquoise blue</x:v>
      </x:c>
      <x:c r="F43" t="n">
        <x:v>2</x:v>
      </x:c>
      <x:c r="G43" t="str">
        <x:v>PG7</x:v>
      </x:c>
      <x:c r="H43" t="str">
        <x:v>PB15:3/PG7/PBk9</x:v>
      </x:c>
      <x:c r="I43" t="str">
        <x:v>https://www.carandache.com/content_files/uploaded_doc/product/10580/nuancier_luminance_fr.pdf</x:v>
      </x:c>
    </x:row>
    <x:row r="44">
      <x:c r="A44" t="str">
        <x:v>CDA-LUM-171</x:v>
      </x:c>
      <x:c r="B44" t="str">
        <x:v>LUM</x:v>
      </x:c>
      <x:c r="C44" t="str">
        <x:v>LUMINANCE 6901</x:v>
      </x:c>
      <x:c r="D44" t="str">
        <x:v>171</x:v>
      </x:c>
      <x:c r="E44" t="str">
        <x:v>Turquoise blue</x:v>
      </x:c>
      <x:c r="F44" t="n">
        <x:v>3</x:v>
      </x:c>
      <x:c r="G44" t="str">
        <x:v>PBk9</x:v>
      </x:c>
      <x:c r="H44" t="str">
        <x:v>PB15:3/PG7/PBk9</x:v>
      </x:c>
      <x:c r="I44" t="str">
        <x:v>https://www.carandache.com/content_files/uploaded_doc/product/10580/nuancier_luminance_fr.pdf</x:v>
      </x:c>
    </x:row>
    <x:row r="45">
      <x:c r="A45" t="str">
        <x:v>CDA-LUM-661</x:v>
      </x:c>
      <x:c r="B45" t="str">
        <x:v>LUM</x:v>
      </x:c>
      <x:c r="C45" t="str">
        <x:v>LUMINANCE 6901</x:v>
      </x:c>
      <x:c r="D45" t="str">
        <x:v>661</x:v>
      </x:c>
      <x:c r="E45" t="str">
        <x:v>Cobalt blue 5%</x:v>
      </x:c>
      <x:c r="F45" t="n">
        <x:v>1</x:v>
      </x:c>
      <x:c r="G45" t="str">
        <x:v>PB28</x:v>
      </x:c>
      <x:c r="H45" t="str">
        <x:v>PB28</x:v>
      </x:c>
      <x:c r="I45" t="str">
        <x:v>https://www.carandache.com/content_files/uploaded_doc/product/10580/nuancier_luminance_fr.pdf</x:v>
      </x:c>
    </x:row>
    <x:row r="46">
      <x:c r="A46" t="str">
        <x:v>CDA-LUM-181</x:v>
      </x:c>
      <x:c r="B46" t="str">
        <x:v>LUM</x:v>
      </x:c>
      <x:c r="C46" t="str">
        <x:v>LUMINANCE 6901</x:v>
      </x:c>
      <x:c r="D46" t="str">
        <x:v>181</x:v>
      </x:c>
      <x:c r="E46" t="str">
        <x:v>Light malachite green</x:v>
      </x:c>
      <x:c r="F46" t="n">
        <x:v>1</x:v>
      </x:c>
      <x:c r="G46" t="str">
        <x:v>PG7</x:v>
      </x:c>
      <x:c r="H46" t="str">
        <x:v>PG7/PBk9</x:v>
      </x:c>
      <x:c r="I46" t="str">
        <x:v>https://www.carandache.com/content_files/uploaded_doc/product/10580/nuancier_luminance_fr.pdf</x:v>
      </x:c>
    </x:row>
    <x:row r="47">
      <x:c r="A47" t="str">
        <x:v>CDA-LUM-181</x:v>
      </x:c>
      <x:c r="B47" t="str">
        <x:v>LUM</x:v>
      </x:c>
      <x:c r="C47" t="str">
        <x:v>LUMINANCE 6901</x:v>
      </x:c>
      <x:c r="D47" t="str">
        <x:v>181</x:v>
      </x:c>
      <x:c r="E47" t="str">
        <x:v>Light malachite green</x:v>
      </x:c>
      <x:c r="F47" t="n">
        <x:v>2</x:v>
      </x:c>
      <x:c r="G47" t="str">
        <x:v>PBk9</x:v>
      </x:c>
      <x:c r="H47" t="str">
        <x:v>PG7/PBk9</x:v>
      </x:c>
      <x:c r="I47" t="str">
        <x:v>https://www.carandache.com/content_files/uploaded_doc/product/10580/nuancier_luminance_fr.pdf</x:v>
      </x:c>
    </x:row>
    <x:row r="48">
      <x:c r="A48" t="str">
        <x:v>CDA-LUM-713</x:v>
      </x:c>
      <x:c r="B48" t="str">
        <x:v>LUM</x:v>
      </x:c>
      <x:c r="C48" t="str">
        <x:v>LUMINANCE 6901</x:v>
      </x:c>
      <x:c r="D48" t="str">
        <x:v>713</x:v>
      </x:c>
      <x:c r="E48" t="str">
        <x:v>Middle verdigris</x:v>
      </x:c>
      <x:c r="F48" t="n">
        <x:v>1</x:v>
      </x:c>
      <x:c r="G48" t="str">
        <x:v>PG17</x:v>
      </x:c>
      <x:c r="H48" t="str">
        <x:v>PG17/PB28</x:v>
      </x:c>
      <x:c r="I48" t="str">
        <x:v>https://www.carandache.com/content_files/uploaded_doc/product/10580/nuancier_luminance_fr.pdf</x:v>
      </x:c>
    </x:row>
    <x:row r="49">
      <x:c r="A49" t="str">
        <x:v>CDA-LUM-713</x:v>
      </x:c>
      <x:c r="B49" t="str">
        <x:v>LUM</x:v>
      </x:c>
      <x:c r="C49" t="str">
        <x:v>LUMINANCE 6901</x:v>
      </x:c>
      <x:c r="D49" t="str">
        <x:v>713</x:v>
      </x:c>
      <x:c r="E49" t="str">
        <x:v>Middle verdigris</x:v>
      </x:c>
      <x:c r="F49" t="n">
        <x:v>2</x:v>
      </x:c>
      <x:c r="G49" t="str">
        <x:v>PB28</x:v>
      </x:c>
      <x:c r="H49" t="str">
        <x:v>PG17/PB28</x:v>
      </x:c>
      <x:c r="I49" t="str">
        <x:v>https://www.carandache.com/content_files/uploaded_doc/product/10580/nuancier_luminance_fr.pdf</x:v>
      </x:c>
    </x:row>
    <x:row r="50">
      <x:c r="A50" t="str">
        <x:v>CDA-LUM-182</x:v>
      </x:c>
      <x:c r="B50" t="str">
        <x:v>LUM</x:v>
      </x:c>
      <x:c r="C50" t="str">
        <x:v>LUMINANCE 6901</x:v>
      </x:c>
      <x:c r="D50" t="str">
        <x:v>182</x:v>
      </x:c>
      <x:c r="E50" t="str">
        <x:v>Cobalt green</x:v>
      </x:c>
      <x:c r="F50" t="n">
        <x:v>1</x:v>
      </x:c>
      <x:c r="G50" t="str">
        <x:v>PG50</x:v>
      </x:c>
      <x:c r="H50" t="str">
        <x:v>PG50</x:v>
      </x:c>
      <x:c r="I50" t="str">
        <x:v>https://www.carandache.com/content_files/uploaded_doc/product/10580/nuancier_luminance_fr.pdf</x:v>
      </x:c>
    </x:row>
    <x:row r="51">
      <x:c r="A51" t="str">
        <x:v>CDA-LUM-214</x:v>
      </x:c>
      <x:c r="B51" t="str">
        <x:v>LUM</x:v>
      </x:c>
      <x:c r="C51" t="str">
        <x:v>LUMINANCE 6901</x:v>
      </x:c>
      <x:c r="D51" t="str">
        <x:v>214</x:v>
      </x:c>
      <x:c r="E51" t="str">
        <x:v>Beryl green</x:v>
      </x:c>
      <x:c r="F51" t="n">
        <x:v>1</x:v>
      </x:c>
      <x:c r="G51" t="str">
        <x:v>PG7</x:v>
      </x:c>
      <x:c r="H51" t="str">
        <x:v>PG7</x:v>
      </x:c>
      <x:c r="I51" t="str">
        <x:v>https://www.carandache.com/content_files/uploaded_doc/product/10580/nuancier_luminance_fr.pdf</x:v>
      </x:c>
    </x:row>
    <x:row r="52">
      <x:c r="A52" t="str">
        <x:v>CDA-LUM-180</x:v>
      </x:c>
      <x:c r="B52" t="str">
        <x:v>LUM</x:v>
      </x:c>
      <x:c r="C52" t="str">
        <x:v>LUMINANCE 6901</x:v>
      </x:c>
      <x:c r="D52" t="str">
        <x:v>180</x:v>
      </x:c>
      <x:c r="E52" t="str">
        <x:v>Malachite green</x:v>
      </x:c>
      <x:c r="F52" t="n">
        <x:v>1</x:v>
      </x:c>
      <x:c r="G52" t="str">
        <x:v>PG7</x:v>
      </x:c>
      <x:c r="H52" t="str">
        <x:v>PG7/PBk9</x:v>
      </x:c>
      <x:c r="I52" t="str">
        <x:v>https://www.carandache.com/content_files/uploaded_doc/product/10580/nuancier_luminance_fr.pdf</x:v>
      </x:c>
    </x:row>
    <x:row r="53">
      <x:c r="A53" t="str">
        <x:v>CDA-LUM-180</x:v>
      </x:c>
      <x:c r="B53" t="str">
        <x:v>LUM</x:v>
      </x:c>
      <x:c r="C53" t="str">
        <x:v>LUMINANCE 6901</x:v>
      </x:c>
      <x:c r="D53" t="str">
        <x:v>180</x:v>
      </x:c>
      <x:c r="E53" t="str">
        <x:v>Malachite green</x:v>
      </x:c>
      <x:c r="F53" t="n">
        <x:v>2</x:v>
      </x:c>
      <x:c r="G53" t="str">
        <x:v>PBk9</x:v>
      </x:c>
      <x:c r="H53" t="str">
        <x:v>PG7/PBk9</x:v>
      </x:c>
      <x:c r="I53" t="str">
        <x:v>https://www.carandache.com/content_files/uploaded_doc/product/10580/nuancier_luminance_fr.pdf</x:v>
      </x:c>
    </x:row>
    <x:row r="54">
      <x:c r="A54" t="str">
        <x:v>CDA-LUM-185</x:v>
      </x:c>
      <x:c r="B54" t="str">
        <x:v>LUM</x:v>
      </x:c>
      <x:c r="C54" t="str">
        <x:v>LUMINANCE 6901</x:v>
      </x:c>
      <x:c r="D54" t="str">
        <x:v>185</x:v>
      </x:c>
      <x:c r="E54" t="str">
        <x:v>Ice blue</x:v>
      </x:c>
      <x:c r="F54" t="n">
        <x:v>1</x:v>
      </x:c>
      <x:c r="G54" t="str">
        <x:v>PB16</x:v>
      </x:c>
      <x:c r="H54" t="str">
        <x:v>PB16</x:v>
      </x:c>
      <x:c r="I54" t="str">
        <x:v>https://www.carandache.com/content_files/uploaded_doc/product/10580/nuancier_luminance_fr.pdf</x:v>
      </x:c>
    </x:row>
    <x:row r="55">
      <x:c r="A55" t="str">
        <x:v>CDA-LUM-159</x:v>
      </x:c>
      <x:c r="B55" t="str">
        <x:v>LUM</x:v>
      </x:c>
      <x:c r="C55" t="str">
        <x:v>LUMINANCE 6901</x:v>
      </x:c>
      <x:c r="D55" t="str">
        <x:v>159</x:v>
      </x:c>
      <x:c r="E55" t="str">
        <x:v>Prussian blue</x:v>
      </x:c>
      <x:c r="F55" t="n">
        <x:v>1</x:v>
      </x:c>
      <x:c r="G55" t="str">
        <x:v>PB27</x:v>
      </x:c>
      <x:c r="H55" t="str">
        <x:v>PB27</x:v>
      </x:c>
      <x:c r="I55" t="str">
        <x:v>https://www.carandache.com/content_files/uploaded_doc/product/10580/nuancier_luminance_fr.pdf</x:v>
      </x:c>
    </x:row>
    <x:row r="56">
      <x:c r="A56" t="str">
        <x:v>CDA-LUM-135</x:v>
      </x:c>
      <x:c r="B56" t="str">
        <x:v>LUM</x:v>
      </x:c>
      <x:c r="C56" t="str">
        <x:v>LUMINANCE 6901</x:v>
      </x:c>
      <x:c r="D56" t="str">
        <x:v>135</x:v>
      </x:c>
      <x:c r="E56" t="str">
        <x:v>Bleu de Nîmes</x:v>
      </x:c>
      <x:c r="F56" t="n">
        <x:v>1</x:v>
      </x:c>
      <x:c r="G56" t="str">
        <x:v>PB15:3</x:v>
      </x:c>
      <x:c r="H56" t="str">
        <x:v>PB15:3/PV23</x:v>
      </x:c>
      <x:c r="I56" t="str">
        <x:v>https://www.carandache.com/content_files/uploaded_doc/product/10580/nuancier_luminance_fr.pdf</x:v>
      </x:c>
    </x:row>
    <x:row r="57">
      <x:c r="A57" t="str">
        <x:v>CDA-LUM-135</x:v>
      </x:c>
      <x:c r="B57" t="str">
        <x:v>LUM</x:v>
      </x:c>
      <x:c r="C57" t="str">
        <x:v>LUMINANCE 6901</x:v>
      </x:c>
      <x:c r="D57" t="str">
        <x:v>135</x:v>
      </x:c>
      <x:c r="E57" t="str">
        <x:v>Bleu de Nîmes</x:v>
      </x:c>
      <x:c r="F57" t="n">
        <x:v>2</x:v>
      </x:c>
      <x:c r="G57" t="str">
        <x:v>PV23</x:v>
      </x:c>
      <x:c r="H57" t="str">
        <x:v>PB15:3/PV23</x:v>
      </x:c>
      <x:c r="I57" t="str">
        <x:v>https://www.carandache.com/content_files/uploaded_doc/product/10580/nuancier_luminance_fr.pdf</x:v>
      </x:c>
    </x:row>
    <x:row r="58">
      <x:c r="A58" t="str">
        <x:v>CDA-LUM-649</x:v>
      </x:c>
      <x:c r="B58" t="str">
        <x:v>LUM</x:v>
      </x:c>
      <x:c r="C58" t="str">
        <x:v>LUMINANCE 6901</x:v>
      </x:c>
      <x:c r="D58" t="str">
        <x:v>649</x:v>
      </x:c>
      <x:c r="E58" t="str">
        <x:v>Indanthrone blue</x:v>
      </x:c>
      <x:c r="F58" t="n">
        <x:v>1</x:v>
      </x:c>
      <x:c r="G58" t="str">
        <x:v>PB60</x:v>
      </x:c>
      <x:c r="H58" t="str">
        <x:v>PB60</x:v>
      </x:c>
      <x:c r="I58" t="str">
        <x:v>https://www.carandache.com/content_files/uploaded_doc/product/10580/nuancier_luminance_fr.pdf</x:v>
      </x:c>
    </x:row>
    <x:row r="59">
      <x:c r="A59" t="str">
        <x:v>CDA-LUM-739</x:v>
      </x:c>
      <x:c r="B59" t="str">
        <x:v>LUM</x:v>
      </x:c>
      <x:c r="C59" t="str">
        <x:v>LUMINANCE 6901</x:v>
      </x:c>
      <x:c r="D59" t="str">
        <x:v>739</x:v>
      </x:c>
      <x:c r="E59" t="str">
        <x:v>Dark sap green</x:v>
      </x:c>
      <x:c r="F59" t="n">
        <x:v>1</x:v>
      </x:c>
      <x:c r="G59" t="str">
        <x:v>PG7</x:v>
      </x:c>
      <x:c r="H59" t="str">
        <x:v>PG7/PBk6</x:v>
      </x:c>
      <x:c r="I59" t="str">
        <x:v>https://www.carandache.com/content_files/uploaded_doc/product/10580/nuancier_luminance_fr.pdf</x:v>
      </x:c>
    </x:row>
    <x:row r="60">
      <x:c r="A60" t="str">
        <x:v>CDA-LUM-739</x:v>
      </x:c>
      <x:c r="B60" t="str">
        <x:v>LUM</x:v>
      </x:c>
      <x:c r="C60" t="str">
        <x:v>LUMINANCE 6901</x:v>
      </x:c>
      <x:c r="D60" t="str">
        <x:v>739</x:v>
      </x:c>
      <x:c r="E60" t="str">
        <x:v>Dark sap green</x:v>
      </x:c>
      <x:c r="F60" t="n">
        <x:v>2</x:v>
      </x:c>
      <x:c r="G60" t="str">
        <x:v>PBk6</x:v>
      </x:c>
      <x:c r="H60" t="str">
        <x:v>PG7/PBk6</x:v>
      </x:c>
      <x:c r="I60" t="str">
        <x:v>https://www.carandache.com/content_files/uploaded_doc/product/10580/nuancier_luminance_fr.pdf</x:v>
      </x:c>
    </x:row>
    <x:row r="61">
      <x:c r="A61" t="str">
        <x:v>CDA-LUM-719</x:v>
      </x:c>
      <x:c r="B61" t="str">
        <x:v>LUM</x:v>
      </x:c>
      <x:c r="C61" t="str">
        <x:v>LUMINANCE 6901</x:v>
      </x:c>
      <x:c r="D61" t="str">
        <x:v>719</x:v>
      </x:c>
      <x:c r="E61" t="str">
        <x:v>Dark phthalocyanine green</x:v>
      </x:c>
      <x:c r="F61" t="n">
        <x:v>1</x:v>
      </x:c>
      <x:c r="G61" t="str">
        <x:v>PY74</x:v>
      </x:c>
      <x:c r="H61" t="str">
        <x:v>PY74/PY3/PBk7/PB15</x:v>
      </x:c>
      <x:c r="I61" t="str">
        <x:v>https://www.carandache.com/content_files/uploaded_doc/product/10580/nuancier_luminance_fr.pdf</x:v>
      </x:c>
    </x:row>
    <x:row r="62">
      <x:c r="A62" t="str">
        <x:v>CDA-LUM-719</x:v>
      </x:c>
      <x:c r="B62" t="str">
        <x:v>LUM</x:v>
      </x:c>
      <x:c r="C62" t="str">
        <x:v>LUMINANCE 6901</x:v>
      </x:c>
      <x:c r="D62" t="str">
        <x:v>719</x:v>
      </x:c>
      <x:c r="E62" t="str">
        <x:v>Dark phthalocyanine green</x:v>
      </x:c>
      <x:c r="F62" t="n">
        <x:v>2</x:v>
      </x:c>
      <x:c r="G62" t="str">
        <x:v>PY3</x:v>
      </x:c>
      <x:c r="H62" t="str">
        <x:v>PY74/PY3/PBk7/PB15</x:v>
      </x:c>
      <x:c r="I62" t="str">
        <x:v>https://www.carandache.com/content_files/uploaded_doc/product/10580/nuancier_luminance_fr.pdf</x:v>
      </x:c>
    </x:row>
    <x:row r="63">
      <x:c r="A63" t="str">
        <x:v>CDA-LUM-719</x:v>
      </x:c>
      <x:c r="B63" t="str">
        <x:v>LUM</x:v>
      </x:c>
      <x:c r="C63" t="str">
        <x:v>LUMINANCE 6901</x:v>
      </x:c>
      <x:c r="D63" t="str">
        <x:v>719</x:v>
      </x:c>
      <x:c r="E63" t="str">
        <x:v>Dark phthalocyanine green</x:v>
      </x:c>
      <x:c r="F63" t="n">
        <x:v>3</x:v>
      </x:c>
      <x:c r="G63" t="str">
        <x:v>PBk7</x:v>
      </x:c>
      <x:c r="H63" t="str">
        <x:v>PY74/PY3/PBk7/PB15</x:v>
      </x:c>
      <x:c r="I63" t="str">
        <x:v>https://www.carandache.com/content_files/uploaded_doc/product/10580/nuancier_luminance_fr.pdf</x:v>
      </x:c>
    </x:row>
    <x:row r="64">
      <x:c r="A64" t="str">
        <x:v>CDA-LUM-719</x:v>
      </x:c>
      <x:c r="B64" t="str">
        <x:v>LUM</x:v>
      </x:c>
      <x:c r="C64" t="str">
        <x:v>LUMINANCE 6901</x:v>
      </x:c>
      <x:c r="D64" t="str">
        <x:v>719</x:v>
      </x:c>
      <x:c r="E64" t="str">
        <x:v>Dark phthalocyanine green</x:v>
      </x:c>
      <x:c r="F64" t="n">
        <x:v>4</x:v>
      </x:c>
      <x:c r="G64" t="str">
        <x:v>PB15</x:v>
      </x:c>
      <x:c r="H64" t="str">
        <x:v>PY74/PY3/PBk7/PB15</x:v>
      </x:c>
      <x:c r="I64" t="str">
        <x:v>https://www.carandache.com/content_files/uploaded_doc/product/10580/nuancier_luminance_fr.pdf</x:v>
      </x:c>
    </x:row>
    <x:row r="65">
      <x:c r="A65" t="str">
        <x:v>CDA-LUM-729</x:v>
      </x:c>
      <x:c r="B65" t="str">
        <x:v>LUM</x:v>
      </x:c>
      <x:c r="C65" t="str">
        <x:v>LUMINANCE 6901</x:v>
      </x:c>
      <x:c r="D65" t="str">
        <x:v>729</x:v>
      </x:c>
      <x:c r="E65" t="str">
        <x:v>Dark english green</x:v>
      </x:c>
      <x:c r="F65" t="n">
        <x:v>1</x:v>
      </x:c>
      <x:c r="G65" t="str">
        <x:v>PG7</x:v>
      </x:c>
      <x:c r="H65" t="str">
        <x:v>PG7/PBk9</x:v>
      </x:c>
      <x:c r="I65" t="str">
        <x:v>https://www.carandache.com/content_files/uploaded_doc/product/10580/nuancier_luminance_fr.pdf</x:v>
      </x:c>
    </x:row>
    <x:row r="66">
      <x:c r="A66" t="str">
        <x:v>CDA-LUM-729</x:v>
      </x:c>
      <x:c r="B66" t="str">
        <x:v>LUM</x:v>
      </x:c>
      <x:c r="C66" t="str">
        <x:v>LUMINANCE 6901</x:v>
      </x:c>
      <x:c r="D66" t="str">
        <x:v>729</x:v>
      </x:c>
      <x:c r="E66" t="str">
        <x:v>Dark english green</x:v>
      </x:c>
      <x:c r="F66" t="n">
        <x:v>2</x:v>
      </x:c>
      <x:c r="G66" t="str">
        <x:v>PBk9</x:v>
      </x:c>
      <x:c r="H66" t="str">
        <x:v>PG7/PBk9</x:v>
      </x:c>
      <x:c r="I66" t="str">
        <x:v>https://www.carandache.com/content_files/uploaded_doc/product/10580/nuancier_luminance_fr.pdf</x:v>
      </x:c>
    </x:row>
    <x:row r="67">
      <x:c r="A67" t="str">
        <x:v>CDA-LUM-220</x:v>
      </x:c>
      <x:c r="B67" t="str">
        <x:v>LUM</x:v>
      </x:c>
      <x:c r="C67" t="str">
        <x:v>LUMINANCE 6901</x:v>
      </x:c>
      <x:c r="D67" t="str">
        <x:v>220</x:v>
      </x:c>
      <x:c r="E67" t="str">
        <x:v>Grass green</x:v>
      </x:c>
      <x:c r="F67" t="n">
        <x:v>1</x:v>
      </x:c>
      <x:c r="G67" t="str">
        <x:v>PY1</x:v>
      </x:c>
      <x:c r="H67" t="str">
        <x:v>PY1/PY3/PG7</x:v>
      </x:c>
      <x:c r="I67" t="str">
        <x:v>https://www.carandache.com/content_files/uploaded_doc/product/10580/nuancier_luminance_fr.pdf</x:v>
      </x:c>
    </x:row>
    <x:row r="68">
      <x:c r="A68" t="str">
        <x:v>CDA-LUM-220</x:v>
      </x:c>
      <x:c r="B68" t="str">
        <x:v>LUM</x:v>
      </x:c>
      <x:c r="C68" t="str">
        <x:v>LUMINANCE 6901</x:v>
      </x:c>
      <x:c r="D68" t="str">
        <x:v>220</x:v>
      </x:c>
      <x:c r="E68" t="str">
        <x:v>Grass green</x:v>
      </x:c>
      <x:c r="F68" t="n">
        <x:v>2</x:v>
      </x:c>
      <x:c r="G68" t="str">
        <x:v>PY3</x:v>
      </x:c>
      <x:c r="H68" t="str">
        <x:v>PY1/PY3/PG7</x:v>
      </x:c>
      <x:c r="I68" t="str">
        <x:v>https://www.carandache.com/content_files/uploaded_doc/product/10580/nuancier_luminance_fr.pdf</x:v>
      </x:c>
    </x:row>
    <x:row r="69">
      <x:c r="A69" t="str">
        <x:v>CDA-LUM-220</x:v>
      </x:c>
      <x:c r="B69" t="str">
        <x:v>LUM</x:v>
      </x:c>
      <x:c r="C69" t="str">
        <x:v>LUMINANCE 6901</x:v>
      </x:c>
      <x:c r="D69" t="str">
        <x:v>220</x:v>
      </x:c>
      <x:c r="E69" t="str">
        <x:v>Grass green</x:v>
      </x:c>
      <x:c r="F69" t="n">
        <x:v>3</x:v>
      </x:c>
      <x:c r="G69" t="str">
        <x:v>PG7</x:v>
      </x:c>
      <x:c r="H69" t="str">
        <x:v>PY1/PY3/PG7</x:v>
      </x:c>
      <x:c r="I69" t="str">
        <x:v>https://www.carandache.com/content_files/uploaded_doc/product/10580/nuancier_luminance_fr.pdf</x:v>
      </x:c>
    </x:row>
    <x:row r="70">
      <x:c r="A70" t="str">
        <x:v>CDA-LUM-212</x:v>
      </x:c>
      <x:c r="B70" t="str">
        <x:v>LUM</x:v>
      </x:c>
      <x:c r="C70" t="str">
        <x:v>LUMINANCE 6901</x:v>
      </x:c>
      <x:c r="D70" t="str">
        <x:v>212</x:v>
      </x:c>
      <x:c r="E70" t="str">
        <x:v>Chromium oxyde green</x:v>
      </x:c>
      <x:c r="F70" t="n">
        <x:v>1</x:v>
      </x:c>
      <x:c r="G70" t="str">
        <x:v>PG17</x:v>
      </x:c>
      <x:c r="H70" t="str">
        <x:v>PG17</x:v>
      </x:c>
      <x:c r="I70" t="str">
        <x:v>https://www.carandache.com/content_files/uploaded_doc/product/10580/nuancier_luminance_fr.pdf</x:v>
      </x:c>
    </x:row>
    <x:row r="71">
      <x:c r="A71" t="str">
        <x:v>CDA-LUM-225</x:v>
      </x:c>
      <x:c r="B71" t="str">
        <x:v>LUM</x:v>
      </x:c>
      <x:c r="C71" t="str">
        <x:v>LUMINANCE 6901</x:v>
      </x:c>
      <x:c r="D71" t="str">
        <x:v>225</x:v>
      </x:c>
      <x:c r="E71" t="str">
        <x:v>Moss green</x:v>
      </x:c>
      <x:c r="F71" t="n">
        <x:v>1</x:v>
      </x:c>
      <x:c r="G71" t="str">
        <x:v>PY3</x:v>
      </x:c>
      <x:c r="H71" t="str">
        <x:v>PY3/PB60/PBk6</x:v>
      </x:c>
      <x:c r="I71" t="str">
        <x:v>https://www.carandache.com/content_files/uploaded_doc/product/10580/nuancier_luminance_fr.pdf</x:v>
      </x:c>
    </x:row>
    <x:row r="72">
      <x:c r="A72" t="str">
        <x:v>CDA-LUM-225</x:v>
      </x:c>
      <x:c r="B72" t="str">
        <x:v>LUM</x:v>
      </x:c>
      <x:c r="C72" t="str">
        <x:v>LUMINANCE 6901</x:v>
      </x:c>
      <x:c r="D72" t="str">
        <x:v>225</x:v>
      </x:c>
      <x:c r="E72" t="str">
        <x:v>Moss green</x:v>
      </x:c>
      <x:c r="F72" t="n">
        <x:v>2</x:v>
      </x:c>
      <x:c r="G72" t="str">
        <x:v>PB60</x:v>
      </x:c>
      <x:c r="H72" t="str">
        <x:v>PY3/PB60/PBk6</x:v>
      </x:c>
      <x:c r="I72" t="str">
        <x:v>https://www.carandache.com/content_files/uploaded_doc/product/10580/nuancier_luminance_fr.pdf</x:v>
      </x:c>
    </x:row>
    <x:row r="73">
      <x:c r="A73" t="str">
        <x:v>CDA-LUM-225</x:v>
      </x:c>
      <x:c r="B73" t="str">
        <x:v>LUM</x:v>
      </x:c>
      <x:c r="C73" t="str">
        <x:v>LUMINANCE 6901</x:v>
      </x:c>
      <x:c r="D73" t="str">
        <x:v>225</x:v>
      </x:c>
      <x:c r="E73" t="str">
        <x:v>Moss green</x:v>
      </x:c>
      <x:c r="F73" t="n">
        <x:v>3</x:v>
      </x:c>
      <x:c r="G73" t="str">
        <x:v>PBk6</x:v>
      </x:c>
      <x:c r="H73" t="str">
        <x:v>PY3/PB60/PBk6</x:v>
      </x:c>
      <x:c r="I73" t="str">
        <x:v>https://www.carandache.com/content_files/uploaded_doc/product/10580/nuancier_luminance_fr.pdf</x:v>
      </x:c>
    </x:row>
    <x:row r="74">
      <x:c r="A74" t="str">
        <x:v>CDA-LUM-470</x:v>
      </x:c>
      <x:c r="B74" t="str">
        <x:v>LUM</x:v>
      </x:c>
      <x:c r="C74" t="str">
        <x:v>LUMINANCE 6901</x:v>
      </x:c>
      <x:c r="D74" t="str">
        <x:v>470</x:v>
      </x:c>
      <x:c r="E74" t="str">
        <x:v>Spring green</x:v>
      </x:c>
      <x:c r="F74" t="n">
        <x:v>1</x:v>
      </x:c>
      <x:c r="G74" t="str">
        <x:v>PY3</x:v>
      </x:c>
      <x:c r="H74" t="str">
        <x:v>PY3/PG7</x:v>
      </x:c>
      <x:c r="I74" t="str">
        <x:v>https://www.carandache.com/content_files/uploaded_doc/product/10580/nuancier_luminance_fr.pdf</x:v>
      </x:c>
    </x:row>
    <x:row r="75">
      <x:c r="A75" t="str">
        <x:v>CDA-LUM-470</x:v>
      </x:c>
      <x:c r="B75" t="str">
        <x:v>LUM</x:v>
      </x:c>
      <x:c r="C75" t="str">
        <x:v>LUMINANCE 6901</x:v>
      </x:c>
      <x:c r="D75" t="str">
        <x:v>470</x:v>
      </x:c>
      <x:c r="E75" t="str">
        <x:v>Spring green</x:v>
      </x:c>
      <x:c r="F75" t="n">
        <x:v>2</x:v>
      </x:c>
      <x:c r="G75" t="str">
        <x:v>PG7</x:v>
      </x:c>
      <x:c r="H75" t="str">
        <x:v>PY3/PG7</x:v>
      </x:c>
      <x:c r="I75" t="str">
        <x:v>https://www.carandache.com/content_files/uploaded_doc/product/10580/nuancier_luminance_fr.pdf</x:v>
      </x:c>
    </x:row>
    <x:row r="76">
      <x:c r="A76" t="str">
        <x:v>CDA-LUM-015</x:v>
      </x:c>
      <x:c r="B76" t="str">
        <x:v>LUM</x:v>
      </x:c>
      <x:c r="C76" t="str">
        <x:v>LUMINANCE 6901</x:v>
      </x:c>
      <x:c r="D76" t="str">
        <x:v>015</x:v>
      </x:c>
      <x:c r="E76" t="str">
        <x:v>Olive yellow</x:v>
      </x:c>
      <x:c r="F76" t="n">
        <x:v>1</x:v>
      </x:c>
      <x:c r="G76" t="str">
        <x:v>PBk6</x:v>
      </x:c>
      <x:c r="H76" t="str">
        <x:v>PBk6/PY3</x:v>
      </x:c>
      <x:c r="I76" t="str">
        <x:v>https://www.carandache.com/content_files/uploaded_doc/product/10580/nuancier_luminance_fr.pdf</x:v>
      </x:c>
    </x:row>
    <x:row r="77">
      <x:c r="A77" t="str">
        <x:v>CDA-LUM-015</x:v>
      </x:c>
      <x:c r="B77" t="str">
        <x:v>LUM</x:v>
      </x:c>
      <x:c r="C77" t="str">
        <x:v>LUMINANCE 6901</x:v>
      </x:c>
      <x:c r="D77" t="str">
        <x:v>015</x:v>
      </x:c>
      <x:c r="E77" t="str">
        <x:v>Olive yellow</x:v>
      </x:c>
      <x:c r="F77" t="n">
        <x:v>2</x:v>
      </x:c>
      <x:c r="G77" t="str">
        <x:v>PY3</x:v>
      </x:c>
      <x:c r="H77" t="str">
        <x:v>PBk6/PY3</x:v>
      </x:c>
      <x:c r="I77" t="str">
        <x:v>https://www.carandache.com/content_files/uploaded_doc/product/10580/nuancier_luminance_fr.pdf</x:v>
      </x:c>
    </x:row>
    <x:row r="78">
      <x:c r="A78" t="str">
        <x:v>CDA-LUM-025</x:v>
      </x:c>
      <x:c r="B78" t="str">
        <x:v>LUM</x:v>
      </x:c>
      <x:c r="C78" t="str">
        <x:v>LUMINANCE 6901</x:v>
      </x:c>
      <x:c r="D78" t="str">
        <x:v>025</x:v>
      </x:c>
      <x:c r="E78" t="str">
        <x:v>Green ochre</x:v>
      </x:c>
      <x:c r="F78" t="n">
        <x:v>1</x:v>
      </x:c>
      <x:c r="G78" t="str">
        <x:v>PY3</x:v>
      </x:c>
      <x:c r="H78" t="str">
        <x:v>PY3/PY42/PY13/PO62/PBk6</x:v>
      </x:c>
      <x:c r="I78" t="str">
        <x:v>https://www.carandache.com/content_files/uploaded_doc/product/10580/nuancier_luminance_fr.pdf</x:v>
      </x:c>
    </x:row>
    <x:row r="79">
      <x:c r="A79" t="str">
        <x:v>CDA-LUM-025</x:v>
      </x:c>
      <x:c r="B79" t="str">
        <x:v>LUM</x:v>
      </x:c>
      <x:c r="C79" t="str">
        <x:v>LUMINANCE 6901</x:v>
      </x:c>
      <x:c r="D79" t="str">
        <x:v>025</x:v>
      </x:c>
      <x:c r="E79" t="str">
        <x:v>Green ochre</x:v>
      </x:c>
      <x:c r="F79" t="n">
        <x:v>2</x:v>
      </x:c>
      <x:c r="G79" t="str">
        <x:v>PY42</x:v>
      </x:c>
      <x:c r="H79" t="str">
        <x:v>PY3/PY42/PY13/PO62/PBk6</x:v>
      </x:c>
      <x:c r="I79" t="str">
        <x:v>https://www.carandache.com/content_files/uploaded_doc/product/10580/nuancier_luminance_fr.pdf</x:v>
      </x:c>
    </x:row>
    <x:row r="80">
      <x:c r="A80" t="str">
        <x:v>CDA-LUM-025</x:v>
      </x:c>
      <x:c r="B80" t="str">
        <x:v>LUM</x:v>
      </x:c>
      <x:c r="C80" t="str">
        <x:v>LUMINANCE 6901</x:v>
      </x:c>
      <x:c r="D80" t="str">
        <x:v>025</x:v>
      </x:c>
      <x:c r="E80" t="str">
        <x:v>Green ochre</x:v>
      </x:c>
      <x:c r="F80" t="n">
        <x:v>3</x:v>
      </x:c>
      <x:c r="G80" t="str">
        <x:v>PY13</x:v>
      </x:c>
      <x:c r="H80" t="str">
        <x:v>PY3/PY42/PY13/PO62/PBk6</x:v>
      </x:c>
      <x:c r="I80" t="str">
        <x:v>https://www.carandache.com/content_files/uploaded_doc/product/10580/nuancier_luminance_fr.pdf</x:v>
      </x:c>
    </x:row>
    <x:row r="81">
      <x:c r="A81" t="str">
        <x:v>CDA-LUM-025</x:v>
      </x:c>
      <x:c r="B81" t="str">
        <x:v>LUM</x:v>
      </x:c>
      <x:c r="C81" t="str">
        <x:v>LUMINANCE 6901</x:v>
      </x:c>
      <x:c r="D81" t="str">
        <x:v>025</x:v>
      </x:c>
      <x:c r="E81" t="str">
        <x:v>Green ochre</x:v>
      </x:c>
      <x:c r="F81" t="n">
        <x:v>4</x:v>
      </x:c>
      <x:c r="G81" t="str">
        <x:v>PO62</x:v>
      </x:c>
      <x:c r="H81" t="str">
        <x:v>PY3/PY42/PY13/PO62/PBk6</x:v>
      </x:c>
      <x:c r="I81" t="str">
        <x:v>https://www.carandache.com/content_files/uploaded_doc/product/10580/nuancier_luminance_fr.pdf</x:v>
      </x:c>
    </x:row>
    <x:row r="82">
      <x:c r="A82" t="str">
        <x:v>CDA-LUM-025</x:v>
      </x:c>
      <x:c r="B82" t="str">
        <x:v>LUM</x:v>
      </x:c>
      <x:c r="C82" t="str">
        <x:v>LUMINANCE 6901</x:v>
      </x:c>
      <x:c r="D82" t="str">
        <x:v>025</x:v>
      </x:c>
      <x:c r="E82" t="str">
        <x:v>Green ochre</x:v>
      </x:c>
      <x:c r="F82" t="n">
        <x:v>5</x:v>
      </x:c>
      <x:c r="G82" t="str">
        <x:v>PBk6</x:v>
      </x:c>
      <x:c r="H82" t="str">
        <x:v>PY3/PY42/PY13/PO62/PBk6</x:v>
      </x:c>
      <x:c r="I82" t="str">
        <x:v>https://www.carandache.com/content_files/uploaded_doc/product/10580/nuancier_luminance_fr.pdf</x:v>
      </x:c>
    </x:row>
    <x:row r="83">
      <x:c r="A83" t="str">
        <x:v>CDA-LUM-736</x:v>
      </x:c>
      <x:c r="B83" t="str">
        <x:v>LUM</x:v>
      </x:c>
      <x:c r="C83" t="str">
        <x:v>LUMINANCE 6901</x:v>
      </x:c>
      <x:c r="D83" t="str">
        <x:v>736</x:v>
      </x:c>
      <x:c r="E83" t="str">
        <x:v>Brown olive 50%</x:v>
      </x:c>
      <x:c r="F83" t="n">
        <x:v>1</x:v>
      </x:c>
      <x:c r="G83" t="str">
        <x:v>PY42</x:v>
      </x:c>
      <x:c r="H83" t="str">
        <x:v>PY42/PBk9</x:v>
      </x:c>
      <x:c r="I83" t="str">
        <x:v>https://www.carandache.com/content_files/uploaded_doc/product/10580/nuancier_luminance_fr.pdf</x:v>
      </x:c>
    </x:row>
    <x:row r="84">
      <x:c r="A84" t="str">
        <x:v>CDA-LUM-736</x:v>
      </x:c>
      <x:c r="B84" t="str">
        <x:v>LUM</x:v>
      </x:c>
      <x:c r="C84" t="str">
        <x:v>LUMINANCE 6901</x:v>
      </x:c>
      <x:c r="D84" t="str">
        <x:v>736</x:v>
      </x:c>
      <x:c r="E84" t="str">
        <x:v>Brown olive 50%</x:v>
      </x:c>
      <x:c r="F84" t="n">
        <x:v>2</x:v>
      </x:c>
      <x:c r="G84" t="str">
        <x:v>PBk9</x:v>
      </x:c>
      <x:c r="H84" t="str">
        <x:v>PY42/PBk9</x:v>
      </x:c>
      <x:c r="I84" t="str">
        <x:v>https://www.carandache.com/content_files/uploaded_doc/product/10580/nuancier_luminance_fr.pdf</x:v>
      </x:c>
    </x:row>
    <x:row r="85">
      <x:c r="A85" t="str">
        <x:v>CDA-LUM-846</x:v>
      </x:c>
      <x:c r="B85" t="str">
        <x:v>LUM</x:v>
      </x:c>
      <x:c r="C85" t="str">
        <x:v>LUMINANCE 6901</x:v>
      </x:c>
      <x:c r="D85" t="str">
        <x:v>846</x:v>
      </x:c>
      <x:c r="E85" t="str">
        <x:v>Raw umber 50%</x:v>
      </x:c>
      <x:c r="F85" t="n">
        <x:v>1</x:v>
      </x:c>
      <x:c r="G85" t="str">
        <x:v>PR101</x:v>
      </x:c>
      <x:c r="H85" t="str">
        <x:v>PR101/PY42/PBk11</x:v>
      </x:c>
      <x:c r="I85" t="str">
        <x:v>https://www.carandache.com/content_files/uploaded_doc/product/10580/nuancier_luminance_fr.pdf</x:v>
      </x:c>
    </x:row>
    <x:row r="86">
      <x:c r="A86" t="str">
        <x:v>CDA-LUM-846</x:v>
      </x:c>
      <x:c r="B86" t="str">
        <x:v>LUM</x:v>
      </x:c>
      <x:c r="C86" t="str">
        <x:v>LUMINANCE 6901</x:v>
      </x:c>
      <x:c r="D86" t="str">
        <x:v>846</x:v>
      </x:c>
      <x:c r="E86" t="str">
        <x:v>Raw umber 50%</x:v>
      </x:c>
      <x:c r="F86" t="n">
        <x:v>2</x:v>
      </x:c>
      <x:c r="G86" t="str">
        <x:v>PY42</x:v>
      </x:c>
      <x:c r="H86" t="str">
        <x:v>PR101/PY42/PBk11</x:v>
      </x:c>
      <x:c r="I86" t="str">
        <x:v>https://www.carandache.com/content_files/uploaded_doc/product/10580/nuancier_luminance_fr.pdf</x:v>
      </x:c>
    </x:row>
    <x:row r="87">
      <x:c r="A87" t="str">
        <x:v>CDA-LUM-846</x:v>
      </x:c>
      <x:c r="B87" t="str">
        <x:v>LUM</x:v>
      </x:c>
      <x:c r="C87" t="str">
        <x:v>LUMINANCE 6901</x:v>
      </x:c>
      <x:c r="D87" t="str">
        <x:v>846</x:v>
      </x:c>
      <x:c r="E87" t="str">
        <x:v>Raw umber 50%</x:v>
      </x:c>
      <x:c r="F87" t="n">
        <x:v>3</x:v>
      </x:c>
      <x:c r="G87" t="str">
        <x:v>PBk11</x:v>
      </x:c>
      <x:c r="H87" t="str">
        <x:v>PR101/PY42/PBk11</x:v>
      </x:c>
      <x:c r="I87" t="str">
        <x:v>https://www.carandache.com/content_files/uploaded_doc/product/10580/nuancier_luminance_fr.pdf</x:v>
      </x:c>
    </x:row>
    <x:row r="88">
      <x:c r="A88" t="str">
        <x:v>CDA-LUM-039</x:v>
      </x:c>
      <x:c r="B88" t="str">
        <x:v>LUM</x:v>
      </x:c>
      <x:c r="C88" t="str">
        <x:v>LUMINANCE 6901</x:v>
      </x:c>
      <x:c r="D88" t="str">
        <x:v>039</x:v>
      </x:c>
      <x:c r="E88" t="str">
        <x:v>Olive brown</x:v>
      </x:c>
      <x:c r="F88" t="n">
        <x:v>1</x:v>
      </x:c>
      <x:c r="G88" t="str">
        <x:v>PY42</x:v>
      </x:c>
      <x:c r="H88" t="str">
        <x:v>PY42/PBk9</x:v>
      </x:c>
      <x:c r="I88" t="str">
        <x:v>https://www.carandache.com/content_files/uploaded_doc/product/10580/nuancier_luminance_fr.pdf</x:v>
      </x:c>
    </x:row>
    <x:row r="89">
      <x:c r="A89" t="str">
        <x:v>CDA-LUM-039</x:v>
      </x:c>
      <x:c r="B89" t="str">
        <x:v>LUM</x:v>
      </x:c>
      <x:c r="C89" t="str">
        <x:v>LUMINANCE 6901</x:v>
      </x:c>
      <x:c r="D89" t="str">
        <x:v>039</x:v>
      </x:c>
      <x:c r="E89" t="str">
        <x:v>Olive brown</x:v>
      </x:c>
      <x:c r="F89" t="n">
        <x:v>2</x:v>
      </x:c>
      <x:c r="G89" t="str">
        <x:v>PBk9</x:v>
      </x:c>
      <x:c r="H89" t="str">
        <x:v>PY42/PBk9</x:v>
      </x:c>
      <x:c r="I89" t="str">
        <x:v>https://www.carandache.com/content_files/uploaded_doc/product/10580/nuancier_luminance_fr.pdf</x:v>
      </x:c>
    </x:row>
    <x:row r="90">
      <x:c r="A90" t="str">
        <x:v>CDA-LUM-548</x:v>
      </x:c>
      <x:c r="B90" t="str">
        <x:v>LUM</x:v>
      </x:c>
      <x:c r="C90" t="str">
        <x:v>LUMINANCE 6901</x:v>
      </x:c>
      <x:c r="D90" t="str">
        <x:v>548</x:v>
      </x:c>
      <x:c r="E90" t="str">
        <x:v>Raw umber</x:v>
      </x:c>
      <x:c r="F90" t="n">
        <x:v>1</x:v>
      </x:c>
      <x:c r="G90" t="str">
        <x:v>PR101</x:v>
      </x:c>
      <x:c r="H90" t="str">
        <x:v>PR101/PY42/PBk11</x:v>
      </x:c>
      <x:c r="I90" t="str">
        <x:v>https://www.carandache.com/content_files/uploaded_doc/product/10580/nuancier_luminance_fr.pdf</x:v>
      </x:c>
    </x:row>
    <x:row r="91">
      <x:c r="A91" t="str">
        <x:v>CDA-LUM-548</x:v>
      </x:c>
      <x:c r="B91" t="str">
        <x:v>LUM</x:v>
      </x:c>
      <x:c r="C91" t="str">
        <x:v>LUMINANCE 6901</x:v>
      </x:c>
      <x:c r="D91" t="str">
        <x:v>548</x:v>
      </x:c>
      <x:c r="E91" t="str">
        <x:v>Raw umber</x:v>
      </x:c>
      <x:c r="F91" t="n">
        <x:v>2</x:v>
      </x:c>
      <x:c r="G91" t="str">
        <x:v>PY42</x:v>
      </x:c>
      <x:c r="H91" t="str">
        <x:v>PR101/PY42/PBk11</x:v>
      </x:c>
      <x:c r="I91" t="str">
        <x:v>https://www.carandache.com/content_files/uploaded_doc/product/10580/nuancier_luminance_fr.pdf</x:v>
      </x:c>
    </x:row>
    <x:row r="92">
      <x:c r="A92" t="str">
        <x:v>CDA-LUM-548</x:v>
      </x:c>
      <x:c r="B92" t="str">
        <x:v>LUM</x:v>
      </x:c>
      <x:c r="C92" t="str">
        <x:v>LUMINANCE 6901</x:v>
      </x:c>
      <x:c r="D92" t="str">
        <x:v>548</x:v>
      </x:c>
      <x:c r="E92" t="str">
        <x:v>Raw umber</x:v>
      </x:c>
      <x:c r="F92" t="n">
        <x:v>3</x:v>
      </x:c>
      <x:c r="G92" t="str">
        <x:v>PBk11</x:v>
      </x:c>
      <x:c r="H92" t="str">
        <x:v>PR101/PY42/PBk11</x:v>
      </x:c>
      <x:c r="I92" t="str">
        <x:v>https://www.carandache.com/content_files/uploaded_doc/product/10580/nuancier_luminance_fr.pdf</x:v>
      </x:c>
    </x:row>
    <x:row r="93">
      <x:c r="A93" t="str">
        <x:v>CDA-LUM-037</x:v>
      </x:c>
      <x:c r="B93" t="str">
        <x:v>LUM</x:v>
      </x:c>
      <x:c r="C93" t="str">
        <x:v>LUMINANCE 6901</x:v>
      </x:c>
      <x:c r="D93" t="str">
        <x:v>037</x:v>
      </x:c>
      <x:c r="E93" t="str">
        <x:v>Brown ochre</x:v>
      </x:c>
      <x:c r="F93" t="n">
        <x:v>1</x:v>
      </x:c>
      <x:c r="G93" t="str">
        <x:v>PY42</x:v>
      </x:c>
      <x:c r="H93" t="str">
        <x:v>PY42/PR101/PBk9</x:v>
      </x:c>
      <x:c r="I93" t="str">
        <x:v>https://www.carandache.com/content_files/uploaded_doc/product/10580/nuancier_luminance_fr.pdf</x:v>
      </x:c>
    </x:row>
    <x:row r="94">
      <x:c r="A94" t="str">
        <x:v>CDA-LUM-037</x:v>
      </x:c>
      <x:c r="B94" t="str">
        <x:v>LUM</x:v>
      </x:c>
      <x:c r="C94" t="str">
        <x:v>LUMINANCE 6901</x:v>
      </x:c>
      <x:c r="D94" t="str">
        <x:v>037</x:v>
      </x:c>
      <x:c r="E94" t="str">
        <x:v>Brown ochre</x:v>
      </x:c>
      <x:c r="F94" t="n">
        <x:v>2</x:v>
      </x:c>
      <x:c r="G94" t="str">
        <x:v>PR101</x:v>
      </x:c>
      <x:c r="H94" t="str">
        <x:v>PY42/PR101/PBk9</x:v>
      </x:c>
      <x:c r="I94" t="str">
        <x:v>https://www.carandache.com/content_files/uploaded_doc/product/10580/nuancier_luminance_fr.pdf</x:v>
      </x:c>
    </x:row>
    <x:row r="95">
      <x:c r="A95" t="str">
        <x:v>CDA-LUM-037</x:v>
      </x:c>
      <x:c r="B95" t="str">
        <x:v>LUM</x:v>
      </x:c>
      <x:c r="C95" t="str">
        <x:v>LUMINANCE 6901</x:v>
      </x:c>
      <x:c r="D95" t="str">
        <x:v>037</x:v>
      </x:c>
      <x:c r="E95" t="str">
        <x:v>Brown ochre</x:v>
      </x:c>
      <x:c r="F95" t="n">
        <x:v>3</x:v>
      </x:c>
      <x:c r="G95" t="str">
        <x:v>PBk9</x:v>
      </x:c>
      <x:c r="H95" t="str">
        <x:v>PY42/PR101/PBk9</x:v>
      </x:c>
      <x:c r="I95" t="str">
        <x:v>https://www.carandache.com/content_files/uploaded_doc/product/10580/nuancier_luminance_fr.pdf</x:v>
      </x:c>
    </x:row>
    <x:row r="96">
      <x:c r="A96" t="str">
        <x:v>CDA-LUM-036</x:v>
      </x:c>
      <x:c r="B96" t="str">
        <x:v>LUM</x:v>
      </x:c>
      <x:c r="C96" t="str">
        <x:v>LUMINANCE 6901</x:v>
      </x:c>
      <x:c r="D96" t="str">
        <x:v>036</x:v>
      </x:c>
      <x:c r="E96" t="str">
        <x:v>Raw sienna</x:v>
      </x:c>
      <x:c r="F96" t="n">
        <x:v>1</x:v>
      </x:c>
      <x:c r="G96" t="str">
        <x:v>PY42</x:v>
      </x:c>
      <x:c r="H96" t="str">
        <x:v>PY42</x:v>
      </x:c>
      <x:c r="I96" t="str">
        <x:v>https://www.carandache.com/content_files/uploaded_doc/product/10580/nuancier_luminance_fr.pdf</x:v>
      </x:c>
    </x:row>
    <x:row r="97">
      <x:c r="A97" t="str">
        <x:v>CDA-LUM-034</x:v>
      </x:c>
      <x:c r="B97" t="str">
        <x:v>LUM</x:v>
      </x:c>
      <x:c r="C97" t="str">
        <x:v>LUMINANCE 6901</x:v>
      </x:c>
      <x:c r="D97" t="str">
        <x:v>034</x:v>
      </x:c>
      <x:c r="E97" t="str">
        <x:v>Yellow ochre</x:v>
      </x:c>
      <x:c r="F97" t="n">
        <x:v>1</x:v>
      </x:c>
      <x:c r="G97" t="str">
        <x:v>PY42</x:v>
      </x:c>
      <x:c r="H97" t="str">
        <x:v>PY42/PY3</x:v>
      </x:c>
      <x:c r="I97" t="str">
        <x:v>https://www.carandache.com/content_files/uploaded_doc/product/10580/nuancier_luminance_fr.pdf</x:v>
      </x:c>
    </x:row>
    <x:row r="98">
      <x:c r="A98" t="str">
        <x:v>CDA-LUM-034</x:v>
      </x:c>
      <x:c r="B98" t="str">
        <x:v>LUM</x:v>
      </x:c>
      <x:c r="C98" t="str">
        <x:v>LUMINANCE 6901</x:v>
      </x:c>
      <x:c r="D98" t="str">
        <x:v>034</x:v>
      </x:c>
      <x:c r="E98" t="str">
        <x:v>Yellow ochre</x:v>
      </x:c>
      <x:c r="F98" t="n">
        <x:v>2</x:v>
      </x:c>
      <x:c r="G98" t="str">
        <x:v>PY3</x:v>
      </x:c>
      <x:c r="H98" t="str">
        <x:v>PY42/PY3</x:v>
      </x:c>
      <x:c r="I98" t="str">
        <x:v>https://www.carandache.com/content_files/uploaded_doc/product/10580/nuancier_luminance_fr.pdf</x:v>
      </x:c>
    </x:row>
    <x:row r="99">
      <x:c r="A99" t="str">
        <x:v>CDA-LUM-836</x:v>
      </x:c>
      <x:c r="B99" t="str">
        <x:v>LUM</x:v>
      </x:c>
      <x:c r="C99" t="str">
        <x:v>LUMINANCE 6901</x:v>
      </x:c>
      <x:c r="D99" t="str">
        <x:v>836</x:v>
      </x:c>
      <x:c r="E99" t="str">
        <x:v>Brown ochre 50%</x:v>
      </x:c>
      <x:c r="F99" t="n">
        <x:v>1</x:v>
      </x:c>
      <x:c r="G99" t="str">
        <x:v>PR101</x:v>
      </x:c>
      <x:c r="H99" t="str">
        <x:v>PR101/PY42/PBk9</x:v>
      </x:c>
      <x:c r="I99" t="str">
        <x:v>https://www.carandache.com/content_files/uploaded_doc/product/10580/nuancier_luminance_fr.pdf</x:v>
      </x:c>
    </x:row>
    <x:row r="100">
      <x:c r="A100" t="str">
        <x:v>CDA-LUM-836</x:v>
      </x:c>
      <x:c r="B100" t="str">
        <x:v>LUM</x:v>
      </x:c>
      <x:c r="C100" t="str">
        <x:v>LUMINANCE 6901</x:v>
      </x:c>
      <x:c r="D100" t="str">
        <x:v>836</x:v>
      </x:c>
      <x:c r="E100" t="str">
        <x:v>Brown ochre 50%</x:v>
      </x:c>
      <x:c r="F100" t="n">
        <x:v>2</x:v>
      </x:c>
      <x:c r="G100" t="str">
        <x:v>PY42</x:v>
      </x:c>
      <x:c r="H100" t="str">
        <x:v>PR101/PY42/PBk9</x:v>
      </x:c>
      <x:c r="I100" t="str">
        <x:v>https://www.carandache.com/content_files/uploaded_doc/product/10580/nuancier_luminance_fr.pdf</x:v>
      </x:c>
    </x:row>
    <x:row r="101">
      <x:c r="A101" t="str">
        <x:v>CDA-LUM-836</x:v>
      </x:c>
      <x:c r="B101" t="str">
        <x:v>LUM</x:v>
      </x:c>
      <x:c r="C101" t="str">
        <x:v>LUMINANCE 6901</x:v>
      </x:c>
      <x:c r="D101" t="str">
        <x:v>836</x:v>
      </x:c>
      <x:c r="E101" t="str">
        <x:v>Brown ochre 50%</x:v>
      </x:c>
      <x:c r="F101" t="n">
        <x:v>3</x:v>
      </x:c>
      <x:c r="G101" t="str">
        <x:v>PBk9</x:v>
      </x:c>
      <x:c r="H101" t="str">
        <x:v>PR101/PY42/PBk9</x:v>
      </x:c>
      <x:c r="I101" t="str">
        <x:v>https://www.carandache.com/content_files/uploaded_doc/product/10580/nuancier_luminance_fr.pdf</x:v>
      </x:c>
    </x:row>
    <x:row r="102">
      <x:c r="A102" t="str">
        <x:v>CDA-LUM-741</x:v>
      </x:c>
      <x:c r="B102" t="str">
        <x:v>LUM</x:v>
      </x:c>
      <x:c r="C102" t="str">
        <x:v>LUMINANCE 6901</x:v>
      </x:c>
      <x:c r="D102" t="str">
        <x:v>741</x:v>
      </x:c>
      <x:c r="E102" t="str">
        <x:v>Warm earth 5%</x:v>
      </x:c>
      <x:c r="F102" t="n">
        <x:v>1</x:v>
      </x:c>
      <x:c r="G102" t="str">
        <x:v>PY42</x:v>
      </x:c>
      <x:c r="H102" t="str">
        <x:v>PY42/PR101/PBk6</x:v>
      </x:c>
      <x:c r="I102" t="str">
        <x:v>https://www.carandache.com/content_files/uploaded_doc/product/10580/nuancier_luminance_fr.pdf</x:v>
      </x:c>
    </x:row>
    <x:row r="103">
      <x:c r="A103" t="str">
        <x:v>CDA-LUM-741</x:v>
      </x:c>
      <x:c r="B103" t="str">
        <x:v>LUM</x:v>
      </x:c>
      <x:c r="C103" t="str">
        <x:v>LUMINANCE 6901</x:v>
      </x:c>
      <x:c r="D103" t="str">
        <x:v>741</x:v>
      </x:c>
      <x:c r="E103" t="str">
        <x:v>Warm earth 5%</x:v>
      </x:c>
      <x:c r="F103" t="n">
        <x:v>2</x:v>
      </x:c>
      <x:c r="G103" t="str">
        <x:v>PR101</x:v>
      </x:c>
      <x:c r="H103" t="str">
        <x:v>PY42/PR101/PBk6</x:v>
      </x:c>
      <x:c r="I103" t="str">
        <x:v>https://www.carandache.com/content_files/uploaded_doc/product/10580/nuancier_luminance_fr.pdf</x:v>
      </x:c>
    </x:row>
    <x:row r="104">
      <x:c r="A104" t="str">
        <x:v>CDA-LUM-741</x:v>
      </x:c>
      <x:c r="B104" t="str">
        <x:v>LUM</x:v>
      </x:c>
      <x:c r="C104" t="str">
        <x:v>LUMINANCE 6901</x:v>
      </x:c>
      <x:c r="D104" t="str">
        <x:v>741</x:v>
      </x:c>
      <x:c r="E104" t="str">
        <x:v>Warm earth 5%</x:v>
      </x:c>
      <x:c r="F104" t="n">
        <x:v>3</x:v>
      </x:c>
      <x:c r="G104" t="str">
        <x:v>PBk6</x:v>
      </x:c>
      <x:c r="H104" t="str">
        <x:v>PY42/PR101/PBk6</x:v>
      </x:c>
      <x:c r="I104" t="str">
        <x:v>https://www.carandache.com/content_files/uploaded_doc/product/10580/nuancier_luminance_fr.pdf</x:v>
      </x:c>
    </x:row>
    <x:row r="105">
      <x:c r="A105" t="str">
        <x:v>CDA-LUM-876</x:v>
      </x:c>
      <x:c r="B105" t="str">
        <x:v>LUM</x:v>
      </x:c>
      <x:c r="C105" t="str">
        <x:v>LUMINANCE 6901</x:v>
      </x:c>
      <x:c r="D105" t="str">
        <x:v>876</x:v>
      </x:c>
      <x:c r="E105" t="str">
        <x:v>Burnt ochre 50%</x:v>
      </x:c>
      <x:c r="F105" t="n">
        <x:v>1</x:v>
      </x:c>
      <x:c r="G105" t="str">
        <x:v>PR101</x:v>
      </x:c>
      <x:c r="H105" t="str">
        <x:v>PR101/PY42</x:v>
      </x:c>
      <x:c r="I105" t="str">
        <x:v>https://www.carandache.com/content_files/uploaded_doc/product/10580/nuancier_luminance_fr.pdf</x:v>
      </x:c>
    </x:row>
    <x:row r="106">
      <x:c r="A106" t="str">
        <x:v>CDA-LUM-876</x:v>
      </x:c>
      <x:c r="B106" t="str">
        <x:v>LUM</x:v>
      </x:c>
      <x:c r="C106" t="str">
        <x:v>LUMINANCE 6901</x:v>
      </x:c>
      <x:c r="D106" t="str">
        <x:v>876</x:v>
      </x:c>
      <x:c r="E106" t="str">
        <x:v>Burnt ochre 50%</x:v>
      </x:c>
      <x:c r="F106" t="n">
        <x:v>2</x:v>
      </x:c>
      <x:c r="G106" t="str">
        <x:v>PY42</x:v>
      </x:c>
      <x:c r="H106" t="str">
        <x:v>PR101/PY42</x:v>
      </x:c>
      <x:c r="I106" t="str">
        <x:v>https://www.carandache.com/content_files/uploaded_doc/product/10580/nuancier_luminance_fr.pdf</x:v>
      </x:c>
    </x:row>
    <x:row r="107">
      <x:c r="A107" t="str">
        <x:v>CDA-LUM-077</x:v>
      </x:c>
      <x:c r="B107" t="str">
        <x:v>LUM</x:v>
      </x:c>
      <x:c r="C107" t="str">
        <x:v>LUMINANCE 6901</x:v>
      </x:c>
      <x:c r="D107" t="str">
        <x:v>077</x:v>
      </x:c>
      <x:c r="E107" t="str">
        <x:v>Burnt ochre</x:v>
      </x:c>
      <x:c r="F107" t="n">
        <x:v>1</x:v>
      </x:c>
      <x:c r="G107" t="str">
        <x:v>PY42</x:v>
      </x:c>
      <x:c r="H107" t="str">
        <x:v>PY42/PR101</x:v>
      </x:c>
      <x:c r="I107" t="str">
        <x:v>https://www.carandache.com/content_files/uploaded_doc/product/10580/nuancier_luminance_fr.pdf</x:v>
      </x:c>
    </x:row>
    <x:row r="108">
      <x:c r="A108" t="str">
        <x:v>CDA-LUM-077</x:v>
      </x:c>
      <x:c r="B108" t="str">
        <x:v>LUM</x:v>
      </x:c>
      <x:c r="C108" t="str">
        <x:v>LUMINANCE 6901</x:v>
      </x:c>
      <x:c r="D108" t="str">
        <x:v>077</x:v>
      </x:c>
      <x:c r="E108" t="str">
        <x:v>Burnt ochre</x:v>
      </x:c>
      <x:c r="F108" t="n">
        <x:v>2</x:v>
      </x:c>
      <x:c r="G108" t="str">
        <x:v>PR101</x:v>
      </x:c>
      <x:c r="H108" t="str">
        <x:v>PY42/PR101</x:v>
      </x:c>
      <x:c r="I108" t="str">
        <x:v>https://www.carandache.com/content_files/uploaded_doc/product/10580/nuancier_luminance_fr.pdf</x:v>
      </x:c>
    </x:row>
    <x:row r="109">
      <x:c r="A109" t="str">
        <x:v>CDA-LUM-745</x:v>
      </x:c>
      <x:c r="B109" t="str">
        <x:v>LUM</x:v>
      </x:c>
      <x:c r="C109" t="str">
        <x:v>LUMINANCE 6901</x:v>
      </x:c>
      <x:c r="D109" t="str">
        <x:v>745</x:v>
      </x:c>
      <x:c r="E109" t="str">
        <x:v>Warm earth 40%</x:v>
      </x:c>
      <x:c r="F109" t="n">
        <x:v>1</x:v>
      </x:c>
      <x:c r="G109" t="str">
        <x:v>PR101</x:v>
      </x:c>
      <x:c r="H109" t="str">
        <x:v>PR101/PO82/PY42/PBk7/PBr7/PBk11</x:v>
      </x:c>
      <x:c r="I109" t="str">
        <x:v>https://www.carandache.com/content_files/uploaded_doc/product/10580/nuancier_luminance_fr.pdf</x:v>
      </x:c>
    </x:row>
    <x:row r="110">
      <x:c r="A110" t="str">
        <x:v>CDA-LUM-745</x:v>
      </x:c>
      <x:c r="B110" t="str">
        <x:v>LUM</x:v>
      </x:c>
      <x:c r="C110" t="str">
        <x:v>LUMINANCE 6901</x:v>
      </x:c>
      <x:c r="D110" t="str">
        <x:v>745</x:v>
      </x:c>
      <x:c r="E110" t="str">
        <x:v>Warm earth 40%</x:v>
      </x:c>
      <x:c r="F110" t="n">
        <x:v>2</x:v>
      </x:c>
      <x:c r="G110" t="str">
        <x:v>PO82</x:v>
      </x:c>
      <x:c r="H110" t="str">
        <x:v>PR101/PO82/PY42/PBk7/PBr7/PBk11</x:v>
      </x:c>
      <x:c r="I110" t="str">
        <x:v>https://www.carandache.com/content_files/uploaded_doc/product/10580/nuancier_luminance_fr.pdf</x:v>
      </x:c>
    </x:row>
    <x:row r="111">
      <x:c r="A111" t="str">
        <x:v>CDA-LUM-745</x:v>
      </x:c>
      <x:c r="B111" t="str">
        <x:v>LUM</x:v>
      </x:c>
      <x:c r="C111" t="str">
        <x:v>LUMINANCE 6901</x:v>
      </x:c>
      <x:c r="D111" t="str">
        <x:v>745</x:v>
      </x:c>
      <x:c r="E111" t="str">
        <x:v>Warm earth 40%</x:v>
      </x:c>
      <x:c r="F111" t="n">
        <x:v>3</x:v>
      </x:c>
      <x:c r="G111" t="str">
        <x:v>PY42</x:v>
      </x:c>
      <x:c r="H111" t="str">
        <x:v>PR101/PO82/PY42/PBk7/PBr7/PBk11</x:v>
      </x:c>
      <x:c r="I111" t="str">
        <x:v>https://www.carandache.com/content_files/uploaded_doc/product/10580/nuancier_luminance_fr.pdf</x:v>
      </x:c>
    </x:row>
    <x:row r="112">
      <x:c r="A112" t="str">
        <x:v>CDA-LUM-745</x:v>
      </x:c>
      <x:c r="B112" t="str">
        <x:v>LUM</x:v>
      </x:c>
      <x:c r="C112" t="str">
        <x:v>LUMINANCE 6901</x:v>
      </x:c>
      <x:c r="D112" t="str">
        <x:v>745</x:v>
      </x:c>
      <x:c r="E112" t="str">
        <x:v>Warm earth 40%</x:v>
      </x:c>
      <x:c r="F112" t="n">
        <x:v>4</x:v>
      </x:c>
      <x:c r="G112" t="str">
        <x:v>PBk7</x:v>
      </x:c>
      <x:c r="H112" t="str">
        <x:v>PR101/PO82/PY42/PBk7/PBr7/PBk11</x:v>
      </x:c>
      <x:c r="I112" t="str">
        <x:v>https://www.carandache.com/content_files/uploaded_doc/product/10580/nuancier_luminance_fr.pdf</x:v>
      </x:c>
    </x:row>
    <x:row r="113">
      <x:c r="A113" t="str">
        <x:v>CDA-LUM-745</x:v>
      </x:c>
      <x:c r="B113" t="str">
        <x:v>LUM</x:v>
      </x:c>
      <x:c r="C113" t="str">
        <x:v>LUMINANCE 6901</x:v>
      </x:c>
      <x:c r="D113" t="str">
        <x:v>745</x:v>
      </x:c>
      <x:c r="E113" t="str">
        <x:v>Warm earth 40%</x:v>
      </x:c>
      <x:c r="F113" t="n">
        <x:v>5</x:v>
      </x:c>
      <x:c r="G113" t="str">
        <x:v>PBr7</x:v>
      </x:c>
      <x:c r="H113" t="str">
        <x:v>PR101/PO82/PY42/PBk7/PBr7/PBk11</x:v>
      </x:c>
      <x:c r="I113" t="str">
        <x:v>https://www.carandache.com/content_files/uploaded_doc/product/10580/nuancier_luminance_fr.pdf</x:v>
      </x:c>
    </x:row>
    <x:row r="114">
      <x:c r="A114" t="str">
        <x:v>CDA-LUM-745</x:v>
      </x:c>
      <x:c r="B114" t="str">
        <x:v>LUM</x:v>
      </x:c>
      <x:c r="C114" t="str">
        <x:v>LUMINANCE 6901</x:v>
      </x:c>
      <x:c r="D114" t="str">
        <x:v>745</x:v>
      </x:c>
      <x:c r="E114" t="str">
        <x:v>Warm earth 40%</x:v>
      </x:c>
      <x:c r="F114" t="n">
        <x:v>6</x:v>
      </x:c>
      <x:c r="G114" t="str">
        <x:v>PBk11</x:v>
      </x:c>
      <x:c r="H114" t="str">
        <x:v>PR101/PO82/PY42/PBk7/PBr7/PBk11</x:v>
      </x:c>
      <x:c r="I114" t="str">
        <x:v>https://www.carandache.com/content_files/uploaded_doc/product/10580/nuancier_luminance_fr.pdf</x:v>
      </x:c>
    </x:row>
    <x:row r="115">
      <x:c r="A115" t="str">
        <x:v>CDA-LUM-044</x:v>
      </x:c>
      <x:c r="B115" t="str">
        <x:v>LUM</x:v>
      </x:c>
      <x:c r="C115" t="str">
        <x:v>LUMINANCE 6901</x:v>
      </x:c>
      <x:c r="D115" t="str">
        <x:v>044</x:v>
      </x:c>
      <x:c r="E115" t="str">
        <x:v>Terracotta</x:v>
      </x:c>
      <x:c r="F115" t="n">
        <x:v>1</x:v>
      </x:c>
      <x:c r="G115" t="str">
        <x:v>PR101</x:v>
      </x:c>
      <x:c r="H115" t="str">
        <x:v>PR101/PO82</x:v>
      </x:c>
      <x:c r="I115" t="str">
        <x:v>https://www.carandache.com/content_files/uploaded_doc/product/10580/nuancier_luminance_fr.pdf</x:v>
      </x:c>
    </x:row>
    <x:row r="116">
      <x:c r="A116" t="str">
        <x:v>CDA-LUM-044</x:v>
      </x:c>
      <x:c r="B116" t="str">
        <x:v>LUM</x:v>
      </x:c>
      <x:c r="C116" t="str">
        <x:v>LUMINANCE 6901</x:v>
      </x:c>
      <x:c r="D116" t="str">
        <x:v>044</x:v>
      </x:c>
      <x:c r="E116" t="str">
        <x:v>Terracotta</x:v>
      </x:c>
      <x:c r="F116" t="n">
        <x:v>2</x:v>
      </x:c>
      <x:c r="G116" t="str">
        <x:v>PO82</x:v>
      </x:c>
      <x:c r="H116" t="str">
        <x:v>PR101/PO82</x:v>
      </x:c>
      <x:c r="I116" t="str">
        <x:v>https://www.carandache.com/content_files/uploaded_doc/product/10580/nuancier_luminance_fr.pdf</x:v>
      </x:c>
    </x:row>
    <x:row r="117">
      <x:c r="A117" t="str">
        <x:v>CDA-LUM-065</x:v>
      </x:c>
      <x:c r="B117" t="str">
        <x:v>LUM</x:v>
      </x:c>
      <x:c r="C117" t="str">
        <x:v>LUMINANCE 6901</x:v>
      </x:c>
      <x:c r="D117" t="str">
        <x:v>065</x:v>
      </x:c>
      <x:c r="E117" t="str">
        <x:v>Russet</x:v>
      </x:c>
      <x:c r="F117" t="n">
        <x:v>1</x:v>
      </x:c>
      <x:c r="G117" t="str">
        <x:v>PR101</x:v>
      </x:c>
      <x:c r="H117" t="str">
        <x:v>PR101/PR188/PY42</x:v>
      </x:c>
      <x:c r="I117" t="str">
        <x:v>https://www.carandache.com/content_files/uploaded_doc/product/10580/nuancier_luminance_fr.pdf</x:v>
      </x:c>
    </x:row>
    <x:row r="118">
      <x:c r="A118" t="str">
        <x:v>CDA-LUM-065</x:v>
      </x:c>
      <x:c r="B118" t="str">
        <x:v>LUM</x:v>
      </x:c>
      <x:c r="C118" t="str">
        <x:v>LUMINANCE 6901</x:v>
      </x:c>
      <x:c r="D118" t="str">
        <x:v>065</x:v>
      </x:c>
      <x:c r="E118" t="str">
        <x:v>Russet</x:v>
      </x:c>
      <x:c r="F118" t="n">
        <x:v>2</x:v>
      </x:c>
      <x:c r="G118" t="str">
        <x:v>PR188</x:v>
      </x:c>
      <x:c r="H118" t="str">
        <x:v>PR101/PR188/PY42</x:v>
      </x:c>
      <x:c r="I118" t="str">
        <x:v>https://www.carandache.com/content_files/uploaded_doc/product/10580/nuancier_luminance_fr.pdf</x:v>
      </x:c>
    </x:row>
    <x:row r="119">
      <x:c r="A119" t="str">
        <x:v>CDA-LUM-065</x:v>
      </x:c>
      <x:c r="B119" t="str">
        <x:v>LUM</x:v>
      </x:c>
      <x:c r="C119" t="str">
        <x:v>LUMINANCE 6901</x:v>
      </x:c>
      <x:c r="D119" t="str">
        <x:v>065</x:v>
      </x:c>
      <x:c r="E119" t="str">
        <x:v>Russet</x:v>
      </x:c>
      <x:c r="F119" t="n">
        <x:v>3</x:v>
      </x:c>
      <x:c r="G119" t="str">
        <x:v>PY42</x:v>
      </x:c>
      <x:c r="H119" t="str">
        <x:v>PR101/PR188/PY42</x:v>
      </x:c>
      <x:c r="I119" t="str">
        <x:v>https://www.carandache.com/content_files/uploaded_doc/product/10580/nuancier_luminance_fr.pdf</x:v>
      </x:c>
    </x:row>
    <x:row r="120">
      <x:c r="A120" t="str">
        <x:v>CDA-LUM-066</x:v>
      </x:c>
      <x:c r="B120" t="str">
        <x:v>LUM</x:v>
      </x:c>
      <x:c r="C120" t="str">
        <x:v>LUMINANCE 6901</x:v>
      </x:c>
      <x:c r="D120" t="str">
        <x:v>066</x:v>
      </x:c>
      <x:c r="E120" t="str">
        <x:v>Natural russet</x:v>
      </x:c>
      <x:c r="F120" t="n">
        <x:v>1</x:v>
      </x:c>
      <x:c r="G120" t="str">
        <x:v>PR101</x:v>
      </x:c>
      <x:c r="H120" t="str">
        <x:v>PR101</x:v>
      </x:c>
      <x:c r="I120" t="str">
        <x:v>https://www.carandache.com/content_files/uploaded_doc/product/10580/nuancier_luminance_fr.pdf</x:v>
      </x:c>
    </x:row>
    <x:row r="121">
      <x:c r="A121" t="str">
        <x:v>CDA-LUM-069</x:v>
      </x:c>
      <x:c r="B121" t="str">
        <x:v>LUM</x:v>
      </x:c>
      <x:c r="C121" t="str">
        <x:v>LUMINANCE 6901</x:v>
      </x:c>
      <x:c r="D121" t="str">
        <x:v>069</x:v>
      </x:c>
      <x:c r="E121" t="str">
        <x:v>Burnt sienna</x:v>
      </x:c>
      <x:c r="F121" t="n">
        <x:v>1</x:v>
      </x:c>
      <x:c r="G121" t="str">
        <x:v>PR101</x:v>
      </x:c>
      <x:c r="H121" t="str">
        <x:v>PR101/PBk6</x:v>
      </x:c>
      <x:c r="I121" t="str">
        <x:v>https://www.carandache.com/content_files/uploaded_doc/product/10580/nuancier_luminance_fr.pdf</x:v>
      </x:c>
    </x:row>
    <x:row r="122">
      <x:c r="A122" t="str">
        <x:v>CDA-LUM-069</x:v>
      </x:c>
      <x:c r="B122" t="str">
        <x:v>LUM</x:v>
      </x:c>
      <x:c r="C122" t="str">
        <x:v>LUMINANCE 6901</x:v>
      </x:c>
      <x:c r="D122" t="str">
        <x:v>069</x:v>
      </x:c>
      <x:c r="E122" t="str">
        <x:v>Burnt sienna</x:v>
      </x:c>
      <x:c r="F122" t="n">
        <x:v>2</x:v>
      </x:c>
      <x:c r="G122" t="str">
        <x:v>PBk6</x:v>
      </x:c>
      <x:c r="H122" t="str">
        <x:v>PR101/PBk6</x:v>
      </x:c>
      <x:c r="I122" t="str">
        <x:v>https://www.carandache.com/content_files/uploaded_doc/product/10580/nuancier_luminance_fr.pdf</x:v>
      </x:c>
    </x:row>
    <x:row r="123">
      <x:c r="A123" t="str">
        <x:v>CDA-LUM-748</x:v>
      </x:c>
      <x:c r="B123" t="str">
        <x:v>LUM</x:v>
      </x:c>
      <x:c r="C123" t="str">
        <x:v>LUMINANCE 6901</x:v>
      </x:c>
      <x:c r="D123" t="str">
        <x:v>748</x:v>
      </x:c>
      <x:c r="E123" t="str">
        <x:v>Dark flesh</x:v>
      </x:c>
      <x:c r="F123" t="n">
        <x:v>1</x:v>
      </x:c>
      <x:c r="G123" t="str">
        <x:v>PR179</x:v>
      </x:c>
      <x:c r="H123" t="str">
        <x:v>PR179/PY42/PR101/PBr7/PBk7/PBk11</x:v>
      </x:c>
      <x:c r="I123" t="str">
        <x:v>https://www.carandache.com/content_files/uploaded_doc/product/10580/nuancier_luminance_fr.pdf</x:v>
      </x:c>
    </x:row>
    <x:row r="124">
      <x:c r="A124" t="str">
        <x:v>CDA-LUM-748</x:v>
      </x:c>
      <x:c r="B124" t="str">
        <x:v>LUM</x:v>
      </x:c>
      <x:c r="C124" t="str">
        <x:v>LUMINANCE 6901</x:v>
      </x:c>
      <x:c r="D124" t="str">
        <x:v>748</x:v>
      </x:c>
      <x:c r="E124" t="str">
        <x:v>Dark flesh</x:v>
      </x:c>
      <x:c r="F124" t="n">
        <x:v>2</x:v>
      </x:c>
      <x:c r="G124" t="str">
        <x:v>PY42</x:v>
      </x:c>
      <x:c r="H124" t="str">
        <x:v>PR179/PY42/PR101/PBr7/PBk7/PBk11</x:v>
      </x:c>
      <x:c r="I124" t="str">
        <x:v>https://www.carandache.com/content_files/uploaded_doc/product/10580/nuancier_luminance_fr.pdf</x:v>
      </x:c>
    </x:row>
    <x:row r="125">
      <x:c r="A125" t="str">
        <x:v>CDA-LUM-748</x:v>
      </x:c>
      <x:c r="B125" t="str">
        <x:v>LUM</x:v>
      </x:c>
      <x:c r="C125" t="str">
        <x:v>LUMINANCE 6901</x:v>
      </x:c>
      <x:c r="D125" t="str">
        <x:v>748</x:v>
      </x:c>
      <x:c r="E125" t="str">
        <x:v>Dark flesh</x:v>
      </x:c>
      <x:c r="F125" t="n">
        <x:v>3</x:v>
      </x:c>
      <x:c r="G125" t="str">
        <x:v>PR101</x:v>
      </x:c>
      <x:c r="H125" t="str">
        <x:v>PR179/PY42/PR101/PBr7/PBk7/PBk11</x:v>
      </x:c>
      <x:c r="I125" t="str">
        <x:v>https://www.carandache.com/content_files/uploaded_doc/product/10580/nuancier_luminance_fr.pdf</x:v>
      </x:c>
    </x:row>
    <x:row r="126">
      <x:c r="A126" t="str">
        <x:v>CDA-LUM-748</x:v>
      </x:c>
      <x:c r="B126" t="str">
        <x:v>LUM</x:v>
      </x:c>
      <x:c r="C126" t="str">
        <x:v>LUMINANCE 6901</x:v>
      </x:c>
      <x:c r="D126" t="str">
        <x:v>748</x:v>
      </x:c>
      <x:c r="E126" t="str">
        <x:v>Dark flesh</x:v>
      </x:c>
      <x:c r="F126" t="n">
        <x:v>4</x:v>
      </x:c>
      <x:c r="G126" t="str">
        <x:v>PBr7</x:v>
      </x:c>
      <x:c r="H126" t="str">
        <x:v>PR179/PY42/PR101/PBr7/PBk7/PBk11</x:v>
      </x:c>
      <x:c r="I126" t="str">
        <x:v>https://www.carandache.com/content_files/uploaded_doc/product/10580/nuancier_luminance_fr.pdf</x:v>
      </x:c>
    </x:row>
    <x:row r="127">
      <x:c r="A127" t="str">
        <x:v>CDA-LUM-748</x:v>
      </x:c>
      <x:c r="B127" t="str">
        <x:v>LUM</x:v>
      </x:c>
      <x:c r="C127" t="str">
        <x:v>LUMINANCE 6901</x:v>
      </x:c>
      <x:c r="D127" t="str">
        <x:v>748</x:v>
      </x:c>
      <x:c r="E127" t="str">
        <x:v>Dark flesh</x:v>
      </x:c>
      <x:c r="F127" t="n">
        <x:v>5</x:v>
      </x:c>
      <x:c r="G127" t="str">
        <x:v>PBk7</x:v>
      </x:c>
      <x:c r="H127" t="str">
        <x:v>PR179/PY42/PR101/PBr7/PBk7/PBk11</x:v>
      </x:c>
      <x:c r="I127" t="str">
        <x:v>https://www.carandache.com/content_files/uploaded_doc/product/10580/nuancier_luminance_fr.pdf</x:v>
      </x:c>
    </x:row>
    <x:row r="128">
      <x:c r="A128" t="str">
        <x:v>CDA-LUM-748</x:v>
      </x:c>
      <x:c r="B128" t="str">
        <x:v>LUM</x:v>
      </x:c>
      <x:c r="C128" t="str">
        <x:v>LUMINANCE 6901</x:v>
      </x:c>
      <x:c r="D128" t="str">
        <x:v>748</x:v>
      </x:c>
      <x:c r="E128" t="str">
        <x:v>Dark flesh</x:v>
      </x:c>
      <x:c r="F128" t="n">
        <x:v>6</x:v>
      </x:c>
      <x:c r="G128" t="str">
        <x:v>PBk11</x:v>
      </x:c>
      <x:c r="H128" t="str">
        <x:v>PR179/PY42/PR101/PBr7/PBk7/PBk11</x:v>
      </x:c>
      <x:c r="I128" t="str">
        <x:v>https://www.carandache.com/content_files/uploaded_doc/product/10580/nuancier_luminance_fr.pdf</x:v>
      </x:c>
    </x:row>
    <x:row r="129">
      <x:c r="A129" t="str">
        <x:v>CDA-LUM-046</x:v>
      </x:c>
      <x:c r="B129" t="str">
        <x:v>LUM</x:v>
      </x:c>
      <x:c r="C129" t="str">
        <x:v>LUMINANCE 6901</x:v>
      </x:c>
      <x:c r="D129" t="str">
        <x:v>046</x:v>
      </x:c>
      <x:c r="E129" t="str">
        <x:v>Cassel earth</x:v>
      </x:c>
      <x:c r="F129" t="n">
        <x:v>1</x:v>
      </x:c>
      <x:c r="G129" t="str">
        <x:v>PR101</x:v>
      </x:c>
      <x:c r="H129" t="str">
        <x:v>PR101/PBr7/PBk6/PBk11</x:v>
      </x:c>
      <x:c r="I129" t="str">
        <x:v>https://www.carandache.com/content_files/uploaded_doc/product/10580/nuancier_luminance_fr.pdf</x:v>
      </x:c>
    </x:row>
    <x:row r="130">
      <x:c r="A130" t="str">
        <x:v>CDA-LUM-046</x:v>
      </x:c>
      <x:c r="B130" t="str">
        <x:v>LUM</x:v>
      </x:c>
      <x:c r="C130" t="str">
        <x:v>LUMINANCE 6901</x:v>
      </x:c>
      <x:c r="D130" t="str">
        <x:v>046</x:v>
      </x:c>
      <x:c r="E130" t="str">
        <x:v>Cassel earth</x:v>
      </x:c>
      <x:c r="F130" t="n">
        <x:v>2</x:v>
      </x:c>
      <x:c r="G130" t="str">
        <x:v>PBr7</x:v>
      </x:c>
      <x:c r="H130" t="str">
        <x:v>PR101/PBr7/PBk6/PBk11</x:v>
      </x:c>
      <x:c r="I130" t="str">
        <x:v>https://www.carandache.com/content_files/uploaded_doc/product/10580/nuancier_luminance_fr.pdf</x:v>
      </x:c>
    </x:row>
    <x:row r="131">
      <x:c r="A131" t="str">
        <x:v>CDA-LUM-046</x:v>
      </x:c>
      <x:c r="B131" t="str">
        <x:v>LUM</x:v>
      </x:c>
      <x:c r="C131" t="str">
        <x:v>LUMINANCE 6901</x:v>
      </x:c>
      <x:c r="D131" t="str">
        <x:v>046</x:v>
      </x:c>
      <x:c r="E131" t="str">
        <x:v>Cassel earth</x:v>
      </x:c>
      <x:c r="F131" t="n">
        <x:v>3</x:v>
      </x:c>
      <x:c r="G131" t="str">
        <x:v>PBk6</x:v>
      </x:c>
      <x:c r="H131" t="str">
        <x:v>PR101/PBr7/PBk6/PBk11</x:v>
      </x:c>
      <x:c r="I131" t="str">
        <x:v>https://www.carandache.com/content_files/uploaded_doc/product/10580/nuancier_luminance_fr.pdf</x:v>
      </x:c>
    </x:row>
    <x:row r="132">
      <x:c r="A132" t="str">
        <x:v>CDA-LUM-046</x:v>
      </x:c>
      <x:c r="B132" t="str">
        <x:v>LUM</x:v>
      </x:c>
      <x:c r="C132" t="str">
        <x:v>LUMINANCE 6901</x:v>
      </x:c>
      <x:c r="D132" t="str">
        <x:v>046</x:v>
      </x:c>
      <x:c r="E132" t="str">
        <x:v>Cassel earth</x:v>
      </x:c>
      <x:c r="F132" t="n">
        <x:v>4</x:v>
      </x:c>
      <x:c r="G132" t="str">
        <x:v>PBk11</x:v>
      </x:c>
      <x:c r="H132" t="str">
        <x:v>PR101/PBr7/PBk6/PBk11</x:v>
      </x:c>
      <x:c r="I132" t="str">
        <x:v>https://www.carandache.com/content_files/uploaded_doc/product/10580/nuancier_luminance_fr.pdf</x:v>
      </x:c>
    </x:row>
    <x:row r="133">
      <x:c r="A133" t="str">
        <x:v>CDA-LUM-575</x:v>
      </x:c>
      <x:c r="B133" t="str">
        <x:v>LUM</x:v>
      </x:c>
      <x:c r="C133" t="str">
        <x:v>LUMINANCE 6901</x:v>
      </x:c>
      <x:c r="D133" t="str">
        <x:v>575</x:v>
      </x:c>
      <x:c r="E133" t="str">
        <x:v>Carmine lake</x:v>
      </x:c>
      <x:c r="F133" t="n">
        <x:v>1</x:v>
      </x:c>
      <x:c r="G133" t="str">
        <x:v>PR179</x:v>
      </x:c>
      <x:c r="H133" t="str">
        <x:v>PR179/PBk7</x:v>
      </x:c>
      <x:c r="I133" t="str">
        <x:v>https://www.carandache.com/content_files/uploaded_doc/product/10580/nuancier_luminance_fr.pdf</x:v>
      </x:c>
    </x:row>
    <x:row r="134">
      <x:c r="A134" t="str">
        <x:v>CDA-LUM-575</x:v>
      </x:c>
      <x:c r="B134" t="str">
        <x:v>LUM</x:v>
      </x:c>
      <x:c r="C134" t="str">
        <x:v>LUMINANCE 6901</x:v>
      </x:c>
      <x:c r="D134" t="str">
        <x:v>575</x:v>
      </x:c>
      <x:c r="E134" t="str">
        <x:v>Carmine lake</x:v>
      </x:c>
      <x:c r="F134" t="n">
        <x:v>2</x:v>
      </x:c>
      <x:c r="G134" t="str">
        <x:v>PBk7</x:v>
      </x:c>
      <x:c r="H134" t="str">
        <x:v>PR179/PBk7</x:v>
      </x:c>
      <x:c r="I134" t="str">
        <x:v>https://www.carandache.com/content_files/uploaded_doc/product/10580/nuancier_luminance_fr.pdf</x:v>
      </x:c>
    </x:row>
    <x:row r="135">
      <x:c r="A135" t="str">
        <x:v>CDA-LUM-407</x:v>
      </x:c>
      <x:c r="B135" t="str">
        <x:v>LUM</x:v>
      </x:c>
      <x:c r="C135" t="str">
        <x:v>LUMINANCE 6901</x:v>
      </x:c>
      <x:c r="D135" t="str">
        <x:v>407</x:v>
      </x:c>
      <x:c r="E135" t="str">
        <x:v>Sepia</x:v>
      </x:c>
      <x:c r="F135" t="n">
        <x:v>1</x:v>
      </x:c>
      <x:c r="G135" t="str">
        <x:v>PR101</x:v>
      </x:c>
      <x:c r="H135" t="str">
        <x:v>PR101/PBr7/PBk6/PBk11</x:v>
      </x:c>
      <x:c r="I135" t="str">
        <x:v>https://www.carandache.com/content_files/uploaded_doc/product/10580/nuancier_luminance_fr.pdf</x:v>
      </x:c>
    </x:row>
    <x:row r="136">
      <x:c r="A136" t="str">
        <x:v>CDA-LUM-407</x:v>
      </x:c>
      <x:c r="B136" t="str">
        <x:v>LUM</x:v>
      </x:c>
      <x:c r="C136" t="str">
        <x:v>LUMINANCE 6901</x:v>
      </x:c>
      <x:c r="D136" t="str">
        <x:v>407</x:v>
      </x:c>
      <x:c r="E136" t="str">
        <x:v>Sepia</x:v>
      </x:c>
      <x:c r="F136" t="n">
        <x:v>2</x:v>
      </x:c>
      <x:c r="G136" t="str">
        <x:v>PBr7</x:v>
      </x:c>
      <x:c r="H136" t="str">
        <x:v>PR101/PBr7/PBk6/PBk11</x:v>
      </x:c>
      <x:c r="I136" t="str">
        <x:v>https://www.carandache.com/content_files/uploaded_doc/product/10580/nuancier_luminance_fr.pdf</x:v>
      </x:c>
    </x:row>
    <x:row r="137">
      <x:c r="A137" t="str">
        <x:v>CDA-LUM-407</x:v>
      </x:c>
      <x:c r="B137" t="str">
        <x:v>LUM</x:v>
      </x:c>
      <x:c r="C137" t="str">
        <x:v>LUMINANCE 6901</x:v>
      </x:c>
      <x:c r="D137" t="str">
        <x:v>407</x:v>
      </x:c>
      <x:c r="E137" t="str">
        <x:v>Sepia</x:v>
      </x:c>
      <x:c r="F137" t="n">
        <x:v>3</x:v>
      </x:c>
      <x:c r="G137" t="str">
        <x:v>PBk6</x:v>
      </x:c>
      <x:c r="H137" t="str">
        <x:v>PR101/PBr7/PBk6/PBk11</x:v>
      </x:c>
      <x:c r="I137" t="str">
        <x:v>https://www.carandache.com/content_files/uploaded_doc/product/10580/nuancier_luminance_fr.pdf</x:v>
      </x:c>
    </x:row>
    <x:row r="138">
      <x:c r="A138" t="str">
        <x:v>CDA-LUM-407</x:v>
      </x:c>
      <x:c r="B138" t="str">
        <x:v>LUM</x:v>
      </x:c>
      <x:c r="C138" t="str">
        <x:v>LUMINANCE 6901</x:v>
      </x:c>
      <x:c r="D138" t="str">
        <x:v>407</x:v>
      </x:c>
      <x:c r="E138" t="str">
        <x:v>Sepia</x:v>
      </x:c>
      <x:c r="F138" t="n">
        <x:v>4</x:v>
      </x:c>
      <x:c r="G138" t="str">
        <x:v>PBk11</x:v>
      </x:c>
      <x:c r="H138" t="str">
        <x:v>PR101/PBr7/PBk6/PBk11</x:v>
      </x:c>
      <x:c r="I138" t="str">
        <x:v>https://www.carandache.com/content_files/uploaded_doc/product/10580/nuancier_luminance_fr.pdf</x:v>
      </x:c>
    </x:row>
    <x:row r="139">
      <x:c r="A139" t="str">
        <x:v>CDA-LUM-906</x:v>
      </x:c>
      <x:c r="B139" t="str">
        <x:v>LUM</x:v>
      </x:c>
      <x:c r="C139" t="str">
        <x:v>LUMINANCE 6901</x:v>
      </x:c>
      <x:c r="D139" t="str">
        <x:v>906</x:v>
      </x:c>
      <x:c r="E139" t="str">
        <x:v>Sepia 50%</x:v>
      </x:c>
      <x:c r="F139" t="n">
        <x:v>1</x:v>
      </x:c>
      <x:c r="G139" t="str">
        <x:v>PR101</x:v>
      </x:c>
      <x:c r="H139" t="str">
        <x:v>PR101/PBr7/PBk6/PBk11</x:v>
      </x:c>
      <x:c r="I139" t="str">
        <x:v>https://www.carandache.com/content_files/uploaded_doc/product/10580/nuancier_luminance_fr.pdf</x:v>
      </x:c>
    </x:row>
    <x:row r="140">
      <x:c r="A140" t="str">
        <x:v>CDA-LUM-906</x:v>
      </x:c>
      <x:c r="B140" t="str">
        <x:v>LUM</x:v>
      </x:c>
      <x:c r="C140" t="str">
        <x:v>LUMINANCE 6901</x:v>
      </x:c>
      <x:c r="D140" t="str">
        <x:v>906</x:v>
      </x:c>
      <x:c r="E140" t="str">
        <x:v>Sepia 50%</x:v>
      </x:c>
      <x:c r="F140" t="n">
        <x:v>2</x:v>
      </x:c>
      <x:c r="G140" t="str">
        <x:v>PBr7</x:v>
      </x:c>
      <x:c r="H140" t="str">
        <x:v>PR101/PBr7/PBk6/PBk11</x:v>
      </x:c>
      <x:c r="I140" t="str">
        <x:v>https://www.carandache.com/content_files/uploaded_doc/product/10580/nuancier_luminance_fr.pdf</x:v>
      </x:c>
    </x:row>
    <x:row r="141">
      <x:c r="A141" t="str">
        <x:v>CDA-LUM-906</x:v>
      </x:c>
      <x:c r="B141" t="str">
        <x:v>LUM</x:v>
      </x:c>
      <x:c r="C141" t="str">
        <x:v>LUMINANCE 6901</x:v>
      </x:c>
      <x:c r="D141" t="str">
        <x:v>906</x:v>
      </x:c>
      <x:c r="E141" t="str">
        <x:v>Sepia 50%</x:v>
      </x:c>
      <x:c r="F141" t="n">
        <x:v>3</x:v>
      </x:c>
      <x:c r="G141" t="str">
        <x:v>PBk6</x:v>
      </x:c>
      <x:c r="H141" t="str">
        <x:v>PR101/PBr7/PBk6/PBk11</x:v>
      </x:c>
      <x:c r="I141" t="str">
        <x:v>https://www.carandache.com/content_files/uploaded_doc/product/10580/nuancier_luminance_fr.pdf</x:v>
      </x:c>
    </x:row>
    <x:row r="142">
      <x:c r="A142" t="str">
        <x:v>CDA-LUM-906</x:v>
      </x:c>
      <x:c r="B142" t="str">
        <x:v>LUM</x:v>
      </x:c>
      <x:c r="C142" t="str">
        <x:v>LUMINANCE 6901</x:v>
      </x:c>
      <x:c r="D142" t="str">
        <x:v>906</x:v>
      </x:c>
      <x:c r="E142" t="str">
        <x:v>Sepia 50%</x:v>
      </x:c>
      <x:c r="F142" t="n">
        <x:v>4</x:v>
      </x:c>
      <x:c r="G142" t="str">
        <x:v>PBk11</x:v>
      </x:c>
      <x:c r="H142" t="str">
        <x:v>PR101/PBr7/PBk6/PBk11</x:v>
      </x:c>
      <x:c r="I142" t="str">
        <x:v>https://www.carandache.com/content_files/uploaded_doc/product/10580/nuancier_luminance_fr.pdf</x:v>
      </x:c>
    </x:row>
    <x:row r="143">
      <x:c r="A143" t="str">
        <x:v>CDA-LUM-866</x:v>
      </x:c>
      <x:c r="B143" t="str">
        <x:v>LUM</x:v>
      </x:c>
      <x:c r="C143" t="str">
        <x:v>LUMINANCE 6901</x:v>
      </x:c>
      <x:c r="D143" t="str">
        <x:v>866</x:v>
      </x:c>
      <x:c r="E143" t="str">
        <x:v>Burnt sienna 50%</x:v>
      </x:c>
      <x:c r="F143" t="n">
        <x:v>1</x:v>
      </x:c>
      <x:c r="G143" t="str">
        <x:v>PR101</x:v>
      </x:c>
      <x:c r="H143" t="str">
        <x:v>PR101/PBk6</x:v>
      </x:c>
      <x:c r="I143" t="str">
        <x:v>https://www.carandache.com/content_files/uploaded_doc/product/10580/nuancier_luminance_fr.pdf</x:v>
      </x:c>
    </x:row>
    <x:row r="144">
      <x:c r="A144" t="str">
        <x:v>CDA-LUM-866</x:v>
      </x:c>
      <x:c r="B144" t="str">
        <x:v>LUM</x:v>
      </x:c>
      <x:c r="C144" t="str">
        <x:v>LUMINANCE 6901</x:v>
      </x:c>
      <x:c r="D144" t="str">
        <x:v>866</x:v>
      </x:c>
      <x:c r="E144" t="str">
        <x:v>Burnt sienna 50%</x:v>
      </x:c>
      <x:c r="F144" t="n">
        <x:v>2</x:v>
      </x:c>
      <x:c r="G144" t="str">
        <x:v>PBk6</x:v>
      </x:c>
      <x:c r="H144" t="str">
        <x:v>PR101/PBk6</x:v>
      </x:c>
      <x:c r="I144" t="str">
        <x:v>https://www.carandache.com/content_files/uploaded_doc/product/10580/nuancier_luminance_fr.pdf</x:v>
      </x:c>
    </x:row>
    <x:row r="145">
      <x:c r="A145" t="str">
        <x:v>CDA-LUM-583</x:v>
      </x:c>
      <x:c r="B145" t="str">
        <x:v>LUM</x:v>
      </x:c>
      <x:c r="C145" t="str">
        <x:v>LUMINANCE 6901</x:v>
      </x:c>
      <x:c r="D145" t="str">
        <x:v>583</x:v>
      </x:c>
      <x:c r="E145" t="str">
        <x:v>Violet pink</x:v>
      </x:c>
      <x:c r="F145" t="n">
        <x:v>1</x:v>
      </x:c>
      <x:c r="G145" t="str">
        <x:v>PR101</x:v>
      </x:c>
      <x:c r="H145" t="str">
        <x:v>PR101/PR168/PO82/PR122/PY42/PBr7/PBk7/PBk11</x:v>
      </x:c>
      <x:c r="I145" t="str">
        <x:v>https://www.carandache.com/content_files/uploaded_doc/product/10580/nuancier_luminance_fr.pdf</x:v>
      </x:c>
    </x:row>
    <x:row r="146">
      <x:c r="A146" t="str">
        <x:v>CDA-LUM-583</x:v>
      </x:c>
      <x:c r="B146" t="str">
        <x:v>LUM</x:v>
      </x:c>
      <x:c r="C146" t="str">
        <x:v>LUMINANCE 6901</x:v>
      </x:c>
      <x:c r="D146" t="str">
        <x:v>583</x:v>
      </x:c>
      <x:c r="E146" t="str">
        <x:v>Violet pink</x:v>
      </x:c>
      <x:c r="F146" t="n">
        <x:v>2</x:v>
      </x:c>
      <x:c r="G146" t="str">
        <x:v>PR168</x:v>
      </x:c>
      <x:c r="H146" t="str">
        <x:v>PR101/PR168/PO82/PR122/PY42/PBr7/PBk7/PBk11</x:v>
      </x:c>
      <x:c r="I146" t="str">
        <x:v>https://www.carandache.com/content_files/uploaded_doc/product/10580/nuancier_luminance_fr.pdf</x:v>
      </x:c>
    </x:row>
    <x:row r="147">
      <x:c r="A147" t="str">
        <x:v>CDA-LUM-583</x:v>
      </x:c>
      <x:c r="B147" t="str">
        <x:v>LUM</x:v>
      </x:c>
      <x:c r="C147" t="str">
        <x:v>LUMINANCE 6901</x:v>
      </x:c>
      <x:c r="D147" t="str">
        <x:v>583</x:v>
      </x:c>
      <x:c r="E147" t="str">
        <x:v>Violet pink</x:v>
      </x:c>
      <x:c r="F147" t="n">
        <x:v>3</x:v>
      </x:c>
      <x:c r="G147" t="str">
        <x:v>PO82</x:v>
      </x:c>
      <x:c r="H147" t="str">
        <x:v>PR101/PR168/PO82/PR122/PY42/PBr7/PBk7/PBk11</x:v>
      </x:c>
      <x:c r="I147" t="str">
        <x:v>https://www.carandache.com/content_files/uploaded_doc/product/10580/nuancier_luminance_fr.pdf</x:v>
      </x:c>
    </x:row>
    <x:row r="148">
      <x:c r="A148" t="str">
        <x:v>CDA-LUM-583</x:v>
      </x:c>
      <x:c r="B148" t="str">
        <x:v>LUM</x:v>
      </x:c>
      <x:c r="C148" t="str">
        <x:v>LUMINANCE 6901</x:v>
      </x:c>
      <x:c r="D148" t="str">
        <x:v>583</x:v>
      </x:c>
      <x:c r="E148" t="str">
        <x:v>Violet pink</x:v>
      </x:c>
      <x:c r="F148" t="n">
        <x:v>4</x:v>
      </x:c>
      <x:c r="G148" t="str">
        <x:v>PR122</x:v>
      </x:c>
      <x:c r="H148" t="str">
        <x:v>PR101/PR168/PO82/PR122/PY42/PBr7/PBk7/PBk11</x:v>
      </x:c>
      <x:c r="I148" t="str">
        <x:v>https://www.carandache.com/content_files/uploaded_doc/product/10580/nuancier_luminance_fr.pdf</x:v>
      </x:c>
    </x:row>
    <x:row r="149">
      <x:c r="A149" t="str">
        <x:v>CDA-LUM-583</x:v>
      </x:c>
      <x:c r="B149" t="str">
        <x:v>LUM</x:v>
      </x:c>
      <x:c r="C149" t="str">
        <x:v>LUMINANCE 6901</x:v>
      </x:c>
      <x:c r="D149" t="str">
        <x:v>583</x:v>
      </x:c>
      <x:c r="E149" t="str">
        <x:v>Violet pink</x:v>
      </x:c>
      <x:c r="F149" t="n">
        <x:v>5</x:v>
      </x:c>
      <x:c r="G149" t="str">
        <x:v>PY42</x:v>
      </x:c>
      <x:c r="H149" t="str">
        <x:v>PR101/PR168/PO82/PR122/PY42/PBr7/PBk7/PBk11</x:v>
      </x:c>
      <x:c r="I149" t="str">
        <x:v>https://www.carandache.com/content_files/uploaded_doc/product/10580/nuancier_luminance_fr.pdf</x:v>
      </x:c>
    </x:row>
    <x:row r="150">
      <x:c r="A150" t="str">
        <x:v>CDA-LUM-583</x:v>
      </x:c>
      <x:c r="B150" t="str">
        <x:v>LUM</x:v>
      </x:c>
      <x:c r="C150" t="str">
        <x:v>LUMINANCE 6901</x:v>
      </x:c>
      <x:c r="D150" t="str">
        <x:v>583</x:v>
      </x:c>
      <x:c r="E150" t="str">
        <x:v>Violet pink</x:v>
      </x:c>
      <x:c r="F150" t="n">
        <x:v>6</x:v>
      </x:c>
      <x:c r="G150" t="str">
        <x:v>PBr7</x:v>
      </x:c>
      <x:c r="H150" t="str">
        <x:v>PR101/PR168/PO82/PR122/PY42/PBr7/PBk7/PBk11</x:v>
      </x:c>
      <x:c r="I150" t="str">
        <x:v>https://www.carandache.com/content_files/uploaded_doc/product/10580/nuancier_luminance_fr.pdf</x:v>
      </x:c>
    </x:row>
    <x:row r="151">
      <x:c r="A151" t="str">
        <x:v>CDA-LUM-583</x:v>
      </x:c>
      <x:c r="B151" t="str">
        <x:v>LUM</x:v>
      </x:c>
      <x:c r="C151" t="str">
        <x:v>LUMINANCE 6901</x:v>
      </x:c>
      <x:c r="D151" t="str">
        <x:v>583</x:v>
      </x:c>
      <x:c r="E151" t="str">
        <x:v>Violet pink</x:v>
      </x:c>
      <x:c r="F151" t="n">
        <x:v>7</x:v>
      </x:c>
      <x:c r="G151" t="str">
        <x:v>PBk7</x:v>
      </x:c>
      <x:c r="H151" t="str">
        <x:v>PR101/PR168/PO82/PR122/PY42/PBr7/PBk7/PBk11</x:v>
      </x:c>
      <x:c r="I151" t="str">
        <x:v>https://www.carandache.com/content_files/uploaded_doc/product/10580/nuancier_luminance_fr.pdf</x:v>
      </x:c>
    </x:row>
    <x:row r="152">
      <x:c r="A152" t="str">
        <x:v>CDA-LUM-583</x:v>
      </x:c>
      <x:c r="B152" t="str">
        <x:v>LUM</x:v>
      </x:c>
      <x:c r="C152" t="str">
        <x:v>LUMINANCE 6901</x:v>
      </x:c>
      <x:c r="D152" t="str">
        <x:v>583</x:v>
      </x:c>
      <x:c r="E152" t="str">
        <x:v>Violet pink</x:v>
      </x:c>
      <x:c r="F152" t="n">
        <x:v>8</x:v>
      </x:c>
      <x:c r="G152" t="str">
        <x:v>PBk11</x:v>
      </x:c>
      <x:c r="H152" t="str">
        <x:v>PR101/PR168/PO82/PR122/PY42/PBr7/PBk7/PBk11</x:v>
      </x:c>
      <x:c r="I152" t="str">
        <x:v>https://www.carandache.com/content_files/uploaded_doc/product/10580/nuancier_luminance_fr.pdf</x:v>
      </x:c>
    </x:row>
    <x:row r="153">
      <x:c r="A153" t="str">
        <x:v>CDA-LUM-094</x:v>
      </x:c>
      <x:c r="B153" t="str">
        <x:v>LUM</x:v>
      </x:c>
      <x:c r="C153" t="str">
        <x:v>LUMINANCE 6901</x:v>
      </x:c>
      <x:c r="D153" t="str">
        <x:v>094</x:v>
      </x:c>
      <x:c r="E153" t="str">
        <x:v>Hibiscus pink</x:v>
      </x:c>
      <x:c r="F153" t="n">
        <x:v>1</x:v>
      </x:c>
      <x:c r="G153" t="str">
        <x:v>PR179</x:v>
      </x:c>
      <x:c r="H153" t="str">
        <x:v>PR179/PV19/PB15</x:v>
      </x:c>
      <x:c r="I153" t="str">
        <x:v>https://www.carandache.com/content_files/uploaded_doc/product/10580/nuancier_luminance_fr.pdf</x:v>
      </x:c>
    </x:row>
    <x:row r="154">
      <x:c r="A154" t="str">
        <x:v>CDA-LUM-094</x:v>
      </x:c>
      <x:c r="B154" t="str">
        <x:v>LUM</x:v>
      </x:c>
      <x:c r="C154" t="str">
        <x:v>LUMINANCE 6901</x:v>
      </x:c>
      <x:c r="D154" t="str">
        <x:v>094</x:v>
      </x:c>
      <x:c r="E154" t="str">
        <x:v>Hibiscus pink</x:v>
      </x:c>
      <x:c r="F154" t="n">
        <x:v>2</x:v>
      </x:c>
      <x:c r="G154" t="str">
        <x:v>PV19</x:v>
      </x:c>
      <x:c r="H154" t="str">
        <x:v>PR179/PV19/PB15</x:v>
      </x:c>
      <x:c r="I154" t="str">
        <x:v>https://www.carandache.com/content_files/uploaded_doc/product/10580/nuancier_luminance_fr.pdf</x:v>
      </x:c>
    </x:row>
    <x:row r="155">
      <x:c r="A155" t="str">
        <x:v>CDA-LUM-094</x:v>
      </x:c>
      <x:c r="B155" t="str">
        <x:v>LUM</x:v>
      </x:c>
      <x:c r="C155" t="str">
        <x:v>LUMINANCE 6901</x:v>
      </x:c>
      <x:c r="D155" t="str">
        <x:v>094</x:v>
      </x:c>
      <x:c r="E155" t="str">
        <x:v>Hibiscus pink</x:v>
      </x:c>
      <x:c r="F155" t="n">
        <x:v>3</x:v>
      </x:c>
      <x:c r="G155" t="str">
        <x:v>PB15</x:v>
      </x:c>
      <x:c r="H155" t="str">
        <x:v>PR179/PV19/PB15</x:v>
      </x:c>
      <x:c r="I155" t="str">
        <x:v>https://www.carandache.com/content_files/uploaded_doc/product/10580/nuancier_luminance_fr.pdf</x:v>
      </x:c>
    </x:row>
    <x:row r="156">
      <x:c r="A156" t="str">
        <x:v>CDA-LUM-095</x:v>
      </x:c>
      <x:c r="B156" t="str">
        <x:v>LUM</x:v>
      </x:c>
      <x:c r="C156" t="str">
        <x:v>LUMINANCE 6901</x:v>
      </x:c>
      <x:c r="D156" t="str">
        <x:v>095</x:v>
      </x:c>
      <x:c r="E156" t="str">
        <x:v>Light aubergine</x:v>
      </x:c>
      <x:c r="F156" t="n">
        <x:v>1</x:v>
      </x:c>
      <x:c r="G156" t="str">
        <x:v>PR101</x:v>
      </x:c>
      <x:c r="H156" t="str">
        <x:v>PR101/PV23/PBk6</x:v>
      </x:c>
      <x:c r="I156" t="str">
        <x:v>https://www.carandache.com/content_files/uploaded_doc/product/10580/nuancier_luminance_fr.pdf</x:v>
      </x:c>
    </x:row>
    <x:row r="157">
      <x:c r="A157" t="str">
        <x:v>CDA-LUM-095</x:v>
      </x:c>
      <x:c r="B157" t="str">
        <x:v>LUM</x:v>
      </x:c>
      <x:c r="C157" t="str">
        <x:v>LUMINANCE 6901</x:v>
      </x:c>
      <x:c r="D157" t="str">
        <x:v>095</x:v>
      </x:c>
      <x:c r="E157" t="str">
        <x:v>Light aubergine</x:v>
      </x:c>
      <x:c r="F157" t="n">
        <x:v>2</x:v>
      </x:c>
      <x:c r="G157" t="str">
        <x:v>PV23</x:v>
      </x:c>
      <x:c r="H157" t="str">
        <x:v>PR101/PV23/PBk6</x:v>
      </x:c>
      <x:c r="I157" t="str">
        <x:v>https://www.carandache.com/content_files/uploaded_doc/product/10580/nuancier_luminance_fr.pdf</x:v>
      </x:c>
    </x:row>
    <x:row r="158">
      <x:c r="A158" t="str">
        <x:v>CDA-LUM-095</x:v>
      </x:c>
      <x:c r="B158" t="str">
        <x:v>LUM</x:v>
      </x:c>
      <x:c r="C158" t="str">
        <x:v>LUMINANCE 6901</x:v>
      </x:c>
      <x:c r="D158" t="str">
        <x:v>095</x:v>
      </x:c>
      <x:c r="E158" t="str">
        <x:v>Light aubergine</x:v>
      </x:c>
      <x:c r="F158" t="n">
        <x:v>3</x:v>
      </x:c>
      <x:c r="G158" t="str">
        <x:v>PBk6</x:v>
      </x:c>
      <x:c r="H158" t="str">
        <x:v>PR101/PV23/PBk6</x:v>
      </x:c>
      <x:c r="I158" t="str">
        <x:v>https://www.carandache.com/content_files/uploaded_doc/product/10580/nuancier_luminance_fr.pdf</x:v>
      </x:c>
    </x:row>
    <x:row r="159">
      <x:c r="A159" t="str">
        <x:v>CDA-LUM-115</x:v>
      </x:c>
      <x:c r="B159" t="str">
        <x:v>LUM</x:v>
      </x:c>
      <x:c r="C159" t="str">
        <x:v>LUMINANCE 6901</x:v>
      </x:c>
      <x:c r="D159" t="str">
        <x:v>115</x:v>
      </x:c>
      <x:c r="E159" t="str">
        <x:v>Quinacridone purple</x:v>
      </x:c>
      <x:c r="F159" t="n">
        <x:v>1</x:v>
      </x:c>
      <x:c r="G159" t="str">
        <x:v>PV55</x:v>
      </x:c>
      <x:c r="H159" t="str">
        <x:v>PV55</x:v>
      </x:c>
      <x:c r="I159" t="str">
        <x:v>https://www.carandache.com/content_files/uploaded_doc/product/10580/nuancier_luminance_fr.pdf</x:v>
      </x:c>
    </x:row>
    <x:row r="160">
      <x:c r="A160" t="str">
        <x:v>CDA-LUM-129</x:v>
      </x:c>
      <x:c r="B160" t="str">
        <x:v>LUM</x:v>
      </x:c>
      <x:c r="C160" t="str">
        <x:v>LUMINANCE 6901</x:v>
      </x:c>
      <x:c r="D160" t="str">
        <x:v>129</x:v>
      </x:c>
      <x:c r="E160" t="str">
        <x:v>Violet brown</x:v>
      </x:c>
      <x:c r="F160" t="n">
        <x:v>1</x:v>
      </x:c>
      <x:c r="G160" t="str">
        <x:v>PR101</x:v>
      </x:c>
      <x:c r="H160" t="str">
        <x:v>PR101/PV23/PY42/PBk9</x:v>
      </x:c>
      <x:c r="I160" t="str">
        <x:v>https://www.carandache.com/content_files/uploaded_doc/product/10580/nuancier_luminance_fr.pdf</x:v>
      </x:c>
    </x:row>
    <x:row r="161">
      <x:c r="A161" t="str">
        <x:v>CDA-LUM-129</x:v>
      </x:c>
      <x:c r="B161" t="str">
        <x:v>LUM</x:v>
      </x:c>
      <x:c r="C161" t="str">
        <x:v>LUMINANCE 6901</x:v>
      </x:c>
      <x:c r="D161" t="str">
        <x:v>129</x:v>
      </x:c>
      <x:c r="E161" t="str">
        <x:v>Violet brown</x:v>
      </x:c>
      <x:c r="F161" t="n">
        <x:v>2</x:v>
      </x:c>
      <x:c r="G161" t="str">
        <x:v>PV23</x:v>
      </x:c>
      <x:c r="H161" t="str">
        <x:v>PR101/PV23/PY42/PBk9</x:v>
      </x:c>
      <x:c r="I161" t="str">
        <x:v>https://www.carandache.com/content_files/uploaded_doc/product/10580/nuancier_luminance_fr.pdf</x:v>
      </x:c>
    </x:row>
    <x:row r="162">
      <x:c r="A162" t="str">
        <x:v>CDA-LUM-129</x:v>
      </x:c>
      <x:c r="B162" t="str">
        <x:v>LUM</x:v>
      </x:c>
      <x:c r="C162" t="str">
        <x:v>LUMINANCE 6901</x:v>
      </x:c>
      <x:c r="D162" t="str">
        <x:v>129</x:v>
      </x:c>
      <x:c r="E162" t="str">
        <x:v>Violet brown</x:v>
      </x:c>
      <x:c r="F162" t="n">
        <x:v>3</x:v>
      </x:c>
      <x:c r="G162" t="str">
        <x:v>PY42</x:v>
      </x:c>
      <x:c r="H162" t="str">
        <x:v>PR101/PV23/PY42/PBk9</x:v>
      </x:c>
      <x:c r="I162" t="str">
        <x:v>https://www.carandache.com/content_files/uploaded_doc/product/10580/nuancier_luminance_fr.pdf</x:v>
      </x:c>
    </x:row>
    <x:row r="163">
      <x:c r="A163" t="str">
        <x:v>CDA-LUM-129</x:v>
      </x:c>
      <x:c r="B163" t="str">
        <x:v>LUM</x:v>
      </x:c>
      <x:c r="C163" t="str">
        <x:v>LUMINANCE 6901</x:v>
      </x:c>
      <x:c r="D163" t="str">
        <x:v>129</x:v>
      </x:c>
      <x:c r="E163" t="str">
        <x:v>Violet brown</x:v>
      </x:c>
      <x:c r="F163" t="n">
        <x:v>4</x:v>
      </x:c>
      <x:c r="G163" t="str">
        <x:v>PBk9</x:v>
      </x:c>
      <x:c r="H163" t="str">
        <x:v>PR101/PV23/PY42/PBk9</x:v>
      </x:c>
      <x:c r="I163" t="str">
        <x:v>https://www.carandache.com/content_files/uploaded_doc/product/10580/nuancier_luminance_fr.pdf</x:v>
      </x:c>
    </x:row>
    <x:row r="164">
      <x:c r="A164" t="str">
        <x:v>CDA-LUM-630</x:v>
      </x:c>
      <x:c r="B164" t="str">
        <x:v>LUM</x:v>
      </x:c>
      <x:c r="C164" t="str">
        <x:v>LUMINANCE 6901</x:v>
      </x:c>
      <x:c r="D164" t="str">
        <x:v>630</x:v>
      </x:c>
      <x:c r="E164" t="str">
        <x:v>Ultramarine violet</x:v>
      </x:c>
      <x:c r="F164" t="n">
        <x:v>1</x:v>
      </x:c>
      <x:c r="G164" t="str">
        <x:v>PV15</x:v>
      </x:c>
      <x:c r="H164" t="str">
        <x:v>PV15</x:v>
      </x:c>
      <x:c r="I164" t="str">
        <x:v>https://www.carandache.com/content_files/uploaded_doc/product/10580/nuancier_luminance_fr.pdf</x:v>
      </x:c>
    </x:row>
    <x:row r="165">
      <x:c r="A165" t="str">
        <x:v>CDA-LUM-112</x:v>
      </x:c>
      <x:c r="B165" t="str">
        <x:v>LUM</x:v>
      </x:c>
      <x:c r="C165" t="str">
        <x:v>LUMINANCE 6901</x:v>
      </x:c>
      <x:c r="D165" t="str">
        <x:v>112</x:v>
      </x:c>
      <x:c r="E165" t="str">
        <x:v>Manganese violet</x:v>
      </x:c>
      <x:c r="F165" t="n">
        <x:v>1</x:v>
      </x:c>
      <x:c r="G165" t="str">
        <x:v>PV16</x:v>
      </x:c>
      <x:c r="H165" t="str">
        <x:v>PV16</x:v>
      </x:c>
      <x:c r="I165" t="str">
        <x:v>https://www.carandache.com/content_files/uploaded_doc/product/10580/nuancier_luminance_fr.pdf</x:v>
      </x:c>
    </x:row>
    <x:row r="166">
      <x:c r="A166" t="str">
        <x:v>CDA-LUM-083</x:v>
      </x:c>
      <x:c r="B166" t="str">
        <x:v>LUM</x:v>
      </x:c>
      <x:c r="C166" t="str">
        <x:v>LUMINANCE 6901</x:v>
      </x:c>
      <x:c r="D166" t="str">
        <x:v>083</x:v>
      </x:c>
      <x:c r="E166" t="str">
        <x:v>Ultramarin pink</x:v>
      </x:c>
      <x:c r="F166" t="n">
        <x:v>1</x:v>
      </x:c>
      <x:c r="G166" t="str">
        <x:v>PR259</x:v>
      </x:c>
      <x:c r="H166" t="str">
        <x:v>PR259</x:v>
      </x:c>
      <x:c r="I166" t="str">
        <x:v>https://www.carandache.com/content_files/uploaded_doc/product/10580/nuancier_luminance_fr.pdf</x:v>
      </x:c>
    </x:row>
    <x:row r="167">
      <x:c r="A167" t="str">
        <x:v>CDA-LUM-571</x:v>
      </x:c>
      <x:c r="B167" t="str">
        <x:v>LUM</x:v>
      </x:c>
      <x:c r="C167" t="str">
        <x:v>LUMINANCE 6901</x:v>
      </x:c>
      <x:c r="D167" t="str">
        <x:v>571</x:v>
      </x:c>
      <x:c r="E167" t="str">
        <x:v>Anthraquinoid pink</x:v>
      </x:c>
      <x:c r="F167" t="n">
        <x:v>1</x:v>
      </x:c>
      <x:c r="G167" t="str">
        <x:v>PR168</x:v>
      </x:c>
      <x:c r="H167" t="str">
        <x:v>PR168</x:v>
      </x:c>
      <x:c r="I167" t="str">
        <x:v>https://www.carandache.com/content_files/uploaded_doc/product/10580/nuancier_luminance_fr.pdf</x:v>
      </x:c>
    </x:row>
    <x:row r="168">
      <x:c r="A168" t="str">
        <x:v>CDA-LUM-041</x:v>
      </x:c>
      <x:c r="B168" t="str">
        <x:v>LUM</x:v>
      </x:c>
      <x:c r="C168" t="str">
        <x:v>LUMINANCE 6901</x:v>
      </x:c>
      <x:c r="D168" t="str">
        <x:v>041</x:v>
      </x:c>
      <x:c r="E168" t="str">
        <x:v>Apricot</x:v>
      </x:c>
      <x:c r="F168" t="n">
        <x:v>1</x:v>
      </x:c>
      <x:c r="G168" t="str">
        <x:v>PO61</x:v>
      </x:c>
      <x:c r="H168" t="str">
        <x:v>PO61</x:v>
      </x:c>
      <x:c r="I168" t="str">
        <x:v>https://www.carandache.com/content_files/uploaded_doc/product/10580/nuancier_luminance_fr.pdf</x:v>
      </x:c>
    </x:row>
    <x:row r="169">
      <x:c r="A169" t="str">
        <x:v>CDA-LUM-732</x:v>
      </x:c>
      <x:c r="B169" t="str">
        <x:v>LUM</x:v>
      </x:c>
      <x:c r="C169" t="str">
        <x:v>LUMINANCE 6901</x:v>
      </x:c>
      <x:c r="D169" t="str">
        <x:v>732</x:v>
      </x:c>
      <x:c r="E169" t="str">
        <x:v>Brown olive 10%</x:v>
      </x:c>
      <x:c r="F169" t="n">
        <x:v>1</x:v>
      </x:c>
      <x:c r="G169" t="str">
        <x:v>PY42</x:v>
      </x:c>
      <x:c r="H169" t="str">
        <x:v>PY42/PBk9</x:v>
      </x:c>
      <x:c r="I169" t="str">
        <x:v>https://www.carandache.com/content_files/uploaded_doc/product/10580/nuancier_luminance_fr.pdf</x:v>
      </x:c>
    </x:row>
    <x:row r="170">
      <x:c r="A170" t="str">
        <x:v>CDA-LUM-732</x:v>
      </x:c>
      <x:c r="B170" t="str">
        <x:v>LUM</x:v>
      </x:c>
      <x:c r="C170" t="str">
        <x:v>LUMINANCE 6901</x:v>
      </x:c>
      <x:c r="D170" t="str">
        <x:v>732</x:v>
      </x:c>
      <x:c r="E170" t="str">
        <x:v>Brown olive 10%</x:v>
      </x:c>
      <x:c r="F170" t="n">
        <x:v>2</x:v>
      </x:c>
      <x:c r="G170" t="str">
        <x:v>PBk9</x:v>
      </x:c>
      <x:c r="H170" t="str">
        <x:v>PY42/PBk9</x:v>
      </x:c>
      <x:c r="I170" t="str">
        <x:v>https://www.carandache.com/content_files/uploaded_doc/product/10580/nuancier_luminance_fr.pdf</x:v>
      </x:c>
    </x:row>
    <x:row r="171">
      <x:c r="A171" t="str">
        <x:v>CDA-LUM-542</x:v>
      </x:c>
      <x:c r="B171" t="str">
        <x:v>LUM</x:v>
      </x:c>
      <x:c r="C171" t="str">
        <x:v>LUMINANCE 6901</x:v>
      </x:c>
      <x:c r="D171" t="str">
        <x:v>542</x:v>
      </x:c>
      <x:c r="E171" t="str">
        <x:v>Butternut</x:v>
      </x:c>
      <x:c r="F171" t="n">
        <x:v>1</x:v>
      </x:c>
      <x:c r="G171" t="str">
        <x:v>PO82</x:v>
      </x:c>
      <x:c r="H171" t="str">
        <x:v>PO82</x:v>
      </x:c>
      <x:c r="I171" t="str">
        <x:v>https://www.carandache.com/content_files/uploaded_doc/product/10580/nuancier_luminance_fr.pdf</x:v>
      </x:c>
    </x:row>
    <x:row r="172">
      <x:c r="A172" t="str">
        <x:v>CDA-LUM-832</x:v>
      </x:c>
      <x:c r="B172" t="str">
        <x:v>LUM</x:v>
      </x:c>
      <x:c r="C172" t="str">
        <x:v>LUMINANCE 6901</x:v>
      </x:c>
      <x:c r="D172" t="str">
        <x:v>832</x:v>
      </x:c>
      <x:c r="E172" t="str">
        <x:v>Brown ochre 10%</x:v>
      </x:c>
      <x:c r="F172" t="n">
        <x:v>1</x:v>
      </x:c>
      <x:c r="G172" t="str">
        <x:v>PR101</x:v>
      </x:c>
      <x:c r="H172" t="str">
        <x:v>PR101/PY42/PBk9</x:v>
      </x:c>
      <x:c r="I172" t="str">
        <x:v>https://www.carandache.com/content_files/uploaded_doc/product/10580/nuancier_luminance_fr.pdf</x:v>
      </x:c>
    </x:row>
    <x:row r="173">
      <x:c r="A173" t="str">
        <x:v>CDA-LUM-832</x:v>
      </x:c>
      <x:c r="B173" t="str">
        <x:v>LUM</x:v>
      </x:c>
      <x:c r="C173" t="str">
        <x:v>LUMINANCE 6901</x:v>
      </x:c>
      <x:c r="D173" t="str">
        <x:v>832</x:v>
      </x:c>
      <x:c r="E173" t="str">
        <x:v>Brown ochre 10%</x:v>
      </x:c>
      <x:c r="F173" t="n">
        <x:v>2</x:v>
      </x:c>
      <x:c r="G173" t="str">
        <x:v>PY42</x:v>
      </x:c>
      <x:c r="H173" t="str">
        <x:v>PR101/PY42/PBk9</x:v>
      </x:c>
      <x:c r="I173" t="str">
        <x:v>https://www.carandache.com/content_files/uploaded_doc/product/10580/nuancier_luminance_fr.pdf</x:v>
      </x:c>
    </x:row>
    <x:row r="174">
      <x:c r="A174" t="str">
        <x:v>CDA-LUM-832</x:v>
      </x:c>
      <x:c r="B174" t="str">
        <x:v>LUM</x:v>
      </x:c>
      <x:c r="C174" t="str">
        <x:v>LUMINANCE 6901</x:v>
      </x:c>
      <x:c r="D174" t="str">
        <x:v>832</x:v>
      </x:c>
      <x:c r="E174" t="str">
        <x:v>Brown ochre 10%</x:v>
      </x:c>
      <x:c r="F174" t="n">
        <x:v>3</x:v>
      </x:c>
      <x:c r="G174" t="str">
        <x:v>PBk9</x:v>
      </x:c>
      <x:c r="H174" t="str">
        <x:v>PR101/PY42/PBk9</x:v>
      </x:c>
      <x:c r="I174" t="str">
        <x:v>https://www.carandache.com/content_files/uploaded_doc/product/10580/nuancier_luminance_fr.pdf</x:v>
      </x:c>
    </x:row>
    <x:row r="175">
      <x:c r="A175" t="str">
        <x:v>CDA-LUM-068</x:v>
      </x:c>
      <x:c r="B175" t="str">
        <x:v>LUM</x:v>
      </x:c>
      <x:c r="C175" t="str">
        <x:v>LUMINANCE 6901</x:v>
      </x:c>
      <x:c r="D175" t="str">
        <x:v>068</x:v>
      </x:c>
      <x:c r="E175" t="str">
        <x:v>Herculanum red</x:v>
      </x:c>
      <x:c r="F175" t="n">
        <x:v>1</x:v>
      </x:c>
      <x:c r="G175" t="str">
        <x:v>PR101</x:v>
      </x:c>
      <x:c r="H175" t="str">
        <x:v>PR101</x:v>
      </x:c>
      <x:c r="I175" t="str">
        <x:v>https://www.carandache.com/content_files/uploaded_doc/product/10580/nuancier_luminance_fr.pdf</x:v>
      </x:c>
    </x:row>
    <x:row r="176">
      <x:c r="A176" t="str">
        <x:v>CDA-LUM-872</x:v>
      </x:c>
      <x:c r="B176" t="str">
        <x:v>LUM</x:v>
      </x:c>
      <x:c r="C176" t="str">
        <x:v>LUMINANCE 6901</x:v>
      </x:c>
      <x:c r="D176" t="str">
        <x:v>872</x:v>
      </x:c>
      <x:c r="E176" t="str">
        <x:v>Burnt ochre 10%</x:v>
      </x:c>
      <x:c r="F176" t="n">
        <x:v>1</x:v>
      </x:c>
      <x:c r="G176" t="str">
        <x:v>PR101</x:v>
      </x:c>
      <x:c r="H176" t="str">
        <x:v>PR101/PY42</x:v>
      </x:c>
      <x:c r="I176" t="str">
        <x:v>https://www.carandache.com/content_files/uploaded_doc/product/10580/nuancier_luminance_fr.pdf</x:v>
      </x:c>
    </x:row>
    <x:row r="177">
      <x:c r="A177" t="str">
        <x:v>CDA-LUM-872</x:v>
      </x:c>
      <x:c r="B177" t="str">
        <x:v>LUM</x:v>
      </x:c>
      <x:c r="C177" t="str">
        <x:v>LUMINANCE 6901</x:v>
      </x:c>
      <x:c r="D177" t="str">
        <x:v>872</x:v>
      </x:c>
      <x:c r="E177" t="str">
        <x:v>Burnt ochre 10%</x:v>
      </x:c>
      <x:c r="F177" t="n">
        <x:v>2</x:v>
      </x:c>
      <x:c r="G177" t="str">
        <x:v>PY42</x:v>
      </x:c>
      <x:c r="H177" t="str">
        <x:v>PR101/PY42</x:v>
      </x:c>
      <x:c r="I177" t="str">
        <x:v>https://www.carandache.com/content_files/uploaded_doc/product/10580/nuancier_luminance_fr.pdf</x:v>
      </x:c>
    </x:row>
    <x:row r="178">
      <x:c r="A178" t="str">
        <x:v>CDA-LUM-842</x:v>
      </x:c>
      <x:c r="B178" t="str">
        <x:v>LUM</x:v>
      </x:c>
      <x:c r="C178" t="str">
        <x:v>LUMINANCE 6901</x:v>
      </x:c>
      <x:c r="D178" t="str">
        <x:v>842</x:v>
      </x:c>
      <x:c r="E178" t="str">
        <x:v>Raw umber 10%</x:v>
      </x:c>
      <x:c r="F178" t="n">
        <x:v>1</x:v>
      </x:c>
      <x:c r="G178" t="str">
        <x:v>PR101</x:v>
      </x:c>
      <x:c r="H178" t="str">
        <x:v>PR101/PY42/PBk11</x:v>
      </x:c>
      <x:c r="I178" t="str">
        <x:v>https://www.carandache.com/content_files/uploaded_doc/product/10580/nuancier_luminance_fr.pdf</x:v>
      </x:c>
    </x:row>
    <x:row r="179">
      <x:c r="A179" t="str">
        <x:v>CDA-LUM-842</x:v>
      </x:c>
      <x:c r="B179" t="str">
        <x:v>LUM</x:v>
      </x:c>
      <x:c r="C179" t="str">
        <x:v>LUMINANCE 6901</x:v>
      </x:c>
      <x:c r="D179" t="str">
        <x:v>842</x:v>
      </x:c>
      <x:c r="E179" t="str">
        <x:v>Raw umber 10%</x:v>
      </x:c>
      <x:c r="F179" t="n">
        <x:v>2</x:v>
      </x:c>
      <x:c r="G179" t="str">
        <x:v>PY42</x:v>
      </x:c>
      <x:c r="H179" t="str">
        <x:v>PR101/PY42/PBk11</x:v>
      </x:c>
      <x:c r="I179" t="str">
        <x:v>https://www.carandache.com/content_files/uploaded_doc/product/10580/nuancier_luminance_fr.pdf</x:v>
      </x:c>
    </x:row>
    <x:row r="180">
      <x:c r="A180" t="str">
        <x:v>CDA-LUM-842</x:v>
      </x:c>
      <x:c r="B180" t="str">
        <x:v>LUM</x:v>
      </x:c>
      <x:c r="C180" t="str">
        <x:v>LUMINANCE 6901</x:v>
      </x:c>
      <x:c r="D180" t="str">
        <x:v>842</x:v>
      </x:c>
      <x:c r="E180" t="str">
        <x:v>Raw umber 10%</x:v>
      </x:c>
      <x:c r="F180" t="n">
        <x:v>3</x:v>
      </x:c>
      <x:c r="G180" t="str">
        <x:v>PBk11</x:v>
      </x:c>
      <x:c r="H180" t="str">
        <x:v>PR101/PY42/PBk11</x:v>
      </x:c>
      <x:c r="I180" t="str">
        <x:v>https://www.carandache.com/content_files/uploaded_doc/product/10580/nuancier_luminance_fr.pdf</x:v>
      </x:c>
    </x:row>
    <x:row r="181">
      <x:c r="A181" t="str">
        <x:v>CDA-LUM-802</x:v>
      </x:c>
      <x:c r="B181" t="str">
        <x:v>LUM</x:v>
      </x:c>
      <x:c r="C181" t="str">
        <x:v>LUMINANCE 6901</x:v>
      </x:c>
      <x:c r="D181" t="str">
        <x:v>802</x:v>
      </x:c>
      <x:c r="E181" t="str">
        <x:v>French grey 10%</x:v>
      </x:c>
      <x:c r="F181" t="n">
        <x:v>1</x:v>
      </x:c>
      <x:c r="G181" t="str">
        <x:v>PY42</x:v>
      </x:c>
      <x:c r="H181" t="str">
        <x:v>PY42/PR101/PBk6</x:v>
      </x:c>
      <x:c r="I181" t="str">
        <x:v>https://www.carandache.com/content_files/uploaded_doc/product/10580/nuancier_luminance_fr.pdf</x:v>
      </x:c>
    </x:row>
    <x:row r="182">
      <x:c r="A182" t="str">
        <x:v>CDA-LUM-802</x:v>
      </x:c>
      <x:c r="B182" t="str">
        <x:v>LUM</x:v>
      </x:c>
      <x:c r="C182" t="str">
        <x:v>LUMINANCE 6901</x:v>
      </x:c>
      <x:c r="D182" t="str">
        <x:v>802</x:v>
      </x:c>
      <x:c r="E182" t="str">
        <x:v>French grey 10%</x:v>
      </x:c>
      <x:c r="F182" t="n">
        <x:v>2</x:v>
      </x:c>
      <x:c r="G182" t="str">
        <x:v>PR101</x:v>
      </x:c>
      <x:c r="H182" t="str">
        <x:v>PY42/PR101/PBk6</x:v>
      </x:c>
      <x:c r="I182" t="str">
        <x:v>https://www.carandache.com/content_files/uploaded_doc/product/10580/nuancier_luminance_fr.pdf</x:v>
      </x:c>
    </x:row>
    <x:row r="183">
      <x:c r="A183" t="str">
        <x:v>CDA-LUM-802</x:v>
      </x:c>
      <x:c r="B183" t="str">
        <x:v>LUM</x:v>
      </x:c>
      <x:c r="C183" t="str">
        <x:v>LUMINANCE 6901</x:v>
      </x:c>
      <x:c r="D183" t="str">
        <x:v>802</x:v>
      </x:c>
      <x:c r="E183" t="str">
        <x:v>French grey 10%</x:v>
      </x:c>
      <x:c r="F183" t="n">
        <x:v>3</x:v>
      </x:c>
      <x:c r="G183" t="str">
        <x:v>PBk6</x:v>
      </x:c>
      <x:c r="H183" t="str">
        <x:v>PY42/PR101/PBk6</x:v>
      </x:c>
      <x:c r="I183" t="str">
        <x:v>https://www.carandache.com/content_files/uploaded_doc/product/10580/nuancier_luminance_fr.pdf</x:v>
      </x:c>
    </x:row>
    <x:row r="184">
      <x:c r="A184" t="str">
        <x:v>CDA-LUM-862</x:v>
      </x:c>
      <x:c r="B184" t="str">
        <x:v>LUM</x:v>
      </x:c>
      <x:c r="C184" t="str">
        <x:v>LUMINANCE 6901</x:v>
      </x:c>
      <x:c r="D184" t="str">
        <x:v>862</x:v>
      </x:c>
      <x:c r="E184" t="str">
        <x:v>Burnt sienna 10%</x:v>
      </x:c>
      <x:c r="F184" t="n">
        <x:v>1</x:v>
      </x:c>
      <x:c r="G184" t="str">
        <x:v>PR101</x:v>
      </x:c>
      <x:c r="H184" t="str">
        <x:v>PR101/PBk6</x:v>
      </x:c>
      <x:c r="I184" t="str">
        <x:v>https://www.carandache.com/content_files/uploaded_doc/product/10580/nuancier_luminance_fr.pdf</x:v>
      </x:c>
    </x:row>
    <x:row r="185">
      <x:c r="A185" t="str">
        <x:v>CDA-LUM-862</x:v>
      </x:c>
      <x:c r="B185" t="str">
        <x:v>LUM</x:v>
      </x:c>
      <x:c r="C185" t="str">
        <x:v>LUMINANCE 6901</x:v>
      </x:c>
      <x:c r="D185" t="str">
        <x:v>862</x:v>
      </x:c>
      <x:c r="E185" t="str">
        <x:v>Burnt sienna 10%</x:v>
      </x:c>
      <x:c r="F185" t="n">
        <x:v>2</x:v>
      </x:c>
      <x:c r="G185" t="str">
        <x:v>PBk6</x:v>
      </x:c>
      <x:c r="H185" t="str">
        <x:v>PR101/PBk6</x:v>
      </x:c>
      <x:c r="I185" t="str">
        <x:v>https://www.carandache.com/content_files/uploaded_doc/product/10580/nuancier_luminance_fr.pdf</x:v>
      </x:c>
    </x:row>
    <x:row r="186">
      <x:c r="A186" t="str">
        <x:v>CDA-LUM-093</x:v>
      </x:c>
      <x:c r="B186" t="str">
        <x:v>LUM</x:v>
      </x:c>
      <x:c r="C186" t="str">
        <x:v>LUMINANCE 6901</x:v>
      </x:c>
      <x:c r="D186" t="str">
        <x:v>093</x:v>
      </x:c>
      <x:c r="E186" t="str">
        <x:v>Violet grey</x:v>
      </x:c>
      <x:c r="F186" t="n">
        <x:v>1</x:v>
      </x:c>
      <x:c r="G186" t="str">
        <x:v>PR101</x:v>
      </x:c>
      <x:c r="H186" t="str">
        <x:v>PR101/PY42/PV23/PBk6/PBk11</x:v>
      </x:c>
      <x:c r="I186" t="str">
        <x:v>https://www.carandache.com/content_files/uploaded_doc/product/10580/nuancier_luminance_fr.pdf</x:v>
      </x:c>
    </x:row>
    <x:row r="187">
      <x:c r="A187" t="str">
        <x:v>CDA-LUM-093</x:v>
      </x:c>
      <x:c r="B187" t="str">
        <x:v>LUM</x:v>
      </x:c>
      <x:c r="C187" t="str">
        <x:v>LUMINANCE 6901</x:v>
      </x:c>
      <x:c r="D187" t="str">
        <x:v>093</x:v>
      </x:c>
      <x:c r="E187" t="str">
        <x:v>Violet grey</x:v>
      </x:c>
      <x:c r="F187" t="n">
        <x:v>2</x:v>
      </x:c>
      <x:c r="G187" t="str">
        <x:v>PY42</x:v>
      </x:c>
      <x:c r="H187" t="str">
        <x:v>PR101/PY42/PV23/PBk6/PBk11</x:v>
      </x:c>
      <x:c r="I187" t="str">
        <x:v>https://www.carandache.com/content_files/uploaded_doc/product/10580/nuancier_luminance_fr.pdf</x:v>
      </x:c>
    </x:row>
    <x:row r="188">
      <x:c r="A188" t="str">
        <x:v>CDA-LUM-093</x:v>
      </x:c>
      <x:c r="B188" t="str">
        <x:v>LUM</x:v>
      </x:c>
      <x:c r="C188" t="str">
        <x:v>LUMINANCE 6901</x:v>
      </x:c>
      <x:c r="D188" t="str">
        <x:v>093</x:v>
      </x:c>
      <x:c r="E188" t="str">
        <x:v>Violet grey</x:v>
      </x:c>
      <x:c r="F188" t="n">
        <x:v>3</x:v>
      </x:c>
      <x:c r="G188" t="str">
        <x:v>PV23</x:v>
      </x:c>
      <x:c r="H188" t="str">
        <x:v>PR101/PY42/PV23/PBk6/PBk11</x:v>
      </x:c>
      <x:c r="I188" t="str">
        <x:v>https://www.carandache.com/content_files/uploaded_doc/product/10580/nuancier_luminance_fr.pdf</x:v>
      </x:c>
    </x:row>
    <x:row r="189">
      <x:c r="A189" t="str">
        <x:v>CDA-LUM-093</x:v>
      </x:c>
      <x:c r="B189" t="str">
        <x:v>LUM</x:v>
      </x:c>
      <x:c r="C189" t="str">
        <x:v>LUMINANCE 6901</x:v>
      </x:c>
      <x:c r="D189" t="str">
        <x:v>093</x:v>
      </x:c>
      <x:c r="E189" t="str">
        <x:v>Violet grey</x:v>
      </x:c>
      <x:c r="F189" t="n">
        <x:v>4</x:v>
      </x:c>
      <x:c r="G189" t="str">
        <x:v>PBk6</x:v>
      </x:c>
      <x:c r="H189" t="str">
        <x:v>PR101/PY42/PV23/PBk6/PBk11</x:v>
      </x:c>
      <x:c r="I189" t="str">
        <x:v>https://www.carandache.com/content_files/uploaded_doc/product/10580/nuancier_luminance_fr.pdf</x:v>
      </x:c>
    </x:row>
    <x:row r="190">
      <x:c r="A190" t="str">
        <x:v>CDA-LUM-093</x:v>
      </x:c>
      <x:c r="B190" t="str">
        <x:v>LUM</x:v>
      </x:c>
      <x:c r="C190" t="str">
        <x:v>LUMINANCE 6901</x:v>
      </x:c>
      <x:c r="D190" t="str">
        <x:v>093</x:v>
      </x:c>
      <x:c r="E190" t="str">
        <x:v>Violet grey</x:v>
      </x:c>
      <x:c r="F190" t="n">
        <x:v>5</x:v>
      </x:c>
      <x:c r="G190" t="str">
        <x:v>PBk11</x:v>
      </x:c>
      <x:c r="H190" t="str">
        <x:v>PR101/PY42/PV23/PBk6/PBk11</x:v>
      </x:c>
      <x:c r="I190" t="str">
        <x:v>https://www.carandache.com/content_files/uploaded_doc/product/10580/nuancier_luminance_fr.pdf</x:v>
      </x:c>
    </x:row>
    <x:row r="191">
      <x:c r="A191" t="str">
        <x:v>CDA-LUM-902</x:v>
      </x:c>
      <x:c r="B191" t="str">
        <x:v>LUM</x:v>
      </x:c>
      <x:c r="C191" t="str">
        <x:v>LUMINANCE 6901</x:v>
      </x:c>
      <x:c r="D191" t="str">
        <x:v>902</x:v>
      </x:c>
      <x:c r="E191" t="str">
        <x:v>Sepia 10%</x:v>
      </x:c>
      <x:c r="F191" t="n">
        <x:v>1</x:v>
      </x:c>
      <x:c r="G191" t="str">
        <x:v>PR101</x:v>
      </x:c>
      <x:c r="H191" t="str">
        <x:v>PR101/PBr7/PBk6/PBk11</x:v>
      </x:c>
      <x:c r="I191" t="str">
        <x:v>https://www.carandache.com/content_files/uploaded_doc/product/10580/nuancier_luminance_fr.pdf</x:v>
      </x:c>
    </x:row>
    <x:row r="192">
      <x:c r="A192" t="str">
        <x:v>CDA-LUM-902</x:v>
      </x:c>
      <x:c r="B192" t="str">
        <x:v>LUM</x:v>
      </x:c>
      <x:c r="C192" t="str">
        <x:v>LUMINANCE 6901</x:v>
      </x:c>
      <x:c r="D192" t="str">
        <x:v>902</x:v>
      </x:c>
      <x:c r="E192" t="str">
        <x:v>Sepia 10%</x:v>
      </x:c>
      <x:c r="F192" t="n">
        <x:v>2</x:v>
      </x:c>
      <x:c r="G192" t="str">
        <x:v>PBr7</x:v>
      </x:c>
      <x:c r="H192" t="str">
        <x:v>PR101/PBr7/PBk6/PBk11</x:v>
      </x:c>
      <x:c r="I192" t="str">
        <x:v>https://www.carandache.com/content_files/uploaded_doc/product/10580/nuancier_luminance_fr.pdf</x:v>
      </x:c>
    </x:row>
    <x:row r="193">
      <x:c r="A193" t="str">
        <x:v>CDA-LUM-902</x:v>
      </x:c>
      <x:c r="B193" t="str">
        <x:v>LUM</x:v>
      </x:c>
      <x:c r="C193" t="str">
        <x:v>LUMINANCE 6901</x:v>
      </x:c>
      <x:c r="D193" t="str">
        <x:v>902</x:v>
      </x:c>
      <x:c r="E193" t="str">
        <x:v>Sepia 10%</x:v>
      </x:c>
      <x:c r="F193" t="n">
        <x:v>3</x:v>
      </x:c>
      <x:c r="G193" t="str">
        <x:v>PBk6</x:v>
      </x:c>
      <x:c r="H193" t="str">
        <x:v>PR101/PBr7/PBk6/PBk11</x:v>
      </x:c>
      <x:c r="I193" t="str">
        <x:v>https://www.carandache.com/content_files/uploaded_doc/product/10580/nuancier_luminance_fr.pdf</x:v>
      </x:c>
    </x:row>
    <x:row r="194">
      <x:c r="A194" t="str">
        <x:v>CDA-LUM-902</x:v>
      </x:c>
      <x:c r="B194" t="str">
        <x:v>LUM</x:v>
      </x:c>
      <x:c r="C194" t="str">
        <x:v>LUMINANCE 6901</x:v>
      </x:c>
      <x:c r="D194" t="str">
        <x:v>902</x:v>
      </x:c>
      <x:c r="E194" t="str">
        <x:v>Sepia 10%</x:v>
      </x:c>
      <x:c r="F194" t="n">
        <x:v>4</x:v>
      </x:c>
      <x:c r="G194" t="str">
        <x:v>PBk11</x:v>
      </x:c>
      <x:c r="H194" t="str">
        <x:v>PR101/PBr7/PBk6/PBk11</x:v>
      </x:c>
      <x:c r="I194" t="str">
        <x:v>https://www.carandache.com/content_files/uploaded_doc/product/10580/nuancier_luminance_fr.pdf</x:v>
      </x:c>
    </x:row>
    <x:row r="195">
      <x:c r="A195" t="str">
        <x:v>CDA-LUM-803</x:v>
      </x:c>
      <x:c r="B195" t="str">
        <x:v>LUM</x:v>
      </x:c>
      <x:c r="C195" t="str">
        <x:v>LUMINANCE 6901</x:v>
      </x:c>
      <x:c r="D195" t="str">
        <x:v>803</x:v>
      </x:c>
      <x:c r="E195" t="str">
        <x:v>French grey 30%</x:v>
      </x:c>
      <x:c r="F195" t="n">
        <x:v>1</x:v>
      </x:c>
      <x:c r="G195" t="str">
        <x:v>PY42</x:v>
      </x:c>
      <x:c r="H195" t="str">
        <x:v>PY42/PR101/PBk6</x:v>
      </x:c>
      <x:c r="I195" t="str">
        <x:v>https://www.carandache.com/content_files/uploaded_doc/product/10580/nuancier_luminance_fr.pdf</x:v>
      </x:c>
    </x:row>
    <x:row r="196">
      <x:c r="A196" t="str">
        <x:v>CDA-LUM-803</x:v>
      </x:c>
      <x:c r="B196" t="str">
        <x:v>LUM</x:v>
      </x:c>
      <x:c r="C196" t="str">
        <x:v>LUMINANCE 6901</x:v>
      </x:c>
      <x:c r="D196" t="str">
        <x:v>803</x:v>
      </x:c>
      <x:c r="E196" t="str">
        <x:v>French grey 30%</x:v>
      </x:c>
      <x:c r="F196" t="n">
        <x:v>2</x:v>
      </x:c>
      <x:c r="G196" t="str">
        <x:v>PR101</x:v>
      </x:c>
      <x:c r="H196" t="str">
        <x:v>PY42/PR101/PBk6</x:v>
      </x:c>
      <x:c r="I196" t="str">
        <x:v>https://www.carandache.com/content_files/uploaded_doc/product/10580/nuancier_luminance_fr.pdf</x:v>
      </x:c>
    </x:row>
    <x:row r="197">
      <x:c r="A197" t="str">
        <x:v>CDA-LUM-803</x:v>
      </x:c>
      <x:c r="B197" t="str">
        <x:v>LUM</x:v>
      </x:c>
      <x:c r="C197" t="str">
        <x:v>LUMINANCE 6901</x:v>
      </x:c>
      <x:c r="D197" t="str">
        <x:v>803</x:v>
      </x:c>
      <x:c r="E197" t="str">
        <x:v>French grey 30%</x:v>
      </x:c>
      <x:c r="F197" t="n">
        <x:v>3</x:v>
      </x:c>
      <x:c r="G197" t="str">
        <x:v>PBk6</x:v>
      </x:c>
      <x:c r="H197" t="str">
        <x:v>PY42/PR101/PBk6</x:v>
      </x:c>
      <x:c r="I197" t="str">
        <x:v>https://www.carandache.com/content_files/uploaded_doc/product/10580/nuancier_luminance_fr.pdf</x:v>
      </x:c>
    </x:row>
    <x:row r="198">
      <x:c r="A198" t="str">
        <x:v>CDA-LUM-002</x:v>
      </x:c>
      <x:c r="B198" t="str">
        <x:v>LUM</x:v>
      </x:c>
      <x:c r="C198" t="str">
        <x:v>LUMINANCE 6901</x:v>
      </x:c>
      <x:c r="D198" t="str">
        <x:v>002</x:v>
      </x:c>
      <x:c r="E198" t="str">
        <x:v>Silver grey</x:v>
      </x:c>
      <x:c r="F198" t="n">
        <x:v>1</x:v>
      </x:c>
      <x:c r="G198" t="str">
        <x:v>PB15</x:v>
      </x:c>
      <x:c r="H198" t="str">
        <x:v>PB15/PBk6</x:v>
      </x:c>
      <x:c r="I198" t="str">
        <x:v>https://www.carandache.com/content_files/uploaded_doc/product/10580/nuancier_luminance_fr.pdf</x:v>
      </x:c>
    </x:row>
    <x:row r="199">
      <x:c r="A199" t="str">
        <x:v>CDA-LUM-002</x:v>
      </x:c>
      <x:c r="B199" t="str">
        <x:v>LUM</x:v>
      </x:c>
      <x:c r="C199" t="str">
        <x:v>LUMINANCE 6901</x:v>
      </x:c>
      <x:c r="D199" t="str">
        <x:v>002</x:v>
      </x:c>
      <x:c r="E199" t="str">
        <x:v>Silver grey</x:v>
      </x:c>
      <x:c r="F199" t="n">
        <x:v>2</x:v>
      </x:c>
      <x:c r="G199" t="str">
        <x:v>PBk6</x:v>
      </x:c>
      <x:c r="H199" t="str">
        <x:v>PB15/PBk6</x:v>
      </x:c>
      <x:c r="I199" t="str">
        <x:v>https://www.carandache.com/content_files/uploaded_doc/product/10580/nuancier_luminance_fr.pdf</x:v>
      </x:c>
    </x:row>
    <x:row r="200">
      <x:c r="A200" t="str">
        <x:v>CDA-LUM-004</x:v>
      </x:c>
      <x:c r="B200" t="str">
        <x:v>LUM</x:v>
      </x:c>
      <x:c r="C200" t="str">
        <x:v>LUMINANCE 6901</x:v>
      </x:c>
      <x:c r="D200" t="str">
        <x:v>004</x:v>
      </x:c>
      <x:c r="E200" t="str">
        <x:v>Steel grey</x:v>
      </x:c>
      <x:c r="F200" t="n">
        <x:v>1</x:v>
      </x:c>
      <x:c r="G200" t="str">
        <x:v>PB15</x:v>
      </x:c>
      <x:c r="H200" t="str">
        <x:v>PB15/PBk6</x:v>
      </x:c>
      <x:c r="I200" t="str">
        <x:v>https://www.carandache.com/content_files/uploaded_doc/product/10580/nuancier_luminance_fr.pdf</x:v>
      </x:c>
    </x:row>
    <x:row r="201">
      <x:c r="A201" t="str">
        <x:v>CDA-LUM-004</x:v>
      </x:c>
      <x:c r="B201" t="str">
        <x:v>LUM</x:v>
      </x:c>
      <x:c r="C201" t="str">
        <x:v>LUMINANCE 6901</x:v>
      </x:c>
      <x:c r="D201" t="str">
        <x:v>004</x:v>
      </x:c>
      <x:c r="E201" t="str">
        <x:v>Steel grey</x:v>
      </x:c>
      <x:c r="F201" t="n">
        <x:v>2</x:v>
      </x:c>
      <x:c r="G201" t="str">
        <x:v>PBk6</x:v>
      </x:c>
      <x:c r="H201" t="str">
        <x:v>PB15/PBk6</x:v>
      </x:c>
      <x:c r="I201" t="str">
        <x:v>https://www.carandache.com/content_files/uploaded_doc/product/10580/nuancier_luminance_fr.pdf</x:v>
      </x:c>
    </x:row>
    <x:row r="202">
      <x:c r="A202" t="str">
        <x:v>CDA-LUM-504</x:v>
      </x:c>
      <x:c r="B202" t="str">
        <x:v>LUM</x:v>
      </x:c>
      <x:c r="C202" t="str">
        <x:v>LUMINANCE 6901</x:v>
      </x:c>
      <x:c r="D202" t="str">
        <x:v>504</x:v>
      </x:c>
      <x:c r="E202" t="str">
        <x:v>Payne’s grey 30%</x:v>
      </x:c>
      <x:c r="F202" t="n">
        <x:v>1</x:v>
      </x:c>
      <x:c r="G202" t="str">
        <x:v>PB29</x:v>
      </x:c>
      <x:c r="H202" t="str">
        <x:v>PB29/PBk6</x:v>
      </x:c>
      <x:c r="I202" t="str">
        <x:v>https://www.carandache.com/content_files/uploaded_doc/product/10580/nuancier_luminance_fr.pdf</x:v>
      </x:c>
    </x:row>
    <x:row r="203">
      <x:c r="A203" t="str">
        <x:v>CDA-LUM-504</x:v>
      </x:c>
      <x:c r="B203" t="str">
        <x:v>LUM</x:v>
      </x:c>
      <x:c r="C203" t="str">
        <x:v>LUMINANCE 6901</x:v>
      </x:c>
      <x:c r="D203" t="str">
        <x:v>504</x:v>
      </x:c>
      <x:c r="E203" t="str">
        <x:v>Payne’s grey 30%</x:v>
      </x:c>
      <x:c r="F203" t="n">
        <x:v>2</x:v>
      </x:c>
      <x:c r="G203" t="str">
        <x:v>PBk6</x:v>
      </x:c>
      <x:c r="H203" t="str">
        <x:v>PB29/PBk6</x:v>
      </x:c>
      <x:c r="I203" t="str">
        <x:v>https://www.carandache.com/content_files/uploaded_doc/product/10580/nuancier_luminance_fr.pdf</x:v>
      </x:c>
    </x:row>
    <x:row r="204">
      <x:c r="A204" t="str">
        <x:v>CDA-LUM-808</x:v>
      </x:c>
      <x:c r="B204" t="str">
        <x:v>LUM</x:v>
      </x:c>
      <x:c r="C204" t="str">
        <x:v>LUMINANCE 6901</x:v>
      </x:c>
      <x:c r="D204" t="str">
        <x:v>808</x:v>
      </x:c>
      <x:c r="E204" t="str">
        <x:v>French grey 70%</x:v>
      </x:c>
      <x:c r="F204" t="n">
        <x:v>1</x:v>
      </x:c>
      <x:c r="G204" t="str">
        <x:v>PY42</x:v>
      </x:c>
      <x:c r="H204" t="str">
        <x:v>PY42/PR101/PBk6</x:v>
      </x:c>
      <x:c r="I204" t="str">
        <x:v>https://www.carandache.com/content_files/uploaded_doc/product/10580/nuancier_luminance_fr.pdf</x:v>
      </x:c>
    </x:row>
    <x:row r="205">
      <x:c r="A205" t="str">
        <x:v>CDA-LUM-808</x:v>
      </x:c>
      <x:c r="B205" t="str">
        <x:v>LUM</x:v>
      </x:c>
      <x:c r="C205" t="str">
        <x:v>LUMINANCE 6901</x:v>
      </x:c>
      <x:c r="D205" t="str">
        <x:v>808</x:v>
      </x:c>
      <x:c r="E205" t="str">
        <x:v>French grey 70%</x:v>
      </x:c>
      <x:c r="F205" t="n">
        <x:v>2</x:v>
      </x:c>
      <x:c r="G205" t="str">
        <x:v>PR101</x:v>
      </x:c>
      <x:c r="H205" t="str">
        <x:v>PY42/PR101/PBk6</x:v>
      </x:c>
      <x:c r="I205" t="str">
        <x:v>https://www.carandache.com/content_files/uploaded_doc/product/10580/nuancier_luminance_fr.pdf</x:v>
      </x:c>
    </x:row>
    <x:row r="206">
      <x:c r="A206" t="str">
        <x:v>CDA-LUM-808</x:v>
      </x:c>
      <x:c r="B206" t="str">
        <x:v>LUM</x:v>
      </x:c>
      <x:c r="C206" t="str">
        <x:v>LUMINANCE 6901</x:v>
      </x:c>
      <x:c r="D206" t="str">
        <x:v>808</x:v>
      </x:c>
      <x:c r="E206" t="str">
        <x:v>French grey 70%</x:v>
      </x:c>
      <x:c r="F206" t="n">
        <x:v>3</x:v>
      </x:c>
      <x:c r="G206" t="str">
        <x:v>PBk6</x:v>
      </x:c>
      <x:c r="H206" t="str">
        <x:v>PY42/PR101/PBk6</x:v>
      </x:c>
      <x:c r="I206" t="str">
        <x:v>https://www.carandache.com/content_files/uploaded_doc/product/10580/nuancier_luminance_fr.pdf</x:v>
      </x:c>
    </x:row>
    <x:row r="207">
      <x:c r="A207" t="str">
        <x:v>CDA-LUM-495</x:v>
      </x:c>
      <x:c r="B207" t="str">
        <x:v>LUM</x:v>
      </x:c>
      <x:c r="C207" t="str">
        <x:v>LUMINANCE 6901</x:v>
      </x:c>
      <x:c r="D207" t="str">
        <x:v>495</x:v>
      </x:c>
      <x:c r="E207" t="str">
        <x:v>Slate grey</x:v>
      </x:c>
      <x:c r="F207" t="n">
        <x:v>1</x:v>
      </x:c>
      <x:c r="G207" t="str">
        <x:v>Graphite</x:v>
      </x:c>
      <x:c r="H207" t="str">
        <x:v>Graphite</x:v>
      </x:c>
      <x:c r="I207" t="str">
        <x:v>https://www.carandache.com/content_files/uploaded_doc/product/10580/nuancier_luminance_fr.pdf</x:v>
      </x:c>
    </x:row>
    <x:row r="208">
      <x:c r="A208" t="str">
        <x:v>CDA-LUM-507</x:v>
      </x:c>
      <x:c r="B208" t="str">
        <x:v>LUM</x:v>
      </x:c>
      <x:c r="C208" t="str">
        <x:v>LUMINANCE 6901</x:v>
      </x:c>
      <x:c r="D208" t="str">
        <x:v>507</x:v>
      </x:c>
      <x:c r="E208" t="str">
        <x:v>Payne’s grey 60%</x:v>
      </x:c>
      <x:c r="F208" t="n">
        <x:v>1</x:v>
      </x:c>
      <x:c r="G208" t="str">
        <x:v>PB29</x:v>
      </x:c>
      <x:c r="H208" t="str">
        <x:v>PB29/PBk6</x:v>
      </x:c>
      <x:c r="I208" t="str">
        <x:v>https://www.carandache.com/content_files/uploaded_doc/product/10580/nuancier_luminance_fr.pdf</x:v>
      </x:c>
    </x:row>
    <x:row r="209">
      <x:c r="A209" t="str">
        <x:v>CDA-LUM-507</x:v>
      </x:c>
      <x:c r="B209" t="str">
        <x:v>LUM</x:v>
      </x:c>
      <x:c r="C209" t="str">
        <x:v>LUMINANCE 6901</x:v>
      </x:c>
      <x:c r="D209" t="str">
        <x:v>507</x:v>
      </x:c>
      <x:c r="E209" t="str">
        <x:v>Payne’s grey 60%</x:v>
      </x:c>
      <x:c r="F209" t="n">
        <x:v>2</x:v>
      </x:c>
      <x:c r="G209" t="str">
        <x:v>PBk6</x:v>
      </x:c>
      <x:c r="H209" t="str">
        <x:v>PB29/PBk6</x:v>
      </x:c>
      <x:c r="I209" t="str">
        <x:v>https://www.carandache.com/content_files/uploaded_doc/product/10580/nuancier_luminance_fr.pdf</x:v>
      </x:c>
    </x:row>
    <x:row r="210">
      <x:c r="A210" t="str">
        <x:v>CDA-LUM-508</x:v>
      </x:c>
      <x:c r="B210" t="str">
        <x:v>LUM</x:v>
      </x:c>
      <x:c r="C210" t="str">
        <x:v>LUMINANCE 6901</x:v>
      </x:c>
      <x:c r="D210" t="str">
        <x:v>508</x:v>
      </x:c>
      <x:c r="E210" t="str">
        <x:v>Payne’s grey 70%</x:v>
      </x:c>
      <x:c r="F210" t="n">
        <x:v>1</x:v>
      </x:c>
      <x:c r="G210" t="str">
        <x:v>PB29</x:v>
      </x:c>
      <x:c r="H210" t="str">
        <x:v>PB29/PBk6</x:v>
      </x:c>
      <x:c r="I210" t="str">
        <x:v>https://www.carandache.com/content_files/uploaded_doc/product/10580/nuancier_luminance_fr.pdf</x:v>
      </x:c>
    </x:row>
    <x:row r="211">
      <x:c r="A211" t="str">
        <x:v>CDA-LUM-508</x:v>
      </x:c>
      <x:c r="B211" t="str">
        <x:v>LUM</x:v>
      </x:c>
      <x:c r="C211" t="str">
        <x:v>LUMINANCE 6901</x:v>
      </x:c>
      <x:c r="D211" t="str">
        <x:v>508</x:v>
      </x:c>
      <x:c r="E211" t="str">
        <x:v>Payne’s grey 70%</x:v>
      </x:c>
      <x:c r="F211" t="n">
        <x:v>2</x:v>
      </x:c>
      <x:c r="G211" t="str">
        <x:v>PBk6</x:v>
      </x:c>
      <x:c r="H211" t="str">
        <x:v>PB29/PBk6</x:v>
      </x:c>
      <x:c r="I211" t="str">
        <x:v>https://www.carandache.com/content_files/uploaded_doc/product/10580/nuancier_luminance_fr.pdf</x:v>
      </x:c>
    </x:row>
    <x:row r="212">
      <x:c r="A212" t="str">
        <x:v>CDA-LUM-639</x:v>
      </x:c>
      <x:c r="B212" t="str">
        <x:v>LUM</x:v>
      </x:c>
      <x:c r="C212" t="str">
        <x:v>LUMINANCE 6901</x:v>
      </x:c>
      <x:c r="D212" t="str">
        <x:v>639</x:v>
      </x:c>
      <x:c r="E212" t="str">
        <x:v>Dark indigo</x:v>
      </x:c>
      <x:c r="F212" t="n">
        <x:v>1</x:v>
      </x:c>
      <x:c r="G212" t="str">
        <x:v>PB60</x:v>
      </x:c>
      <x:c r="H212" t="str">
        <x:v>PB60/PR254</x:v>
      </x:c>
      <x:c r="I212" t="str">
        <x:v>https://www.carandache.com/content_files/uploaded_doc/product/10580/nuancier_luminance_fr.pdf</x:v>
      </x:c>
    </x:row>
    <x:row r="213">
      <x:c r="A213" t="str">
        <x:v>CDA-LUM-639</x:v>
      </x:c>
      <x:c r="B213" t="str">
        <x:v>LUM</x:v>
      </x:c>
      <x:c r="C213" t="str">
        <x:v>LUMINANCE 6901</x:v>
      </x:c>
      <x:c r="D213" t="str">
        <x:v>639</x:v>
      </x:c>
      <x:c r="E213" t="str">
        <x:v>Dark indigo</x:v>
      </x:c>
      <x:c r="F213" t="n">
        <x:v>2</x:v>
      </x:c>
      <x:c r="G213" t="str">
        <x:v>PR254</x:v>
      </x:c>
      <x:c r="H213" t="str">
        <x:v>PB60/PR254</x:v>
      </x:c>
      <x:c r="I213" t="str">
        <x:v>https://www.carandache.com/content_files/uploaded_doc/product/10580/nuancier_luminance_fr.pdf</x:v>
      </x:c>
    </x:row>
    <x:row r="214">
      <x:c r="A214" t="str">
        <x:v>CDA-LUM-009</x:v>
      </x:c>
      <x:c r="B214" t="str">
        <x:v>LUM</x:v>
      </x:c>
      <x:c r="C214" t="str">
        <x:v>LUMINANCE 6901</x:v>
      </x:c>
      <x:c r="D214" t="str">
        <x:v>009</x:v>
      </x:c>
      <x:c r="E214" t="str">
        <x:v>Black</x:v>
      </x:c>
      <x:c r="F214" t="n">
        <x:v>1</x:v>
      </x:c>
      <x:c r="G214" t="str">
        <x:v>PBk6</x:v>
      </x:c>
      <x:c r="H214" t="str">
        <x:v>PBk6</x:v>
      </x:c>
      <x:c r="I214" t="str">
        <x:v>https://www.carandache.com/content_files/uploaded_doc/product/10580/nuancier_luminance_fr.pdf</x:v>
      </x:c>
    </x:row>
    <x:row r="215">
      <x:c r="A215" t="str">
        <x:v>CDA-MUS-001</x:v>
      </x:c>
      <x:c r="B215" t="str">
        <x:v>MUS</x:v>
      </x:c>
      <x:c r="C215" t="str">
        <x:v>MUSEUM Aquarelle</x:v>
      </x:c>
      <x:c r="D215" t="str">
        <x:v>001</x:v>
      </x:c>
      <x:c r="E215" t="str">
        <x:v>White</x:v>
      </x:c>
      <x:c r="F215" t="n">
        <x:v>1</x:v>
      </x:c>
      <x:c r="G215" t="str">
        <x:v>PW6</x:v>
      </x:c>
      <x:c r="H215" t="str">
        <x:v>PW6</x:v>
      </x:c>
      <x:c r="I215" t="str">
        <x:v>https://www.carandache.com/content_files/uploaded_doc/product/10986/Colour_Chart_Museum.pdf</x:v>
      </x:c>
    </x:row>
    <x:row r="216">
      <x:c r="A216" t="str">
        <x:v>CDA-MUS-242</x:v>
      </x:c>
      <x:c r="B216" t="str">
        <x:v>MUS</x:v>
      </x:c>
      <x:c r="C216" t="str">
        <x:v>MUSEUM Aquarelle</x:v>
      </x:c>
      <x:c r="D216" t="str">
        <x:v>242</x:v>
      </x:c>
      <x:c r="E216" t="str">
        <x:v>Primerose</x:v>
      </x:c>
      <x:c r="F216" t="n">
        <x:v>1</x:v>
      </x:c>
      <x:c r="G216" t="str">
        <x:v>PY53</x:v>
      </x:c>
      <x:c r="H216" t="str">
        <x:v>PY53/PY42</x:v>
      </x:c>
      <x:c r="I216" t="str">
        <x:v>https://www.carandache.com/content_files/uploaded_doc/product/10986/Colour_Chart_Museum.pdf</x:v>
      </x:c>
    </x:row>
    <x:row r="217">
      <x:c r="A217" t="str">
        <x:v>CDA-MUS-242</x:v>
      </x:c>
      <x:c r="B217" t="str">
        <x:v>MUS</x:v>
      </x:c>
      <x:c r="C217" t="str">
        <x:v>MUSEUM Aquarelle</x:v>
      </x:c>
      <x:c r="D217" t="str">
        <x:v>242</x:v>
      </x:c>
      <x:c r="E217" t="str">
        <x:v>Primerose</x:v>
      </x:c>
      <x:c r="F217" t="n">
        <x:v>2</x:v>
      </x:c>
      <x:c r="G217" t="str">
        <x:v>PY42</x:v>
      </x:c>
      <x:c r="H217" t="str">
        <x:v>PY53/PY42</x:v>
      </x:c>
      <x:c r="I217" t="str">
        <x:v>https://www.carandache.com/content_files/uploaded_doc/product/10986/Colour_Chart_Museum.pdf</x:v>
      </x:c>
    </x:row>
    <x:row r="218">
      <x:c r="A218" t="str">
        <x:v>CDA-MUS-821</x:v>
      </x:c>
      <x:c r="B218" t="str">
        <x:v>MUS</x:v>
      </x:c>
      <x:c r="C218" t="str">
        <x:v>MUSEUM Aquarelle</x:v>
      </x:c>
      <x:c r="D218" t="str">
        <x:v>821</x:v>
      </x:c>
      <x:c r="E218" t="str">
        <x:v>Naples ochre</x:v>
      </x:c>
      <x:c r="F218" t="n">
        <x:v>1</x:v>
      </x:c>
      <x:c r="G218" t="str">
        <x:v>PY42</x:v>
      </x:c>
      <x:c r="H218" t="str">
        <x:v>PY42/PY184/PBr7</x:v>
      </x:c>
      <x:c r="I218" t="str">
        <x:v>https://www.carandache.com/content_files/uploaded_doc/product/10986/Colour_Chart_Museum.pdf</x:v>
      </x:c>
    </x:row>
    <x:row r="219">
      <x:c r="A219" t="str">
        <x:v>CDA-MUS-821</x:v>
      </x:c>
      <x:c r="B219" t="str">
        <x:v>MUS</x:v>
      </x:c>
      <x:c r="C219" t="str">
        <x:v>MUSEUM Aquarelle</x:v>
      </x:c>
      <x:c r="D219" t="str">
        <x:v>821</x:v>
      </x:c>
      <x:c r="E219" t="str">
        <x:v>Naples ochre</x:v>
      </x:c>
      <x:c r="F219" t="n">
        <x:v>2</x:v>
      </x:c>
      <x:c r="G219" t="str">
        <x:v>PY184</x:v>
      </x:c>
      <x:c r="H219" t="str">
        <x:v>PY42/PY184/PBr7</x:v>
      </x:c>
      <x:c r="I219" t="str">
        <x:v>https://www.carandache.com/content_files/uploaded_doc/product/10986/Colour_Chart_Museum.pdf</x:v>
      </x:c>
    </x:row>
    <x:row r="220">
      <x:c r="A220" t="str">
        <x:v>CDA-MUS-821</x:v>
      </x:c>
      <x:c r="B220" t="str">
        <x:v>MUS</x:v>
      </x:c>
      <x:c r="C220" t="str">
        <x:v>MUSEUM Aquarelle</x:v>
      </x:c>
      <x:c r="D220" t="str">
        <x:v>821</x:v>
      </x:c>
      <x:c r="E220" t="str">
        <x:v>Naples ochre</x:v>
      </x:c>
      <x:c r="F220" t="n">
        <x:v>3</x:v>
      </x:c>
      <x:c r="G220" t="str">
        <x:v>PBr7</x:v>
      </x:c>
      <x:c r="H220" t="str">
        <x:v>PY42/PY184/PBr7</x:v>
      </x:c>
      <x:c r="I220" t="str">
        <x:v>https://www.carandache.com/content_files/uploaded_doc/product/10986/Colour_Chart_Museum.pdf</x:v>
      </x:c>
    </x:row>
    <x:row r="221">
      <x:c r="A221" t="str">
        <x:v>CDA-MUS-240</x:v>
      </x:c>
      <x:c r="B221" t="str">
        <x:v>MUS</x:v>
      </x:c>
      <x:c r="C221" t="str">
        <x:v>MUSEUM Aquarelle</x:v>
      </x:c>
      <x:c r="D221" t="str">
        <x:v>240</x:v>
      </x:c>
      <x:c r="E221" t="str">
        <x:v>Lemon Yellow</x:v>
      </x:c>
      <x:c r="F221" t="n">
        <x:v>1</x:v>
      </x:c>
      <x:c r="G221" t="str">
        <x:v>PY3</x:v>
      </x:c>
      <x:c r="H221" t="str">
        <x:v>PY3</x:v>
      </x:c>
      <x:c r="I221" t="str">
        <x:v>https://www.carandache.com/content_files/uploaded_doc/product/10986/Colour_Chart_Museum.pdf</x:v>
      </x:c>
    </x:row>
    <x:row r="222">
      <x:c r="A222" t="str">
        <x:v>CDA-MUS-010</x:v>
      </x:c>
      <x:c r="B222" t="str">
        <x:v>MUS</x:v>
      </x:c>
      <x:c r="C222" t="str">
        <x:v>MUSEUM Aquarelle</x:v>
      </x:c>
      <x:c r="D222" t="str">
        <x:v>010</x:v>
      </x:c>
      <x:c r="E222" t="str">
        <x:v>Yellow</x:v>
      </x:c>
      <x:c r="F222" t="n">
        <x:v>1</x:v>
      </x:c>
      <x:c r="G222" t="str">
        <x:v>PY13</x:v>
      </x:c>
      <x:c r="H222" t="str">
        <x:v>PY13</x:v>
      </x:c>
      <x:c r="I222" t="str">
        <x:v>https://www.carandache.com/content_files/uploaded_doc/product/10986/Colour_Chart_Museum.pdf</x:v>
      </x:c>
    </x:row>
    <x:row r="223">
      <x:c r="A223" t="str">
        <x:v>CDA-MUS-020</x:v>
      </x:c>
      <x:c r="B223" t="str">
        <x:v>MUS</x:v>
      </x:c>
      <x:c r="C223" t="str">
        <x:v>MUSEUM Aquarelle</x:v>
      </x:c>
      <x:c r="D223" t="str">
        <x:v>020</x:v>
      </x:c>
      <x:c r="E223" t="str">
        <x:v>Golden yellow</x:v>
      </x:c>
      <x:c r="F223" t="n">
        <x:v>1</x:v>
      </x:c>
      <x:c r="G223" t="str">
        <x:v>PY83</x:v>
      </x:c>
      <x:c r="H223" t="str">
        <x:v>PY83</x:v>
      </x:c>
      <x:c r="I223" t="str">
        <x:v>https://www.carandache.com/content_files/uploaded_doc/product/10986/Colour_Chart_Museum.pdf</x:v>
      </x:c>
    </x:row>
    <x:row r="224">
      <x:c r="A224" t="str">
        <x:v>CDA-MUS-530</x:v>
      </x:c>
      <x:c r="B224" t="str">
        <x:v>MUS</x:v>
      </x:c>
      <x:c r="C224" t="str">
        <x:v>MUSEUM Aquarelle</x:v>
      </x:c>
      <x:c r="D224" t="str">
        <x:v>530</x:v>
      </x:c>
      <x:c r="E224" t="str">
        <x:v>Gold Cadmium Yellow</x:v>
      </x:c>
      <x:c r="F224" t="n">
        <x:v>1</x:v>
      </x:c>
      <x:c r="G224" t="str">
        <x:v>PO62</x:v>
      </x:c>
      <x:c r="H224" t="str">
        <x:v>PO62/PY74/PY83</x:v>
      </x:c>
      <x:c r="I224" t="str">
        <x:v>https://www.carandache.com/content_files/uploaded_doc/product/10986/Colour_Chart_Museum.pdf</x:v>
      </x:c>
    </x:row>
    <x:row r="225">
      <x:c r="A225" t="str">
        <x:v>CDA-MUS-530</x:v>
      </x:c>
      <x:c r="B225" t="str">
        <x:v>MUS</x:v>
      </x:c>
      <x:c r="C225" t="str">
        <x:v>MUSEUM Aquarelle</x:v>
      </x:c>
      <x:c r="D225" t="str">
        <x:v>530</x:v>
      </x:c>
      <x:c r="E225" t="str">
        <x:v>Gold Cadmium Yellow</x:v>
      </x:c>
      <x:c r="F225" t="n">
        <x:v>2</x:v>
      </x:c>
      <x:c r="G225" t="str">
        <x:v>PY74</x:v>
      </x:c>
      <x:c r="H225" t="str">
        <x:v>PO62/PY74/PY83</x:v>
      </x:c>
      <x:c r="I225" t="str">
        <x:v>https://www.carandache.com/content_files/uploaded_doc/product/10986/Colour_Chart_Museum.pdf</x:v>
      </x:c>
    </x:row>
    <x:row r="226">
      <x:c r="A226" t="str">
        <x:v>CDA-MUS-530</x:v>
      </x:c>
      <x:c r="B226" t="str">
        <x:v>MUS</x:v>
      </x:c>
      <x:c r="C226" t="str">
        <x:v>MUSEUM Aquarelle</x:v>
      </x:c>
      <x:c r="D226" t="str">
        <x:v>530</x:v>
      </x:c>
      <x:c r="E226" t="str">
        <x:v>Gold Cadmium Yellow</x:v>
      </x:c>
      <x:c r="F226" t="n">
        <x:v>3</x:v>
      </x:c>
      <x:c r="G226" t="str">
        <x:v>PY83</x:v>
      </x:c>
      <x:c r="H226" t="str">
        <x:v>PO62/PY74/PY83</x:v>
      </x:c>
      <x:c r="I226" t="str">
        <x:v>https://www.carandache.com/content_files/uploaded_doc/product/10986/Colour_Chart_Museum.pdf</x:v>
      </x:c>
    </x:row>
    <x:row r="227">
      <x:c r="A227" t="str">
        <x:v>CDA-MUS-030</x:v>
      </x:c>
      <x:c r="B227" t="str">
        <x:v>MUS</x:v>
      </x:c>
      <x:c r="C227" t="str">
        <x:v>MUSEUM Aquarelle</x:v>
      </x:c>
      <x:c r="D227" t="str">
        <x:v>030</x:v>
      </x:c>
      <x:c r="E227" t="str">
        <x:v>Orange</x:v>
      </x:c>
      <x:c r="F227" t="n">
        <x:v>1</x:v>
      </x:c>
      <x:c r="G227" t="str">
        <x:v>PO62</x:v>
      </x:c>
      <x:c r="H227" t="str">
        <x:v>PO62</x:v>
      </x:c>
      <x:c r="I227" t="str">
        <x:v>https://www.carandache.com/content_files/uploaded_doc/product/10986/Colour_Chart_Museum.pdf</x:v>
      </x:c>
    </x:row>
    <x:row r="228">
      <x:c r="A228" t="str">
        <x:v>CDA-MUS-850</x:v>
      </x:c>
      <x:c r="B228" t="str">
        <x:v>MUS</x:v>
      </x:c>
      <x:c r="C228" t="str">
        <x:v>MUSEUM Aquarelle</x:v>
      </x:c>
      <x:c r="D228" t="str">
        <x:v>850</x:v>
      </x:c>
      <x:c r="E228" t="str">
        <x:v>Cornelian</x:v>
      </x:c>
      <x:c r="F228" t="n">
        <x:v>1</x:v>
      </x:c>
      <x:c r="G228" t="str">
        <x:v>PO61</x:v>
      </x:c>
      <x:c r="H228" t="str">
        <x:v>PO61</x:v>
      </x:c>
      <x:c r="I228" t="str">
        <x:v>https://www.carandache.com/content_files/uploaded_doc/product/10986/Colour_Chart_Museum.pdf</x:v>
      </x:c>
    </x:row>
    <x:row r="229">
      <x:c r="A229" t="str">
        <x:v>CDA-MUS-060</x:v>
      </x:c>
      <x:c r="B229" t="str">
        <x:v>MUS</x:v>
      </x:c>
      <x:c r="C229" t="str">
        <x:v>MUSEUM Aquarelle</x:v>
      </x:c>
      <x:c r="D229" t="str">
        <x:v>060</x:v>
      </x:c>
      <x:c r="E229" t="str">
        <x:v>Vermilion</x:v>
      </x:c>
      <x:c r="F229" t="n">
        <x:v>1</x:v>
      </x:c>
      <x:c r="G229" t="str">
        <x:v>PR254</x:v>
      </x:c>
      <x:c r="H229" t="str">
        <x:v>PR254/PO43/PY3</x:v>
      </x:c>
      <x:c r="I229" t="str">
        <x:v>https://www.carandache.com/content_files/uploaded_doc/product/10986/Colour_Chart_Museum.pdf</x:v>
      </x:c>
    </x:row>
    <x:row r="230">
      <x:c r="A230" t="str">
        <x:v>CDA-MUS-060</x:v>
      </x:c>
      <x:c r="B230" t="str">
        <x:v>MUS</x:v>
      </x:c>
      <x:c r="C230" t="str">
        <x:v>MUSEUM Aquarelle</x:v>
      </x:c>
      <x:c r="D230" t="str">
        <x:v>060</x:v>
      </x:c>
      <x:c r="E230" t="str">
        <x:v>Vermilion</x:v>
      </x:c>
      <x:c r="F230" t="n">
        <x:v>2</x:v>
      </x:c>
      <x:c r="G230" t="str">
        <x:v>PO43</x:v>
      </x:c>
      <x:c r="H230" t="str">
        <x:v>PR254/PO43/PY3</x:v>
      </x:c>
      <x:c r="I230" t="str">
        <x:v>https://www.carandache.com/content_files/uploaded_doc/product/10986/Colour_Chart_Museum.pdf</x:v>
      </x:c>
    </x:row>
    <x:row r="231">
      <x:c r="A231" t="str">
        <x:v>CDA-MUS-060</x:v>
      </x:c>
      <x:c r="B231" t="str">
        <x:v>MUS</x:v>
      </x:c>
      <x:c r="C231" t="str">
        <x:v>MUSEUM Aquarelle</x:v>
      </x:c>
      <x:c r="D231" t="str">
        <x:v>060</x:v>
      </x:c>
      <x:c r="E231" t="str">
        <x:v>Vermilion</x:v>
      </x:c>
      <x:c r="F231" t="n">
        <x:v>3</x:v>
      </x:c>
      <x:c r="G231" t="str">
        <x:v>PY3</x:v>
      </x:c>
      <x:c r="H231" t="str">
        <x:v>PR254/PO43/PY3</x:v>
      </x:c>
      <x:c r="I231" t="str">
        <x:v>https://www.carandache.com/content_files/uploaded_doc/product/10986/Colour_Chart_Museum.pdf</x:v>
      </x:c>
    </x:row>
    <x:row r="232">
      <x:c r="A232" t="str">
        <x:v>CDA-MUS-560</x:v>
      </x:c>
      <x:c r="B232" t="str">
        <x:v>MUS</x:v>
      </x:c>
      <x:c r="C232" t="str">
        <x:v>MUSEUM Aquarelle</x:v>
      </x:c>
      <x:c r="D232" t="str">
        <x:v>560</x:v>
      </x:c>
      <x:c r="E232" t="str">
        <x:v>Light Cadmium Red</x:v>
      </x:c>
      <x:c r="F232" t="n">
        <x:v>1</x:v>
      </x:c>
      <x:c r="G232" t="str">
        <x:v>PR188</x:v>
      </x:c>
      <x:c r="H232" t="str">
        <x:v>PR188</x:v>
      </x:c>
      <x:c r="I232" t="str">
        <x:v>https://www.carandache.com/content_files/uploaded_doc/product/10986/Colour_Chart_Museum.pdf</x:v>
      </x:c>
    </x:row>
    <x:row r="233">
      <x:c r="A233" t="str">
        <x:v>CDA-MUS-070</x:v>
      </x:c>
      <x:c r="B233" t="str">
        <x:v>MUS</x:v>
      </x:c>
      <x:c r="C233" t="str">
        <x:v>MUSEUM Aquarelle</x:v>
      </x:c>
      <x:c r="D233" t="str">
        <x:v>070</x:v>
      </x:c>
      <x:c r="E233" t="str">
        <x:v>Scarlet</x:v>
      </x:c>
      <x:c r="F233" t="n">
        <x:v>1</x:v>
      </x:c>
      <x:c r="G233" t="str">
        <x:v>PR170</x:v>
      </x:c>
      <x:c r="H233" t="str">
        <x:v>PR170/PR254</x:v>
      </x:c>
      <x:c r="I233" t="str">
        <x:v>https://www.carandache.com/content_files/uploaded_doc/product/10986/Colour_Chart_Museum.pdf</x:v>
      </x:c>
    </x:row>
    <x:row r="234">
      <x:c r="A234" t="str">
        <x:v>CDA-MUS-070</x:v>
      </x:c>
      <x:c r="B234" t="str">
        <x:v>MUS</x:v>
      </x:c>
      <x:c r="C234" t="str">
        <x:v>MUSEUM Aquarelle</x:v>
      </x:c>
      <x:c r="D234" t="str">
        <x:v>070</x:v>
      </x:c>
      <x:c r="E234" t="str">
        <x:v>Scarlet</x:v>
      </x:c>
      <x:c r="F234" t="n">
        <x:v>2</x:v>
      </x:c>
      <x:c r="G234" t="str">
        <x:v>PR254</x:v>
      </x:c>
      <x:c r="H234" t="str">
        <x:v>PR170/PR254</x:v>
      </x:c>
      <x:c r="I234" t="str">
        <x:v>https://www.carandache.com/content_files/uploaded_doc/product/10986/Colour_Chart_Museum.pdf</x:v>
      </x:c>
    </x:row>
    <x:row r="235">
      <x:c r="A235" t="str">
        <x:v>CDA-MUS-571</x:v>
      </x:c>
      <x:c r="B235" t="str">
        <x:v>MUS</x:v>
      </x:c>
      <x:c r="C235" t="str">
        <x:v>MUSEUM Aquarelle</x:v>
      </x:c>
      <x:c r="D235" t="str">
        <x:v>571</x:v>
      </x:c>
      <x:c r="E235" t="str">
        <x:v>Anthraquinoid pink</x:v>
      </x:c>
      <x:c r="F235" t="n">
        <x:v>1</x:v>
      </x:c>
      <x:c r="G235" t="str">
        <x:v>PR168</x:v>
      </x:c>
      <x:c r="H235" t="str">
        <x:v>PR168</x:v>
      </x:c>
      <x:c r="I235" t="str">
        <x:v>https://www.carandache.com/content_files/uploaded_doc/product/10986/Colour_Chart_Museum.pdf</x:v>
      </x:c>
    </x:row>
    <x:row r="236">
      <x:c r="A236" t="str">
        <x:v>CDA-MUS-599</x:v>
      </x:c>
      <x:c r="B236" t="str">
        <x:v>MUS</x:v>
      </x:c>
      <x:c r="C236" t="str">
        <x:v>MUSEUM Aquarelle</x:v>
      </x:c>
      <x:c r="D236" t="str">
        <x:v>599</x:v>
      </x:c>
      <x:c r="E236" t="str">
        <x:v>Crimson aubergine</x:v>
      </x:c>
      <x:c r="F236" t="n">
        <x:v>1</x:v>
      </x:c>
      <x:c r="G236" t="str">
        <x:v>PR179</x:v>
      </x:c>
      <x:c r="H236" t="str">
        <x:v>PR179/PV19/PB15</x:v>
      </x:c>
      <x:c r="I236" t="str">
        <x:v>https://www.carandache.com/content_files/uploaded_doc/product/10986/Colour_Chart_Museum.pdf</x:v>
      </x:c>
    </x:row>
    <x:row r="237">
      <x:c r="A237" t="str">
        <x:v>CDA-MUS-599</x:v>
      </x:c>
      <x:c r="B237" t="str">
        <x:v>MUS</x:v>
      </x:c>
      <x:c r="C237" t="str">
        <x:v>MUSEUM Aquarelle</x:v>
      </x:c>
      <x:c r="D237" t="str">
        <x:v>599</x:v>
      </x:c>
      <x:c r="E237" t="str">
        <x:v>Crimson aubergine</x:v>
      </x:c>
      <x:c r="F237" t="n">
        <x:v>2</x:v>
      </x:c>
      <x:c r="G237" t="str">
        <x:v>PV19</x:v>
      </x:c>
      <x:c r="H237" t="str">
        <x:v>PR179/PV19/PB15</x:v>
      </x:c>
      <x:c r="I237" t="str">
        <x:v>https://www.carandache.com/content_files/uploaded_doc/product/10986/Colour_Chart_Museum.pdf</x:v>
      </x:c>
    </x:row>
    <x:row r="238">
      <x:c r="A238" t="str">
        <x:v>CDA-MUS-599</x:v>
      </x:c>
      <x:c r="B238" t="str">
        <x:v>MUS</x:v>
      </x:c>
      <x:c r="C238" t="str">
        <x:v>MUSEUM Aquarelle</x:v>
      </x:c>
      <x:c r="D238" t="str">
        <x:v>599</x:v>
      </x:c>
      <x:c r="E238" t="str">
        <x:v>Crimson aubergine</x:v>
      </x:c>
      <x:c r="F238" t="n">
        <x:v>3</x:v>
      </x:c>
      <x:c r="G238" t="str">
        <x:v>PB15</x:v>
      </x:c>
      <x:c r="H238" t="str">
        <x:v>PR179/PV19/PB15</x:v>
      </x:c>
      <x:c r="I238" t="str">
        <x:v>https://www.carandache.com/content_files/uploaded_doc/product/10986/Colour_Chart_Museum.pdf</x:v>
      </x:c>
    </x:row>
    <x:row r="239">
      <x:c r="A239" t="str">
        <x:v>CDA-MUS-575</x:v>
      </x:c>
      <x:c r="B239" t="str">
        <x:v>MUS</x:v>
      </x:c>
      <x:c r="C239" t="str">
        <x:v>MUSEUM Aquarelle</x:v>
      </x:c>
      <x:c r="D239" t="str">
        <x:v>575</x:v>
      </x:c>
      <x:c r="E239" t="str">
        <x:v>Carmine Lake</x:v>
      </x:c>
      <x:c r="F239" t="n">
        <x:v>1</x:v>
      </x:c>
      <x:c r="G239" t="str">
        <x:v>PR179</x:v>
      </x:c>
      <x:c r="H239" t="str">
        <x:v>PR179/PBk7</x:v>
      </x:c>
      <x:c r="I239" t="str">
        <x:v>https://www.carandache.com/content_files/uploaded_doc/product/10986/Colour_Chart_Museum.pdf</x:v>
      </x:c>
    </x:row>
    <x:row r="240">
      <x:c r="A240" t="str">
        <x:v>CDA-MUS-575</x:v>
      </x:c>
      <x:c r="B240" t="str">
        <x:v>MUS</x:v>
      </x:c>
      <x:c r="C240" t="str">
        <x:v>MUSEUM Aquarelle</x:v>
      </x:c>
      <x:c r="D240" t="str">
        <x:v>575</x:v>
      </x:c>
      <x:c r="E240" t="str">
        <x:v>Carmine Lake</x:v>
      </x:c>
      <x:c r="F240" t="n">
        <x:v>2</x:v>
      </x:c>
      <x:c r="G240" t="str">
        <x:v>PBk7</x:v>
      </x:c>
      <x:c r="H240" t="str">
        <x:v>PR179/PBk7</x:v>
      </x:c>
      <x:c r="I240" t="str">
        <x:v>https://www.carandache.com/content_files/uploaded_doc/product/10986/Colour_Chart_Museum.pdf</x:v>
      </x:c>
    </x:row>
    <x:row r="241">
      <x:c r="A241" t="str">
        <x:v>CDA-MUS-583</x:v>
      </x:c>
      <x:c r="B241" t="str">
        <x:v>MUS</x:v>
      </x:c>
      <x:c r="C241" t="str">
        <x:v>MUSEUM Aquarelle</x:v>
      </x:c>
      <x:c r="D241" t="str">
        <x:v>583</x:v>
      </x:c>
      <x:c r="E241" t="str">
        <x:v>Violet Pink</x:v>
      </x:c>
      <x:c r="F241" t="n">
        <x:v>1</x:v>
      </x:c>
      <x:c r="G241" t="str">
        <x:v>PR101</x:v>
      </x:c>
      <x:c r="H241" t="str">
        <x:v>PR101/PR168/PO82/PR122/PBk11/PY42/PBr7/PBk7</x:v>
      </x:c>
      <x:c r="I241" t="str">
        <x:v>https://www.carandache.com/content_files/uploaded_doc/product/10986/Colour_Chart_Museum.pdf</x:v>
      </x:c>
    </x:row>
    <x:row r="242">
      <x:c r="A242" t="str">
        <x:v>CDA-MUS-583</x:v>
      </x:c>
      <x:c r="B242" t="str">
        <x:v>MUS</x:v>
      </x:c>
      <x:c r="C242" t="str">
        <x:v>MUSEUM Aquarelle</x:v>
      </x:c>
      <x:c r="D242" t="str">
        <x:v>583</x:v>
      </x:c>
      <x:c r="E242" t="str">
        <x:v>Violet Pink</x:v>
      </x:c>
      <x:c r="F242" t="n">
        <x:v>2</x:v>
      </x:c>
      <x:c r="G242" t="str">
        <x:v>PR168</x:v>
      </x:c>
      <x:c r="H242" t="str">
        <x:v>PR101/PR168/PO82/PR122/PBk11/PY42/PBr7/PBk7</x:v>
      </x:c>
      <x:c r="I242" t="str">
        <x:v>https://www.carandache.com/content_files/uploaded_doc/product/10986/Colour_Chart_Museum.pdf</x:v>
      </x:c>
    </x:row>
    <x:row r="243">
      <x:c r="A243" t="str">
        <x:v>CDA-MUS-583</x:v>
      </x:c>
      <x:c r="B243" t="str">
        <x:v>MUS</x:v>
      </x:c>
      <x:c r="C243" t="str">
        <x:v>MUSEUM Aquarelle</x:v>
      </x:c>
      <x:c r="D243" t="str">
        <x:v>583</x:v>
      </x:c>
      <x:c r="E243" t="str">
        <x:v>Violet Pink</x:v>
      </x:c>
      <x:c r="F243" t="n">
        <x:v>3</x:v>
      </x:c>
      <x:c r="G243" t="str">
        <x:v>PO82</x:v>
      </x:c>
      <x:c r="H243" t="str">
        <x:v>PR101/PR168/PO82/PR122/PBk11/PY42/PBr7/PBk7</x:v>
      </x:c>
      <x:c r="I243" t="str">
        <x:v>https://www.carandache.com/content_files/uploaded_doc/product/10986/Colour_Chart_Museum.pdf</x:v>
      </x:c>
    </x:row>
    <x:row r="244">
      <x:c r="A244" t="str">
        <x:v>CDA-MUS-583</x:v>
      </x:c>
      <x:c r="B244" t="str">
        <x:v>MUS</x:v>
      </x:c>
      <x:c r="C244" t="str">
        <x:v>MUSEUM Aquarelle</x:v>
      </x:c>
      <x:c r="D244" t="str">
        <x:v>583</x:v>
      </x:c>
      <x:c r="E244" t="str">
        <x:v>Violet Pink</x:v>
      </x:c>
      <x:c r="F244" t="n">
        <x:v>4</x:v>
      </x:c>
      <x:c r="G244" t="str">
        <x:v>PR122</x:v>
      </x:c>
      <x:c r="H244" t="str">
        <x:v>PR101/PR168/PO82/PR122/PBk11/PY42/PBr7/PBk7</x:v>
      </x:c>
      <x:c r="I244" t="str">
        <x:v>https://www.carandache.com/content_files/uploaded_doc/product/10986/Colour_Chart_Museum.pdf</x:v>
      </x:c>
    </x:row>
    <x:row r="245">
      <x:c r="A245" t="str">
        <x:v>CDA-MUS-583</x:v>
      </x:c>
      <x:c r="B245" t="str">
        <x:v>MUS</x:v>
      </x:c>
      <x:c r="C245" t="str">
        <x:v>MUSEUM Aquarelle</x:v>
      </x:c>
      <x:c r="D245" t="str">
        <x:v>583</x:v>
      </x:c>
      <x:c r="E245" t="str">
        <x:v>Violet Pink</x:v>
      </x:c>
      <x:c r="F245" t="n">
        <x:v>5</x:v>
      </x:c>
      <x:c r="G245" t="str">
        <x:v>PBk11</x:v>
      </x:c>
      <x:c r="H245" t="str">
        <x:v>PR101/PR168/PO82/PR122/PBk11/PY42/PBr7/PBk7</x:v>
      </x:c>
      <x:c r="I245" t="str">
        <x:v>https://www.carandache.com/content_files/uploaded_doc/product/10986/Colour_Chart_Museum.pdf</x:v>
      </x:c>
    </x:row>
    <x:row r="246">
      <x:c r="A246" t="str">
        <x:v>CDA-MUS-583</x:v>
      </x:c>
      <x:c r="B246" t="str">
        <x:v>MUS</x:v>
      </x:c>
      <x:c r="C246" t="str">
        <x:v>MUSEUM Aquarelle</x:v>
      </x:c>
      <x:c r="D246" t="str">
        <x:v>583</x:v>
      </x:c>
      <x:c r="E246" t="str">
        <x:v>Violet Pink</x:v>
      </x:c>
      <x:c r="F246" t="n">
        <x:v>6</x:v>
      </x:c>
      <x:c r="G246" t="str">
        <x:v>PY42</x:v>
      </x:c>
      <x:c r="H246" t="str">
        <x:v>PR101/PR168/PO82/PR122/PBk11/PY42/PBr7/PBk7</x:v>
      </x:c>
      <x:c r="I246" t="str">
        <x:v>https://www.carandache.com/content_files/uploaded_doc/product/10986/Colour_Chart_Museum.pdf</x:v>
      </x:c>
    </x:row>
    <x:row r="247">
      <x:c r="A247" t="str">
        <x:v>CDA-MUS-583</x:v>
      </x:c>
      <x:c r="B247" t="str">
        <x:v>MUS</x:v>
      </x:c>
      <x:c r="C247" t="str">
        <x:v>MUSEUM Aquarelle</x:v>
      </x:c>
      <x:c r="D247" t="str">
        <x:v>583</x:v>
      </x:c>
      <x:c r="E247" t="str">
        <x:v>Violet Pink</x:v>
      </x:c>
      <x:c r="F247" t="n">
        <x:v>7</x:v>
      </x:c>
      <x:c r="G247" t="str">
        <x:v>PBr7</x:v>
      </x:c>
      <x:c r="H247" t="str">
        <x:v>PR101/PR168/PO82/PR122/PBk11/PY42/PBr7/PBk7</x:v>
      </x:c>
      <x:c r="I247" t="str">
        <x:v>https://www.carandache.com/content_files/uploaded_doc/product/10986/Colour_Chart_Museum.pdf</x:v>
      </x:c>
    </x:row>
    <x:row r="248">
      <x:c r="A248" t="str">
        <x:v>CDA-MUS-583</x:v>
      </x:c>
      <x:c r="B248" t="str">
        <x:v>MUS</x:v>
      </x:c>
      <x:c r="C248" t="str">
        <x:v>MUSEUM Aquarelle</x:v>
      </x:c>
      <x:c r="D248" t="str">
        <x:v>583</x:v>
      </x:c>
      <x:c r="E248" t="str">
        <x:v>Violet Pink</x:v>
      </x:c>
      <x:c r="F248" t="n">
        <x:v>8</x:v>
      </x:c>
      <x:c r="G248" t="str">
        <x:v>PBk7</x:v>
      </x:c>
      <x:c r="H248" t="str">
        <x:v>PR101/PR168/PO82/PR122/PBk11/PY42/PBr7/PBk7</x:v>
      </x:c>
      <x:c r="I248" t="str">
        <x:v>https://www.carandache.com/content_files/uploaded_doc/product/10986/Colour_Chart_Museum.pdf</x:v>
      </x:c>
    </x:row>
    <x:row r="249">
      <x:c r="A249" t="str">
        <x:v>CDA-MUS-106</x:v>
      </x:c>
      <x:c r="B249" t="str">
        <x:v>MUS</x:v>
      </x:c>
      <x:c r="C249" t="str">
        <x:v>MUSEUM Aquarelle</x:v>
      </x:c>
      <x:c r="D249" t="str">
        <x:v>106</x:v>
      </x:c>
      <x:c r="E249" t="str">
        <x:v>Dark plum</x:v>
      </x:c>
      <x:c r="F249" t="n">
        <x:v>1</x:v>
      </x:c>
      <x:c r="G249" t="str">
        <x:v>PV23</x:v>
      </x:c>
      <x:c r="H249" t="str">
        <x:v>PV23/PV19/PR3</x:v>
      </x:c>
      <x:c r="I249" t="str">
        <x:v>https://www.carandache.com/content_files/uploaded_doc/product/10986/Colour_Chart_Museum.pdf</x:v>
      </x:c>
    </x:row>
    <x:row r="250">
      <x:c r="A250" t="str">
        <x:v>CDA-MUS-106</x:v>
      </x:c>
      <x:c r="B250" t="str">
        <x:v>MUS</x:v>
      </x:c>
      <x:c r="C250" t="str">
        <x:v>MUSEUM Aquarelle</x:v>
      </x:c>
      <x:c r="D250" t="str">
        <x:v>106</x:v>
      </x:c>
      <x:c r="E250" t="str">
        <x:v>Dark plum</x:v>
      </x:c>
      <x:c r="F250" t="n">
        <x:v>2</x:v>
      </x:c>
      <x:c r="G250" t="str">
        <x:v>PV19</x:v>
      </x:c>
      <x:c r="H250" t="str">
        <x:v>PV23/PV19/PR3</x:v>
      </x:c>
      <x:c r="I250" t="str">
        <x:v>https://www.carandache.com/content_files/uploaded_doc/product/10986/Colour_Chart_Museum.pdf</x:v>
      </x:c>
    </x:row>
    <x:row r="251">
      <x:c r="A251" t="str">
        <x:v>CDA-MUS-106</x:v>
      </x:c>
      <x:c r="B251" t="str">
        <x:v>MUS</x:v>
      </x:c>
      <x:c r="C251" t="str">
        <x:v>MUSEUM Aquarelle</x:v>
      </x:c>
      <x:c r="D251" t="str">
        <x:v>106</x:v>
      </x:c>
      <x:c r="E251" t="str">
        <x:v>Dark plum</x:v>
      </x:c>
      <x:c r="F251" t="n">
        <x:v>3</x:v>
      </x:c>
      <x:c r="G251" t="str">
        <x:v>PR3</x:v>
      </x:c>
      <x:c r="H251" t="str">
        <x:v>PV23/PV19/PR3</x:v>
      </x:c>
      <x:c r="I251" t="str">
        <x:v>https://www.carandache.com/content_files/uploaded_doc/product/10986/Colour_Chart_Museum.pdf</x:v>
      </x:c>
    </x:row>
    <x:row r="252">
      <x:c r="A252" t="str">
        <x:v>CDA-MUS-350</x:v>
      </x:c>
      <x:c r="B252" t="str">
        <x:v>MUS</x:v>
      </x:c>
      <x:c r="C252" t="str">
        <x:v>MUSEUM Aquarelle</x:v>
      </x:c>
      <x:c r="D252" t="str">
        <x:v>350</x:v>
      </x:c>
      <x:c r="E252" t="str">
        <x:v>Purplish Red</x:v>
      </x:c>
      <x:c r="F252" t="n">
        <x:v>1</x:v>
      </x:c>
      <x:c r="G252" t="str">
        <x:v>PR122</x:v>
      </x:c>
      <x:c r="H252" t="str">
        <x:v>PR122</x:v>
      </x:c>
      <x:c r="I252" t="str">
        <x:v>https://www.carandache.com/content_files/uploaded_doc/product/10986/Colour_Chart_Museum.pdf</x:v>
      </x:c>
    </x:row>
    <x:row r="253">
      <x:c r="A253" t="str">
        <x:v>CDA-MUS-112</x:v>
      </x:c>
      <x:c r="B253" t="str">
        <x:v>MUS</x:v>
      </x:c>
      <x:c r="C253" t="str">
        <x:v>MUSEUM Aquarelle</x:v>
      </x:c>
      <x:c r="D253" t="str">
        <x:v>112</x:v>
      </x:c>
      <x:c r="E253" t="str">
        <x:v>Manganese violet</x:v>
      </x:c>
      <x:c r="F253" t="n">
        <x:v>1</x:v>
      </x:c>
      <x:c r="G253" t="str">
        <x:v>PV16</x:v>
      </x:c>
      <x:c r="H253" t="str">
        <x:v>PV16</x:v>
      </x:c>
      <x:c r="I253" t="str">
        <x:v>https://www.carandache.com/content_files/uploaded_doc/product/10986/Colour_Chart_Museum.pdf</x:v>
      </x:c>
    </x:row>
    <x:row r="254">
      <x:c r="A254" t="str">
        <x:v>CDA-MUS-131</x:v>
      </x:c>
      <x:c r="B254" t="str">
        <x:v>MUS</x:v>
      </x:c>
      <x:c r="C254" t="str">
        <x:v>MUSEUM Aquarelle</x:v>
      </x:c>
      <x:c r="D254" t="str">
        <x:v>131</x:v>
      </x:c>
      <x:c r="E254" t="str">
        <x:v>Periwinkle blue</x:v>
      </x:c>
      <x:c r="F254" t="n">
        <x:v>1</x:v>
      </x:c>
      <x:c r="G254" t="str">
        <x:v>PV23</x:v>
      </x:c>
      <x:c r="H254" t="str">
        <x:v>PV23/PV16</x:v>
      </x:c>
      <x:c r="I254" t="str">
        <x:v>https://www.carandache.com/content_files/uploaded_doc/product/10986/Colour_Chart_Museum.pdf</x:v>
      </x:c>
    </x:row>
    <x:row r="255">
      <x:c r="A255" t="str">
        <x:v>CDA-MUS-131</x:v>
      </x:c>
      <x:c r="B255" t="str">
        <x:v>MUS</x:v>
      </x:c>
      <x:c r="C255" t="str">
        <x:v>MUSEUM Aquarelle</x:v>
      </x:c>
      <x:c r="D255" t="str">
        <x:v>131</x:v>
      </x:c>
      <x:c r="E255" t="str">
        <x:v>Periwinkle blue</x:v>
      </x:c>
      <x:c r="F255" t="n">
        <x:v>2</x:v>
      </x:c>
      <x:c r="G255" t="str">
        <x:v>PV16</x:v>
      </x:c>
      <x:c r="H255" t="str">
        <x:v>PV23/PV16</x:v>
      </x:c>
      <x:c r="I255" t="str">
        <x:v>https://www.carandache.com/content_files/uploaded_doc/product/10986/Colour_Chart_Museum.pdf</x:v>
      </x:c>
    </x:row>
    <x:row r="256">
      <x:c r="A256" t="str">
        <x:v>CDA-MUS-120</x:v>
      </x:c>
      <x:c r="B256" t="str">
        <x:v>MUS</x:v>
      </x:c>
      <x:c r="C256" t="str">
        <x:v>MUSEUM Aquarelle</x:v>
      </x:c>
      <x:c r="D256" t="str">
        <x:v>120</x:v>
      </x:c>
      <x:c r="E256" t="str">
        <x:v>Violet</x:v>
      </x:c>
      <x:c r="F256" t="n">
        <x:v>1</x:v>
      </x:c>
      <x:c r="G256" t="str">
        <x:v>PB15</x:v>
      </x:c>
      <x:c r="H256" t="str">
        <x:v>PB15/PR122</x:v>
      </x:c>
      <x:c r="I256" t="str">
        <x:v>https://www.carandache.com/content_files/uploaded_doc/product/10986/Colour_Chart_Museum.pdf</x:v>
      </x:c>
    </x:row>
    <x:row r="257">
      <x:c r="A257" t="str">
        <x:v>CDA-MUS-120</x:v>
      </x:c>
      <x:c r="B257" t="str">
        <x:v>MUS</x:v>
      </x:c>
      <x:c r="C257" t="str">
        <x:v>MUSEUM Aquarelle</x:v>
      </x:c>
      <x:c r="D257" t="str">
        <x:v>120</x:v>
      </x:c>
      <x:c r="E257" t="str">
        <x:v>Violet</x:v>
      </x:c>
      <x:c r="F257" t="n">
        <x:v>2</x:v>
      </x:c>
      <x:c r="G257" t="str">
        <x:v>PR122</x:v>
      </x:c>
      <x:c r="H257" t="str">
        <x:v>PB15/PR122</x:v>
      </x:c>
      <x:c r="I257" t="str">
        <x:v>https://www.carandache.com/content_files/uploaded_doc/product/10986/Colour_Chart_Museum.pdf</x:v>
      </x:c>
    </x:row>
    <x:row r="258">
      <x:c r="A258" t="str">
        <x:v>CDA-MUS-630</x:v>
      </x:c>
      <x:c r="B258" t="str">
        <x:v>MUS</x:v>
      </x:c>
      <x:c r="C258" t="str">
        <x:v>MUSEUM Aquarelle</x:v>
      </x:c>
      <x:c r="D258" t="str">
        <x:v>630</x:v>
      </x:c>
      <x:c r="E258" t="str">
        <x:v>Ultramarine violet</x:v>
      </x:c>
      <x:c r="F258" t="n">
        <x:v>1</x:v>
      </x:c>
      <x:c r="G258" t="str">
        <x:v>PV15</x:v>
      </x:c>
      <x:c r="H258" t="str">
        <x:v>PV15</x:v>
      </x:c>
      <x:c r="I258" t="str">
        <x:v>https://www.carandache.com/content_files/uploaded_doc/product/10986/Colour_Chart_Museum.pdf</x:v>
      </x:c>
    </x:row>
    <x:row r="259">
      <x:c r="A259" t="str">
        <x:v>CDA-MUS-661</x:v>
      </x:c>
      <x:c r="B259" t="str">
        <x:v>MUS</x:v>
      </x:c>
      <x:c r="C259" t="str">
        <x:v>MUSEUM Aquarelle</x:v>
      </x:c>
      <x:c r="D259" t="str">
        <x:v>661</x:v>
      </x:c>
      <x:c r="E259" t="str">
        <x:v>Light cobalt blue</x:v>
      </x:c>
      <x:c r="F259" t="n">
        <x:v>1</x:v>
      </x:c>
      <x:c r="G259" t="str">
        <x:v>PB28</x:v>
      </x:c>
      <x:c r="H259" t="str">
        <x:v>PB28</x:v>
      </x:c>
      <x:c r="I259" t="str">
        <x:v>https://www.carandache.com/content_files/uploaded_doc/product/10986/Colour_Chart_Museum.pdf</x:v>
      </x:c>
    </x:row>
    <x:row r="260">
      <x:c r="A260" t="str">
        <x:v>CDA-MUS-662</x:v>
      </x:c>
      <x:c r="B260" t="str">
        <x:v>MUS</x:v>
      </x:c>
      <x:c r="C260" t="str">
        <x:v>MUSEUM Aquarelle</x:v>
      </x:c>
      <x:c r="D260" t="str">
        <x:v>662</x:v>
      </x:c>
      <x:c r="E260" t="str">
        <x:v>Genuine cobalt Blue</x:v>
      </x:c>
      <x:c r="F260" t="n">
        <x:v>1</x:v>
      </x:c>
      <x:c r="G260" t="str">
        <x:v>PB28</x:v>
      </x:c>
      <x:c r="H260" t="str">
        <x:v>PB28</x:v>
      </x:c>
      <x:c r="I260" t="str">
        <x:v>https://www.carandache.com/content_files/uploaded_doc/product/10986/Colour_Chart_Museum.pdf</x:v>
      </x:c>
    </x:row>
    <x:row r="261">
      <x:c r="A261" t="str">
        <x:v>CDA-MUS-660</x:v>
      </x:c>
      <x:c r="B261" t="str">
        <x:v>MUS</x:v>
      </x:c>
      <x:c r="C261" t="str">
        <x:v>MUSEUM Aquarelle</x:v>
      </x:c>
      <x:c r="D261" t="str">
        <x:v>660</x:v>
      </x:c>
      <x:c r="E261" t="str">
        <x:v>Middle Cobalt Blue</x:v>
      </x:c>
      <x:c r="F261" t="n">
        <x:v>1</x:v>
      </x:c>
      <x:c r="G261" t="str">
        <x:v>PB15</x:v>
      </x:c>
      <x:c r="H261" t="str">
        <x:v>PB15/PB29</x:v>
      </x:c>
      <x:c r="I261" t="str">
        <x:v>https://www.carandache.com/content_files/uploaded_doc/product/10986/Colour_Chart_Museum.pdf</x:v>
      </x:c>
    </x:row>
    <x:row r="262">
      <x:c r="A262" t="str">
        <x:v>CDA-MUS-660</x:v>
      </x:c>
      <x:c r="B262" t="str">
        <x:v>MUS</x:v>
      </x:c>
      <x:c r="C262" t="str">
        <x:v>MUSEUM Aquarelle</x:v>
      </x:c>
      <x:c r="D262" t="str">
        <x:v>660</x:v>
      </x:c>
      <x:c r="E262" t="str">
        <x:v>Middle Cobalt Blue</x:v>
      </x:c>
      <x:c r="F262" t="n">
        <x:v>2</x:v>
      </x:c>
      <x:c r="G262" t="str">
        <x:v>PB29</x:v>
      </x:c>
      <x:c r="H262" t="str">
        <x:v>PB15/PB29</x:v>
      </x:c>
      <x:c r="I262" t="str">
        <x:v>https://www.carandache.com/content_files/uploaded_doc/product/10986/Colour_Chart_Museum.pdf</x:v>
      </x:c>
    </x:row>
    <x:row r="263">
      <x:c r="A263" t="str">
        <x:v>CDA-MUS-640</x:v>
      </x:c>
      <x:c r="B263" t="str">
        <x:v>MUS</x:v>
      </x:c>
      <x:c r="C263" t="str">
        <x:v>MUSEUM Aquarelle</x:v>
      </x:c>
      <x:c r="D263" t="str">
        <x:v>640</x:v>
      </x:c>
      <x:c r="E263" t="str">
        <x:v>Dark Ultramarine</x:v>
      </x:c>
      <x:c r="F263" t="n">
        <x:v>1</x:v>
      </x:c>
      <x:c r="G263" t="str">
        <x:v>PB29</x:v>
      </x:c>
      <x:c r="H263" t="str">
        <x:v>PB29/PB1</x:v>
      </x:c>
      <x:c r="I263" t="str">
        <x:v>https://www.carandache.com/content_files/uploaded_doc/product/10986/Colour_Chart_Museum.pdf</x:v>
      </x:c>
    </x:row>
    <x:row r="264">
      <x:c r="A264" t="str">
        <x:v>CDA-MUS-640</x:v>
      </x:c>
      <x:c r="B264" t="str">
        <x:v>MUS</x:v>
      </x:c>
      <x:c r="C264" t="str">
        <x:v>MUSEUM Aquarelle</x:v>
      </x:c>
      <x:c r="D264" t="str">
        <x:v>640</x:v>
      </x:c>
      <x:c r="E264" t="str">
        <x:v>Dark Ultramarine</x:v>
      </x:c>
      <x:c r="F264" t="n">
        <x:v>2</x:v>
      </x:c>
      <x:c r="G264" t="str">
        <x:v>PB1</x:v>
      </x:c>
      <x:c r="H264" t="str">
        <x:v>PB29/PB1</x:v>
      </x:c>
      <x:c r="I264" t="str">
        <x:v>https://www.carandache.com/content_files/uploaded_doc/product/10986/Colour_Chart_Museum.pdf</x:v>
      </x:c>
    </x:row>
    <x:row r="265">
      <x:c r="A265" t="str">
        <x:v>CDA-MUS-149</x:v>
      </x:c>
      <x:c r="B265" t="str">
        <x:v>MUS</x:v>
      </x:c>
      <x:c r="C265" t="str">
        <x:v>MUSEUM Aquarelle</x:v>
      </x:c>
      <x:c r="D265" t="str">
        <x:v>149</x:v>
      </x:c>
      <x:c r="E265" t="str">
        <x:v>Night blue</x:v>
      </x:c>
      <x:c r="F265" t="n">
        <x:v>1</x:v>
      </x:c>
      <x:c r="G265" t="str">
        <x:v>PB60</x:v>
      </x:c>
      <x:c r="H265" t="str">
        <x:v>PB60</x:v>
      </x:c>
      <x:c r="I265" t="str">
        <x:v>https://www.carandache.com/content_files/uploaded_doc/product/10986/Colour_Chart_Museum.pdf</x:v>
      </x:c>
    </x:row>
    <x:row r="266">
      <x:c r="A266" t="str">
        <x:v>CDA-MUS-159</x:v>
      </x:c>
      <x:c r="B266" t="str">
        <x:v>MUS</x:v>
      </x:c>
      <x:c r="C266" t="str">
        <x:v>MUSEUM Aquarelle</x:v>
      </x:c>
      <x:c r="D266" t="str">
        <x:v>159</x:v>
      </x:c>
      <x:c r="E266" t="str">
        <x:v>Prussian Blue</x:v>
      </x:c>
      <x:c r="F266" t="n">
        <x:v>1</x:v>
      </x:c>
      <x:c r="G266" t="str">
        <x:v>PBk6</x:v>
      </x:c>
      <x:c r="H266" t="str">
        <x:v>PBk6/PB60</x:v>
      </x:c>
      <x:c r="I266" t="str">
        <x:v>https://www.carandache.com/content_files/uploaded_doc/product/10986/Colour_Chart_Museum.pdf</x:v>
      </x:c>
    </x:row>
    <x:row r="267">
      <x:c r="A267" t="str">
        <x:v>CDA-MUS-159</x:v>
      </x:c>
      <x:c r="B267" t="str">
        <x:v>MUS</x:v>
      </x:c>
      <x:c r="C267" t="str">
        <x:v>MUSEUM Aquarelle</x:v>
      </x:c>
      <x:c r="D267" t="str">
        <x:v>159</x:v>
      </x:c>
      <x:c r="E267" t="str">
        <x:v>Prussian Blue</x:v>
      </x:c>
      <x:c r="F267" t="n">
        <x:v>2</x:v>
      </x:c>
      <x:c r="G267" t="str">
        <x:v>PB60</x:v>
      </x:c>
      <x:c r="H267" t="str">
        <x:v>PBk6/PB60</x:v>
      </x:c>
      <x:c r="I267" t="str">
        <x:v>https://www.carandache.com/content_files/uploaded_doc/product/10986/Colour_Chart_Museum.pdf</x:v>
      </x:c>
    </x:row>
    <x:row r="268">
      <x:c r="A268" t="str">
        <x:v>CDA-MUS-161</x:v>
      </x:c>
      <x:c r="B268" t="str">
        <x:v>MUS</x:v>
      </x:c>
      <x:c r="C268" t="str">
        <x:v>MUSEUM Aquarelle</x:v>
      </x:c>
      <x:c r="D268" t="str">
        <x:v>161</x:v>
      </x:c>
      <x:c r="E268" t="str">
        <x:v>Light blue</x:v>
      </x:c>
      <x:c r="F268" t="n">
        <x:v>1</x:v>
      </x:c>
      <x:c r="G268" t="str">
        <x:v>PBk9</x:v>
      </x:c>
      <x:c r="H268" t="str">
        <x:v>PBk9/PB15:3</x:v>
      </x:c>
      <x:c r="I268" t="str">
        <x:v>https://www.carandache.com/content_files/uploaded_doc/product/10986/Colour_Chart_Museum.pdf</x:v>
      </x:c>
    </x:row>
    <x:row r="269">
      <x:c r="A269" t="str">
        <x:v>CDA-MUS-161</x:v>
      </x:c>
      <x:c r="B269" t="str">
        <x:v>MUS</x:v>
      </x:c>
      <x:c r="C269" t="str">
        <x:v>MUSEUM Aquarelle</x:v>
      </x:c>
      <x:c r="D269" t="str">
        <x:v>161</x:v>
      </x:c>
      <x:c r="E269" t="str">
        <x:v>Light blue</x:v>
      </x:c>
      <x:c r="F269" t="n">
        <x:v>2</x:v>
      </x:c>
      <x:c r="G269" t="str">
        <x:v>PB15:3</x:v>
      </x:c>
      <x:c r="H269" t="str">
        <x:v>PBk9/PB15:3</x:v>
      </x:c>
      <x:c r="I269" t="str">
        <x:v>https://www.carandache.com/content_files/uploaded_doc/product/10986/Colour_Chart_Museum.pdf</x:v>
      </x:c>
    </x:row>
    <x:row r="270">
      <x:c r="A270" t="str">
        <x:v>CDA-MUS-162</x:v>
      </x:c>
      <x:c r="B270" t="str">
        <x:v>MUS</x:v>
      </x:c>
      <x:c r="C270" t="str">
        <x:v>MUSEUM Aquarelle</x:v>
      </x:c>
      <x:c r="D270" t="str">
        <x:v>162</x:v>
      </x:c>
      <x:c r="E270" t="str">
        <x:v>Phthalocyanine blue</x:v>
      </x:c>
      <x:c r="F270" t="n">
        <x:v>1</x:v>
      </x:c>
      <x:c r="G270" t="str">
        <x:v>PB15:3</x:v>
      </x:c>
      <x:c r="H270" t="str">
        <x:v>PB15:3</x:v>
      </x:c>
      <x:c r="I270" t="str">
        <x:v>https://www.carandache.com/content_files/uploaded_doc/product/10986/Colour_Chart_Museum.pdf</x:v>
      </x:c>
    </x:row>
    <x:row r="271">
      <x:c r="A271" t="str">
        <x:v>CDA-MUS-670</x:v>
      </x:c>
      <x:c r="B271" t="str">
        <x:v>MUS</x:v>
      </x:c>
      <x:c r="C271" t="str">
        <x:v>MUSEUM Aquarelle</x:v>
      </x:c>
      <x:c r="D271" t="str">
        <x:v>670</x:v>
      </x:c>
      <x:c r="E271" t="str">
        <x:v>Permanent Blue</x:v>
      </x:c>
      <x:c r="F271" t="n">
        <x:v>1</x:v>
      </x:c>
      <x:c r="G271" t="str">
        <x:v>PG7</x:v>
      </x:c>
      <x:c r="H271" t="str">
        <x:v>PG7/PB15:3</x:v>
      </x:c>
      <x:c r="I271" t="str">
        <x:v>https://www.carandache.com/content_files/uploaded_doc/product/10986/Colour_Chart_Museum.pdf</x:v>
      </x:c>
    </x:row>
    <x:row r="272">
      <x:c r="A272" t="str">
        <x:v>CDA-MUS-670</x:v>
      </x:c>
      <x:c r="B272" t="str">
        <x:v>MUS</x:v>
      </x:c>
      <x:c r="C272" t="str">
        <x:v>MUSEUM Aquarelle</x:v>
      </x:c>
      <x:c r="D272" t="str">
        <x:v>670</x:v>
      </x:c>
      <x:c r="E272" t="str">
        <x:v>Permanent Blue</x:v>
      </x:c>
      <x:c r="F272" t="n">
        <x:v>2</x:v>
      </x:c>
      <x:c r="G272" t="str">
        <x:v>PB15:3</x:v>
      </x:c>
      <x:c r="H272" t="str">
        <x:v>PG7/PB15:3</x:v>
      </x:c>
      <x:c r="I272" t="str">
        <x:v>https://www.carandache.com/content_files/uploaded_doc/product/10986/Colour_Chart_Museum.pdf</x:v>
      </x:c>
    </x:row>
    <x:row r="273">
      <x:c r="A273" t="str">
        <x:v>CDA-MUS-185</x:v>
      </x:c>
      <x:c r="B273" t="str">
        <x:v>MUS</x:v>
      </x:c>
      <x:c r="C273" t="str">
        <x:v>MUSEUM Aquarelle</x:v>
      </x:c>
      <x:c r="D273" t="str">
        <x:v>185</x:v>
      </x:c>
      <x:c r="E273" t="str">
        <x:v>Ice blue</x:v>
      </x:c>
      <x:c r="F273" t="n">
        <x:v>1</x:v>
      </x:c>
      <x:c r="G273" t="str">
        <x:v>PB16</x:v>
      </x:c>
      <x:c r="H273" t="str">
        <x:v>PB16</x:v>
      </x:c>
      <x:c r="I273" t="str">
        <x:v>https://www.carandache.com/content_files/uploaded_doc/product/10986/Colour_Chart_Museum.pdf</x:v>
      </x:c>
    </x:row>
    <x:row r="274">
      <x:c r="A274" t="str">
        <x:v>CDA-MUS-171</x:v>
      </x:c>
      <x:c r="B274" t="str">
        <x:v>MUS</x:v>
      </x:c>
      <x:c r="C274" t="str">
        <x:v>MUSEUM Aquarelle</x:v>
      </x:c>
      <x:c r="D274" t="str">
        <x:v>171</x:v>
      </x:c>
      <x:c r="E274" t="str">
        <x:v>Turquoise blue</x:v>
      </x:c>
      <x:c r="F274" t="n">
        <x:v>1</x:v>
      </x:c>
      <x:c r="G274" t="str">
        <x:v>PB15</x:v>
      </x:c>
      <x:c r="H274" t="str">
        <x:v>PB15/PG7</x:v>
      </x:c>
      <x:c r="I274" t="str">
        <x:v>https://www.carandache.com/content_files/uploaded_doc/product/10986/Colour_Chart_Museum.pdf</x:v>
      </x:c>
    </x:row>
    <x:row r="275">
      <x:c r="A275" t="str">
        <x:v>CDA-MUS-171</x:v>
      </x:c>
      <x:c r="B275" t="str">
        <x:v>MUS</x:v>
      </x:c>
      <x:c r="C275" t="str">
        <x:v>MUSEUM Aquarelle</x:v>
      </x:c>
      <x:c r="D275" t="str">
        <x:v>171</x:v>
      </x:c>
      <x:c r="E275" t="str">
        <x:v>Turquoise blue</x:v>
      </x:c>
      <x:c r="F275" t="n">
        <x:v>2</x:v>
      </x:c>
      <x:c r="G275" t="str">
        <x:v>PG7</x:v>
      </x:c>
      <x:c r="H275" t="str">
        <x:v>PB15/PG7</x:v>
      </x:c>
      <x:c r="I275" t="str">
        <x:v>https://www.carandache.com/content_files/uploaded_doc/product/10986/Colour_Chart_Museum.pdf</x:v>
      </x:c>
    </x:row>
    <x:row r="276">
      <x:c r="A276" t="str">
        <x:v>CDA-MUS-181</x:v>
      </x:c>
      <x:c r="B276" t="str">
        <x:v>MUS</x:v>
      </x:c>
      <x:c r="C276" t="str">
        <x:v>MUSEUM Aquarelle</x:v>
      </x:c>
      <x:c r="D276" t="str">
        <x:v>181</x:v>
      </x:c>
      <x:c r="E276" t="str">
        <x:v>Light malachite green</x:v>
      </x:c>
      <x:c r="F276" t="n">
        <x:v>1</x:v>
      </x:c>
      <x:c r="G276" t="str">
        <x:v>PG7</x:v>
      </x:c>
      <x:c r="H276" t="str">
        <x:v>PG7/PBk9</x:v>
      </x:c>
      <x:c r="I276" t="str">
        <x:v>https://www.carandache.com/content_files/uploaded_doc/product/10986/Colour_Chart_Museum.pdf</x:v>
      </x:c>
    </x:row>
    <x:row r="277">
      <x:c r="A277" t="str">
        <x:v>CDA-MUS-181</x:v>
      </x:c>
      <x:c r="B277" t="str">
        <x:v>MUS</x:v>
      </x:c>
      <x:c r="C277" t="str">
        <x:v>MUSEUM Aquarelle</x:v>
      </x:c>
      <x:c r="D277" t="str">
        <x:v>181</x:v>
      </x:c>
      <x:c r="E277" t="str">
        <x:v>Light malachite green</x:v>
      </x:c>
      <x:c r="F277" t="n">
        <x:v>2</x:v>
      </x:c>
      <x:c r="G277" t="str">
        <x:v>PBk9</x:v>
      </x:c>
      <x:c r="H277" t="str">
        <x:v>PG7/PBk9</x:v>
      </x:c>
      <x:c r="I277" t="str">
        <x:v>https://www.carandache.com/content_files/uploaded_doc/product/10986/Colour_Chart_Museum.pdf</x:v>
      </x:c>
    </x:row>
    <x:row r="278">
      <x:c r="A278" t="str">
        <x:v>CDA-MUS-182</x:v>
      </x:c>
      <x:c r="B278" t="str">
        <x:v>MUS</x:v>
      </x:c>
      <x:c r="C278" t="str">
        <x:v>MUSEUM Aquarelle</x:v>
      </x:c>
      <x:c r="D278" t="str">
        <x:v>182</x:v>
      </x:c>
      <x:c r="E278" t="str">
        <x:v>Cobalt green</x:v>
      </x:c>
      <x:c r="F278" t="n">
        <x:v>1</x:v>
      </x:c>
      <x:c r="G278" t="str">
        <x:v>PG50</x:v>
      </x:c>
      <x:c r="H278" t="str">
        <x:v>PG50</x:v>
      </x:c>
      <x:c r="I278" t="str">
        <x:v>https://www.carandache.com/content_files/uploaded_doc/product/10986/Colour_Chart_Museum.pdf</x:v>
      </x:c>
    </x:row>
    <x:row r="279">
      <x:c r="A279" t="str">
        <x:v>CDA-MUS-212</x:v>
      </x:c>
      <x:c r="B279" t="str">
        <x:v>MUS</x:v>
      </x:c>
      <x:c r="C279" t="str">
        <x:v>MUSEUM Aquarelle</x:v>
      </x:c>
      <x:c r="D279" t="str">
        <x:v>212</x:v>
      </x:c>
      <x:c r="E279" t="str">
        <x:v>Chromium oxyde green</x:v>
      </x:c>
      <x:c r="F279" t="n">
        <x:v>1</x:v>
      </x:c>
      <x:c r="G279" t="str">
        <x:v>PG17­</x:v>
      </x:c>
      <x:c r="H279" t="str">
        <x:v>PG17­</x:v>
      </x:c>
      <x:c r="I279" t="str">
        <x:v>https://www.carandache.com/content_files/uploaded_doc/product/10986/Colour_Chart_Museum.pdf</x:v>
      </x:c>
    </x:row>
    <x:row r="280">
      <x:c r="A280" t="str">
        <x:v>CDA-MUS-225</x:v>
      </x:c>
      <x:c r="B280" t="str">
        <x:v>MUS</x:v>
      </x:c>
      <x:c r="C280" t="str">
        <x:v>MUSEUM Aquarelle</x:v>
      </x:c>
      <x:c r="D280" t="str">
        <x:v>225</x:v>
      </x:c>
      <x:c r="E280" t="str">
        <x:v>Moss green</x:v>
      </x:c>
      <x:c r="F280" t="n">
        <x:v>1</x:v>
      </x:c>
      <x:c r="G280" t="str">
        <x:v>PB15</x:v>
      </x:c>
      <x:c r="H280" t="str">
        <x:v>PB15/PBk7/PY74/PY3</x:v>
      </x:c>
      <x:c r="I280" t="str">
        <x:v>https://www.carandache.com/content_files/uploaded_doc/product/10986/Colour_Chart_Museum.pdf</x:v>
      </x:c>
    </x:row>
    <x:row r="281">
      <x:c r="A281" t="str">
        <x:v>CDA-MUS-225</x:v>
      </x:c>
      <x:c r="B281" t="str">
        <x:v>MUS</x:v>
      </x:c>
      <x:c r="C281" t="str">
        <x:v>MUSEUM Aquarelle</x:v>
      </x:c>
      <x:c r="D281" t="str">
        <x:v>225</x:v>
      </x:c>
      <x:c r="E281" t="str">
        <x:v>Moss green</x:v>
      </x:c>
      <x:c r="F281" t="n">
        <x:v>2</x:v>
      </x:c>
      <x:c r="G281" t="str">
        <x:v>PBk7</x:v>
      </x:c>
      <x:c r="H281" t="str">
        <x:v>PB15/PBk7/PY74/PY3</x:v>
      </x:c>
      <x:c r="I281" t="str">
        <x:v>https://www.carandache.com/content_files/uploaded_doc/product/10986/Colour_Chart_Museum.pdf</x:v>
      </x:c>
    </x:row>
    <x:row r="282">
      <x:c r="A282" t="str">
        <x:v>CDA-MUS-225</x:v>
      </x:c>
      <x:c r="B282" t="str">
        <x:v>MUS</x:v>
      </x:c>
      <x:c r="C282" t="str">
        <x:v>MUSEUM Aquarelle</x:v>
      </x:c>
      <x:c r="D282" t="str">
        <x:v>225</x:v>
      </x:c>
      <x:c r="E282" t="str">
        <x:v>Moss green</x:v>
      </x:c>
      <x:c r="F282" t="n">
        <x:v>3</x:v>
      </x:c>
      <x:c r="G282" t="str">
        <x:v>PY74</x:v>
      </x:c>
      <x:c r="H282" t="str">
        <x:v>PB15/PBk7/PY74/PY3</x:v>
      </x:c>
      <x:c r="I282" t="str">
        <x:v>https://www.carandache.com/content_files/uploaded_doc/product/10986/Colour_Chart_Museum.pdf</x:v>
      </x:c>
    </x:row>
    <x:row r="283">
      <x:c r="A283" t="str">
        <x:v>CDA-MUS-225</x:v>
      </x:c>
      <x:c r="B283" t="str">
        <x:v>MUS</x:v>
      </x:c>
      <x:c r="C283" t="str">
        <x:v>MUSEUM Aquarelle</x:v>
      </x:c>
      <x:c r="D283" t="str">
        <x:v>225</x:v>
      </x:c>
      <x:c r="E283" t="str">
        <x:v>Moss green</x:v>
      </x:c>
      <x:c r="F283" t="n">
        <x:v>4</x:v>
      </x:c>
      <x:c r="G283" t="str">
        <x:v>PY3</x:v>
      </x:c>
      <x:c r="H283" t="str">
        <x:v>PB15/PBk7/PY74/PY3</x:v>
      </x:c>
      <x:c r="I283" t="str">
        <x:v>https://www.carandache.com/content_files/uploaded_doc/product/10986/Colour_Chart_Museum.pdf</x:v>
      </x:c>
    </x:row>
    <x:row r="284">
      <x:c r="A284" t="str">
        <x:v>CDA-MUS-719</x:v>
      </x:c>
      <x:c r="B284" t="str">
        <x:v>MUS</x:v>
      </x:c>
      <x:c r="C284" t="str">
        <x:v>MUSEUM Aquarelle</x:v>
      </x:c>
      <x:c r="D284" t="str">
        <x:v>719</x:v>
      </x:c>
      <x:c r="E284" t="str">
        <x:v>Dark phthalocyanine green</x:v>
      </x:c>
      <x:c r="F284" t="n">
        <x:v>1</x:v>
      </x:c>
      <x:c r="G284" t="str">
        <x:v>PB15</x:v>
      </x:c>
      <x:c r="H284" t="str">
        <x:v>PB15/PBk7/PY74/PY3</x:v>
      </x:c>
      <x:c r="I284" t="str">
        <x:v>https://www.carandache.com/content_files/uploaded_doc/product/10986/Colour_Chart_Museum.pdf</x:v>
      </x:c>
    </x:row>
    <x:row r="285">
      <x:c r="A285" t="str">
        <x:v>CDA-MUS-719</x:v>
      </x:c>
      <x:c r="B285" t="str">
        <x:v>MUS</x:v>
      </x:c>
      <x:c r="C285" t="str">
        <x:v>MUSEUM Aquarelle</x:v>
      </x:c>
      <x:c r="D285" t="str">
        <x:v>719</x:v>
      </x:c>
      <x:c r="E285" t="str">
        <x:v>Dark phthalocyanine green</x:v>
      </x:c>
      <x:c r="F285" t="n">
        <x:v>2</x:v>
      </x:c>
      <x:c r="G285" t="str">
        <x:v>PBk7</x:v>
      </x:c>
      <x:c r="H285" t="str">
        <x:v>PB15/PBk7/PY74/PY3</x:v>
      </x:c>
      <x:c r="I285" t="str">
        <x:v>https://www.carandache.com/content_files/uploaded_doc/product/10986/Colour_Chart_Museum.pdf</x:v>
      </x:c>
    </x:row>
    <x:row r="286">
      <x:c r="A286" t="str">
        <x:v>CDA-MUS-719</x:v>
      </x:c>
      <x:c r="B286" t="str">
        <x:v>MUS</x:v>
      </x:c>
      <x:c r="C286" t="str">
        <x:v>MUSEUM Aquarelle</x:v>
      </x:c>
      <x:c r="D286" t="str">
        <x:v>719</x:v>
      </x:c>
      <x:c r="E286" t="str">
        <x:v>Dark phthalocyanine green</x:v>
      </x:c>
      <x:c r="F286" t="n">
        <x:v>3</x:v>
      </x:c>
      <x:c r="G286" t="str">
        <x:v>PY74</x:v>
      </x:c>
      <x:c r="H286" t="str">
        <x:v>PB15/PBk7/PY74/PY3</x:v>
      </x:c>
      <x:c r="I286" t="str">
        <x:v>https://www.carandache.com/content_files/uploaded_doc/product/10986/Colour_Chart_Museum.pdf</x:v>
      </x:c>
    </x:row>
    <x:row r="287">
      <x:c r="A287" t="str">
        <x:v>CDA-MUS-719</x:v>
      </x:c>
      <x:c r="B287" t="str">
        <x:v>MUS</x:v>
      </x:c>
      <x:c r="C287" t="str">
        <x:v>MUSEUM Aquarelle</x:v>
      </x:c>
      <x:c r="D287" t="str">
        <x:v>719</x:v>
      </x:c>
      <x:c r="E287" t="str">
        <x:v>Dark phthalocyanine green</x:v>
      </x:c>
      <x:c r="F287" t="n">
        <x:v>4</x:v>
      </x:c>
      <x:c r="G287" t="str">
        <x:v>PY3</x:v>
      </x:c>
      <x:c r="H287" t="str">
        <x:v>PB15/PBk7/PY74/PY3</x:v>
      </x:c>
      <x:c r="I287" t="str">
        <x:v>https://www.carandache.com/content_files/uploaded_doc/product/10986/Colour_Chart_Museum.pdf</x:v>
      </x:c>
    </x:row>
    <x:row r="288">
      <x:c r="A288" t="str">
        <x:v>CDA-MUS-249</x:v>
      </x:c>
      <x:c r="B288" t="str">
        <x:v>MUS</x:v>
      </x:c>
      <x:c r="C288" t="str">
        <x:v>MUSEUM Aquarelle</x:v>
      </x:c>
      <x:c r="D288" t="str">
        <x:v>249</x:v>
      </x:c>
      <x:c r="E288" t="str">
        <x:v>Olive</x:v>
      </x:c>
      <x:c r="F288" t="n">
        <x:v>1</x:v>
      </x:c>
      <x:c r="G288" t="str">
        <x:v>PY1</x:v>
      </x:c>
      <x:c r="H288" t="str">
        <x:v>PY1/PG7/PBk6/PO61</x:v>
      </x:c>
      <x:c r="I288" t="str">
        <x:v>https://www.carandache.com/content_files/uploaded_doc/product/10986/Colour_Chart_Museum.pdf</x:v>
      </x:c>
    </x:row>
    <x:row r="289">
      <x:c r="A289" t="str">
        <x:v>CDA-MUS-249</x:v>
      </x:c>
      <x:c r="B289" t="str">
        <x:v>MUS</x:v>
      </x:c>
      <x:c r="C289" t="str">
        <x:v>MUSEUM Aquarelle</x:v>
      </x:c>
      <x:c r="D289" t="str">
        <x:v>249</x:v>
      </x:c>
      <x:c r="E289" t="str">
        <x:v>Olive</x:v>
      </x:c>
      <x:c r="F289" t="n">
        <x:v>2</x:v>
      </x:c>
      <x:c r="G289" t="str">
        <x:v>PG7</x:v>
      </x:c>
      <x:c r="H289" t="str">
        <x:v>PY1/PG7/PBk6/PO61</x:v>
      </x:c>
      <x:c r="I289" t="str">
        <x:v>https://www.carandache.com/content_files/uploaded_doc/product/10986/Colour_Chart_Museum.pdf</x:v>
      </x:c>
    </x:row>
    <x:row r="290">
      <x:c r="A290" t="str">
        <x:v>CDA-MUS-249</x:v>
      </x:c>
      <x:c r="B290" t="str">
        <x:v>MUS</x:v>
      </x:c>
      <x:c r="C290" t="str">
        <x:v>MUSEUM Aquarelle</x:v>
      </x:c>
      <x:c r="D290" t="str">
        <x:v>249</x:v>
      </x:c>
      <x:c r="E290" t="str">
        <x:v>Olive</x:v>
      </x:c>
      <x:c r="F290" t="n">
        <x:v>3</x:v>
      </x:c>
      <x:c r="G290" t="str">
        <x:v>PBk6</x:v>
      </x:c>
      <x:c r="H290" t="str">
        <x:v>PY1/PG7/PBk6/PO61</x:v>
      </x:c>
      <x:c r="I290" t="str">
        <x:v>https://www.carandache.com/content_files/uploaded_doc/product/10986/Colour_Chart_Museum.pdf</x:v>
      </x:c>
    </x:row>
    <x:row r="291">
      <x:c r="A291" t="str">
        <x:v>CDA-MUS-249</x:v>
      </x:c>
      <x:c r="B291" t="str">
        <x:v>MUS</x:v>
      </x:c>
      <x:c r="C291" t="str">
        <x:v>MUSEUM Aquarelle</x:v>
      </x:c>
      <x:c r="D291" t="str">
        <x:v>249</x:v>
      </x:c>
      <x:c r="E291" t="str">
        <x:v>Olive</x:v>
      </x:c>
      <x:c r="F291" t="n">
        <x:v>4</x:v>
      </x:c>
      <x:c r="G291" t="str">
        <x:v>PO61</x:v>
      </x:c>
      <x:c r="H291" t="str">
        <x:v>PY1/PG7/PBk6/PO61</x:v>
      </x:c>
      <x:c r="I291" t="str">
        <x:v>https://www.carandache.com/content_files/uploaded_doc/product/10986/Colour_Chart_Museum.pdf</x:v>
      </x:c>
    </x:row>
    <x:row r="292">
      <x:c r="A292" t="str">
        <x:v>CDA-MUS-245</x:v>
      </x:c>
      <x:c r="B292" t="str">
        <x:v>MUS</x:v>
      </x:c>
      <x:c r="C292" t="str">
        <x:v>MUSEUM Aquarelle</x:v>
      </x:c>
      <x:c r="D292" t="str">
        <x:v>245</x:v>
      </x:c>
      <x:c r="E292" t="str">
        <x:v>Light olive</x:v>
      </x:c>
      <x:c r="F292" t="n">
        <x:v>1</x:v>
      </x:c>
      <x:c r="G292" t="str">
        <x:v>PO61</x:v>
      </x:c>
      <x:c r="H292" t="str">
        <x:v>PO61/PY1/PG7</x:v>
      </x:c>
      <x:c r="I292" t="str">
        <x:v>https://www.carandache.com/content_files/uploaded_doc/product/10986/Colour_Chart_Museum.pdf</x:v>
      </x:c>
    </x:row>
    <x:row r="293">
      <x:c r="A293" t="str">
        <x:v>CDA-MUS-245</x:v>
      </x:c>
      <x:c r="B293" t="str">
        <x:v>MUS</x:v>
      </x:c>
      <x:c r="C293" t="str">
        <x:v>MUSEUM Aquarelle</x:v>
      </x:c>
      <x:c r="D293" t="str">
        <x:v>245</x:v>
      </x:c>
      <x:c r="E293" t="str">
        <x:v>Light olive</x:v>
      </x:c>
      <x:c r="F293" t="n">
        <x:v>2</x:v>
      </x:c>
      <x:c r="G293" t="str">
        <x:v>PY1</x:v>
      </x:c>
      <x:c r="H293" t="str">
        <x:v>PO61/PY1/PG7</x:v>
      </x:c>
      <x:c r="I293" t="str">
        <x:v>https://www.carandache.com/content_files/uploaded_doc/product/10986/Colour_Chart_Museum.pdf</x:v>
      </x:c>
    </x:row>
    <x:row r="294">
      <x:c r="A294" t="str">
        <x:v>CDA-MUS-245</x:v>
      </x:c>
      <x:c r="B294" t="str">
        <x:v>MUS</x:v>
      </x:c>
      <x:c r="C294" t="str">
        <x:v>MUSEUM Aquarelle</x:v>
      </x:c>
      <x:c r="D294" t="str">
        <x:v>245</x:v>
      </x:c>
      <x:c r="E294" t="str">
        <x:v>Light olive</x:v>
      </x:c>
      <x:c r="F294" t="n">
        <x:v>3</x:v>
      </x:c>
      <x:c r="G294" t="str">
        <x:v>PG7</x:v>
      </x:c>
      <x:c r="H294" t="str">
        <x:v>PO61/PY1/PG7</x:v>
      </x:c>
      <x:c r="I294" t="str">
        <x:v>https://www.carandache.com/content_files/uploaded_doc/product/10986/Colour_Chart_Museum.pdf</x:v>
      </x:c>
    </x:row>
    <x:row r="295">
      <x:c r="A295" t="str">
        <x:v>CDA-MUS-025</x:v>
      </x:c>
      <x:c r="B295" t="str">
        <x:v>MUS</x:v>
      </x:c>
      <x:c r="C295" t="str">
        <x:v>MUSEUM Aquarelle</x:v>
      </x:c>
      <x:c r="D295" t="str">
        <x:v>025</x:v>
      </x:c>
      <x:c r="E295" t="str">
        <x:v>Green ochre</x:v>
      </x:c>
      <x:c r="F295" t="n">
        <x:v>1</x:v>
      </x:c>
      <x:c r="G295" t="str">
        <x:v>PY3</x:v>
      </x:c>
      <x:c r="H295" t="str">
        <x:v>PY3/PY42/PO62/PBk6/PY13</x:v>
      </x:c>
      <x:c r="I295" t="str">
        <x:v>https://www.carandache.com/content_files/uploaded_doc/product/10986/Colour_Chart_Museum.pdf</x:v>
      </x:c>
    </x:row>
    <x:row r="296">
      <x:c r="A296" t="str">
        <x:v>CDA-MUS-025</x:v>
      </x:c>
      <x:c r="B296" t="str">
        <x:v>MUS</x:v>
      </x:c>
      <x:c r="C296" t="str">
        <x:v>MUSEUM Aquarelle</x:v>
      </x:c>
      <x:c r="D296" t="str">
        <x:v>025</x:v>
      </x:c>
      <x:c r="E296" t="str">
        <x:v>Green ochre</x:v>
      </x:c>
      <x:c r="F296" t="n">
        <x:v>2</x:v>
      </x:c>
      <x:c r="G296" t="str">
        <x:v>PY42</x:v>
      </x:c>
      <x:c r="H296" t="str">
        <x:v>PY3/PY42/PO62/PBk6/PY13</x:v>
      </x:c>
      <x:c r="I296" t="str">
        <x:v>https://www.carandache.com/content_files/uploaded_doc/product/10986/Colour_Chart_Museum.pdf</x:v>
      </x:c>
    </x:row>
    <x:row r="297">
      <x:c r="A297" t="str">
        <x:v>CDA-MUS-025</x:v>
      </x:c>
      <x:c r="B297" t="str">
        <x:v>MUS</x:v>
      </x:c>
      <x:c r="C297" t="str">
        <x:v>MUSEUM Aquarelle</x:v>
      </x:c>
      <x:c r="D297" t="str">
        <x:v>025</x:v>
      </x:c>
      <x:c r="E297" t="str">
        <x:v>Green ochre</x:v>
      </x:c>
      <x:c r="F297" t="n">
        <x:v>3</x:v>
      </x:c>
      <x:c r="G297" t="str">
        <x:v>PO62</x:v>
      </x:c>
      <x:c r="H297" t="str">
        <x:v>PY3/PY42/PO62/PBk6/PY13</x:v>
      </x:c>
      <x:c r="I297" t="str">
        <x:v>https://www.carandache.com/content_files/uploaded_doc/product/10986/Colour_Chart_Museum.pdf</x:v>
      </x:c>
    </x:row>
    <x:row r="298">
      <x:c r="A298" t="str">
        <x:v>CDA-MUS-025</x:v>
      </x:c>
      <x:c r="B298" t="str">
        <x:v>MUS</x:v>
      </x:c>
      <x:c r="C298" t="str">
        <x:v>MUSEUM Aquarelle</x:v>
      </x:c>
      <x:c r="D298" t="str">
        <x:v>025</x:v>
      </x:c>
      <x:c r="E298" t="str">
        <x:v>Green ochre</x:v>
      </x:c>
      <x:c r="F298" t="n">
        <x:v>4</x:v>
      </x:c>
      <x:c r="G298" t="str">
        <x:v>PBk6</x:v>
      </x:c>
      <x:c r="H298" t="str">
        <x:v>PY3/PY42/PO62/PBk6/PY13</x:v>
      </x:c>
      <x:c r="I298" t="str">
        <x:v>https://www.carandache.com/content_files/uploaded_doc/product/10986/Colour_Chart_Museum.pdf</x:v>
      </x:c>
    </x:row>
    <x:row r="299">
      <x:c r="A299" t="str">
        <x:v>CDA-MUS-025</x:v>
      </x:c>
      <x:c r="B299" t="str">
        <x:v>MUS</x:v>
      </x:c>
      <x:c r="C299" t="str">
        <x:v>MUSEUM Aquarelle</x:v>
      </x:c>
      <x:c r="D299" t="str">
        <x:v>025</x:v>
      </x:c>
      <x:c r="E299" t="str">
        <x:v>Green ochre</x:v>
      </x:c>
      <x:c r="F299" t="n">
        <x:v>5</x:v>
      </x:c>
      <x:c r="G299" t="str">
        <x:v>PY13</x:v>
      </x:c>
      <x:c r="H299" t="str">
        <x:v>PY3/PY42/PO62/PBk6/PY13</x:v>
      </x:c>
      <x:c r="I299" t="str">
        <x:v>https://www.carandache.com/content_files/uploaded_doc/product/10986/Colour_Chart_Museum.pdf</x:v>
      </x:c>
    </x:row>
    <x:row r="300">
      <x:c r="A300" t="str">
        <x:v>CDA-MUS-015</x:v>
      </x:c>
      <x:c r="B300" t="str">
        <x:v>MUS</x:v>
      </x:c>
      <x:c r="C300" t="str">
        <x:v>MUSEUM Aquarelle</x:v>
      </x:c>
      <x:c r="D300" t="str">
        <x:v>015</x:v>
      </x:c>
      <x:c r="E300" t="str">
        <x:v>Olive yellow</x:v>
      </x:c>
      <x:c r="F300" t="n">
        <x:v>1</x:v>
      </x:c>
      <x:c r="G300" t="str">
        <x:v>PY3</x:v>
      </x:c>
      <x:c r="H300" t="str">
        <x:v>PY3/PBk7</x:v>
      </x:c>
      <x:c r="I300" t="str">
        <x:v>https://www.carandache.com/content_files/uploaded_doc/product/10986/Colour_Chart_Museum.pdf</x:v>
      </x:c>
    </x:row>
    <x:row r="301">
      <x:c r="A301" t="str">
        <x:v>CDA-MUS-015</x:v>
      </x:c>
      <x:c r="B301" t="str">
        <x:v>MUS</x:v>
      </x:c>
      <x:c r="C301" t="str">
        <x:v>MUSEUM Aquarelle</x:v>
      </x:c>
      <x:c r="D301" t="str">
        <x:v>015</x:v>
      </x:c>
      <x:c r="E301" t="str">
        <x:v>Olive yellow</x:v>
      </x:c>
      <x:c r="F301" t="n">
        <x:v>2</x:v>
      </x:c>
      <x:c r="G301" t="str">
        <x:v>PBk7</x:v>
      </x:c>
      <x:c r="H301" t="str">
        <x:v>PY3/PBk7</x:v>
      </x:c>
      <x:c r="I301" t="str">
        <x:v>https://www.carandache.com/content_files/uploaded_doc/product/10986/Colour_Chart_Museum.pdf</x:v>
      </x:c>
    </x:row>
    <x:row r="302">
      <x:c r="A302" t="str">
        <x:v>CDA-MUS-470</x:v>
      </x:c>
      <x:c r="B302" t="str">
        <x:v>MUS</x:v>
      </x:c>
      <x:c r="C302" t="str">
        <x:v>MUSEUM Aquarelle</x:v>
      </x:c>
      <x:c r="D302" t="str">
        <x:v>470</x:v>
      </x:c>
      <x:c r="E302" t="str">
        <x:v>Spring Green</x:v>
      </x:c>
      <x:c r="F302" t="n">
        <x:v>1</x:v>
      </x:c>
      <x:c r="G302" t="str">
        <x:v>PG7</x:v>
      </x:c>
      <x:c r="H302" t="str">
        <x:v>PG7/PY3</x:v>
      </x:c>
      <x:c r="I302" t="str">
        <x:v>https://www.carandache.com/content_files/uploaded_doc/product/10986/Colour_Chart_Museum.pdf</x:v>
      </x:c>
    </x:row>
    <x:row r="303">
      <x:c r="A303" t="str">
        <x:v>CDA-MUS-470</x:v>
      </x:c>
      <x:c r="B303" t="str">
        <x:v>MUS</x:v>
      </x:c>
      <x:c r="C303" t="str">
        <x:v>MUSEUM Aquarelle</x:v>
      </x:c>
      <x:c r="D303" t="str">
        <x:v>470</x:v>
      </x:c>
      <x:c r="E303" t="str">
        <x:v>Spring Green</x:v>
      </x:c>
      <x:c r="F303" t="n">
        <x:v>2</x:v>
      </x:c>
      <x:c r="G303" t="str">
        <x:v>PY3</x:v>
      </x:c>
      <x:c r="H303" t="str">
        <x:v>PG7/PY3</x:v>
      </x:c>
      <x:c r="I303" t="str">
        <x:v>https://www.carandache.com/content_files/uploaded_doc/product/10986/Colour_Chart_Museum.pdf</x:v>
      </x:c>
    </x:row>
    <x:row r="304">
      <x:c r="A304" t="str">
        <x:v>CDA-MUS-720</x:v>
      </x:c>
      <x:c r="B304" t="str">
        <x:v>MUS</x:v>
      </x:c>
      <x:c r="C304" t="str">
        <x:v>MUSEUM Aquarelle</x:v>
      </x:c>
      <x:c r="D304" t="str">
        <x:v>720</x:v>
      </x:c>
      <x:c r="E304" t="str">
        <x:v>Bright Green</x:v>
      </x:c>
      <x:c r="F304" t="n">
        <x:v>1</x:v>
      </x:c>
      <x:c r="G304" t="str">
        <x:v>PG36</x:v>
      </x:c>
      <x:c r="H304" t="str">
        <x:v>PG36/PY1/PY3</x:v>
      </x:c>
      <x:c r="I304" t="str">
        <x:v>https://www.carandache.com/content_files/uploaded_doc/product/10986/Colour_Chart_Museum.pdf</x:v>
      </x:c>
    </x:row>
    <x:row r="305">
      <x:c r="A305" t="str">
        <x:v>CDA-MUS-720</x:v>
      </x:c>
      <x:c r="B305" t="str">
        <x:v>MUS</x:v>
      </x:c>
      <x:c r="C305" t="str">
        <x:v>MUSEUM Aquarelle</x:v>
      </x:c>
      <x:c r="D305" t="str">
        <x:v>720</x:v>
      </x:c>
      <x:c r="E305" t="str">
        <x:v>Bright Green</x:v>
      </x:c>
      <x:c r="F305" t="n">
        <x:v>2</x:v>
      </x:c>
      <x:c r="G305" t="str">
        <x:v>PY1</x:v>
      </x:c>
      <x:c r="H305" t="str">
        <x:v>PG36/PY1/PY3</x:v>
      </x:c>
      <x:c r="I305" t="str">
        <x:v>https://www.carandache.com/content_files/uploaded_doc/product/10986/Colour_Chart_Museum.pdf</x:v>
      </x:c>
    </x:row>
    <x:row r="306">
      <x:c r="A306" t="str">
        <x:v>CDA-MUS-720</x:v>
      </x:c>
      <x:c r="B306" t="str">
        <x:v>MUS</x:v>
      </x:c>
      <x:c r="C306" t="str">
        <x:v>MUSEUM Aquarelle</x:v>
      </x:c>
      <x:c r="D306" t="str">
        <x:v>720</x:v>
      </x:c>
      <x:c r="E306" t="str">
        <x:v>Bright Green</x:v>
      </x:c>
      <x:c r="F306" t="n">
        <x:v>3</x:v>
      </x:c>
      <x:c r="G306" t="str">
        <x:v>PY3</x:v>
      </x:c>
      <x:c r="H306" t="str">
        <x:v>PG36/PY1/PY3</x:v>
      </x:c>
      <x:c r="I306" t="str">
        <x:v>https://www.carandache.com/content_files/uploaded_doc/product/10986/Colour_Chart_Museum.pdf</x:v>
      </x:c>
    </x:row>
    <x:row r="307">
      <x:c r="A307" t="str">
        <x:v>CDA-MUS-220</x:v>
      </x:c>
      <x:c r="B307" t="str">
        <x:v>MUS</x:v>
      </x:c>
      <x:c r="C307" t="str">
        <x:v>MUSEUM Aquarelle</x:v>
      </x:c>
      <x:c r="D307" t="str">
        <x:v>220</x:v>
      </x:c>
      <x:c r="E307" t="str">
        <x:v>Grass Green</x:v>
      </x:c>
      <x:c r="F307" t="n">
        <x:v>1</x:v>
      </x:c>
      <x:c r="G307" t="str">
        <x:v>PY3</x:v>
      </x:c>
      <x:c r="H307" t="str">
        <x:v>PY3/PG7/PY1</x:v>
      </x:c>
      <x:c r="I307" t="str">
        <x:v>https://www.carandache.com/content_files/uploaded_doc/product/10986/Colour_Chart_Museum.pdf</x:v>
      </x:c>
    </x:row>
    <x:row r="308">
      <x:c r="A308" t="str">
        <x:v>CDA-MUS-220</x:v>
      </x:c>
      <x:c r="B308" t="str">
        <x:v>MUS</x:v>
      </x:c>
      <x:c r="C308" t="str">
        <x:v>MUSEUM Aquarelle</x:v>
      </x:c>
      <x:c r="D308" t="str">
        <x:v>220</x:v>
      </x:c>
      <x:c r="E308" t="str">
        <x:v>Grass Green</x:v>
      </x:c>
      <x:c r="F308" t="n">
        <x:v>2</x:v>
      </x:c>
      <x:c r="G308" t="str">
        <x:v>PG7</x:v>
      </x:c>
      <x:c r="H308" t="str">
        <x:v>PY3/PG7/PY1</x:v>
      </x:c>
      <x:c r="I308" t="str">
        <x:v>https://www.carandache.com/content_files/uploaded_doc/product/10986/Colour_Chart_Museum.pdf</x:v>
      </x:c>
    </x:row>
    <x:row r="309">
      <x:c r="A309" t="str">
        <x:v>CDA-MUS-220</x:v>
      </x:c>
      <x:c r="B309" t="str">
        <x:v>MUS</x:v>
      </x:c>
      <x:c r="C309" t="str">
        <x:v>MUSEUM Aquarelle</x:v>
      </x:c>
      <x:c r="D309" t="str">
        <x:v>220</x:v>
      </x:c>
      <x:c r="E309" t="str">
        <x:v>Grass Green</x:v>
      </x:c>
      <x:c r="F309" t="n">
        <x:v>3</x:v>
      </x:c>
      <x:c r="G309" t="str">
        <x:v>PY1</x:v>
      </x:c>
      <x:c r="H309" t="str">
        <x:v>PY3/PG7/PY1</x:v>
      </x:c>
      <x:c r="I309" t="str">
        <x:v>https://www.carandache.com/content_files/uploaded_doc/product/10986/Colour_Chart_Museum.pdf</x:v>
      </x:c>
    </x:row>
    <x:row r="310">
      <x:c r="A310" t="str">
        <x:v>CDA-MUS-210</x:v>
      </x:c>
      <x:c r="B310" t="str">
        <x:v>MUS</x:v>
      </x:c>
      <x:c r="C310" t="str">
        <x:v>MUSEUM Aquarelle</x:v>
      </x:c>
      <x:c r="D310" t="str">
        <x:v>210</x:v>
      </x:c>
      <x:c r="E310" t="str">
        <x:v>Emerald green</x:v>
      </x:c>
      <x:c r="F310" t="n">
        <x:v>1</x:v>
      </x:c>
      <x:c r="G310" t="str">
        <x:v>PY3</x:v>
      </x:c>
      <x:c r="H310" t="str">
        <x:v>PY3/PB15:3</x:v>
      </x:c>
      <x:c r="I310" t="str">
        <x:v>https://www.carandache.com/content_files/uploaded_doc/product/10986/Colour_Chart_Museum.pdf</x:v>
      </x:c>
    </x:row>
    <x:row r="311">
      <x:c r="A311" t="str">
        <x:v>CDA-MUS-210</x:v>
      </x:c>
      <x:c r="B311" t="str">
        <x:v>MUS</x:v>
      </x:c>
      <x:c r="C311" t="str">
        <x:v>MUSEUM Aquarelle</x:v>
      </x:c>
      <x:c r="D311" t="str">
        <x:v>210</x:v>
      </x:c>
      <x:c r="E311" t="str">
        <x:v>Emerald green</x:v>
      </x:c>
      <x:c r="F311" t="n">
        <x:v>2</x:v>
      </x:c>
      <x:c r="G311" t="str">
        <x:v>PB15:3</x:v>
      </x:c>
      <x:c r="H311" t="str">
        <x:v>PY3/PB15:3</x:v>
      </x:c>
      <x:c r="I311" t="str">
        <x:v>https://www.carandache.com/content_files/uploaded_doc/product/10986/Colour_Chart_Museum.pdf</x:v>
      </x:c>
    </x:row>
    <x:row r="312">
      <x:c r="A312" t="str">
        <x:v>CDA-MUS-214</x:v>
      </x:c>
      <x:c r="B312" t="str">
        <x:v>MUS</x:v>
      </x:c>
      <x:c r="C312" t="str">
        <x:v>MUSEUM Aquarelle</x:v>
      </x:c>
      <x:c r="D312" t="str">
        <x:v>214</x:v>
      </x:c>
      <x:c r="E312" t="str">
        <x:v>Beryl green</x:v>
      </x:c>
      <x:c r="F312" t="n">
        <x:v>1</x:v>
      </x:c>
      <x:c r="G312" t="str">
        <x:v>PG7</x:v>
      </x:c>
      <x:c r="H312" t="str">
        <x:v>PG7</x:v>
      </x:c>
      <x:c r="I312" t="str">
        <x:v>https://www.carandache.com/content_files/uploaded_doc/product/10986/Colour_Chart_Museum.pdf</x:v>
      </x:c>
    </x:row>
    <x:row r="313">
      <x:c r="A313" t="str">
        <x:v>CDA-MUS-710</x:v>
      </x:c>
      <x:c r="B313" t="str">
        <x:v>MUS</x:v>
      </x:c>
      <x:c r="C313" t="str">
        <x:v>MUSEUM Aquarelle</x:v>
      </x:c>
      <x:c r="D313" t="str">
        <x:v>710</x:v>
      </x:c>
      <x:c r="E313" t="str">
        <x:v>Phthalocyanine Green</x:v>
      </x:c>
      <x:c r="F313" t="n">
        <x:v>1</x:v>
      </x:c>
      <x:c r="G313" t="str">
        <x:v>PG7</x:v>
      </x:c>
      <x:c r="H313" t="str">
        <x:v>PG7</x:v>
      </x:c>
      <x:c r="I313" t="str">
        <x:v>https://www.carandache.com/content_files/uploaded_doc/product/10986/Colour_Chart_Museum.pdf</x:v>
      </x:c>
    </x:row>
    <x:row r="314">
      <x:c r="A314" t="str">
        <x:v>CDA-MUS-739</x:v>
      </x:c>
      <x:c r="B314" t="str">
        <x:v>MUS</x:v>
      </x:c>
      <x:c r="C314" t="str">
        <x:v>MUSEUM Aquarelle</x:v>
      </x:c>
      <x:c r="D314" t="str">
        <x:v>739</x:v>
      </x:c>
      <x:c r="E314" t="str">
        <x:v>Dark sap green</x:v>
      </x:c>
      <x:c r="F314" t="n">
        <x:v>1</x:v>
      </x:c>
      <x:c r="G314" t="str">
        <x:v>PG7</x:v>
      </x:c>
      <x:c r="H314" t="str">
        <x:v>PG7/PBk6</x:v>
      </x:c>
      <x:c r="I314" t="str">
        <x:v>https://www.carandache.com/content_files/uploaded_doc/product/10986/Colour_Chart_Museum.pdf</x:v>
      </x:c>
    </x:row>
    <x:row r="315">
      <x:c r="A315" t="str">
        <x:v>CDA-MUS-739</x:v>
      </x:c>
      <x:c r="B315" t="str">
        <x:v>MUS</x:v>
      </x:c>
      <x:c r="C315" t="str">
        <x:v>MUSEUM Aquarelle</x:v>
      </x:c>
      <x:c r="D315" t="str">
        <x:v>739</x:v>
      </x:c>
      <x:c r="E315" t="str">
        <x:v>Dark sap green</x:v>
      </x:c>
      <x:c r="F315" t="n">
        <x:v>2</x:v>
      </x:c>
      <x:c r="G315" t="str">
        <x:v>PBk6</x:v>
      </x:c>
      <x:c r="H315" t="str">
        <x:v>PG7/PBk6</x:v>
      </x:c>
      <x:c r="I315" t="str">
        <x:v>https://www.carandache.com/content_files/uploaded_doc/product/10986/Colour_Chart_Museum.pdf</x:v>
      </x:c>
    </x:row>
    <x:row r="316">
      <x:c r="A316" t="str">
        <x:v>CDA-MUS-736</x:v>
      </x:c>
      <x:c r="B316" t="str">
        <x:v>MUS</x:v>
      </x:c>
      <x:c r="C316" t="str">
        <x:v>MUSEUM Aquarelle</x:v>
      </x:c>
      <x:c r="D316" t="str">
        <x:v>736</x:v>
      </x:c>
      <x:c r="E316" t="str">
        <x:v>Brown Olive 50%</x:v>
      </x:c>
      <x:c r="F316" t="n">
        <x:v>1</x:v>
      </x:c>
      <x:c r="G316" t="str">
        <x:v>PY42</x:v>
      </x:c>
      <x:c r="H316" t="str">
        <x:v>PY42/PBk6</x:v>
      </x:c>
      <x:c r="I316" t="str">
        <x:v>https://www.carandache.com/content_files/uploaded_doc/product/10986/Colour_Chart_Museum.pdf</x:v>
      </x:c>
    </x:row>
    <x:row r="317">
      <x:c r="A317" t="str">
        <x:v>CDA-MUS-736</x:v>
      </x:c>
      <x:c r="B317" t="str">
        <x:v>MUS</x:v>
      </x:c>
      <x:c r="C317" t="str">
        <x:v>MUSEUM Aquarelle</x:v>
      </x:c>
      <x:c r="D317" t="str">
        <x:v>736</x:v>
      </x:c>
      <x:c r="E317" t="str">
        <x:v>Brown Olive 50%</x:v>
      </x:c>
      <x:c r="F317" t="n">
        <x:v>2</x:v>
      </x:c>
      <x:c r="G317" t="str">
        <x:v>PBk6</x:v>
      </x:c>
      <x:c r="H317" t="str">
        <x:v>PY42/PBk6</x:v>
      </x:c>
      <x:c r="I317" t="str">
        <x:v>https://www.carandache.com/content_files/uploaded_doc/product/10986/Colour_Chart_Museum.pdf</x:v>
      </x:c>
    </x:row>
    <x:row r="318">
      <x:c r="A318" t="str">
        <x:v>CDA-MUS-039</x:v>
      </x:c>
      <x:c r="B318" t="str">
        <x:v>MUS</x:v>
      </x:c>
      <x:c r="C318" t="str">
        <x:v>MUSEUM Aquarelle</x:v>
      </x:c>
      <x:c r="D318" t="str">
        <x:v>039</x:v>
      </x:c>
      <x:c r="E318" t="str">
        <x:v>Olive brown</x:v>
      </x:c>
      <x:c r="F318" t="n">
        <x:v>1</x:v>
      </x:c>
      <x:c r="G318" t="str">
        <x:v>PBk6</x:v>
      </x:c>
      <x:c r="H318" t="str">
        <x:v>PBk6/PY42</x:v>
      </x:c>
      <x:c r="I318" t="str">
        <x:v>https://www.carandache.com/content_files/uploaded_doc/product/10986/Colour_Chart_Museum.pdf</x:v>
      </x:c>
    </x:row>
    <x:row r="319">
      <x:c r="A319" t="str">
        <x:v>CDA-MUS-039</x:v>
      </x:c>
      <x:c r="B319" t="str">
        <x:v>MUS</x:v>
      </x:c>
      <x:c r="C319" t="str">
        <x:v>MUSEUM Aquarelle</x:v>
      </x:c>
      <x:c r="D319" t="str">
        <x:v>039</x:v>
      </x:c>
      <x:c r="E319" t="str">
        <x:v>Olive brown</x:v>
      </x:c>
      <x:c r="F319" t="n">
        <x:v>2</x:v>
      </x:c>
      <x:c r="G319" t="str">
        <x:v>PY42</x:v>
      </x:c>
      <x:c r="H319" t="str">
        <x:v>PBk6/PY42</x:v>
      </x:c>
      <x:c r="I319" t="str">
        <x:v>https://www.carandache.com/content_files/uploaded_doc/product/10986/Colour_Chart_Museum.pdf</x:v>
      </x:c>
    </x:row>
    <x:row r="320">
      <x:c r="A320" t="str">
        <x:v>CDA-MUS-037</x:v>
      </x:c>
      <x:c r="B320" t="str">
        <x:v>MUS</x:v>
      </x:c>
      <x:c r="C320" t="str">
        <x:v>MUSEUM Aquarelle</x:v>
      </x:c>
      <x:c r="D320" t="str">
        <x:v>037</x:v>
      </x:c>
      <x:c r="E320" t="str">
        <x:v>Brown ochre</x:v>
      </x:c>
      <x:c r="F320" t="n">
        <x:v>1</x:v>
      </x:c>
      <x:c r="G320" t="str">
        <x:v>PY42</x:v>
      </x:c>
      <x:c r="H320" t="str">
        <x:v>PY42/PR101/PBk9</x:v>
      </x:c>
      <x:c r="I320" t="str">
        <x:v>https://www.carandache.com/content_files/uploaded_doc/product/10986/Colour_Chart_Museum.pdf</x:v>
      </x:c>
    </x:row>
    <x:row r="321">
      <x:c r="A321" t="str">
        <x:v>CDA-MUS-037</x:v>
      </x:c>
      <x:c r="B321" t="str">
        <x:v>MUS</x:v>
      </x:c>
      <x:c r="C321" t="str">
        <x:v>MUSEUM Aquarelle</x:v>
      </x:c>
      <x:c r="D321" t="str">
        <x:v>037</x:v>
      </x:c>
      <x:c r="E321" t="str">
        <x:v>Brown ochre</x:v>
      </x:c>
      <x:c r="F321" t="n">
        <x:v>2</x:v>
      </x:c>
      <x:c r="G321" t="str">
        <x:v>PR101</x:v>
      </x:c>
      <x:c r="H321" t="str">
        <x:v>PY42/PR101/PBk9</x:v>
      </x:c>
      <x:c r="I321" t="str">
        <x:v>https://www.carandache.com/content_files/uploaded_doc/product/10986/Colour_Chart_Museum.pdf</x:v>
      </x:c>
    </x:row>
    <x:row r="322">
      <x:c r="A322" t="str">
        <x:v>CDA-MUS-037</x:v>
      </x:c>
      <x:c r="B322" t="str">
        <x:v>MUS</x:v>
      </x:c>
      <x:c r="C322" t="str">
        <x:v>MUSEUM Aquarelle</x:v>
      </x:c>
      <x:c r="D322" t="str">
        <x:v>037</x:v>
      </x:c>
      <x:c r="E322" t="str">
        <x:v>Brown ochre</x:v>
      </x:c>
      <x:c r="F322" t="n">
        <x:v>3</x:v>
      </x:c>
      <x:c r="G322" t="str">
        <x:v>PBk9</x:v>
      </x:c>
      <x:c r="H322" t="str">
        <x:v>PY42/PR101/PBk9</x:v>
      </x:c>
      <x:c r="I322" t="str">
        <x:v>https://www.carandache.com/content_files/uploaded_doc/product/10986/Colour_Chart_Museum.pdf</x:v>
      </x:c>
    </x:row>
    <x:row r="323">
      <x:c r="A323" t="str">
        <x:v>CDA-MUS-036</x:v>
      </x:c>
      <x:c r="B323" t="str">
        <x:v>MUS</x:v>
      </x:c>
      <x:c r="C323" t="str">
        <x:v>MUSEUM Aquarelle</x:v>
      </x:c>
      <x:c r="D323" t="str">
        <x:v>036</x:v>
      </x:c>
      <x:c r="E323" t="str">
        <x:v>Raw sienna</x:v>
      </x:c>
      <x:c r="F323" t="n">
        <x:v>1</x:v>
      </x:c>
      <x:c r="G323" t="str">
        <x:v>PY42</x:v>
      </x:c>
      <x:c r="H323" t="str">
        <x:v>PY42</x:v>
      </x:c>
      <x:c r="I323" t="str">
        <x:v>https://www.carandache.com/content_files/uploaded_doc/product/10986/Colour_Chart_Museum.pdf</x:v>
      </x:c>
    </x:row>
    <x:row r="324">
      <x:c r="A324" t="str">
        <x:v>CDA-MUS-034</x:v>
      </x:c>
      <x:c r="B324" t="str">
        <x:v>MUS</x:v>
      </x:c>
      <x:c r="C324" t="str">
        <x:v>MUSEUM Aquarelle</x:v>
      </x:c>
      <x:c r="D324" t="str">
        <x:v>034</x:v>
      </x:c>
      <x:c r="E324" t="str">
        <x:v>Yellow ochre</x:v>
      </x:c>
      <x:c r="F324" t="n">
        <x:v>1</x:v>
      </x:c>
      <x:c r="G324" t="str">
        <x:v>PY42</x:v>
      </x:c>
      <x:c r="H324" t="str">
        <x:v>PY42/PY184</x:v>
      </x:c>
      <x:c r="I324" t="str">
        <x:v>https://www.carandache.com/content_files/uploaded_doc/product/10986/Colour_Chart_Museum.pdf</x:v>
      </x:c>
    </x:row>
    <x:row r="325">
      <x:c r="A325" t="str">
        <x:v>CDA-MUS-034</x:v>
      </x:c>
      <x:c r="B325" t="str">
        <x:v>MUS</x:v>
      </x:c>
      <x:c r="C325" t="str">
        <x:v>MUSEUM Aquarelle</x:v>
      </x:c>
      <x:c r="D325" t="str">
        <x:v>034</x:v>
      </x:c>
      <x:c r="E325" t="str">
        <x:v>Yellow ochre</x:v>
      </x:c>
      <x:c r="F325" t="n">
        <x:v>2</x:v>
      </x:c>
      <x:c r="G325" t="str">
        <x:v>PY184</x:v>
      </x:c>
      <x:c r="H325" t="str">
        <x:v>PY42/PY184</x:v>
      </x:c>
      <x:c r="I325" t="str">
        <x:v>https://www.carandache.com/content_files/uploaded_doc/product/10986/Colour_Chart_Museum.pdf</x:v>
      </x:c>
    </x:row>
    <x:row r="326">
      <x:c r="A326" t="str">
        <x:v>CDA-MUS-548</x:v>
      </x:c>
      <x:c r="B326" t="str">
        <x:v>MUS</x:v>
      </x:c>
      <x:c r="C326" t="str">
        <x:v>MUSEUM Aquarelle</x:v>
      </x:c>
      <x:c r="D326" t="str">
        <x:v>548</x:v>
      </x:c>
      <x:c r="E326" t="str">
        <x:v>Umber</x:v>
      </x:c>
      <x:c r="F326" t="n">
        <x:v>1</x:v>
      </x:c>
      <x:c r="G326" t="str">
        <x:v>PBk11</x:v>
      </x:c>
      <x:c r="H326" t="str">
        <x:v>PBk11/PY42</x:v>
      </x:c>
      <x:c r="I326" t="str">
        <x:v>https://www.carandache.com/content_files/uploaded_doc/product/10986/Colour_Chart_Museum.pdf</x:v>
      </x:c>
    </x:row>
    <x:row r="327">
      <x:c r="A327" t="str">
        <x:v>CDA-MUS-548</x:v>
      </x:c>
      <x:c r="B327" t="str">
        <x:v>MUS</x:v>
      </x:c>
      <x:c r="C327" t="str">
        <x:v>MUSEUM Aquarelle</x:v>
      </x:c>
      <x:c r="D327" t="str">
        <x:v>548</x:v>
      </x:c>
      <x:c r="E327" t="str">
        <x:v>Umber</x:v>
      </x:c>
      <x:c r="F327" t="n">
        <x:v>2</x:v>
      </x:c>
      <x:c r="G327" t="str">
        <x:v>PY42</x:v>
      </x:c>
      <x:c r="H327" t="str">
        <x:v>PBk11/PY42</x:v>
      </x:c>
      <x:c r="I327" t="str">
        <x:v>https://www.carandache.com/content_files/uploaded_doc/product/10986/Colour_Chart_Museum.pdf</x:v>
      </x:c>
    </x:row>
    <x:row r="328">
      <x:c r="A328" t="str">
        <x:v>CDA-MUS-052</x:v>
      </x:c>
      <x:c r="B328" t="str">
        <x:v>MUS</x:v>
      </x:c>
      <x:c r="C328" t="str">
        <x:v>MUSEUM Aquarelle</x:v>
      </x:c>
      <x:c r="D328" t="str">
        <x:v>052</x:v>
      </x:c>
      <x:c r="E328" t="str">
        <x:v>Saffron</x:v>
      </x:c>
      <x:c r="F328" t="n">
        <x:v>1</x:v>
      </x:c>
      <x:c r="G328" t="str">
        <x:v>PO82</x:v>
      </x:c>
      <x:c r="H328" t="str">
        <x:v>PO82/PR101</x:v>
      </x:c>
      <x:c r="I328" t="str">
        <x:v>https://www.carandache.com/content_files/uploaded_doc/product/10986/Colour_Chart_Museum.pdf</x:v>
      </x:c>
    </x:row>
    <x:row r="329">
      <x:c r="A329" t="str">
        <x:v>CDA-MUS-052</x:v>
      </x:c>
      <x:c r="B329" t="str">
        <x:v>MUS</x:v>
      </x:c>
      <x:c r="C329" t="str">
        <x:v>MUSEUM Aquarelle</x:v>
      </x:c>
      <x:c r="D329" t="str">
        <x:v>052</x:v>
      </x:c>
      <x:c r="E329" t="str">
        <x:v>Saffron</x:v>
      </x:c>
      <x:c r="F329" t="n">
        <x:v>2</x:v>
      </x:c>
      <x:c r="G329" t="str">
        <x:v>PR101</x:v>
      </x:c>
      <x:c r="H329" t="str">
        <x:v>PO82/PR101</x:v>
      </x:c>
      <x:c r="I329" t="str">
        <x:v>https://www.carandache.com/content_files/uploaded_doc/product/10986/Colour_Chart_Museum.pdf</x:v>
      </x:c>
    </x:row>
    <x:row r="330">
      <x:c r="A330" t="str">
        <x:v>CDA-MUS-542</x:v>
      </x:c>
      <x:c r="B330" t="str">
        <x:v>MUS</x:v>
      </x:c>
      <x:c r="C330" t="str">
        <x:v>MUSEUM Aquarelle</x:v>
      </x:c>
      <x:c r="D330" t="str">
        <x:v>542</x:v>
      </x:c>
      <x:c r="E330" t="str">
        <x:v>Light flesh 10%</x:v>
      </x:c>
      <x:c r="F330" t="n">
        <x:v>1</x:v>
      </x:c>
      <x:c r="G330" t="str">
        <x:v>PO82</x:v>
      </x:c>
      <x:c r="H330" t="str">
        <x:v>PO82</x:v>
      </x:c>
      <x:c r="I330" t="str">
        <x:v>https://www.carandache.com/content_files/uploaded_doc/product/10986/Colour_Chart_Museum.pdf</x:v>
      </x:c>
    </x:row>
    <x:row r="331">
      <x:c r="A331" t="str">
        <x:v>CDA-MUS-041</x:v>
      </x:c>
      <x:c r="B331" t="str">
        <x:v>MUS</x:v>
      </x:c>
      <x:c r="C331" t="str">
        <x:v>MUSEUM Aquarelle</x:v>
      </x:c>
      <x:c r="D331" t="str">
        <x:v>041</x:v>
      </x:c>
      <x:c r="E331" t="str">
        <x:v>Apricot</x:v>
      </x:c>
      <x:c r="F331" t="n">
        <x:v>1</x:v>
      </x:c>
      <x:c r="G331" t="str">
        <x:v>PO61</x:v>
      </x:c>
      <x:c r="H331" t="str">
        <x:v>PO61</x:v>
      </x:c>
      <x:c r="I331" t="str">
        <x:v>https://www.carandache.com/content_files/uploaded_doc/product/10986/Colour_Chart_Museum.pdf</x:v>
      </x:c>
    </x:row>
    <x:row r="332">
      <x:c r="A332" t="str">
        <x:v>CDA-MUS-055</x:v>
      </x:c>
      <x:c r="B332" t="str">
        <x:v>MUS</x:v>
      </x:c>
      <x:c r="C332" t="str">
        <x:v>MUSEUM Aquarelle</x:v>
      </x:c>
      <x:c r="D332" t="str">
        <x:v>055</x:v>
      </x:c>
      <x:c r="E332" t="str">
        <x:v>Cinnamon</x:v>
      </x:c>
      <x:c r="F332" t="n">
        <x:v>1</x:v>
      </x:c>
      <x:c r="G332" t="str">
        <x:v>PY42</x:v>
      </x:c>
      <x:c r="H332" t="str">
        <x:v>PY42/PR101/PY184</x:v>
      </x:c>
      <x:c r="I332" t="str">
        <x:v>https://www.carandache.com/content_files/uploaded_doc/product/10986/Colour_Chart_Museum.pdf</x:v>
      </x:c>
    </x:row>
    <x:row r="333">
      <x:c r="A333" t="str">
        <x:v>CDA-MUS-055</x:v>
      </x:c>
      <x:c r="B333" t="str">
        <x:v>MUS</x:v>
      </x:c>
      <x:c r="C333" t="str">
        <x:v>MUSEUM Aquarelle</x:v>
      </x:c>
      <x:c r="D333" t="str">
        <x:v>055</x:v>
      </x:c>
      <x:c r="E333" t="str">
        <x:v>Cinnamon</x:v>
      </x:c>
      <x:c r="F333" t="n">
        <x:v>2</x:v>
      </x:c>
      <x:c r="G333" t="str">
        <x:v>PR101</x:v>
      </x:c>
      <x:c r="H333" t="str">
        <x:v>PY42/PR101/PY184</x:v>
      </x:c>
      <x:c r="I333" t="str">
        <x:v>https://www.carandache.com/content_files/uploaded_doc/product/10986/Colour_Chart_Museum.pdf</x:v>
      </x:c>
    </x:row>
    <x:row r="334">
      <x:c r="A334" t="str">
        <x:v>CDA-MUS-055</x:v>
      </x:c>
      <x:c r="B334" t="str">
        <x:v>MUS</x:v>
      </x:c>
      <x:c r="C334" t="str">
        <x:v>MUSEUM Aquarelle</x:v>
      </x:c>
      <x:c r="D334" t="str">
        <x:v>055</x:v>
      </x:c>
      <x:c r="E334" t="str">
        <x:v>Cinnamon</x:v>
      </x:c>
      <x:c r="F334" t="n">
        <x:v>3</x:v>
      </x:c>
      <x:c r="G334" t="str">
        <x:v>PY184</x:v>
      </x:c>
      <x:c r="H334" t="str">
        <x:v>PY42/PR101/PY184</x:v>
      </x:c>
      <x:c r="I334" t="str">
        <x:v>https://www.carandache.com/content_files/uploaded_doc/product/10986/Colour_Chart_Museum.pdf</x:v>
      </x:c>
    </x:row>
    <x:row r="335">
      <x:c r="A335" t="str">
        <x:v>CDA-MUS-077</x:v>
      </x:c>
      <x:c r="B335" t="str">
        <x:v>MUS</x:v>
      </x:c>
      <x:c r="C335" t="str">
        <x:v>MUSEUM Aquarelle</x:v>
      </x:c>
      <x:c r="D335" t="str">
        <x:v>077</x:v>
      </x:c>
      <x:c r="E335" t="str">
        <x:v>Burnt ochre</x:v>
      </x:c>
      <x:c r="F335" t="n">
        <x:v>1</x:v>
      </x:c>
      <x:c r="G335" t="str">
        <x:v>PR101</x:v>
      </x:c>
      <x:c r="H335" t="str">
        <x:v>PR101/PY42</x:v>
      </x:c>
      <x:c r="I335" t="str">
        <x:v>https://www.carandache.com/content_files/uploaded_doc/product/10986/Colour_Chart_Museum.pdf</x:v>
      </x:c>
    </x:row>
    <x:row r="336">
      <x:c r="A336" t="str">
        <x:v>CDA-MUS-077</x:v>
      </x:c>
      <x:c r="B336" t="str">
        <x:v>MUS</x:v>
      </x:c>
      <x:c r="C336" t="str">
        <x:v>MUSEUM Aquarelle</x:v>
      </x:c>
      <x:c r="D336" t="str">
        <x:v>077</x:v>
      </x:c>
      <x:c r="E336" t="str">
        <x:v>Burnt ochre</x:v>
      </x:c>
      <x:c r="F336" t="n">
        <x:v>2</x:v>
      </x:c>
      <x:c r="G336" t="str">
        <x:v>PY42</x:v>
      </x:c>
      <x:c r="H336" t="str">
        <x:v>PR101/PY42</x:v>
      </x:c>
      <x:c r="I336" t="str">
        <x:v>https://www.carandache.com/content_files/uploaded_doc/product/10986/Colour_Chart_Museum.pdf</x:v>
      </x:c>
    </x:row>
    <x:row r="337">
      <x:c r="A337" t="str">
        <x:v>CDA-MUS-059</x:v>
      </x:c>
      <x:c r="B337" t="str">
        <x:v>MUS</x:v>
      </x:c>
      <x:c r="C337" t="str">
        <x:v>MUSEUM Aquarelle</x:v>
      </x:c>
      <x:c r="D337" t="str">
        <x:v>059</x:v>
      </x:c>
      <x:c r="E337" t="str">
        <x:v>Brown</x:v>
      </x:c>
      <x:c r="F337" t="n">
        <x:v>1</x:v>
      </x:c>
      <x:c r="G337" t="str">
        <x:v>PR101</x:v>
      </x:c>
      <x:c r="H337" t="str">
        <x:v>PR101/PBk6</x:v>
      </x:c>
      <x:c r="I337" t="str">
        <x:v>https://www.carandache.com/content_files/uploaded_doc/product/10986/Colour_Chart_Museum.pdf</x:v>
      </x:c>
    </x:row>
    <x:row r="338">
      <x:c r="A338" t="str">
        <x:v>CDA-MUS-059</x:v>
      </x:c>
      <x:c r="B338" t="str">
        <x:v>MUS</x:v>
      </x:c>
      <x:c r="C338" t="str">
        <x:v>MUSEUM Aquarelle</x:v>
      </x:c>
      <x:c r="D338" t="str">
        <x:v>059</x:v>
      </x:c>
      <x:c r="E338" t="str">
        <x:v>Brown</x:v>
      </x:c>
      <x:c r="F338" t="n">
        <x:v>2</x:v>
      </x:c>
      <x:c r="G338" t="str">
        <x:v>PBk6</x:v>
      </x:c>
      <x:c r="H338" t="str">
        <x:v>PR101/PBk6</x:v>
      </x:c>
      <x:c r="I338" t="str">
        <x:v>https://www.carandache.com/content_files/uploaded_doc/product/10986/Colour_Chart_Museum.pdf</x:v>
      </x:c>
    </x:row>
    <x:row r="339">
      <x:c r="A339" t="str">
        <x:v>CDA-MUS-044</x:v>
      </x:c>
      <x:c r="B339" t="str">
        <x:v>MUS</x:v>
      </x:c>
      <x:c r="C339" t="str">
        <x:v>MUSEUM Aquarelle</x:v>
      </x:c>
      <x:c r="D339" t="str">
        <x:v>044</x:v>
      </x:c>
      <x:c r="E339" t="str">
        <x:v>Terracotta</x:v>
      </x:c>
      <x:c r="F339" t="n">
        <x:v>1</x:v>
      </x:c>
      <x:c r="G339" t="str">
        <x:v>PR101</x:v>
      </x:c>
      <x:c r="H339" t="str">
        <x:v>PR101/PO82</x:v>
      </x:c>
      <x:c r="I339" t="str">
        <x:v>https://www.carandache.com/content_files/uploaded_doc/product/10986/Colour_Chart_Museum.pdf</x:v>
      </x:c>
    </x:row>
    <x:row r="340">
      <x:c r="A340" t="str">
        <x:v>CDA-MUS-044</x:v>
      </x:c>
      <x:c r="B340" t="str">
        <x:v>MUS</x:v>
      </x:c>
      <x:c r="C340" t="str">
        <x:v>MUSEUM Aquarelle</x:v>
      </x:c>
      <x:c r="D340" t="str">
        <x:v>044</x:v>
      </x:c>
      <x:c r="E340" t="str">
        <x:v>Terracotta</x:v>
      </x:c>
      <x:c r="F340" t="n">
        <x:v>2</x:v>
      </x:c>
      <x:c r="G340" t="str">
        <x:v>PO82</x:v>
      </x:c>
      <x:c r="H340" t="str">
        <x:v>PR101/PO82</x:v>
      </x:c>
      <x:c r="I340" t="str">
        <x:v>https://www.carandache.com/content_files/uploaded_doc/product/10986/Colour_Chart_Museum.pdf</x:v>
      </x:c>
    </x:row>
    <x:row r="341">
      <x:c r="A341" t="str">
        <x:v>CDA-MUS-065</x:v>
      </x:c>
      <x:c r="B341" t="str">
        <x:v>MUS</x:v>
      </x:c>
      <x:c r="C341" t="str">
        <x:v>MUSEUM Aquarelle</x:v>
      </x:c>
      <x:c r="D341" t="str">
        <x:v>065</x:v>
      </x:c>
      <x:c r="E341" t="str">
        <x:v>Russet</x:v>
      </x:c>
      <x:c r="F341" t="n">
        <x:v>1</x:v>
      </x:c>
      <x:c r="G341" t="str">
        <x:v>PY42</x:v>
      </x:c>
      <x:c r="H341" t="str">
        <x:v>PY42/PR101/PR188</x:v>
      </x:c>
      <x:c r="I341" t="str">
        <x:v>https://www.carandache.com/content_files/uploaded_doc/product/10986/Colour_Chart_Museum.pdf</x:v>
      </x:c>
    </x:row>
    <x:row r="342">
      <x:c r="A342" t="str">
        <x:v>CDA-MUS-065</x:v>
      </x:c>
      <x:c r="B342" t="str">
        <x:v>MUS</x:v>
      </x:c>
      <x:c r="C342" t="str">
        <x:v>MUSEUM Aquarelle</x:v>
      </x:c>
      <x:c r="D342" t="str">
        <x:v>065</x:v>
      </x:c>
      <x:c r="E342" t="str">
        <x:v>Russet</x:v>
      </x:c>
      <x:c r="F342" t="n">
        <x:v>2</x:v>
      </x:c>
      <x:c r="G342" t="str">
        <x:v>PR101</x:v>
      </x:c>
      <x:c r="H342" t="str">
        <x:v>PY42/PR101/PR188</x:v>
      </x:c>
      <x:c r="I342" t="str">
        <x:v>https://www.carandache.com/content_files/uploaded_doc/product/10986/Colour_Chart_Museum.pdf</x:v>
      </x:c>
    </x:row>
    <x:row r="343">
      <x:c r="A343" t="str">
        <x:v>CDA-MUS-065</x:v>
      </x:c>
      <x:c r="B343" t="str">
        <x:v>MUS</x:v>
      </x:c>
      <x:c r="C343" t="str">
        <x:v>MUSEUM Aquarelle</x:v>
      </x:c>
      <x:c r="D343" t="str">
        <x:v>065</x:v>
      </x:c>
      <x:c r="E343" t="str">
        <x:v>Russet</x:v>
      </x:c>
      <x:c r="F343" t="n">
        <x:v>3</x:v>
      </x:c>
      <x:c r="G343" t="str">
        <x:v>PR188</x:v>
      </x:c>
      <x:c r="H343" t="str">
        <x:v>PY42/PR101/PR188</x:v>
      </x:c>
      <x:c r="I343" t="str">
        <x:v>https://www.carandache.com/content_files/uploaded_doc/product/10986/Colour_Chart_Museum.pdf</x:v>
      </x:c>
    </x:row>
    <x:row r="344">
      <x:c r="A344" t="str">
        <x:v>CDA-MUS-866</x:v>
      </x:c>
      <x:c r="B344" t="str">
        <x:v>MUS</x:v>
      </x:c>
      <x:c r="C344" t="str">
        <x:v>MUSEUM Aquarelle</x:v>
      </x:c>
      <x:c r="D344" t="str">
        <x:v>866</x:v>
      </x:c>
      <x:c r="E344" t="str">
        <x:v>Burnt sienna 50%</x:v>
      </x:c>
      <x:c r="F344" t="n">
        <x:v>1</x:v>
      </x:c>
      <x:c r="G344" t="str">
        <x:v>PR101</x:v>
      </x:c>
      <x:c r="H344" t="str">
        <x:v>PR101/PBk6</x:v>
      </x:c>
      <x:c r="I344" t="str">
        <x:v>https://www.carandache.com/content_files/uploaded_doc/product/10986/Colour_Chart_Museum.pdf</x:v>
      </x:c>
    </x:row>
    <x:row r="345">
      <x:c r="A345" t="str">
        <x:v>CDA-MUS-866</x:v>
      </x:c>
      <x:c r="B345" t="str">
        <x:v>MUS</x:v>
      </x:c>
      <x:c r="C345" t="str">
        <x:v>MUSEUM Aquarelle</x:v>
      </x:c>
      <x:c r="D345" t="str">
        <x:v>866</x:v>
      </x:c>
      <x:c r="E345" t="str">
        <x:v>Burnt sienna 50%</x:v>
      </x:c>
      <x:c r="F345" t="n">
        <x:v>2</x:v>
      </x:c>
      <x:c r="G345" t="str">
        <x:v>PBk6</x:v>
      </x:c>
      <x:c r="H345" t="str">
        <x:v>PR101/PBk6</x:v>
      </x:c>
      <x:c r="I345" t="str">
        <x:v>https://www.carandache.com/content_files/uploaded_doc/product/10986/Colour_Chart_Museum.pdf</x:v>
      </x:c>
    </x:row>
    <x:row r="346">
      <x:c r="A346" t="str">
        <x:v>CDA-MUS-057</x:v>
      </x:c>
      <x:c r="B346" t="str">
        <x:v>MUS</x:v>
      </x:c>
      <x:c r="C346" t="str">
        <x:v>MUSEUM Aquarelle</x:v>
      </x:c>
      <x:c r="D346" t="str">
        <x:v>057</x:v>
      </x:c>
      <x:c r="E346" t="str">
        <x:v>Chestnut</x:v>
      </x:c>
      <x:c r="F346" t="n">
        <x:v>1</x:v>
      </x:c>
      <x:c r="G346" t="str">
        <x:v>PY42</x:v>
      </x:c>
      <x:c r="H346" t="str">
        <x:v>PY42/PR101/PBk11/PY184</x:v>
      </x:c>
      <x:c r="I346" t="str">
        <x:v>https://www.carandache.com/content_files/uploaded_doc/product/10986/Colour_Chart_Museum.pdf</x:v>
      </x:c>
    </x:row>
    <x:row r="347">
      <x:c r="A347" t="str">
        <x:v>CDA-MUS-057</x:v>
      </x:c>
      <x:c r="B347" t="str">
        <x:v>MUS</x:v>
      </x:c>
      <x:c r="C347" t="str">
        <x:v>MUSEUM Aquarelle</x:v>
      </x:c>
      <x:c r="D347" t="str">
        <x:v>057</x:v>
      </x:c>
      <x:c r="E347" t="str">
        <x:v>Chestnut</x:v>
      </x:c>
      <x:c r="F347" t="n">
        <x:v>2</x:v>
      </x:c>
      <x:c r="G347" t="str">
        <x:v>PR101</x:v>
      </x:c>
      <x:c r="H347" t="str">
        <x:v>PY42/PR101/PBk11/PY184</x:v>
      </x:c>
      <x:c r="I347" t="str">
        <x:v>https://www.carandache.com/content_files/uploaded_doc/product/10986/Colour_Chart_Museum.pdf</x:v>
      </x:c>
    </x:row>
    <x:row r="348">
      <x:c r="A348" t="str">
        <x:v>CDA-MUS-057</x:v>
      </x:c>
      <x:c r="B348" t="str">
        <x:v>MUS</x:v>
      </x:c>
      <x:c r="C348" t="str">
        <x:v>MUSEUM Aquarelle</x:v>
      </x:c>
      <x:c r="D348" t="str">
        <x:v>057</x:v>
      </x:c>
      <x:c r="E348" t="str">
        <x:v>Chestnut</x:v>
      </x:c>
      <x:c r="F348" t="n">
        <x:v>3</x:v>
      </x:c>
      <x:c r="G348" t="str">
        <x:v>PBk11</x:v>
      </x:c>
      <x:c r="H348" t="str">
        <x:v>PY42/PR101/PBk11/PY184</x:v>
      </x:c>
      <x:c r="I348" t="str">
        <x:v>https://www.carandache.com/content_files/uploaded_doc/product/10986/Colour_Chart_Museum.pdf</x:v>
      </x:c>
    </x:row>
    <x:row r="349">
      <x:c r="A349" t="str">
        <x:v>CDA-MUS-057</x:v>
      </x:c>
      <x:c r="B349" t="str">
        <x:v>MUS</x:v>
      </x:c>
      <x:c r="C349" t="str">
        <x:v>MUSEUM Aquarelle</x:v>
      </x:c>
      <x:c r="D349" t="str">
        <x:v>057</x:v>
      </x:c>
      <x:c r="E349" t="str">
        <x:v>Chestnut</x:v>
      </x:c>
      <x:c r="F349" t="n">
        <x:v>4</x:v>
      </x:c>
      <x:c r="G349" t="str">
        <x:v>PY184</x:v>
      </x:c>
      <x:c r="H349" t="str">
        <x:v>PY42/PR101/PBk11/PY184</x:v>
      </x:c>
      <x:c r="I349" t="str">
        <x:v>https://www.carandache.com/content_files/uploaded_doc/product/10986/Colour_Chart_Museum.pdf</x:v>
      </x:c>
    </x:row>
    <x:row r="350">
      <x:c r="A350" t="str">
        <x:v>CDA-MUS-049</x:v>
      </x:c>
      <x:c r="B350" t="str">
        <x:v>MUS</x:v>
      </x:c>
      <x:c r="C350" t="str">
        <x:v>MUSEUM Aquarelle</x:v>
      </x:c>
      <x:c r="D350" t="str">
        <x:v>049</x:v>
      </x:c>
      <x:c r="E350" t="str">
        <x:v>Raw Umber</x:v>
      </x:c>
      <x:c r="F350" t="n">
        <x:v>1</x:v>
      </x:c>
      <x:c r="G350" t="str">
        <x:v>PY42</x:v>
      </x:c>
      <x:c r="H350" t="str">
        <x:v>PY42/PR101/PY184/PBk6</x:v>
      </x:c>
      <x:c r="I350" t="str">
        <x:v>https://www.carandache.com/content_files/uploaded_doc/product/10986/Colour_Chart_Museum.pdf</x:v>
      </x:c>
    </x:row>
    <x:row r="351">
      <x:c r="A351" t="str">
        <x:v>CDA-MUS-049</x:v>
      </x:c>
      <x:c r="B351" t="str">
        <x:v>MUS</x:v>
      </x:c>
      <x:c r="C351" t="str">
        <x:v>MUSEUM Aquarelle</x:v>
      </x:c>
      <x:c r="D351" t="str">
        <x:v>049</x:v>
      </x:c>
      <x:c r="E351" t="str">
        <x:v>Raw Umber</x:v>
      </x:c>
      <x:c r="F351" t="n">
        <x:v>2</x:v>
      </x:c>
      <x:c r="G351" t="str">
        <x:v>PR101</x:v>
      </x:c>
      <x:c r="H351" t="str">
        <x:v>PY42/PR101/PY184/PBk6</x:v>
      </x:c>
      <x:c r="I351" t="str">
        <x:v>https://www.carandache.com/content_files/uploaded_doc/product/10986/Colour_Chart_Museum.pdf</x:v>
      </x:c>
    </x:row>
    <x:row r="352">
      <x:c r="A352" t="str">
        <x:v>CDA-MUS-049</x:v>
      </x:c>
      <x:c r="B352" t="str">
        <x:v>MUS</x:v>
      </x:c>
      <x:c r="C352" t="str">
        <x:v>MUSEUM Aquarelle</x:v>
      </x:c>
      <x:c r="D352" t="str">
        <x:v>049</x:v>
      </x:c>
      <x:c r="E352" t="str">
        <x:v>Raw Umber</x:v>
      </x:c>
      <x:c r="F352" t="n">
        <x:v>3</x:v>
      </x:c>
      <x:c r="G352" t="str">
        <x:v>PY184</x:v>
      </x:c>
      <x:c r="H352" t="str">
        <x:v>PY42/PR101/PY184/PBk6</x:v>
      </x:c>
      <x:c r="I352" t="str">
        <x:v>https://www.carandache.com/content_files/uploaded_doc/product/10986/Colour_Chart_Museum.pdf</x:v>
      </x:c>
    </x:row>
    <x:row r="353">
      <x:c r="A353" t="str">
        <x:v>CDA-MUS-049</x:v>
      </x:c>
      <x:c r="B353" t="str">
        <x:v>MUS</x:v>
      </x:c>
      <x:c r="C353" t="str">
        <x:v>MUSEUM Aquarelle</x:v>
      </x:c>
      <x:c r="D353" t="str">
        <x:v>049</x:v>
      </x:c>
      <x:c r="E353" t="str">
        <x:v>Raw Umber</x:v>
      </x:c>
      <x:c r="F353" t="n">
        <x:v>4</x:v>
      </x:c>
      <x:c r="G353" t="str">
        <x:v>PBk6</x:v>
      </x:c>
      <x:c r="H353" t="str">
        <x:v>PY42/PR101/PY184/PBk6</x:v>
      </x:c>
      <x:c r="I353" t="str">
        <x:v>https://www.carandache.com/content_files/uploaded_doc/product/10986/Colour_Chart_Museum.pdf</x:v>
      </x:c>
    </x:row>
    <x:row r="354">
      <x:c r="A354" t="str">
        <x:v>CDA-MUS-046</x:v>
      </x:c>
      <x:c r="B354" t="str">
        <x:v>MUS</x:v>
      </x:c>
      <x:c r="C354" t="str">
        <x:v>MUSEUM Aquarelle</x:v>
      </x:c>
      <x:c r="D354" t="str">
        <x:v>046</x:v>
      </x:c>
      <x:c r="E354" t="str">
        <x:v>Cassel earth</x:v>
      </x:c>
      <x:c r="F354" t="n">
        <x:v>1</x:v>
      </x:c>
      <x:c r="G354" t="str">
        <x:v>PY42</x:v>
      </x:c>
      <x:c r="H354" t="str">
        <x:v>PY42/PR101/PY184/PBk6</x:v>
      </x:c>
      <x:c r="I354" t="str">
        <x:v>https://www.carandache.com/content_files/uploaded_doc/product/10986/Colour_Chart_Museum.pdf</x:v>
      </x:c>
    </x:row>
    <x:row r="355">
      <x:c r="A355" t="str">
        <x:v>CDA-MUS-046</x:v>
      </x:c>
      <x:c r="B355" t="str">
        <x:v>MUS</x:v>
      </x:c>
      <x:c r="C355" t="str">
        <x:v>MUSEUM Aquarelle</x:v>
      </x:c>
      <x:c r="D355" t="str">
        <x:v>046</x:v>
      </x:c>
      <x:c r="E355" t="str">
        <x:v>Cassel earth</x:v>
      </x:c>
      <x:c r="F355" t="n">
        <x:v>2</x:v>
      </x:c>
      <x:c r="G355" t="str">
        <x:v>PR101</x:v>
      </x:c>
      <x:c r="H355" t="str">
        <x:v>PY42/PR101/PY184/PBk6</x:v>
      </x:c>
      <x:c r="I355" t="str">
        <x:v>https://www.carandache.com/content_files/uploaded_doc/product/10986/Colour_Chart_Museum.pdf</x:v>
      </x:c>
    </x:row>
    <x:row r="356">
      <x:c r="A356" t="str">
        <x:v>CDA-MUS-046</x:v>
      </x:c>
      <x:c r="B356" t="str">
        <x:v>MUS</x:v>
      </x:c>
      <x:c r="C356" t="str">
        <x:v>MUSEUM Aquarelle</x:v>
      </x:c>
      <x:c r="D356" t="str">
        <x:v>046</x:v>
      </x:c>
      <x:c r="E356" t="str">
        <x:v>Cassel earth</x:v>
      </x:c>
      <x:c r="F356" t="n">
        <x:v>3</x:v>
      </x:c>
      <x:c r="G356" t="str">
        <x:v>PY184</x:v>
      </x:c>
      <x:c r="H356" t="str">
        <x:v>PY42/PR101/PY184/PBk6</x:v>
      </x:c>
      <x:c r="I356" t="str">
        <x:v>https://www.carandache.com/content_files/uploaded_doc/product/10986/Colour_Chart_Museum.pdf</x:v>
      </x:c>
    </x:row>
    <x:row r="357">
      <x:c r="A357" t="str">
        <x:v>CDA-MUS-046</x:v>
      </x:c>
      <x:c r="B357" t="str">
        <x:v>MUS</x:v>
      </x:c>
      <x:c r="C357" t="str">
        <x:v>MUSEUM Aquarelle</x:v>
      </x:c>
      <x:c r="D357" t="str">
        <x:v>046</x:v>
      </x:c>
      <x:c r="E357" t="str">
        <x:v>Cassel earth</x:v>
      </x:c>
      <x:c r="F357" t="n">
        <x:v>4</x:v>
      </x:c>
      <x:c r="G357" t="str">
        <x:v>PBk6</x:v>
      </x:c>
      <x:c r="H357" t="str">
        <x:v>PY42/PR101/PY184/PBk6</x:v>
      </x:c>
      <x:c r="I357" t="str">
        <x:v>https://www.carandache.com/content_files/uploaded_doc/product/10986/Colour_Chart_Museum.pdf</x:v>
      </x:c>
    </x:row>
    <x:row r="358">
      <x:c r="A358" t="str">
        <x:v>CDA-MUS-746</x:v>
      </x:c>
      <x:c r="B358" t="str">
        <x:v>MUS</x:v>
      </x:c>
      <x:c r="C358" t="str">
        <x:v>MUSEUM Aquarelle</x:v>
      </x:c>
      <x:c r="D358" t="str">
        <x:v>746</x:v>
      </x:c>
      <x:c r="E358" t="str">
        <x:v>Dark flesh 50%</x:v>
      </x:c>
      <x:c r="F358" t="n">
        <x:v>1</x:v>
      </x:c>
      <x:c r="G358" t="str">
        <x:v>PR101</x:v>
      </x:c>
      <x:c r="H358" t="str">
        <x:v>PR101/PY42/PBk6</x:v>
      </x:c>
      <x:c r="I358" t="str">
        <x:v>https://www.carandache.com/content_files/uploaded_doc/product/10986/Colour_Chart_Museum.pdf</x:v>
      </x:c>
    </x:row>
    <x:row r="359">
      <x:c r="A359" t="str">
        <x:v>CDA-MUS-746</x:v>
      </x:c>
      <x:c r="B359" t="str">
        <x:v>MUS</x:v>
      </x:c>
      <x:c r="C359" t="str">
        <x:v>MUSEUM Aquarelle</x:v>
      </x:c>
      <x:c r="D359" t="str">
        <x:v>746</x:v>
      </x:c>
      <x:c r="E359" t="str">
        <x:v>Dark flesh 50%</x:v>
      </x:c>
      <x:c r="F359" t="n">
        <x:v>2</x:v>
      </x:c>
      <x:c r="G359" t="str">
        <x:v>PY42</x:v>
      </x:c>
      <x:c r="H359" t="str">
        <x:v>PR101/PY42/PBk6</x:v>
      </x:c>
      <x:c r="I359" t="str">
        <x:v>https://www.carandache.com/content_files/uploaded_doc/product/10986/Colour_Chart_Museum.pdf</x:v>
      </x:c>
    </x:row>
    <x:row r="360">
      <x:c r="A360" t="str">
        <x:v>CDA-MUS-746</x:v>
      </x:c>
      <x:c r="B360" t="str">
        <x:v>MUS</x:v>
      </x:c>
      <x:c r="C360" t="str">
        <x:v>MUSEUM Aquarelle</x:v>
      </x:c>
      <x:c r="D360" t="str">
        <x:v>746</x:v>
      </x:c>
      <x:c r="E360" t="str">
        <x:v>Dark flesh 50%</x:v>
      </x:c>
      <x:c r="F360" t="n">
        <x:v>3</x:v>
      </x:c>
      <x:c r="G360" t="str">
        <x:v>PBk6</x:v>
      </x:c>
      <x:c r="H360" t="str">
        <x:v>PR101/PY42/PBk6</x:v>
      </x:c>
      <x:c r="I360" t="str">
        <x:v>https://www.carandache.com/content_files/uploaded_doc/product/10986/Colour_Chart_Museum.pdf</x:v>
      </x:c>
    </x:row>
    <x:row r="361">
      <x:c r="A361" t="str">
        <x:v>CDA-MUS-808</x:v>
      </x:c>
      <x:c r="B361" t="str">
        <x:v>MUS</x:v>
      </x:c>
      <x:c r="C361" t="str">
        <x:v>MUSEUM Aquarelle</x:v>
      </x:c>
      <x:c r="D361" t="str">
        <x:v>808</x:v>
      </x:c>
      <x:c r="E361" t="str">
        <x:v>French grey</x:v>
      </x:c>
      <x:c r="F361" t="n">
        <x:v>1</x:v>
      </x:c>
      <x:c r="G361" t="str">
        <x:v>PY42</x:v>
      </x:c>
      <x:c r="H361" t="str">
        <x:v>PY42/PBk6/PR101</x:v>
      </x:c>
      <x:c r="I361" t="str">
        <x:v>https://www.carandache.com/content_files/uploaded_doc/product/10986/Colour_Chart_Museum.pdf</x:v>
      </x:c>
    </x:row>
    <x:row r="362">
      <x:c r="A362" t="str">
        <x:v>CDA-MUS-808</x:v>
      </x:c>
      <x:c r="B362" t="str">
        <x:v>MUS</x:v>
      </x:c>
      <x:c r="C362" t="str">
        <x:v>MUSEUM Aquarelle</x:v>
      </x:c>
      <x:c r="D362" t="str">
        <x:v>808</x:v>
      </x:c>
      <x:c r="E362" t="str">
        <x:v>French grey</x:v>
      </x:c>
      <x:c r="F362" t="n">
        <x:v>2</x:v>
      </x:c>
      <x:c r="G362" t="str">
        <x:v>PBk6</x:v>
      </x:c>
      <x:c r="H362" t="str">
        <x:v>PY42/PBk6/PR101</x:v>
      </x:c>
      <x:c r="I362" t="str">
        <x:v>https://www.carandache.com/content_files/uploaded_doc/product/10986/Colour_Chart_Museum.pdf</x:v>
      </x:c>
    </x:row>
    <x:row r="363">
      <x:c r="A363" t="str">
        <x:v>CDA-MUS-808</x:v>
      </x:c>
      <x:c r="B363" t="str">
        <x:v>MUS</x:v>
      </x:c>
      <x:c r="C363" t="str">
        <x:v>MUSEUM Aquarelle</x:v>
      </x:c>
      <x:c r="D363" t="str">
        <x:v>808</x:v>
      </x:c>
      <x:c r="E363" t="str">
        <x:v>French grey</x:v>
      </x:c>
      <x:c r="F363" t="n">
        <x:v>3</x:v>
      </x:c>
      <x:c r="G363" t="str">
        <x:v>PR101</x:v>
      </x:c>
      <x:c r="H363" t="str">
        <x:v>PY42/PBk6/PR101</x:v>
      </x:c>
      <x:c r="I363" t="str">
        <x:v>https://www.carandache.com/content_files/uploaded_doc/product/10986/Colour_Chart_Museum.pdf</x:v>
      </x:c>
    </x:row>
    <x:row r="364">
      <x:c r="A364" t="str">
        <x:v>CDA-MUS-906</x:v>
      </x:c>
      <x:c r="B364" t="str">
        <x:v>MUS</x:v>
      </x:c>
      <x:c r="C364" t="str">
        <x:v>MUSEUM Aquarelle</x:v>
      </x:c>
      <x:c r="D364" t="str">
        <x:v>906</x:v>
      </x:c>
      <x:c r="E364" t="str">
        <x:v>Sepia 50%</x:v>
      </x:c>
      <x:c r="F364" t="n">
        <x:v>1</x:v>
      </x:c>
      <x:c r="G364" t="str">
        <x:v>PR101</x:v>
      </x:c>
      <x:c r="H364" t="str">
        <x:v>PR101/PBk7/PBk11/PY42</x:v>
      </x:c>
      <x:c r="I364" t="str">
        <x:v>https://www.carandache.com/content_files/uploaded_doc/product/10986/Colour_Chart_Museum.pdf</x:v>
      </x:c>
    </x:row>
    <x:row r="365">
      <x:c r="A365" t="str">
        <x:v>CDA-MUS-906</x:v>
      </x:c>
      <x:c r="B365" t="str">
        <x:v>MUS</x:v>
      </x:c>
      <x:c r="C365" t="str">
        <x:v>MUSEUM Aquarelle</x:v>
      </x:c>
      <x:c r="D365" t="str">
        <x:v>906</x:v>
      </x:c>
      <x:c r="E365" t="str">
        <x:v>Sepia 50%</x:v>
      </x:c>
      <x:c r="F365" t="n">
        <x:v>2</x:v>
      </x:c>
      <x:c r="G365" t="str">
        <x:v>PBk7</x:v>
      </x:c>
      <x:c r="H365" t="str">
        <x:v>PR101/PBk7/PBk11/PY42</x:v>
      </x:c>
      <x:c r="I365" t="str">
        <x:v>https://www.carandache.com/content_files/uploaded_doc/product/10986/Colour_Chart_Museum.pdf</x:v>
      </x:c>
    </x:row>
    <x:row r="366">
      <x:c r="A366" t="str">
        <x:v>CDA-MUS-906</x:v>
      </x:c>
      <x:c r="B366" t="str">
        <x:v>MUS</x:v>
      </x:c>
      <x:c r="C366" t="str">
        <x:v>MUSEUM Aquarelle</x:v>
      </x:c>
      <x:c r="D366" t="str">
        <x:v>906</x:v>
      </x:c>
      <x:c r="E366" t="str">
        <x:v>Sepia 50%</x:v>
      </x:c>
      <x:c r="F366" t="n">
        <x:v>3</x:v>
      </x:c>
      <x:c r="G366" t="str">
        <x:v>PBk11</x:v>
      </x:c>
      <x:c r="H366" t="str">
        <x:v>PR101/PBk7/PBk11/PY42</x:v>
      </x:c>
      <x:c r="I366" t="str">
        <x:v>https://www.carandache.com/content_files/uploaded_doc/product/10986/Colour_Chart_Museum.pdf</x:v>
      </x:c>
    </x:row>
    <x:row r="367">
      <x:c r="A367" t="str">
        <x:v>CDA-MUS-906</x:v>
      </x:c>
      <x:c r="B367" t="str">
        <x:v>MUS</x:v>
      </x:c>
      <x:c r="C367" t="str">
        <x:v>MUSEUM Aquarelle</x:v>
      </x:c>
      <x:c r="D367" t="str">
        <x:v>906</x:v>
      </x:c>
      <x:c r="E367" t="str">
        <x:v>Sepia 50%</x:v>
      </x:c>
      <x:c r="F367" t="n">
        <x:v>4</x:v>
      </x:c>
      <x:c r="G367" t="str">
        <x:v>PY42</x:v>
      </x:c>
      <x:c r="H367" t="str">
        <x:v>PR101/PBk7/PBk11/PY42</x:v>
      </x:c>
      <x:c r="I367" t="str">
        <x:v>https://www.carandache.com/content_files/uploaded_doc/product/10986/Colour_Chart_Museum.pdf</x:v>
      </x:c>
    </x:row>
    <x:row r="368">
      <x:c r="A368" t="str">
        <x:v>CDA-MUS-902</x:v>
      </x:c>
      <x:c r="B368" t="str">
        <x:v>MUS</x:v>
      </x:c>
      <x:c r="C368" t="str">
        <x:v>MUSEUM Aquarelle</x:v>
      </x:c>
      <x:c r="D368" t="str">
        <x:v>902</x:v>
      </x:c>
      <x:c r="E368" t="str">
        <x:v>Sepia 10%</x:v>
      </x:c>
      <x:c r="F368" t="n">
        <x:v>1</x:v>
      </x:c>
      <x:c r="G368" t="str">
        <x:v>PR101</x:v>
      </x:c>
      <x:c r="H368" t="str">
        <x:v>PR101/PBk7/PBk11/PY42</x:v>
      </x:c>
      <x:c r="I368" t="str">
        <x:v>https://www.carandache.com/content_files/uploaded_doc/product/10986/Colour_Chart_Museum.pdf</x:v>
      </x:c>
    </x:row>
    <x:row r="369">
      <x:c r="A369" t="str">
        <x:v>CDA-MUS-902</x:v>
      </x:c>
      <x:c r="B369" t="str">
        <x:v>MUS</x:v>
      </x:c>
      <x:c r="C369" t="str">
        <x:v>MUSEUM Aquarelle</x:v>
      </x:c>
      <x:c r="D369" t="str">
        <x:v>902</x:v>
      </x:c>
      <x:c r="E369" t="str">
        <x:v>Sepia 10%</x:v>
      </x:c>
      <x:c r="F369" t="n">
        <x:v>2</x:v>
      </x:c>
      <x:c r="G369" t="str">
        <x:v>PBk7</x:v>
      </x:c>
      <x:c r="H369" t="str">
        <x:v>PR101/PBk7/PBk11/PY42</x:v>
      </x:c>
      <x:c r="I369" t="str">
        <x:v>https://www.carandache.com/content_files/uploaded_doc/product/10986/Colour_Chart_Museum.pdf</x:v>
      </x:c>
    </x:row>
    <x:row r="370">
      <x:c r="A370" t="str">
        <x:v>CDA-MUS-902</x:v>
      </x:c>
      <x:c r="B370" t="str">
        <x:v>MUS</x:v>
      </x:c>
      <x:c r="C370" t="str">
        <x:v>MUSEUM Aquarelle</x:v>
      </x:c>
      <x:c r="D370" t="str">
        <x:v>902</x:v>
      </x:c>
      <x:c r="E370" t="str">
        <x:v>Sepia 10%</x:v>
      </x:c>
      <x:c r="F370" t="n">
        <x:v>3</x:v>
      </x:c>
      <x:c r="G370" t="str">
        <x:v>PBk11</x:v>
      </x:c>
      <x:c r="H370" t="str">
        <x:v>PR101/PBk7/PBk11/PY42</x:v>
      </x:c>
      <x:c r="I370" t="str">
        <x:v>https://www.carandache.com/content_files/uploaded_doc/product/10986/Colour_Chart_Museum.pdf</x:v>
      </x:c>
    </x:row>
    <x:row r="371">
      <x:c r="A371" t="str">
        <x:v>CDA-MUS-902</x:v>
      </x:c>
      <x:c r="B371" t="str">
        <x:v>MUS</x:v>
      </x:c>
      <x:c r="C371" t="str">
        <x:v>MUSEUM Aquarelle</x:v>
      </x:c>
      <x:c r="D371" t="str">
        <x:v>902</x:v>
      </x:c>
      <x:c r="E371" t="str">
        <x:v>Sepia 10%</x:v>
      </x:c>
      <x:c r="F371" t="n">
        <x:v>4</x:v>
      </x:c>
      <x:c r="G371" t="str">
        <x:v>PY42</x:v>
      </x:c>
      <x:c r="H371" t="str">
        <x:v>PR101/PBk7/PBk11/PY42</x:v>
      </x:c>
      <x:c r="I371" t="str">
        <x:v>https://www.carandache.com/content_files/uploaded_doc/product/10986/Colour_Chart_Museum.pdf</x:v>
      </x:c>
    </x:row>
    <x:row r="372">
      <x:c r="A372" t="str">
        <x:v>CDA-MUS-004</x:v>
      </x:c>
      <x:c r="B372" t="str">
        <x:v>MUS</x:v>
      </x:c>
      <x:c r="C372" t="str">
        <x:v>MUSEUM Aquarelle</x:v>
      </x:c>
      <x:c r="D372" t="str">
        <x:v>004</x:v>
      </x:c>
      <x:c r="E372" t="str">
        <x:v>Steel grey</x:v>
      </x:c>
      <x:c r="F372" t="n">
        <x:v>1</x:v>
      </x:c>
      <x:c r="G372" t="str">
        <x:v>PBk7</x:v>
      </x:c>
      <x:c r="H372" t="str">
        <x:v>PBk7/PB15</x:v>
      </x:c>
      <x:c r="I372" t="str">
        <x:v>https://www.carandache.com/content_files/uploaded_doc/product/10986/Colour_Chart_Museum.pdf</x:v>
      </x:c>
    </x:row>
    <x:row r="373">
      <x:c r="A373" t="str">
        <x:v>CDA-MUS-004</x:v>
      </x:c>
      <x:c r="B373" t="str">
        <x:v>MUS</x:v>
      </x:c>
      <x:c r="C373" t="str">
        <x:v>MUSEUM Aquarelle</x:v>
      </x:c>
      <x:c r="D373" t="str">
        <x:v>004</x:v>
      </x:c>
      <x:c r="E373" t="str">
        <x:v>Steel grey</x:v>
      </x:c>
      <x:c r="F373" t="n">
        <x:v>2</x:v>
      </x:c>
      <x:c r="G373" t="str">
        <x:v>PB15</x:v>
      </x:c>
      <x:c r="H373" t="str">
        <x:v>PBk7/PB15</x:v>
      </x:c>
      <x:c r="I373" t="str">
        <x:v>https://www.carandache.com/content_files/uploaded_doc/product/10986/Colour_Chart_Museum.pdf</x:v>
      </x:c>
    </x:row>
    <x:row r="374">
      <x:c r="A374" t="str">
        <x:v>CDA-MUS-508</x:v>
      </x:c>
      <x:c r="B374" t="str">
        <x:v>MUS</x:v>
      </x:c>
      <x:c r="C374" t="str">
        <x:v>MUSEUM Aquarelle</x:v>
      </x:c>
      <x:c r="D374" t="str">
        <x:v>508</x:v>
      </x:c>
      <x:c r="E374" t="str">
        <x:v>Payne’s grey</x:v>
      </x:c>
      <x:c r="F374" t="n">
        <x:v>1</x:v>
      </x:c>
      <x:c r="G374" t="str">
        <x:v>PBk6</x:v>
      </x:c>
      <x:c r="H374" t="str">
        <x:v>PBk6/PB29</x:v>
      </x:c>
      <x:c r="I374" t="str">
        <x:v>https://www.carandache.com/content_files/uploaded_doc/product/10986/Colour_Chart_Museum.pdf</x:v>
      </x:c>
    </x:row>
    <x:row r="375">
      <x:c r="A375" t="str">
        <x:v>CDA-MUS-508</x:v>
      </x:c>
      <x:c r="B375" t="str">
        <x:v>MUS</x:v>
      </x:c>
      <x:c r="C375" t="str">
        <x:v>MUSEUM Aquarelle</x:v>
      </x:c>
      <x:c r="D375" t="str">
        <x:v>508</x:v>
      </x:c>
      <x:c r="E375" t="str">
        <x:v>Payne’s grey</x:v>
      </x:c>
      <x:c r="F375" t="n">
        <x:v>2</x:v>
      </x:c>
      <x:c r="G375" t="str">
        <x:v>PB29</x:v>
      </x:c>
      <x:c r="H375" t="str">
        <x:v>PBk6/PB29</x:v>
      </x:c>
      <x:c r="I375" t="str">
        <x:v>https://www.carandache.com/content_files/uploaded_doc/product/10986/Colour_Chart_Museum.pdf</x:v>
      </x:c>
    </x:row>
    <x:row r="376">
      <x:c r="A376" t="str">
        <x:v>CDA-MUS-495</x:v>
      </x:c>
      <x:c r="B376" t="str">
        <x:v>MUS</x:v>
      </x:c>
      <x:c r="C376" t="str">
        <x:v>MUSEUM Aquarelle</x:v>
      </x:c>
      <x:c r="D376" t="str">
        <x:v>495</x:v>
      </x:c>
      <x:c r="E376" t="str">
        <x:v>Slate grey</x:v>
      </x:c>
      <x:c r="F376" t="n">
        <x:v>1</x:v>
      </x:c>
      <x:c r="G376" t="str">
        <x:v>Graphite</x:v>
      </x:c>
      <x:c r="H376" t="str">
        <x:v>Graphite</x:v>
      </x:c>
      <x:c r="I376" t="str">
        <x:v>https://www.carandache.com/content_files/uploaded_doc/product/10986/Colour_Chart_Museum.pdf</x:v>
      </x:c>
    </x:row>
    <x:row r="377">
      <x:c r="A377" t="str">
        <x:v>CDA-MUS-496</x:v>
      </x:c>
      <x:c r="B377" t="str">
        <x:v>MUS</x:v>
      </x:c>
      <x:c r="C377" t="str">
        <x:v>MUSEUM Aquarelle</x:v>
      </x:c>
      <x:c r="D377" t="str">
        <x:v>496</x:v>
      </x:c>
      <x:c r="E377" t="str">
        <x:v>Ivory Black</x:v>
      </x:c>
      <x:c r="F377" t="n">
        <x:v>1</x:v>
      </x:c>
      <x:c r="G377" t="str">
        <x:v>PBk7</x:v>
      </x:c>
      <x:c r="H377" t="str">
        <x:v>PBk7</x:v>
      </x:c>
      <x:c r="I377" t="str">
        <x:v>https://www.carandache.com/content_files/uploaded_doc/product/10986/Colour_Chart_Museum.pdf</x:v>
      </x:c>
    </x:row>
    <x:row r="378">
      <x:c r="A378" t="str">
        <x:v>CDA-MUS-009</x:v>
      </x:c>
      <x:c r="B378" t="str">
        <x:v>MUS</x:v>
      </x:c>
      <x:c r="C378" t="str">
        <x:v>MUSEUM Aquarelle</x:v>
      </x:c>
      <x:c r="D378" t="str">
        <x:v>009</x:v>
      </x:c>
      <x:c r="E378" t="str">
        <x:v>Black</x:v>
      </x:c>
      <x:c r="F378" t="n">
        <x:v>1</x:v>
      </x:c>
      <x:c r="G378" t="str">
        <x:v>PBk6</x:v>
      </x:c>
      <x:c r="H378" t="str">
        <x:v>PBk6</x:v>
      </x:c>
      <x:c r="I378" t="str">
        <x:v>https://www.carandache.com/content_files/uploaded_doc/product/10986/Colour_Chart_Museum.pdf</x:v>
      </x:c>
    </x:row>
    <x:row r="379">
      <x:c r="A379" t="str">
        <x:v>CDA-NEO-240</x:v>
      </x:c>
      <x:c r="B379" t="str">
        <x:v>NEO</x:v>
      </x:c>
      <x:c r="C379" t="str">
        <x:v>NEOPASTEL</x:v>
      </x:c>
      <x:c r="D379" t="str">
        <x:v>240</x:v>
      </x:c>
      <x:c r="E379" t="str">
        <x:v>Lemon Yellow</x:v>
      </x:c>
      <x:c r="F379" t="n">
        <x:v>1</x:v>
      </x:c>
      <x:c r="G379" t="str">
        <x:v>PY3</x:v>
      </x:c>
      <x:c r="H379" t="str">
        <x:v>PY3/PG7</x:v>
      </x:c>
      <x:c r="I379" t="str">
        <x:v>https://www.carandache.com/content_files/uploaded_doc/product/10595/Colour_Chart_NeoPastel.pdf</x:v>
      </x:c>
    </x:row>
    <x:row r="380">
      <x:c r="A380" t="str">
        <x:v>CDA-NEO-240</x:v>
      </x:c>
      <x:c r="B380" t="str">
        <x:v>NEO</x:v>
      </x:c>
      <x:c r="C380" t="str">
        <x:v>NEOPASTEL</x:v>
      </x:c>
      <x:c r="D380" t="str">
        <x:v>240</x:v>
      </x:c>
      <x:c r="E380" t="str">
        <x:v>Lemon Yellow</x:v>
      </x:c>
      <x:c r="F380" t="n">
        <x:v>2</x:v>
      </x:c>
      <x:c r="G380" t="str">
        <x:v>PG7</x:v>
      </x:c>
      <x:c r="H380" t="str">
        <x:v>PY3/PG7</x:v>
      </x:c>
      <x:c r="I380" t="str">
        <x:v>https://www.carandache.com/content_files/uploaded_doc/product/10595/Colour_Chart_NeoPastel.pdf</x:v>
      </x:c>
    </x:row>
    <x:row r="381">
      <x:c r="A381" t="str">
        <x:v>CDA-NEO-010</x:v>
      </x:c>
      <x:c r="B381" t="str">
        <x:v>NEO</x:v>
      </x:c>
      <x:c r="C381" t="str">
        <x:v>NEOPASTEL</x:v>
      </x:c>
      <x:c r="D381" t="str">
        <x:v>010</x:v>
      </x:c>
      <x:c r="E381" t="str">
        <x:v>Yellow</x:v>
      </x:c>
      <x:c r="F381" t="n">
        <x:v>1</x:v>
      </x:c>
      <x:c r="G381" t="str">
        <x:v>PY1</x:v>
      </x:c>
      <x:c r="H381" t="str">
        <x:v>PY1/PY13</x:v>
      </x:c>
      <x:c r="I381" t="str">
        <x:v>https://www.carandache.com/content_files/uploaded_doc/product/10595/Colour_Chart_NeoPastel.pdf</x:v>
      </x:c>
    </x:row>
    <x:row r="382">
      <x:c r="A382" t="str">
        <x:v>CDA-NEO-010</x:v>
      </x:c>
      <x:c r="B382" t="str">
        <x:v>NEO</x:v>
      </x:c>
      <x:c r="C382" t="str">
        <x:v>NEOPASTEL</x:v>
      </x:c>
      <x:c r="D382" t="str">
        <x:v>010</x:v>
      </x:c>
      <x:c r="E382" t="str">
        <x:v>Yellow</x:v>
      </x:c>
      <x:c r="F382" t="n">
        <x:v>2</x:v>
      </x:c>
      <x:c r="G382" t="str">
        <x:v>PY13</x:v>
      </x:c>
      <x:c r="H382" t="str">
        <x:v>PY1/PY13</x:v>
      </x:c>
      <x:c r="I382" t="str">
        <x:v>https://www.carandache.com/content_files/uploaded_doc/product/10595/Colour_Chart_NeoPastel.pdf</x:v>
      </x:c>
    </x:row>
    <x:row r="383">
      <x:c r="A383" t="str">
        <x:v>CDA-NEO-020</x:v>
      </x:c>
      <x:c r="B383" t="str">
        <x:v>NEO</x:v>
      </x:c>
      <x:c r="C383" t="str">
        <x:v>NEOPASTEL</x:v>
      </x:c>
      <x:c r="D383" t="str">
        <x:v>020</x:v>
      </x:c>
      <x:c r="E383" t="str">
        <x:v>Golden yellow</x:v>
      </x:c>
      <x:c r="F383" t="n">
        <x:v>1</x:v>
      </x:c>
      <x:c r="G383" t="str">
        <x:v>PO62</x:v>
      </x:c>
      <x:c r="H383" t="str">
        <x:v>PO62/PY1/PY13</x:v>
      </x:c>
      <x:c r="I383" t="str">
        <x:v>https://www.carandache.com/content_files/uploaded_doc/product/10595/Colour_Chart_NeoPastel.pdf</x:v>
      </x:c>
    </x:row>
    <x:row r="384">
      <x:c r="A384" t="str">
        <x:v>CDA-NEO-020</x:v>
      </x:c>
      <x:c r="B384" t="str">
        <x:v>NEO</x:v>
      </x:c>
      <x:c r="C384" t="str">
        <x:v>NEOPASTEL</x:v>
      </x:c>
      <x:c r="D384" t="str">
        <x:v>020</x:v>
      </x:c>
      <x:c r="E384" t="str">
        <x:v>Golden yellow</x:v>
      </x:c>
      <x:c r="F384" t="n">
        <x:v>2</x:v>
      </x:c>
      <x:c r="G384" t="str">
        <x:v>PY1</x:v>
      </x:c>
      <x:c r="H384" t="str">
        <x:v>PO62/PY1/PY13</x:v>
      </x:c>
      <x:c r="I384" t="str">
        <x:v>https://www.carandache.com/content_files/uploaded_doc/product/10595/Colour_Chart_NeoPastel.pdf</x:v>
      </x:c>
    </x:row>
    <x:row r="385">
      <x:c r="A385" t="str">
        <x:v>CDA-NEO-020</x:v>
      </x:c>
      <x:c r="B385" t="str">
        <x:v>NEO</x:v>
      </x:c>
      <x:c r="C385" t="str">
        <x:v>NEOPASTEL</x:v>
      </x:c>
      <x:c r="D385" t="str">
        <x:v>020</x:v>
      </x:c>
      <x:c r="E385" t="str">
        <x:v>Golden yellow</x:v>
      </x:c>
      <x:c r="F385" t="n">
        <x:v>3</x:v>
      </x:c>
      <x:c r="G385" t="str">
        <x:v>PY13</x:v>
      </x:c>
      <x:c r="H385" t="str">
        <x:v>PO62/PY1/PY13</x:v>
      </x:c>
      <x:c r="I385" t="str">
        <x:v>https://www.carandache.com/content_files/uploaded_doc/product/10595/Colour_Chart_NeoPastel.pdf</x:v>
      </x:c>
    </x:row>
    <x:row r="386">
      <x:c r="A386" t="str">
        <x:v>CDA-NEO-030</x:v>
      </x:c>
      <x:c r="B386" t="str">
        <x:v>NEO</x:v>
      </x:c>
      <x:c r="C386" t="str">
        <x:v>NEOPASTEL</x:v>
      </x:c>
      <x:c r="D386" t="str">
        <x:v>030</x:v>
      </x:c>
      <x:c r="E386" t="str">
        <x:v>Orange</x:v>
      </x:c>
      <x:c r="F386" t="n">
        <x:v>1</x:v>
      </x:c>
      <x:c r="G386" t="str">
        <x:v>PO13</x:v>
      </x:c>
      <x:c r="H386" t="str">
        <x:v>PO13/PY1</x:v>
      </x:c>
      <x:c r="I386" t="str">
        <x:v>https://www.carandache.com/content_files/uploaded_doc/product/10595/Colour_Chart_NeoPastel.pdf</x:v>
      </x:c>
    </x:row>
    <x:row r="387">
      <x:c r="A387" t="str">
        <x:v>CDA-NEO-030</x:v>
      </x:c>
      <x:c r="B387" t="str">
        <x:v>NEO</x:v>
      </x:c>
      <x:c r="C387" t="str">
        <x:v>NEOPASTEL</x:v>
      </x:c>
      <x:c r="D387" t="str">
        <x:v>030</x:v>
      </x:c>
      <x:c r="E387" t="str">
        <x:v>Orange</x:v>
      </x:c>
      <x:c r="F387" t="n">
        <x:v>2</x:v>
      </x:c>
      <x:c r="G387" t="str">
        <x:v>PY1</x:v>
      </x:c>
      <x:c r="H387" t="str">
        <x:v>PO13/PY1</x:v>
      </x:c>
      <x:c r="I387" t="str">
        <x:v>https://www.carandache.com/content_files/uploaded_doc/product/10595/Colour_Chart_NeoPastel.pdf</x:v>
      </x:c>
    </x:row>
    <x:row r="388">
      <x:c r="A388" t="str">
        <x:v>CDA-NEO-300</x:v>
      </x:c>
      <x:c r="B388" t="str">
        <x:v>NEO</x:v>
      </x:c>
      <x:c r="C388" t="str">
        <x:v>NEOPASTEL</x:v>
      </x:c>
      <x:c r="D388" t="str">
        <x:v>300</x:v>
      </x:c>
      <x:c r="E388" t="str">
        <x:v>Fast orange</x:v>
      </x:c>
      <x:c r="F388" t="n">
        <x:v>1</x:v>
      </x:c>
      <x:c r="G388" t="str">
        <x:v>PO62</x:v>
      </x:c>
      <x:c r="H388" t="str">
        <x:v>PO62</x:v>
      </x:c>
      <x:c r="I388" t="str">
        <x:v>https://www.carandache.com/content_files/uploaded_doc/product/10595/Colour_Chart_NeoPastel.pdf</x:v>
      </x:c>
    </x:row>
    <x:row r="389">
      <x:c r="A389" t="str">
        <x:v>CDA-NEO-040</x:v>
      </x:c>
      <x:c r="B389" t="str">
        <x:v>NEO</x:v>
      </x:c>
      <x:c r="C389" t="str">
        <x:v>NEOPASTEL</x:v>
      </x:c>
      <x:c r="D389" t="str">
        <x:v>040</x:v>
      </x:c>
      <x:c r="E389" t="str">
        <x:v>Reddish yellow</x:v>
      </x:c>
      <x:c r="F389" t="n">
        <x:v>1</x:v>
      </x:c>
      <x:c r="G389" t="str">
        <x:v>PO61</x:v>
      </x:c>
      <x:c r="H389" t="str">
        <x:v>PO61</x:v>
      </x:c>
      <x:c r="I389" t="str">
        <x:v>https://www.carandache.com/content_files/uploaded_doc/product/10595/Colour_Chart_NeoPastel.pdf</x:v>
      </x:c>
    </x:row>
    <x:row r="390">
      <x:c r="A390" t="str">
        <x:v>CDA-NEO-050</x:v>
      </x:c>
      <x:c r="B390" t="str">
        <x:v>NEO</x:v>
      </x:c>
      <x:c r="C390" t="str">
        <x:v>NEOPASTEL</x:v>
      </x:c>
      <x:c r="D390" t="str">
        <x:v>050</x:v>
      </x:c>
      <x:c r="E390" t="str">
        <x:v>Flame red</x:v>
      </x:c>
      <x:c r="F390" t="n">
        <x:v>1</x:v>
      </x:c>
      <x:c r="G390" t="str">
        <x:v>PO43</x:v>
      </x:c>
      <x:c r="H390" t="str">
        <x:v>PO43</x:v>
      </x:c>
      <x:c r="I390" t="str">
        <x:v>https://www.carandache.com/content_files/uploaded_doc/product/10595/Colour_Chart_NeoPastel.pdf</x:v>
      </x:c>
    </x:row>
    <x:row r="391">
      <x:c r="A391" t="str">
        <x:v>CDA-NEO-060</x:v>
      </x:c>
      <x:c r="B391" t="str">
        <x:v>NEO</x:v>
      </x:c>
      <x:c r="C391" t="str">
        <x:v>NEOPASTEL</x:v>
      </x:c>
      <x:c r="D391" t="str">
        <x:v>060</x:v>
      </x:c>
      <x:c r="E391" t="str">
        <x:v>Vermilion</x:v>
      </x:c>
      <x:c r="F391" t="n">
        <x:v>1</x:v>
      </x:c>
      <x:c r="G391" t="str">
        <x:v>PR188</x:v>
      </x:c>
      <x:c r="H391" t="str">
        <x:v>PR188</x:v>
      </x:c>
      <x:c r="I391" t="str">
        <x:v>https://www.carandache.com/content_files/uploaded_doc/product/10595/Colour_Chart_NeoPastel.pdf</x:v>
      </x:c>
    </x:row>
    <x:row r="392">
      <x:c r="A392" t="str">
        <x:v>CDA-NEO-070</x:v>
      </x:c>
      <x:c r="B392" t="str">
        <x:v>NEO</x:v>
      </x:c>
      <x:c r="C392" t="str">
        <x:v>NEOPASTEL</x:v>
      </x:c>
      <x:c r="D392" t="str">
        <x:v>070</x:v>
      </x:c>
      <x:c r="E392" t="str">
        <x:v>Scarlet</x:v>
      </x:c>
      <x:c r="F392" t="n">
        <x:v>1</x:v>
      </x:c>
      <x:c r="G392" t="str">
        <x:v>PR254</x:v>
      </x:c>
      <x:c r="H392" t="str">
        <x:v>PR254</x:v>
      </x:c>
      <x:c r="I392" t="str">
        <x:v>https://www.carandache.com/content_files/uploaded_doc/product/10595/Colour_Chart_NeoPastel.pdf</x:v>
      </x:c>
    </x:row>
    <x:row r="393">
      <x:c r="A393" t="str">
        <x:v>CDA-NEO-280</x:v>
      </x:c>
      <x:c r="B393" t="str">
        <x:v>NEO</x:v>
      </x:c>
      <x:c r="C393" t="str">
        <x:v>NEOPASTEL</x:v>
      </x:c>
      <x:c r="D393" t="str">
        <x:v>280</x:v>
      </x:c>
      <x:c r="E393" t="str">
        <x:v>Ruby red</x:v>
      </x:c>
      <x:c r="F393" t="n">
        <x:v>1</x:v>
      </x:c>
      <x:c r="G393" t="str">
        <x:v>PR254</x:v>
      </x:c>
      <x:c r="H393" t="str">
        <x:v>PR254</x:v>
      </x:c>
      <x:c r="I393" t="str">
        <x:v>https://www.carandache.com/content_files/uploaded_doc/product/10595/Colour_Chart_NeoPastel.pdf</x:v>
      </x:c>
    </x:row>
    <x:row r="394">
      <x:c r="A394" t="str">
        <x:v>CDA-NEO-270</x:v>
      </x:c>
      <x:c r="B394" t="str">
        <x:v>NEO</x:v>
      </x:c>
      <x:c r="C394" t="str">
        <x:v>NEOPASTEL</x:v>
      </x:c>
      <x:c r="D394" t="str">
        <x:v>270</x:v>
      </x:c>
      <x:c r="E394" t="str">
        <x:v>Raspberry red</x:v>
      </x:c>
      <x:c r="F394" t="n">
        <x:v>1</x:v>
      </x:c>
      <x:c r="G394" t="str">
        <x:v>PR112</x:v>
      </x:c>
      <x:c r="H394" t="str">
        <x:v>PR112</x:v>
      </x:c>
      <x:c r="I394" t="str">
        <x:v>https://www.carandache.com/content_files/uploaded_doc/product/10595/Colour_Chart_NeoPastel.pdf</x:v>
      </x:c>
    </x:row>
    <x:row r="395">
      <x:c r="A395" t="str">
        <x:v>CDA-NEO-075</x:v>
      </x:c>
      <x:c r="B395" t="str">
        <x:v>NEO</x:v>
      </x:c>
      <x:c r="C395" t="str">
        <x:v>NEOPASTEL</x:v>
      </x:c>
      <x:c r="D395" t="str">
        <x:v>075</x:v>
      </x:c>
      <x:c r="E395" t="str">
        <x:v>Indian red</x:v>
      </x:c>
      <x:c r="F395" t="n">
        <x:v>1</x:v>
      </x:c>
      <x:c r="G395" t="str">
        <x:v>PBk6</x:v>
      </x:c>
      <x:c r="H395" t="str">
        <x:v>PBk6/PR112</x:v>
      </x:c>
      <x:c r="I395" t="str">
        <x:v>https://www.carandache.com/content_files/uploaded_doc/product/10595/Colour_Chart_NeoPastel.pdf</x:v>
      </x:c>
    </x:row>
    <x:row r="396">
      <x:c r="A396" t="str">
        <x:v>CDA-NEO-075</x:v>
      </x:c>
      <x:c r="B396" t="str">
        <x:v>NEO</x:v>
      </x:c>
      <x:c r="C396" t="str">
        <x:v>NEOPASTEL</x:v>
      </x:c>
      <x:c r="D396" t="str">
        <x:v>075</x:v>
      </x:c>
      <x:c r="E396" t="str">
        <x:v>Indian red</x:v>
      </x:c>
      <x:c r="F396" t="n">
        <x:v>2</x:v>
      </x:c>
      <x:c r="G396" t="str">
        <x:v>PR112</x:v>
      </x:c>
      <x:c r="H396" t="str">
        <x:v>PBk6/PR112</x:v>
      </x:c>
      <x:c r="I396" t="str">
        <x:v>https://www.carandache.com/content_files/uploaded_doc/product/10595/Colour_Chart_NeoPastel.pdf</x:v>
      </x:c>
    </x:row>
    <x:row r="397">
      <x:c r="A397" t="str">
        <x:v>CDA-NEO-080</x:v>
      </x:c>
      <x:c r="B397" t="str">
        <x:v>NEO</x:v>
      </x:c>
      <x:c r="C397" t="str">
        <x:v>NEOPASTEL</x:v>
      </x:c>
      <x:c r="D397" t="str">
        <x:v>080</x:v>
      </x:c>
      <x:c r="E397" t="str">
        <x:v>Carmine Lake</x:v>
      </x:c>
      <x:c r="F397" t="n">
        <x:v>1</x:v>
      </x:c>
      <x:c r="G397" t="str">
        <x:v>PV19</x:v>
      </x:c>
      <x:c r="H397" t="str">
        <x:v>PV19/PR48:4</x:v>
      </x:c>
      <x:c r="I397" t="str">
        <x:v>https://www.carandache.com/content_files/uploaded_doc/product/10595/Colour_Chart_NeoPastel.pdf</x:v>
      </x:c>
    </x:row>
    <x:row r="398">
      <x:c r="A398" t="str">
        <x:v>CDA-NEO-080</x:v>
      </x:c>
      <x:c r="B398" t="str">
        <x:v>NEO</x:v>
      </x:c>
      <x:c r="C398" t="str">
        <x:v>NEOPASTEL</x:v>
      </x:c>
      <x:c r="D398" t="str">
        <x:v>080</x:v>
      </x:c>
      <x:c r="E398" t="str">
        <x:v>Carmine Lake</x:v>
      </x:c>
      <x:c r="F398" t="n">
        <x:v>2</x:v>
      </x:c>
      <x:c r="G398" t="str">
        <x:v>PR48:4</x:v>
      </x:c>
      <x:c r="H398" t="str">
        <x:v>PV19/PR48:4</x:v>
      </x:c>
      <x:c r="I398" t="str">
        <x:v>https://www.carandache.com/content_files/uploaded_doc/product/10595/Colour_Chart_NeoPastel.pdf</x:v>
      </x:c>
    </x:row>
    <x:row r="399">
      <x:c r="A399" t="str">
        <x:v>CDA-NEO-090</x:v>
      </x:c>
      <x:c r="B399" t="str">
        <x:v>NEO</x:v>
      </x:c>
      <x:c r="C399" t="str">
        <x:v>NEOPASTEL</x:v>
      </x:c>
      <x:c r="D399" t="str">
        <x:v>090</x:v>
      </x:c>
      <x:c r="E399" t="str">
        <x:v>Purple</x:v>
      </x:c>
      <x:c r="F399" t="n">
        <x:v>1</x:v>
      </x:c>
      <x:c r="G399" t="str">
        <x:v>PR122</x:v>
      </x:c>
      <x:c r="H399" t="str">
        <x:v>PR122</x:v>
      </x:c>
      <x:c r="I399" t="str">
        <x:v>https://www.carandache.com/content_files/uploaded_doc/product/10595/Colour_Chart_NeoPastel.pdf</x:v>
      </x:c>
    </x:row>
    <x:row r="400">
      <x:c r="A400" t="str">
        <x:v>CDA-NEO-350</x:v>
      </x:c>
      <x:c r="B400" t="str">
        <x:v>NEO</x:v>
      </x:c>
      <x:c r="C400" t="str">
        <x:v>NEOPASTEL</x:v>
      </x:c>
      <x:c r="D400" t="str">
        <x:v>350</x:v>
      </x:c>
      <x:c r="E400" t="str">
        <x:v>Purplish Red</x:v>
      </x:c>
      <x:c r="F400" t="n">
        <x:v>1</x:v>
      </x:c>
      <x:c r="G400" t="str">
        <x:v>PR122</x:v>
      </x:c>
      <x:c r="H400" t="str">
        <x:v>PR122</x:v>
      </x:c>
      <x:c r="I400" t="str">
        <x:v>https://www.carandache.com/content_files/uploaded_doc/product/10595/Colour_Chart_NeoPastel.pdf</x:v>
      </x:c>
    </x:row>
    <x:row r="401">
      <x:c r="A401" t="str">
        <x:v>CDA-NEO-110</x:v>
      </x:c>
      <x:c r="B401" t="str">
        <x:v>NEO</x:v>
      </x:c>
      <x:c r="C401" t="str">
        <x:v>NEOPASTEL</x:v>
      </x:c>
      <x:c r="D401" t="str">
        <x:v>110</x:v>
      </x:c>
      <x:c r="E401" t="str">
        <x:v>Lilac</x:v>
      </x:c>
      <x:c r="F401" t="n">
        <x:v>1</x:v>
      </x:c>
      <x:c r="G401" t="str">
        <x:v>PV23</x:v>
      </x:c>
      <x:c r="H401" t="str">
        <x:v>PV23/PR122</x:v>
      </x:c>
      <x:c r="I401" t="str">
        <x:v>https://www.carandache.com/content_files/uploaded_doc/product/10595/Colour_Chart_NeoPastel.pdf</x:v>
      </x:c>
    </x:row>
    <x:row r="402">
      <x:c r="A402" t="str">
        <x:v>CDA-NEO-110</x:v>
      </x:c>
      <x:c r="B402" t="str">
        <x:v>NEO</x:v>
      </x:c>
      <x:c r="C402" t="str">
        <x:v>NEOPASTEL</x:v>
      </x:c>
      <x:c r="D402" t="str">
        <x:v>110</x:v>
      </x:c>
      <x:c r="E402" t="str">
        <x:v>Lilac</x:v>
      </x:c>
      <x:c r="F402" t="n">
        <x:v>2</x:v>
      </x:c>
      <x:c r="G402" t="str">
        <x:v>PR122</x:v>
      </x:c>
      <x:c r="H402" t="str">
        <x:v>PV23/PR122</x:v>
      </x:c>
      <x:c r="I402" t="str">
        <x:v>https://www.carandache.com/content_files/uploaded_doc/product/10595/Colour_Chart_NeoPastel.pdf</x:v>
      </x:c>
    </x:row>
    <x:row r="403">
      <x:c r="A403" t="str">
        <x:v>CDA-NEO-120</x:v>
      </x:c>
      <x:c r="B403" t="str">
        <x:v>NEO</x:v>
      </x:c>
      <x:c r="C403" t="str">
        <x:v>NEOPASTEL</x:v>
      </x:c>
      <x:c r="D403" t="str">
        <x:v>120</x:v>
      </x:c>
      <x:c r="E403" t="str">
        <x:v>Violet</x:v>
      </x:c>
      <x:c r="F403" t="n">
        <x:v>1</x:v>
      </x:c>
      <x:c r="G403" t="str">
        <x:v>PV23</x:v>
      </x:c>
      <x:c r="H403" t="str">
        <x:v>PV23</x:v>
      </x:c>
      <x:c r="I403" t="str">
        <x:v>https://www.carandache.com/content_files/uploaded_doc/product/10595/Colour_Chart_NeoPastel.pdf</x:v>
      </x:c>
    </x:row>
    <x:row r="404">
      <x:c r="A404" t="str">
        <x:v>CDA-NEO-099</x:v>
      </x:c>
      <x:c r="B404" t="str">
        <x:v>NEO</x:v>
      </x:c>
      <x:c r="C404" t="str">
        <x:v>NEOPASTEL</x:v>
      </x:c>
      <x:c r="D404" t="str">
        <x:v>099</x:v>
      </x:c>
      <x:c r="E404" t="str">
        <x:v>Aubergine</x:v>
      </x:c>
      <x:c r="F404" t="n">
        <x:v>1</x:v>
      </x:c>
      <x:c r="G404" t="str">
        <x:v>PBk6</x:v>
      </x:c>
      <x:c r="H404" t="str">
        <x:v>PBk6/PR202</x:v>
      </x:c>
      <x:c r="I404" t="str">
        <x:v>https://www.carandache.com/content_files/uploaded_doc/product/10595/Colour_Chart_NeoPastel.pdf</x:v>
      </x:c>
    </x:row>
    <x:row r="405">
      <x:c r="A405" t="str">
        <x:v>CDA-NEO-099</x:v>
      </x:c>
      <x:c r="B405" t="str">
        <x:v>NEO</x:v>
      </x:c>
      <x:c r="C405" t="str">
        <x:v>NEOPASTEL</x:v>
      </x:c>
      <x:c r="D405" t="str">
        <x:v>099</x:v>
      </x:c>
      <x:c r="E405" t="str">
        <x:v>Aubergine</x:v>
      </x:c>
      <x:c r="F405" t="n">
        <x:v>2</x:v>
      </x:c>
      <x:c r="G405" t="str">
        <x:v>PR202</x:v>
      </x:c>
      <x:c r="H405" t="str">
        <x:v>PBk6/PR202</x:v>
      </x:c>
      <x:c r="I405" t="str">
        <x:v>https://www.carandache.com/content_files/uploaded_doc/product/10595/Colour_Chart_NeoPastel.pdf</x:v>
      </x:c>
    </x:row>
    <x:row r="406">
      <x:c r="A406" t="str">
        <x:v>CDA-NEO-130</x:v>
      </x:c>
      <x:c r="B406" t="str">
        <x:v>NEO</x:v>
      </x:c>
      <x:c r="C406" t="str">
        <x:v>NEOPASTEL</x:v>
      </x:c>
      <x:c r="D406" t="str">
        <x:v>130</x:v>
      </x:c>
      <x:c r="E406" t="str">
        <x:v>Royal blue</x:v>
      </x:c>
      <x:c r="F406" t="n">
        <x:v>1</x:v>
      </x:c>
      <x:c r="G406" t="str">
        <x:v>PB15:3</x:v>
      </x:c>
      <x:c r="H406" t="str">
        <x:v>PB15:3/PV23</x:v>
      </x:c>
      <x:c r="I406" t="str">
        <x:v>https://www.carandache.com/content_files/uploaded_doc/product/10595/Colour_Chart_NeoPastel.pdf</x:v>
      </x:c>
    </x:row>
    <x:row r="407">
      <x:c r="A407" t="str">
        <x:v>CDA-NEO-130</x:v>
      </x:c>
      <x:c r="B407" t="str">
        <x:v>NEO</x:v>
      </x:c>
      <x:c r="C407" t="str">
        <x:v>NEOPASTEL</x:v>
      </x:c>
      <x:c r="D407" t="str">
        <x:v>130</x:v>
      </x:c>
      <x:c r="E407" t="str">
        <x:v>Royal blue</x:v>
      </x:c>
      <x:c r="F407" t="n">
        <x:v>2</x:v>
      </x:c>
      <x:c r="G407" t="str">
        <x:v>PV23</x:v>
      </x:c>
      <x:c r="H407" t="str">
        <x:v>PB15:3/PV23</x:v>
      </x:c>
      <x:c r="I407" t="str">
        <x:v>https://www.carandache.com/content_files/uploaded_doc/product/10595/Colour_Chart_NeoPastel.pdf</x:v>
      </x:c>
    </x:row>
    <x:row r="408">
      <x:c r="A408" t="str">
        <x:v>CDA-NEO-140</x:v>
      </x:c>
      <x:c r="B408" t="str">
        <x:v>NEO</x:v>
      </x:c>
      <x:c r="C408" t="str">
        <x:v>NEOPASTEL</x:v>
      </x:c>
      <x:c r="D408" t="str">
        <x:v>140</x:v>
      </x:c>
      <x:c r="E408" t="str">
        <x:v>Ultramarine</x:v>
      </x:c>
      <x:c r="F408" t="n">
        <x:v>1</x:v>
      </x:c>
      <x:c r="G408" t="str">
        <x:v>PB29</x:v>
      </x:c>
      <x:c r="H408" t="str">
        <x:v>PB29/PB1</x:v>
      </x:c>
      <x:c r="I408" t="str">
        <x:v>https://www.carandache.com/content_files/uploaded_doc/product/10595/Colour_Chart_NeoPastel.pdf</x:v>
      </x:c>
    </x:row>
    <x:row r="409">
      <x:c r="A409" t="str">
        <x:v>CDA-NEO-140</x:v>
      </x:c>
      <x:c r="B409" t="str">
        <x:v>NEO</x:v>
      </x:c>
      <x:c r="C409" t="str">
        <x:v>NEOPASTEL</x:v>
      </x:c>
      <x:c r="D409" t="str">
        <x:v>140</x:v>
      </x:c>
      <x:c r="E409" t="str">
        <x:v>Ultramarine</x:v>
      </x:c>
      <x:c r="F409" t="n">
        <x:v>2</x:v>
      </x:c>
      <x:c r="G409" t="str">
        <x:v>PB1</x:v>
      </x:c>
      <x:c r="H409" t="str">
        <x:v>PB29/PB1</x:v>
      </x:c>
      <x:c r="I409" t="str">
        <x:v>https://www.carandache.com/content_files/uploaded_doc/product/10595/Colour_Chart_NeoPastel.pdf</x:v>
      </x:c>
    </x:row>
    <x:row r="410">
      <x:c r="A410" t="str">
        <x:v>CDA-NEO-150</x:v>
      </x:c>
      <x:c r="B410" t="str">
        <x:v>NEO</x:v>
      </x:c>
      <x:c r="C410" t="str">
        <x:v>NEOPASTEL</x:v>
      </x:c>
      <x:c r="D410" t="str">
        <x:v>150</x:v>
      </x:c>
      <x:c r="E410" t="str">
        <x:v>Sapphire blue</x:v>
      </x:c>
      <x:c r="F410" t="n">
        <x:v>1</x:v>
      </x:c>
      <x:c r="G410" t="str">
        <x:v>PV23</x:v>
      </x:c>
      <x:c r="H410" t="str">
        <x:v>PV23/PB15:3/PG7</x:v>
      </x:c>
      <x:c r="I410" t="str">
        <x:v>https://www.carandache.com/content_files/uploaded_doc/product/10595/Colour_Chart_NeoPastel.pdf</x:v>
      </x:c>
    </x:row>
    <x:row r="411">
      <x:c r="A411" t="str">
        <x:v>CDA-NEO-150</x:v>
      </x:c>
      <x:c r="B411" t="str">
        <x:v>NEO</x:v>
      </x:c>
      <x:c r="C411" t="str">
        <x:v>NEOPASTEL</x:v>
      </x:c>
      <x:c r="D411" t="str">
        <x:v>150</x:v>
      </x:c>
      <x:c r="E411" t="str">
        <x:v>Sapphire blue</x:v>
      </x:c>
      <x:c r="F411" t="n">
        <x:v>2</x:v>
      </x:c>
      <x:c r="G411" t="str">
        <x:v>PB15:3</x:v>
      </x:c>
      <x:c r="H411" t="str">
        <x:v>PV23/PB15:3/PG7</x:v>
      </x:c>
      <x:c r="I411" t="str">
        <x:v>https://www.carandache.com/content_files/uploaded_doc/product/10595/Colour_Chart_NeoPastel.pdf</x:v>
      </x:c>
    </x:row>
    <x:row r="412">
      <x:c r="A412" t="str">
        <x:v>CDA-NEO-150</x:v>
      </x:c>
      <x:c r="B412" t="str">
        <x:v>NEO</x:v>
      </x:c>
      <x:c r="C412" t="str">
        <x:v>NEOPASTEL</x:v>
      </x:c>
      <x:c r="D412" t="str">
        <x:v>150</x:v>
      </x:c>
      <x:c r="E412" t="str">
        <x:v>Sapphire blue</x:v>
      </x:c>
      <x:c r="F412" t="n">
        <x:v>3</x:v>
      </x:c>
      <x:c r="G412" t="str">
        <x:v>PG7</x:v>
      </x:c>
      <x:c r="H412" t="str">
        <x:v>PV23/PB15:3/PG7</x:v>
      </x:c>
      <x:c r="I412" t="str">
        <x:v>https://www.carandache.com/content_files/uploaded_doc/product/10595/Colour_Chart_NeoPastel.pdf</x:v>
      </x:c>
    </x:row>
    <x:row r="413">
      <x:c r="A413" t="str">
        <x:v>CDA-NEO-149</x:v>
      </x:c>
      <x:c r="B413" t="str">
        <x:v>NEO</x:v>
      </x:c>
      <x:c r="C413" t="str">
        <x:v>NEOPASTEL</x:v>
      </x:c>
      <x:c r="D413" t="str">
        <x:v>149</x:v>
      </x:c>
      <x:c r="E413" t="str">
        <x:v>Night blue</x:v>
      </x:c>
      <x:c r="F413" t="n">
        <x:v>1</x:v>
      </x:c>
      <x:c r="G413" t="str">
        <x:v>PBk6</x:v>
      </x:c>
      <x:c r="H413" t="str">
        <x:v>PBk6/PR202/PB15</x:v>
      </x:c>
      <x:c r="I413" t="str">
        <x:v>https://www.carandache.com/content_files/uploaded_doc/product/10595/Colour_Chart_NeoPastel.pdf</x:v>
      </x:c>
    </x:row>
    <x:row r="414">
      <x:c r="A414" t="str">
        <x:v>CDA-NEO-149</x:v>
      </x:c>
      <x:c r="B414" t="str">
        <x:v>NEO</x:v>
      </x:c>
      <x:c r="C414" t="str">
        <x:v>NEOPASTEL</x:v>
      </x:c>
      <x:c r="D414" t="str">
        <x:v>149</x:v>
      </x:c>
      <x:c r="E414" t="str">
        <x:v>Night blue</x:v>
      </x:c>
      <x:c r="F414" t="n">
        <x:v>2</x:v>
      </x:c>
      <x:c r="G414" t="str">
        <x:v>PR202</x:v>
      </x:c>
      <x:c r="H414" t="str">
        <x:v>PBk6/PR202/PB15</x:v>
      </x:c>
      <x:c r="I414" t="str">
        <x:v>https://www.carandache.com/content_files/uploaded_doc/product/10595/Colour_Chart_NeoPastel.pdf</x:v>
      </x:c>
    </x:row>
    <x:row r="415">
      <x:c r="A415" t="str">
        <x:v>CDA-NEO-149</x:v>
      </x:c>
      <x:c r="B415" t="str">
        <x:v>NEO</x:v>
      </x:c>
      <x:c r="C415" t="str">
        <x:v>NEOPASTEL</x:v>
      </x:c>
      <x:c r="D415" t="str">
        <x:v>149</x:v>
      </x:c>
      <x:c r="E415" t="str">
        <x:v>Night blue</x:v>
      </x:c>
      <x:c r="F415" t="n">
        <x:v>3</x:v>
      </x:c>
      <x:c r="G415" t="str">
        <x:v>PB15</x:v>
      </x:c>
      <x:c r="H415" t="str">
        <x:v>PBk6/PR202/PB15</x:v>
      </x:c>
      <x:c r="I415" t="str">
        <x:v>https://www.carandache.com/content_files/uploaded_doc/product/10595/Colour_Chart_NeoPastel.pdf</x:v>
      </x:c>
    </x:row>
    <x:row r="416">
      <x:c r="A416" t="str">
        <x:v>CDA-NEO-139</x:v>
      </x:c>
      <x:c r="B416" t="str">
        <x:v>NEO</x:v>
      </x:c>
      <x:c r="C416" t="str">
        <x:v>NEOPASTEL</x:v>
      </x:c>
      <x:c r="D416" t="str">
        <x:v>139</x:v>
      </x:c>
      <x:c r="E416" t="str">
        <x:v>Indigo blue</x:v>
      </x:c>
      <x:c r="F416" t="n">
        <x:v>1</x:v>
      </x:c>
      <x:c r="G416" t="str">
        <x:v>PB60</x:v>
      </x:c>
      <x:c r="H416" t="str">
        <x:v>PB60/PV19/PBk6</x:v>
      </x:c>
      <x:c r="I416" t="str">
        <x:v>https://www.carandache.com/content_files/uploaded_doc/product/10595/Colour_Chart_NeoPastel.pdf</x:v>
      </x:c>
    </x:row>
    <x:row r="417">
      <x:c r="A417" t="str">
        <x:v>CDA-NEO-139</x:v>
      </x:c>
      <x:c r="B417" t="str">
        <x:v>NEO</x:v>
      </x:c>
      <x:c r="C417" t="str">
        <x:v>NEOPASTEL</x:v>
      </x:c>
      <x:c r="D417" t="str">
        <x:v>139</x:v>
      </x:c>
      <x:c r="E417" t="str">
        <x:v>Indigo blue</x:v>
      </x:c>
      <x:c r="F417" t="n">
        <x:v>2</x:v>
      </x:c>
      <x:c r="G417" t="str">
        <x:v>PV19</x:v>
      </x:c>
      <x:c r="H417" t="str">
        <x:v>PB60/PV19/PBk6</x:v>
      </x:c>
      <x:c r="I417" t="str">
        <x:v>https://www.carandache.com/content_files/uploaded_doc/product/10595/Colour_Chart_NeoPastel.pdf</x:v>
      </x:c>
    </x:row>
    <x:row r="418">
      <x:c r="A418" t="str">
        <x:v>CDA-NEO-139</x:v>
      </x:c>
      <x:c r="B418" t="str">
        <x:v>NEO</x:v>
      </x:c>
      <x:c r="C418" t="str">
        <x:v>NEOPASTEL</x:v>
      </x:c>
      <x:c r="D418" t="str">
        <x:v>139</x:v>
      </x:c>
      <x:c r="E418" t="str">
        <x:v>Indigo blue</x:v>
      </x:c>
      <x:c r="F418" t="n">
        <x:v>3</x:v>
      </x:c>
      <x:c r="G418" t="str">
        <x:v>PBk6</x:v>
      </x:c>
      <x:c r="H418" t="str">
        <x:v>PB60/PV19/PBk6</x:v>
      </x:c>
      <x:c r="I418" t="str">
        <x:v>https://www.carandache.com/content_files/uploaded_doc/product/10595/Colour_Chart_NeoPastel.pdf</x:v>
      </x:c>
    </x:row>
    <x:row r="419">
      <x:c r="A419" t="str">
        <x:v>CDA-NEO-159</x:v>
      </x:c>
      <x:c r="B419" t="str">
        <x:v>NEO</x:v>
      </x:c>
      <x:c r="C419" t="str">
        <x:v>NEOPASTEL</x:v>
      </x:c>
      <x:c r="D419" t="str">
        <x:v>159</x:v>
      </x:c>
      <x:c r="E419" t="str">
        <x:v>Prussian Blue</x:v>
      </x:c>
      <x:c r="F419" t="n">
        <x:v>1</x:v>
      </x:c>
      <x:c r="G419" t="str">
        <x:v>PBk6</x:v>
      </x:c>
      <x:c r="H419" t="str">
        <x:v>PBk6/PV23/PB15:3</x:v>
      </x:c>
      <x:c r="I419" t="str">
        <x:v>https://www.carandache.com/content_files/uploaded_doc/product/10595/Colour_Chart_NeoPastel.pdf</x:v>
      </x:c>
    </x:row>
    <x:row r="420">
      <x:c r="A420" t="str">
        <x:v>CDA-NEO-159</x:v>
      </x:c>
      <x:c r="B420" t="str">
        <x:v>NEO</x:v>
      </x:c>
      <x:c r="C420" t="str">
        <x:v>NEOPASTEL</x:v>
      </x:c>
      <x:c r="D420" t="str">
        <x:v>159</x:v>
      </x:c>
      <x:c r="E420" t="str">
        <x:v>Prussian Blue</x:v>
      </x:c>
      <x:c r="F420" t="n">
        <x:v>2</x:v>
      </x:c>
      <x:c r="G420" t="str">
        <x:v>PV23</x:v>
      </x:c>
      <x:c r="H420" t="str">
        <x:v>PBk6/PV23/PB15:3</x:v>
      </x:c>
      <x:c r="I420" t="str">
        <x:v>https://www.carandache.com/content_files/uploaded_doc/product/10595/Colour_Chart_NeoPastel.pdf</x:v>
      </x:c>
    </x:row>
    <x:row r="421">
      <x:c r="A421" t="str">
        <x:v>CDA-NEO-159</x:v>
      </x:c>
      <x:c r="B421" t="str">
        <x:v>NEO</x:v>
      </x:c>
      <x:c r="C421" t="str">
        <x:v>NEOPASTEL</x:v>
      </x:c>
      <x:c r="D421" t="str">
        <x:v>159</x:v>
      </x:c>
      <x:c r="E421" t="str">
        <x:v>Prussian Blue</x:v>
      </x:c>
      <x:c r="F421" t="n">
        <x:v>3</x:v>
      </x:c>
      <x:c r="G421" t="str">
        <x:v>PB15:3</x:v>
      </x:c>
      <x:c r="H421" t="str">
        <x:v>PBk6/PV23/PB15:3</x:v>
      </x:c>
      <x:c r="I421" t="str">
        <x:v>https://www.carandache.com/content_files/uploaded_doc/product/10595/Colour_Chart_NeoPastel.pdf</x:v>
      </x:c>
    </x:row>
    <x:row r="422">
      <x:c r="A422" t="str">
        <x:v>CDA-NEO-260</x:v>
      </x:c>
      <x:c r="B422" t="str">
        <x:v>NEO</x:v>
      </x:c>
      <x:c r="C422" t="str">
        <x:v>NEOPASTEL</x:v>
      </x:c>
      <x:c r="D422" t="str">
        <x:v>260</x:v>
      </x:c>
      <x:c r="E422" t="str">
        <x:v>Blue</x:v>
      </x:c>
      <x:c r="F422" t="n">
        <x:v>1</x:v>
      </x:c>
      <x:c r="G422" t="str">
        <x:v>PB15</x:v>
      </x:c>
      <x:c r="H422" t="str">
        <x:v>PB15</x:v>
      </x:c>
      <x:c r="I422" t="str">
        <x:v>https://www.carandache.com/content_files/uploaded_doc/product/10595/Colour_Chart_NeoPastel.pdf</x:v>
      </x:c>
    </x:row>
    <x:row r="423">
      <x:c r="A423" t="str">
        <x:v>CDA-NEO-370</x:v>
      </x:c>
      <x:c r="B423" t="str">
        <x:v>NEO</x:v>
      </x:c>
      <x:c r="C423" t="str">
        <x:v>NEOPASTEL</x:v>
      </x:c>
      <x:c r="D423" t="str">
        <x:v>370</x:v>
      </x:c>
      <x:c r="E423" t="str">
        <x:v>Gentian blue</x:v>
      </x:c>
      <x:c r="F423" t="n">
        <x:v>1</x:v>
      </x:c>
      <x:c r="G423" t="str">
        <x:v>PB15:3</x:v>
      </x:c>
      <x:c r="H423" t="str">
        <x:v>PB15:3</x:v>
      </x:c>
      <x:c r="I423" t="str">
        <x:v>https://www.carandache.com/content_files/uploaded_doc/product/10595/Colour_Chart_NeoPastel.pdf</x:v>
      </x:c>
    </x:row>
    <x:row r="424">
      <x:c r="A424" t="str">
        <x:v>CDA-NEO-160</x:v>
      </x:c>
      <x:c r="B424" t="str">
        <x:v>NEO</x:v>
      </x:c>
      <x:c r="C424" t="str">
        <x:v>NEOPASTEL</x:v>
      </x:c>
      <x:c r="D424" t="str">
        <x:v>160</x:v>
      </x:c>
      <x:c r="E424" t="str">
        <x:v>Cobalt Blue (hue)</x:v>
      </x:c>
      <x:c r="F424" t="n">
        <x:v>1</x:v>
      </x:c>
      <x:c r="G424" t="str">
        <x:v>PB15:3</x:v>
      </x:c>
      <x:c r="H424" t="str">
        <x:v>PB15:3/PG7</x:v>
      </x:c>
      <x:c r="I424" t="str">
        <x:v>https://www.carandache.com/content_files/uploaded_doc/product/10595/Colour_Chart_NeoPastel.pdf</x:v>
      </x:c>
    </x:row>
    <x:row r="425">
      <x:c r="A425" t="str">
        <x:v>CDA-NEO-160</x:v>
      </x:c>
      <x:c r="B425" t="str">
        <x:v>NEO</x:v>
      </x:c>
      <x:c r="C425" t="str">
        <x:v>NEOPASTEL</x:v>
      </x:c>
      <x:c r="D425" t="str">
        <x:v>160</x:v>
      </x:c>
      <x:c r="E425" t="str">
        <x:v>Cobalt Blue (hue)</x:v>
      </x:c>
      <x:c r="F425" t="n">
        <x:v>2</x:v>
      </x:c>
      <x:c r="G425" t="str">
        <x:v>PG7</x:v>
      </x:c>
      <x:c r="H425" t="str">
        <x:v>PB15:3/PG7</x:v>
      </x:c>
      <x:c r="I425" t="str">
        <x:v>https://www.carandache.com/content_files/uploaded_doc/product/10595/Colour_Chart_NeoPastel.pdf</x:v>
      </x:c>
    </x:row>
    <x:row r="426">
      <x:c r="A426" t="str">
        <x:v>CDA-NEO-170</x:v>
      </x:c>
      <x:c r="B426" t="str">
        <x:v>NEO</x:v>
      </x:c>
      <x:c r="C426" t="str">
        <x:v>NEOPASTEL</x:v>
      </x:c>
      <x:c r="D426" t="str">
        <x:v>170</x:v>
      </x:c>
      <x:c r="E426" t="str">
        <x:v>Azurite blue</x:v>
      </x:c>
      <x:c r="F426" t="n">
        <x:v>1</x:v>
      </x:c>
      <x:c r="G426" t="str">
        <x:v>PB15:3</x:v>
      </x:c>
      <x:c r="H426" t="str">
        <x:v>PB15:3/PG7</x:v>
      </x:c>
      <x:c r="I426" t="str">
        <x:v>https://www.carandache.com/content_files/uploaded_doc/product/10595/Colour_Chart_NeoPastel.pdf</x:v>
      </x:c>
    </x:row>
    <x:row r="427">
      <x:c r="A427" t="str">
        <x:v>CDA-NEO-170</x:v>
      </x:c>
      <x:c r="B427" t="str">
        <x:v>NEO</x:v>
      </x:c>
      <x:c r="C427" t="str">
        <x:v>NEOPASTEL</x:v>
      </x:c>
      <x:c r="D427" t="str">
        <x:v>170</x:v>
      </x:c>
      <x:c r="E427" t="str">
        <x:v>Azurite blue</x:v>
      </x:c>
      <x:c r="F427" t="n">
        <x:v>2</x:v>
      </x:c>
      <x:c r="G427" t="str">
        <x:v>PG7</x:v>
      </x:c>
      <x:c r="H427" t="str">
        <x:v>PB15:3/PG7</x:v>
      </x:c>
      <x:c r="I427" t="str">
        <x:v>https://www.carandache.com/content_files/uploaded_doc/product/10595/Colour_Chart_NeoPastel.pdf</x:v>
      </x:c>
    </x:row>
    <x:row r="428">
      <x:c r="A428" t="str">
        <x:v>CDA-NEO-180</x:v>
      </x:c>
      <x:c r="B428" t="str">
        <x:v>NEO</x:v>
      </x:c>
      <x:c r="C428" t="str">
        <x:v>NEOPASTEL</x:v>
      </x:c>
      <x:c r="D428" t="str">
        <x:v>180</x:v>
      </x:c>
      <x:c r="E428" t="str">
        <x:v>Malachite green</x:v>
      </x:c>
      <x:c r="F428" t="n">
        <x:v>1</x:v>
      </x:c>
      <x:c r="G428" t="str">
        <x:v>PG7</x:v>
      </x:c>
      <x:c r="H428" t="str">
        <x:v>PG7/PB15</x:v>
      </x:c>
      <x:c r="I428" t="str">
        <x:v>https://www.carandache.com/content_files/uploaded_doc/product/10595/Colour_Chart_NeoPastel.pdf</x:v>
      </x:c>
    </x:row>
    <x:row r="429">
      <x:c r="A429" t="str">
        <x:v>CDA-NEO-180</x:v>
      </x:c>
      <x:c r="B429" t="str">
        <x:v>NEO</x:v>
      </x:c>
      <x:c r="C429" t="str">
        <x:v>NEOPASTEL</x:v>
      </x:c>
      <x:c r="D429" t="str">
        <x:v>180</x:v>
      </x:c>
      <x:c r="E429" t="str">
        <x:v>Malachite green</x:v>
      </x:c>
      <x:c r="F429" t="n">
        <x:v>2</x:v>
      </x:c>
      <x:c r="G429" t="str">
        <x:v>PB15</x:v>
      </x:c>
      <x:c r="H429" t="str">
        <x:v>PG7/PB15</x:v>
      </x:c>
      <x:c r="I429" t="str">
        <x:v>https://www.carandache.com/content_files/uploaded_doc/product/10595/Colour_Chart_NeoPastel.pdf</x:v>
      </x:c>
    </x:row>
    <x:row r="430">
      <x:c r="A430" t="str">
        <x:v>CDA-NEO-190</x:v>
      </x:c>
      <x:c r="B430" t="str">
        <x:v>NEO</x:v>
      </x:c>
      <x:c r="C430" t="str">
        <x:v>NEOPASTEL</x:v>
      </x:c>
      <x:c r="D430" t="str">
        <x:v>190</x:v>
      </x:c>
      <x:c r="E430" t="str">
        <x:v>Greenish blue</x:v>
      </x:c>
      <x:c r="F430" t="n">
        <x:v>1</x:v>
      </x:c>
      <x:c r="G430" t="str">
        <x:v>PG7</x:v>
      </x:c>
      <x:c r="H430" t="str">
        <x:v>PG7/PB15</x:v>
      </x:c>
      <x:c r="I430" t="str">
        <x:v>https://www.carandache.com/content_files/uploaded_doc/product/10595/Colour_Chart_NeoPastel.pdf</x:v>
      </x:c>
    </x:row>
    <x:row r="431">
      <x:c r="A431" t="str">
        <x:v>CDA-NEO-190</x:v>
      </x:c>
      <x:c r="B431" t="str">
        <x:v>NEO</x:v>
      </x:c>
      <x:c r="C431" t="str">
        <x:v>NEOPASTEL</x:v>
      </x:c>
      <x:c r="D431" t="str">
        <x:v>190</x:v>
      </x:c>
      <x:c r="E431" t="str">
        <x:v>Greenish blue</x:v>
      </x:c>
      <x:c r="F431" t="n">
        <x:v>2</x:v>
      </x:c>
      <x:c r="G431" t="str">
        <x:v>PB15</x:v>
      </x:c>
      <x:c r="H431" t="str">
        <x:v>PG7/PB15</x:v>
      </x:c>
      <x:c r="I431" t="str">
        <x:v>https://www.carandache.com/content_files/uploaded_doc/product/10595/Colour_Chart_NeoPastel.pdf</x:v>
      </x:c>
    </x:row>
    <x:row r="432">
      <x:c r="A432" t="str">
        <x:v>CDA-NEO-229</x:v>
      </x:c>
      <x:c r="B432" t="str">
        <x:v>NEO</x:v>
      </x:c>
      <x:c r="C432" t="str">
        <x:v>NEOPASTEL</x:v>
      </x:c>
      <x:c r="D432" t="str">
        <x:v>229</x:v>
      </x:c>
      <x:c r="E432" t="str">
        <x:v>Dark green</x:v>
      </x:c>
      <x:c r="F432" t="n">
        <x:v>1</x:v>
      </x:c>
      <x:c r="G432" t="str">
        <x:v>PB15:3</x:v>
      </x:c>
      <x:c r="H432" t="str">
        <x:v>PB15:3/PY1/PO62/PY3</x:v>
      </x:c>
      <x:c r="I432" t="str">
        <x:v>https://www.carandache.com/content_files/uploaded_doc/product/10595/Colour_Chart_NeoPastel.pdf</x:v>
      </x:c>
    </x:row>
    <x:row r="433">
      <x:c r="A433" t="str">
        <x:v>CDA-NEO-229</x:v>
      </x:c>
      <x:c r="B433" t="str">
        <x:v>NEO</x:v>
      </x:c>
      <x:c r="C433" t="str">
        <x:v>NEOPASTEL</x:v>
      </x:c>
      <x:c r="D433" t="str">
        <x:v>229</x:v>
      </x:c>
      <x:c r="E433" t="str">
        <x:v>Dark green</x:v>
      </x:c>
      <x:c r="F433" t="n">
        <x:v>2</x:v>
      </x:c>
      <x:c r="G433" t="str">
        <x:v>PY1</x:v>
      </x:c>
      <x:c r="H433" t="str">
        <x:v>PB15:3/PY1/PO62/PY3</x:v>
      </x:c>
      <x:c r="I433" t="str">
        <x:v>https://www.carandache.com/content_files/uploaded_doc/product/10595/Colour_Chart_NeoPastel.pdf</x:v>
      </x:c>
    </x:row>
    <x:row r="434">
      <x:c r="A434" t="str">
        <x:v>CDA-NEO-229</x:v>
      </x:c>
      <x:c r="B434" t="str">
        <x:v>NEO</x:v>
      </x:c>
      <x:c r="C434" t="str">
        <x:v>NEOPASTEL</x:v>
      </x:c>
      <x:c r="D434" t="str">
        <x:v>229</x:v>
      </x:c>
      <x:c r="E434" t="str">
        <x:v>Dark green</x:v>
      </x:c>
      <x:c r="F434" t="n">
        <x:v>3</x:v>
      </x:c>
      <x:c r="G434" t="str">
        <x:v>PO62</x:v>
      </x:c>
      <x:c r="H434" t="str">
        <x:v>PB15:3/PY1/PO62/PY3</x:v>
      </x:c>
      <x:c r="I434" t="str">
        <x:v>https://www.carandache.com/content_files/uploaded_doc/product/10595/Colour_Chart_NeoPastel.pdf</x:v>
      </x:c>
    </x:row>
    <x:row r="435">
      <x:c r="A435" t="str">
        <x:v>CDA-NEO-229</x:v>
      </x:c>
      <x:c r="B435" t="str">
        <x:v>NEO</x:v>
      </x:c>
      <x:c r="C435" t="str">
        <x:v>NEOPASTEL</x:v>
      </x:c>
      <x:c r="D435" t="str">
        <x:v>229</x:v>
      </x:c>
      <x:c r="E435" t="str">
        <x:v>Dark green</x:v>
      </x:c>
      <x:c r="F435" t="n">
        <x:v>4</x:v>
      </x:c>
      <x:c r="G435" t="str">
        <x:v>PY3</x:v>
      </x:c>
      <x:c r="H435" t="str">
        <x:v>PB15:3/PY1/PO62/PY3</x:v>
      </x:c>
      <x:c r="I435" t="str">
        <x:v>https://www.carandache.com/content_files/uploaded_doc/product/10595/Colour_Chart_NeoPastel.pdf</x:v>
      </x:c>
    </x:row>
    <x:row r="436">
      <x:c r="A436" t="str">
        <x:v>CDA-NEO-210</x:v>
      </x:c>
      <x:c r="B436" t="str">
        <x:v>NEO</x:v>
      </x:c>
      <x:c r="C436" t="str">
        <x:v>NEOPASTEL</x:v>
      </x:c>
      <x:c r="D436" t="str">
        <x:v>210</x:v>
      </x:c>
      <x:c r="E436" t="str">
        <x:v>Emerald green</x:v>
      </x:c>
      <x:c r="F436" t="n">
        <x:v>1</x:v>
      </x:c>
      <x:c r="G436" t="str">
        <x:v>PY3</x:v>
      </x:c>
      <x:c r="H436" t="str">
        <x:v>PY3/PB15</x:v>
      </x:c>
      <x:c r="I436" t="str">
        <x:v>https://www.carandache.com/content_files/uploaded_doc/product/10595/Colour_Chart_NeoPastel.pdf</x:v>
      </x:c>
    </x:row>
    <x:row r="437">
      <x:c r="A437" t="str">
        <x:v>CDA-NEO-210</x:v>
      </x:c>
      <x:c r="B437" t="str">
        <x:v>NEO</x:v>
      </x:c>
      <x:c r="C437" t="str">
        <x:v>NEOPASTEL</x:v>
      </x:c>
      <x:c r="D437" t="str">
        <x:v>210</x:v>
      </x:c>
      <x:c r="E437" t="str">
        <x:v>Emerald green</x:v>
      </x:c>
      <x:c r="F437" t="n">
        <x:v>2</x:v>
      </x:c>
      <x:c r="G437" t="str">
        <x:v>PB15</x:v>
      </x:c>
      <x:c r="H437" t="str">
        <x:v>PY3/PB15</x:v>
      </x:c>
      <x:c r="I437" t="str">
        <x:v>https://www.carandache.com/content_files/uploaded_doc/product/10595/Colour_Chart_NeoPastel.pdf</x:v>
      </x:c>
    </x:row>
    <x:row r="438">
      <x:c r="A438" t="str">
        <x:v>CDA-NEO-200</x:v>
      </x:c>
      <x:c r="B438" t="str">
        <x:v>NEO</x:v>
      </x:c>
      <x:c r="C438" t="str">
        <x:v>NEOPASTEL</x:v>
      </x:c>
      <x:c r="D438" t="str">
        <x:v>200</x:v>
      </x:c>
      <x:c r="E438" t="str">
        <x:v>Bluish green</x:v>
      </x:c>
      <x:c r="F438" t="n">
        <x:v>1</x:v>
      </x:c>
      <x:c r="G438" t="str">
        <x:v>PB15:3</x:v>
      </x:c>
      <x:c r="H438" t="str">
        <x:v>PB15:3/PY3</x:v>
      </x:c>
      <x:c r="I438" t="str">
        <x:v>https://www.carandache.com/content_files/uploaded_doc/product/10595/Colour_Chart_NeoPastel.pdf</x:v>
      </x:c>
    </x:row>
    <x:row r="439">
      <x:c r="A439" t="str">
        <x:v>CDA-NEO-200</x:v>
      </x:c>
      <x:c r="B439" t="str">
        <x:v>NEO</x:v>
      </x:c>
      <x:c r="C439" t="str">
        <x:v>NEOPASTEL</x:v>
      </x:c>
      <x:c r="D439" t="str">
        <x:v>200</x:v>
      </x:c>
      <x:c r="E439" t="str">
        <x:v>Bluish green</x:v>
      </x:c>
      <x:c r="F439" t="n">
        <x:v>2</x:v>
      </x:c>
      <x:c r="G439" t="str">
        <x:v>PY3</x:v>
      </x:c>
      <x:c r="H439" t="str">
        <x:v>PB15:3/PY3</x:v>
      </x:c>
      <x:c r="I439" t="str">
        <x:v>https://www.carandache.com/content_files/uploaded_doc/product/10595/Colour_Chart_NeoPastel.pdf</x:v>
      </x:c>
    </x:row>
    <x:row r="440">
      <x:c r="A440" t="str">
        <x:v>CDA-NEO-195</x:v>
      </x:c>
      <x:c r="B440" t="str">
        <x:v>NEO</x:v>
      </x:c>
      <x:c r="C440" t="str">
        <x:v>NEOPASTEL</x:v>
      </x:c>
      <x:c r="D440" t="str">
        <x:v>195</x:v>
      </x:c>
      <x:c r="E440" t="str">
        <x:v>Opaline green</x:v>
      </x:c>
      <x:c r="F440" t="n">
        <x:v>1</x:v>
      </x:c>
      <x:c r="G440" t="str">
        <x:v>PBk6</x:v>
      </x:c>
      <x:c r="H440" t="str">
        <x:v>PBk6/PB15/PG7</x:v>
      </x:c>
      <x:c r="I440" t="str">
        <x:v>https://www.carandache.com/content_files/uploaded_doc/product/10595/Colour_Chart_NeoPastel.pdf</x:v>
      </x:c>
    </x:row>
    <x:row r="441">
      <x:c r="A441" t="str">
        <x:v>CDA-NEO-195</x:v>
      </x:c>
      <x:c r="B441" t="str">
        <x:v>NEO</x:v>
      </x:c>
      <x:c r="C441" t="str">
        <x:v>NEOPASTEL</x:v>
      </x:c>
      <x:c r="D441" t="str">
        <x:v>195</x:v>
      </x:c>
      <x:c r="E441" t="str">
        <x:v>Opaline green</x:v>
      </x:c>
      <x:c r="F441" t="n">
        <x:v>2</x:v>
      </x:c>
      <x:c r="G441" t="str">
        <x:v>PB15</x:v>
      </x:c>
      <x:c r="H441" t="str">
        <x:v>PBk6/PB15/PG7</x:v>
      </x:c>
      <x:c r="I441" t="str">
        <x:v>https://www.carandache.com/content_files/uploaded_doc/product/10595/Colour_Chart_NeoPastel.pdf</x:v>
      </x:c>
    </x:row>
    <x:row r="442">
      <x:c r="A442" t="str">
        <x:v>CDA-NEO-195</x:v>
      </x:c>
      <x:c r="B442" t="str">
        <x:v>NEO</x:v>
      </x:c>
      <x:c r="C442" t="str">
        <x:v>NEOPASTEL</x:v>
      </x:c>
      <x:c r="D442" t="str">
        <x:v>195</x:v>
      </x:c>
      <x:c r="E442" t="str">
        <x:v>Opaline green</x:v>
      </x:c>
      <x:c r="F442" t="n">
        <x:v>3</x:v>
      </x:c>
      <x:c r="G442" t="str">
        <x:v>PG7</x:v>
      </x:c>
      <x:c r="H442" t="str">
        <x:v>PBk6/PB15/PG7</x:v>
      </x:c>
      <x:c r="I442" t="str">
        <x:v>https://www.carandache.com/content_files/uploaded_doc/product/10595/Colour_Chart_NeoPastel.pdf</x:v>
      </x:c>
    </x:row>
    <x:row r="443">
      <x:c r="A443" t="str">
        <x:v>CDA-NEO-215</x:v>
      </x:c>
      <x:c r="B443" t="str">
        <x:v>NEO</x:v>
      </x:c>
      <x:c r="C443" t="str">
        <x:v>NEOPASTEL</x:v>
      </x:c>
      <x:c r="D443" t="str">
        <x:v>215</x:v>
      </x:c>
      <x:c r="E443" t="str">
        <x:v>Greyish green</x:v>
      </x:c>
      <x:c r="F443" t="n">
        <x:v>1</x:v>
      </x:c>
      <x:c r="G443" t="str">
        <x:v>PBk6</x:v>
      </x:c>
      <x:c r="H443" t="str">
        <x:v>PBk6/PY3/PG7</x:v>
      </x:c>
      <x:c r="I443" t="str">
        <x:v>https://www.carandache.com/content_files/uploaded_doc/product/10595/Colour_Chart_NeoPastel.pdf</x:v>
      </x:c>
    </x:row>
    <x:row r="444">
      <x:c r="A444" t="str">
        <x:v>CDA-NEO-215</x:v>
      </x:c>
      <x:c r="B444" t="str">
        <x:v>NEO</x:v>
      </x:c>
      <x:c r="C444" t="str">
        <x:v>NEOPASTEL</x:v>
      </x:c>
      <x:c r="D444" t="str">
        <x:v>215</x:v>
      </x:c>
      <x:c r="E444" t="str">
        <x:v>Greyish green</x:v>
      </x:c>
      <x:c r="F444" t="n">
        <x:v>2</x:v>
      </x:c>
      <x:c r="G444" t="str">
        <x:v>PY3</x:v>
      </x:c>
      <x:c r="H444" t="str">
        <x:v>PBk6/PY3/PG7</x:v>
      </x:c>
      <x:c r="I444" t="str">
        <x:v>https://www.carandache.com/content_files/uploaded_doc/product/10595/Colour_Chart_NeoPastel.pdf</x:v>
      </x:c>
    </x:row>
    <x:row r="445">
      <x:c r="A445" t="str">
        <x:v>CDA-NEO-215</x:v>
      </x:c>
      <x:c r="B445" t="str">
        <x:v>NEO</x:v>
      </x:c>
      <x:c r="C445" t="str">
        <x:v>NEOPASTEL</x:v>
      </x:c>
      <x:c r="D445" t="str">
        <x:v>215</x:v>
      </x:c>
      <x:c r="E445" t="str">
        <x:v>Greyish green</x:v>
      </x:c>
      <x:c r="F445" t="n">
        <x:v>3</x:v>
      </x:c>
      <x:c r="G445" t="str">
        <x:v>PG7</x:v>
      </x:c>
      <x:c r="H445" t="str">
        <x:v>PBk6/PY3/PG7</x:v>
      </x:c>
      <x:c r="I445" t="str">
        <x:v>https://www.carandache.com/content_files/uploaded_doc/product/10595/Colour_Chart_NeoPastel.pdf</x:v>
      </x:c>
    </x:row>
    <x:row r="446">
      <x:c r="A446" t="str">
        <x:v>CDA-NEO-220</x:v>
      </x:c>
      <x:c r="B446" t="str">
        <x:v>NEO</x:v>
      </x:c>
      <x:c r="C446" t="str">
        <x:v>NEOPASTEL</x:v>
      </x:c>
      <x:c r="D446" t="str">
        <x:v>220</x:v>
      </x:c>
      <x:c r="E446" t="str">
        <x:v>Grass Green</x:v>
      </x:c>
      <x:c r="F446" t="n">
        <x:v>1</x:v>
      </x:c>
      <x:c r="G446" t="str">
        <x:v>PY1</x:v>
      </x:c>
      <x:c r="H446" t="str">
        <x:v>PY1/PY3/PG7</x:v>
      </x:c>
      <x:c r="I446" t="str">
        <x:v>https://www.carandache.com/content_files/uploaded_doc/product/10595/Colour_Chart_NeoPastel.pdf</x:v>
      </x:c>
    </x:row>
    <x:row r="447">
      <x:c r="A447" t="str">
        <x:v>CDA-NEO-220</x:v>
      </x:c>
      <x:c r="B447" t="str">
        <x:v>NEO</x:v>
      </x:c>
      <x:c r="C447" t="str">
        <x:v>NEOPASTEL</x:v>
      </x:c>
      <x:c r="D447" t="str">
        <x:v>220</x:v>
      </x:c>
      <x:c r="E447" t="str">
        <x:v>Grass Green</x:v>
      </x:c>
      <x:c r="F447" t="n">
        <x:v>2</x:v>
      </x:c>
      <x:c r="G447" t="str">
        <x:v>PY3</x:v>
      </x:c>
      <x:c r="H447" t="str">
        <x:v>PY1/PY3/PG7</x:v>
      </x:c>
      <x:c r="I447" t="str">
        <x:v>https://www.carandache.com/content_files/uploaded_doc/product/10595/Colour_Chart_NeoPastel.pdf</x:v>
      </x:c>
    </x:row>
    <x:row r="448">
      <x:c r="A448" t="str">
        <x:v>CDA-NEO-220</x:v>
      </x:c>
      <x:c r="B448" t="str">
        <x:v>NEO</x:v>
      </x:c>
      <x:c r="C448" t="str">
        <x:v>NEOPASTEL</x:v>
      </x:c>
      <x:c r="D448" t="str">
        <x:v>220</x:v>
      </x:c>
      <x:c r="E448" t="str">
        <x:v>Grass Green</x:v>
      </x:c>
      <x:c r="F448" t="n">
        <x:v>3</x:v>
      </x:c>
      <x:c r="G448" t="str">
        <x:v>PG7</x:v>
      </x:c>
      <x:c r="H448" t="str">
        <x:v>PY1/PY3/PG7</x:v>
      </x:c>
      <x:c r="I448" t="str">
        <x:v>https://www.carandache.com/content_files/uploaded_doc/product/10595/Colour_Chart_NeoPastel.pdf</x:v>
      </x:c>
    </x:row>
    <x:row r="449">
      <x:c r="A449" t="str">
        <x:v>CDA-NEO-230</x:v>
      </x:c>
      <x:c r="B449" t="str">
        <x:v>NEO</x:v>
      </x:c>
      <x:c r="C449" t="str">
        <x:v>NEOPASTEL</x:v>
      </x:c>
      <x:c r="D449" t="str">
        <x:v>230</x:v>
      </x:c>
      <x:c r="E449" t="str">
        <x:v>Yellow Green</x:v>
      </x:c>
      <x:c r="F449" t="n">
        <x:v>1</x:v>
      </x:c>
      <x:c r="G449" t="str">
        <x:v>PY3</x:v>
      </x:c>
      <x:c r="H449" t="str">
        <x:v>PY3/PG7</x:v>
      </x:c>
      <x:c r="I449" t="str">
        <x:v>https://www.carandache.com/content_files/uploaded_doc/product/10595/Colour_Chart_NeoPastel.pdf</x:v>
      </x:c>
    </x:row>
    <x:row r="450">
      <x:c r="A450" t="str">
        <x:v>CDA-NEO-230</x:v>
      </x:c>
      <x:c r="B450" t="str">
        <x:v>NEO</x:v>
      </x:c>
      <x:c r="C450" t="str">
        <x:v>NEOPASTEL</x:v>
      </x:c>
      <x:c r="D450" t="str">
        <x:v>230</x:v>
      </x:c>
      <x:c r="E450" t="str">
        <x:v>Yellow Green</x:v>
      </x:c>
      <x:c r="F450" t="n">
        <x:v>2</x:v>
      </x:c>
      <x:c r="G450" t="str">
        <x:v>PG7</x:v>
      </x:c>
      <x:c r="H450" t="str">
        <x:v>PY3/PG7</x:v>
      </x:c>
      <x:c r="I450" t="str">
        <x:v>https://www.carandache.com/content_files/uploaded_doc/product/10595/Colour_Chart_NeoPastel.pdf</x:v>
      </x:c>
    </x:row>
    <x:row r="451">
      <x:c r="A451" t="str">
        <x:v>CDA-NEO-470</x:v>
      </x:c>
      <x:c r="B451" t="str">
        <x:v>NEO</x:v>
      </x:c>
      <x:c r="C451" t="str">
        <x:v>NEOPASTEL</x:v>
      </x:c>
      <x:c r="D451" t="str">
        <x:v>470</x:v>
      </x:c>
      <x:c r="E451" t="str">
        <x:v>Spring Green</x:v>
      </x:c>
      <x:c r="F451" t="n">
        <x:v>1</x:v>
      </x:c>
      <x:c r="G451" t="str">
        <x:v>PG7</x:v>
      </x:c>
      <x:c r="H451" t="str">
        <x:v>PG7/PY3</x:v>
      </x:c>
      <x:c r="I451" t="str">
        <x:v>https://www.carandache.com/content_files/uploaded_doc/product/10595/Colour_Chart_NeoPastel.pdf</x:v>
      </x:c>
    </x:row>
    <x:row r="452">
      <x:c r="A452" t="str">
        <x:v>CDA-NEO-470</x:v>
      </x:c>
      <x:c r="B452" t="str">
        <x:v>NEO</x:v>
      </x:c>
      <x:c r="C452" t="str">
        <x:v>NEOPASTEL</x:v>
      </x:c>
      <x:c r="D452" t="str">
        <x:v>470</x:v>
      </x:c>
      <x:c r="E452" t="str">
        <x:v>Spring Green</x:v>
      </x:c>
      <x:c r="F452" t="n">
        <x:v>2</x:v>
      </x:c>
      <x:c r="G452" t="str">
        <x:v>PY3</x:v>
      </x:c>
      <x:c r="H452" t="str">
        <x:v>PG7/PY3</x:v>
      </x:c>
      <x:c r="I452" t="str">
        <x:v>https://www.carandache.com/content_files/uploaded_doc/product/10595/Colour_Chart_NeoPastel.pdf</x:v>
      </x:c>
    </x:row>
    <x:row r="453">
      <x:c r="A453" t="str">
        <x:v>CDA-NEO-231</x:v>
      </x:c>
      <x:c r="B453" t="str">
        <x:v>NEO</x:v>
      </x:c>
      <x:c r="C453" t="str">
        <x:v>NEOPASTEL</x:v>
      </x:c>
      <x:c r="D453" t="str">
        <x:v>231</x:v>
      </x:c>
      <x:c r="E453" t="str">
        <x:v>Lime green</x:v>
      </x:c>
      <x:c r="F453" t="n">
        <x:v>1</x:v>
      </x:c>
      <x:c r="G453" t="str">
        <x:v>PY3</x:v>
      </x:c>
      <x:c r="H453" t="str">
        <x:v>PY3/PG7</x:v>
      </x:c>
      <x:c r="I453" t="str">
        <x:v>https://www.carandache.com/content_files/uploaded_doc/product/10595/Colour_Chart_NeoPastel.pdf</x:v>
      </x:c>
    </x:row>
    <x:row r="454">
      <x:c r="A454" t="str">
        <x:v>CDA-NEO-231</x:v>
      </x:c>
      <x:c r="B454" t="str">
        <x:v>NEO</x:v>
      </x:c>
      <x:c r="C454" t="str">
        <x:v>NEOPASTEL</x:v>
      </x:c>
      <x:c r="D454" t="str">
        <x:v>231</x:v>
      </x:c>
      <x:c r="E454" t="str">
        <x:v>Lime green</x:v>
      </x:c>
      <x:c r="F454" t="n">
        <x:v>2</x:v>
      </x:c>
      <x:c r="G454" t="str">
        <x:v>PG7</x:v>
      </x:c>
      <x:c r="H454" t="str">
        <x:v>PY3/PG7</x:v>
      </x:c>
      <x:c r="I454" t="str">
        <x:v>https://www.carandache.com/content_files/uploaded_doc/product/10595/Colour_Chart_NeoPastel.pdf</x:v>
      </x:c>
    </x:row>
    <x:row r="455">
      <x:c r="A455" t="str">
        <x:v>CDA-NEO-011</x:v>
      </x:c>
      <x:c r="B455" t="str">
        <x:v>NEO</x:v>
      </x:c>
      <x:c r="C455" t="str">
        <x:v>NEOPASTEL</x:v>
      </x:c>
      <x:c r="D455" t="str">
        <x:v>011</x:v>
      </x:c>
      <x:c r="E455" t="str">
        <x:v>Pale yellow</x:v>
      </x:c>
      <x:c r="F455" t="n">
        <x:v>1</x:v>
      </x:c>
      <x:c r="G455" t="str">
        <x:v>PY1</x:v>
      </x:c>
      <x:c r="H455" t="str">
        <x:v>PY1</x:v>
      </x:c>
      <x:c r="I455" t="str">
        <x:v>https://www.carandache.com/content_files/uploaded_doc/product/10595/Colour_Chart_NeoPastel.pdf</x:v>
      </x:c>
    </x:row>
    <x:row r="456">
      <x:c r="A456" t="str">
        <x:v>CDA-NEO-031</x:v>
      </x:c>
      <x:c r="B456" t="str">
        <x:v>NEO</x:v>
      </x:c>
      <x:c r="C456" t="str">
        <x:v>NEOPASTEL</x:v>
      </x:c>
      <x:c r="D456" t="str">
        <x:v>031</x:v>
      </x:c>
      <x:c r="E456" t="str">
        <x:v>Orangish yellow</x:v>
      </x:c>
      <x:c r="F456" t="n">
        <x:v>1</x:v>
      </x:c>
      <x:c r="G456" t="str">
        <x:v>PO62</x:v>
      </x:c>
      <x:c r="H456" t="str">
        <x:v>PO62/PY1</x:v>
      </x:c>
      <x:c r="I456" t="str">
        <x:v>https://www.carandache.com/content_files/uploaded_doc/product/10595/Colour_Chart_NeoPastel.pdf</x:v>
      </x:c>
    </x:row>
    <x:row r="457">
      <x:c r="A457" t="str">
        <x:v>CDA-NEO-031</x:v>
      </x:c>
      <x:c r="B457" t="str">
        <x:v>NEO</x:v>
      </x:c>
      <x:c r="C457" t="str">
        <x:v>NEOPASTEL</x:v>
      </x:c>
      <x:c r="D457" t="str">
        <x:v>031</x:v>
      </x:c>
      <x:c r="E457" t="str">
        <x:v>Orangish yellow</x:v>
      </x:c>
      <x:c r="F457" t="n">
        <x:v>2</x:v>
      </x:c>
      <x:c r="G457" t="str">
        <x:v>PY1</x:v>
      </x:c>
      <x:c r="H457" t="str">
        <x:v>PO62/PY1</x:v>
      </x:c>
      <x:c r="I457" t="str">
        <x:v>https://www.carandache.com/content_files/uploaded_doc/product/10595/Colour_Chart_NeoPastel.pdf</x:v>
      </x:c>
    </x:row>
    <x:row r="458">
      <x:c r="A458" t="str">
        <x:v>CDA-NEO-051</x:v>
      </x:c>
      <x:c r="B458" t="str">
        <x:v>NEO</x:v>
      </x:c>
      <x:c r="C458" t="str">
        <x:v>NEOPASTEL</x:v>
      </x:c>
      <x:c r="D458" t="str">
        <x:v>051</x:v>
      </x:c>
      <x:c r="E458" t="str">
        <x:v>Salmon</x:v>
      </x:c>
      <x:c r="F458" t="n">
        <x:v>1</x:v>
      </x:c>
      <x:c r="G458" t="str">
        <x:v>PR168</x:v>
      </x:c>
      <x:c r="H458" t="str">
        <x:v>PR168/PO62</x:v>
      </x:c>
      <x:c r="I458" t="str">
        <x:v>https://www.carandache.com/content_files/uploaded_doc/product/10595/Colour_Chart_NeoPastel.pdf</x:v>
      </x:c>
    </x:row>
    <x:row r="459">
      <x:c r="A459" t="str">
        <x:v>CDA-NEO-051</x:v>
      </x:c>
      <x:c r="B459" t="str">
        <x:v>NEO</x:v>
      </x:c>
      <x:c r="C459" t="str">
        <x:v>NEOPASTEL</x:v>
      </x:c>
      <x:c r="D459" t="str">
        <x:v>051</x:v>
      </x:c>
      <x:c r="E459" t="str">
        <x:v>Salmon</x:v>
      </x:c>
      <x:c r="F459" t="n">
        <x:v>2</x:v>
      </x:c>
      <x:c r="G459" t="str">
        <x:v>PO62</x:v>
      </x:c>
      <x:c r="H459" t="str">
        <x:v>PR168/PO62</x:v>
      </x:c>
      <x:c r="I459" t="str">
        <x:v>https://www.carandache.com/content_files/uploaded_doc/product/10595/Colour_Chart_NeoPastel.pdf</x:v>
      </x:c>
    </x:row>
    <x:row r="460">
      <x:c r="A460" t="str">
        <x:v>CDA-NEO-493</x:v>
      </x:c>
      <x:c r="B460" t="str">
        <x:v>NEO</x:v>
      </x:c>
      <x:c r="C460" t="str">
        <x:v>NEOPASTEL</x:v>
      </x:c>
      <x:c r="D460" t="str">
        <x:v>493</x:v>
      </x:c>
      <x:c r="E460" t="str">
        <x:v>Granite rose</x:v>
      </x:c>
      <x:c r="F460" t="n">
        <x:v>1</x:v>
      </x:c>
      <x:c r="G460" t="str">
        <x:v>PR101</x:v>
      </x:c>
      <x:c r="H460" t="str">
        <x:v>PR101</x:v>
      </x:c>
      <x:c r="I460" t="str">
        <x:v>https://www.carandache.com/content_files/uploaded_doc/product/10595/Colour_Chart_NeoPastel.pdf</x:v>
      </x:c>
    </x:row>
    <x:row r="461">
      <x:c r="A461" t="str">
        <x:v>CDA-NEO-071</x:v>
      </x:c>
      <x:c r="B461" t="str">
        <x:v>NEO</x:v>
      </x:c>
      <x:c r="C461" t="str">
        <x:v>NEOPASTEL</x:v>
      </x:c>
      <x:c r="D461" t="str">
        <x:v>071</x:v>
      </x:c>
      <x:c r="E461" t="str">
        <x:v>Salmon Pink</x:v>
      </x:c>
      <x:c r="F461" t="n">
        <x:v>1</x:v>
      </x:c>
      <x:c r="G461" t="str">
        <x:v>PR168</x:v>
      </x:c>
      <x:c r="H461" t="str">
        <x:v>PR168</x:v>
      </x:c>
      <x:c r="I461" t="str">
        <x:v>https://www.carandache.com/content_files/uploaded_doc/product/10595/Colour_Chart_NeoPastel.pdf</x:v>
      </x:c>
    </x:row>
    <x:row r="462">
      <x:c r="A462" t="str">
        <x:v>CDA-NEO-081</x:v>
      </x:c>
      <x:c r="B462" t="str">
        <x:v>NEO</x:v>
      </x:c>
      <x:c r="C462" t="str">
        <x:v>NEOPASTEL</x:v>
      </x:c>
      <x:c r="D462" t="str">
        <x:v>081</x:v>
      </x:c>
      <x:c r="E462" t="str">
        <x:v>Pink</x:v>
      </x:c>
      <x:c r="F462" t="n">
        <x:v>1</x:v>
      </x:c>
      <x:c r="G462" t="str">
        <x:v>PR170</x:v>
      </x:c>
      <x:c r="H462" t="str">
        <x:v>PR170/PR48:4</x:v>
      </x:c>
      <x:c r="I462" t="str">
        <x:v>https://www.carandache.com/content_files/uploaded_doc/product/10595/Colour_Chart_NeoPastel.pdf</x:v>
      </x:c>
    </x:row>
    <x:row r="463">
      <x:c r="A463" t="str">
        <x:v>CDA-NEO-081</x:v>
      </x:c>
      <x:c r="B463" t="str">
        <x:v>NEO</x:v>
      </x:c>
      <x:c r="C463" t="str">
        <x:v>NEOPASTEL</x:v>
      </x:c>
      <x:c r="D463" t="str">
        <x:v>081</x:v>
      </x:c>
      <x:c r="E463" t="str">
        <x:v>Pink</x:v>
      </x:c>
      <x:c r="F463" t="n">
        <x:v>2</x:v>
      </x:c>
      <x:c r="G463" t="str">
        <x:v>PR48:4</x:v>
      </x:c>
      <x:c r="H463" t="str">
        <x:v>PR170/PR48:4</x:v>
      </x:c>
      <x:c r="I463" t="str">
        <x:v>https://www.carandache.com/content_files/uploaded_doc/product/10595/Colour_Chart_NeoPastel.pdf</x:v>
      </x:c>
    </x:row>
    <x:row r="464">
      <x:c r="A464" t="str">
        <x:v>CDA-NEO-101</x:v>
      </x:c>
      <x:c r="B464" t="str">
        <x:v>NEO</x:v>
      </x:c>
      <x:c r="C464" t="str">
        <x:v>NEOPASTEL</x:v>
      </x:c>
      <x:c r="D464" t="str">
        <x:v>101</x:v>
      </x:c>
      <x:c r="E464" t="str">
        <x:v>Light purple violet</x:v>
      </x:c>
      <x:c r="F464" t="n">
        <x:v>1</x:v>
      </x:c>
      <x:c r="G464" t="str">
        <x:v>PV23</x:v>
      </x:c>
      <x:c r="H464" t="str">
        <x:v>PV23/PR122</x:v>
      </x:c>
      <x:c r="I464" t="str">
        <x:v>https://www.carandache.com/content_files/uploaded_doc/product/10595/Colour_Chart_NeoPastel.pdf</x:v>
      </x:c>
    </x:row>
    <x:row r="465">
      <x:c r="A465" t="str">
        <x:v>CDA-NEO-101</x:v>
      </x:c>
      <x:c r="B465" t="str">
        <x:v>NEO</x:v>
      </x:c>
      <x:c r="C465" t="str">
        <x:v>NEOPASTEL</x:v>
      </x:c>
      <x:c r="D465" t="str">
        <x:v>101</x:v>
      </x:c>
      <x:c r="E465" t="str">
        <x:v>Light purple violet</x:v>
      </x:c>
      <x:c r="F465" t="n">
        <x:v>2</x:v>
      </x:c>
      <x:c r="G465" t="str">
        <x:v>PR122</x:v>
      </x:c>
      <x:c r="H465" t="str">
        <x:v>PV23/PR122</x:v>
      </x:c>
      <x:c r="I465" t="str">
        <x:v>https://www.carandache.com/content_files/uploaded_doc/product/10595/Colour_Chart_NeoPastel.pdf</x:v>
      </x:c>
    </x:row>
    <x:row r="466">
      <x:c r="A466" t="str">
        <x:v>CDA-NEO-111</x:v>
      </x:c>
      <x:c r="B466" t="str">
        <x:v>NEO</x:v>
      </x:c>
      <x:c r="C466" t="str">
        <x:v>NEOPASTEL</x:v>
      </x:c>
      <x:c r="D466" t="str">
        <x:v>111</x:v>
      </x:c>
      <x:c r="E466" t="str">
        <x:v>Mauve</x:v>
      </x:c>
      <x:c r="F466" t="n">
        <x:v>1</x:v>
      </x:c>
      <x:c r="G466" t="str">
        <x:v>PV23</x:v>
      </x:c>
      <x:c r="H466" t="str">
        <x:v>PV23/PR122</x:v>
      </x:c>
      <x:c r="I466" t="str">
        <x:v>https://www.carandache.com/content_files/uploaded_doc/product/10595/Colour_Chart_NeoPastel.pdf</x:v>
      </x:c>
    </x:row>
    <x:row r="467">
      <x:c r="A467" t="str">
        <x:v>CDA-NEO-111</x:v>
      </x:c>
      <x:c r="B467" t="str">
        <x:v>NEO</x:v>
      </x:c>
      <x:c r="C467" t="str">
        <x:v>NEOPASTEL</x:v>
      </x:c>
      <x:c r="D467" t="str">
        <x:v>111</x:v>
      </x:c>
      <x:c r="E467" t="str">
        <x:v>Mauve</x:v>
      </x:c>
      <x:c r="F467" t="n">
        <x:v>2</x:v>
      </x:c>
      <x:c r="G467" t="str">
        <x:v>PR122</x:v>
      </x:c>
      <x:c r="H467" t="str">
        <x:v>PV23/PR122</x:v>
      </x:c>
      <x:c r="I467" t="str">
        <x:v>https://www.carandache.com/content_files/uploaded_doc/product/10595/Colour_Chart_NeoPastel.pdf</x:v>
      </x:c>
    </x:row>
    <x:row r="468">
      <x:c r="A468" t="str">
        <x:v>CDA-NEO-131</x:v>
      </x:c>
      <x:c r="B468" t="str">
        <x:v>NEO</x:v>
      </x:c>
      <x:c r="C468" t="str">
        <x:v>NEOPASTEL</x:v>
      </x:c>
      <x:c r="D468" t="str">
        <x:v>131</x:v>
      </x:c>
      <x:c r="E468" t="str">
        <x:v>Periwinkle blue</x:v>
      </x:c>
      <x:c r="F468" t="n">
        <x:v>1</x:v>
      </x:c>
      <x:c r="G468" t="str">
        <x:v>PV23</x:v>
      </x:c>
      <x:c r="H468" t="str">
        <x:v>PV23</x:v>
      </x:c>
      <x:c r="I468" t="str">
        <x:v>https://www.carandache.com/content_files/uploaded_doc/product/10595/Colour_Chart_NeoPastel.pdf</x:v>
      </x:c>
    </x:row>
    <x:row r="469">
      <x:c r="A469" t="str">
        <x:v>CDA-NEO-141</x:v>
      </x:c>
      <x:c r="B469" t="str">
        <x:v>NEO</x:v>
      </x:c>
      <x:c r="C469" t="str">
        <x:v>NEOPASTEL</x:v>
      </x:c>
      <x:c r="D469" t="str">
        <x:v>141</x:v>
      </x:c>
      <x:c r="E469" t="str">
        <x:v>Sky blue</x:v>
      </x:c>
      <x:c r="F469" t="n">
        <x:v>1</x:v>
      </x:c>
      <x:c r="G469" t="str">
        <x:v>PV23</x:v>
      </x:c>
      <x:c r="H469" t="str">
        <x:v>PV23/PB15</x:v>
      </x:c>
      <x:c r="I469" t="str">
        <x:v>https://www.carandache.com/content_files/uploaded_doc/product/10595/Colour_Chart_NeoPastel.pdf</x:v>
      </x:c>
    </x:row>
    <x:row r="470">
      <x:c r="A470" t="str">
        <x:v>CDA-NEO-141</x:v>
      </x:c>
      <x:c r="B470" t="str">
        <x:v>NEO</x:v>
      </x:c>
      <x:c r="C470" t="str">
        <x:v>NEOPASTEL</x:v>
      </x:c>
      <x:c r="D470" t="str">
        <x:v>141</x:v>
      </x:c>
      <x:c r="E470" t="str">
        <x:v>Sky blue</x:v>
      </x:c>
      <x:c r="F470" t="n">
        <x:v>2</x:v>
      </x:c>
      <x:c r="G470" t="str">
        <x:v>PB15</x:v>
      </x:c>
      <x:c r="H470" t="str">
        <x:v>PV23/PB15</x:v>
      </x:c>
      <x:c r="I470" t="str">
        <x:v>https://www.carandache.com/content_files/uploaded_doc/product/10595/Colour_Chart_NeoPastel.pdf</x:v>
      </x:c>
    </x:row>
    <x:row r="471">
      <x:c r="A471" t="str">
        <x:v>CDA-NEO-155</x:v>
      </x:c>
      <x:c r="B471" t="str">
        <x:v>NEO</x:v>
      </x:c>
      <x:c r="C471" t="str">
        <x:v>NEOPASTEL</x:v>
      </x:c>
      <x:c r="D471" t="str">
        <x:v>155</x:v>
      </x:c>
      <x:c r="E471" t="str">
        <x:v>Blue jeans</x:v>
      </x:c>
      <x:c r="F471" t="n">
        <x:v>1</x:v>
      </x:c>
      <x:c r="G471" t="str">
        <x:v>PBk6</x:v>
      </x:c>
      <x:c r="H471" t="str">
        <x:v>PBk6/PB60/PB15</x:v>
      </x:c>
      <x:c r="I471" t="str">
        <x:v>https://www.carandache.com/content_files/uploaded_doc/product/10595/Colour_Chart_NeoPastel.pdf</x:v>
      </x:c>
    </x:row>
    <x:row r="472">
      <x:c r="A472" t="str">
        <x:v>CDA-NEO-155</x:v>
      </x:c>
      <x:c r="B472" t="str">
        <x:v>NEO</x:v>
      </x:c>
      <x:c r="C472" t="str">
        <x:v>NEOPASTEL</x:v>
      </x:c>
      <x:c r="D472" t="str">
        <x:v>155</x:v>
      </x:c>
      <x:c r="E472" t="str">
        <x:v>Blue jeans</x:v>
      </x:c>
      <x:c r="F472" t="n">
        <x:v>2</x:v>
      </x:c>
      <x:c r="G472" t="str">
        <x:v>PB60</x:v>
      </x:c>
      <x:c r="H472" t="str">
        <x:v>PBk6/PB60/PB15</x:v>
      </x:c>
      <x:c r="I472" t="str">
        <x:v>https://www.carandache.com/content_files/uploaded_doc/product/10595/Colour_Chart_NeoPastel.pdf</x:v>
      </x:c>
    </x:row>
    <x:row r="473">
      <x:c r="A473" t="str">
        <x:v>CDA-NEO-155</x:v>
      </x:c>
      <x:c r="B473" t="str">
        <x:v>NEO</x:v>
      </x:c>
      <x:c r="C473" t="str">
        <x:v>NEOPASTEL</x:v>
      </x:c>
      <x:c r="D473" t="str">
        <x:v>155</x:v>
      </x:c>
      <x:c r="E473" t="str">
        <x:v>Blue jeans</x:v>
      </x:c>
      <x:c r="F473" t="n">
        <x:v>3</x:v>
      </x:c>
      <x:c r="G473" t="str">
        <x:v>PB15</x:v>
      </x:c>
      <x:c r="H473" t="str">
        <x:v>PBk6/PB60/PB15</x:v>
      </x:c>
      <x:c r="I473" t="str">
        <x:v>https://www.carandache.com/content_files/uploaded_doc/product/10595/Colour_Chart_NeoPastel.pdf</x:v>
      </x:c>
    </x:row>
    <x:row r="474">
      <x:c r="A474" t="str">
        <x:v>CDA-NEO-161</x:v>
      </x:c>
      <x:c r="B474" t="str">
        <x:v>NEO</x:v>
      </x:c>
      <x:c r="C474" t="str">
        <x:v>NEOPASTEL</x:v>
      </x:c>
      <x:c r="D474" t="str">
        <x:v>161</x:v>
      </x:c>
      <x:c r="E474" t="str">
        <x:v>Light blue</x:v>
      </x:c>
      <x:c r="F474" t="n">
        <x:v>1</x:v>
      </x:c>
      <x:c r="G474" t="str">
        <x:v>PB15</x:v>
      </x:c>
      <x:c r="H474" t="str">
        <x:v>PB15</x:v>
      </x:c>
      <x:c r="I474" t="str">
        <x:v>https://www.carandache.com/content_files/uploaded_doc/product/10595/Colour_Chart_NeoPastel.pdf</x:v>
      </x:c>
    </x:row>
    <x:row r="475">
      <x:c r="A475" t="str">
        <x:v>CDA-NEO-171</x:v>
      </x:c>
      <x:c r="B475" t="str">
        <x:v>NEO</x:v>
      </x:c>
      <x:c r="C475" t="str">
        <x:v>NEOPASTEL</x:v>
      </x:c>
      <x:c r="D475" t="str">
        <x:v>171</x:v>
      </x:c>
      <x:c r="E475" t="str">
        <x:v>Turquoise blue</x:v>
      </x:c>
      <x:c r="F475" t="n">
        <x:v>1</x:v>
      </x:c>
      <x:c r="G475" t="str">
        <x:v>PG7</x:v>
      </x:c>
      <x:c r="H475" t="str">
        <x:v>PG7/PB15</x:v>
      </x:c>
      <x:c r="I475" t="str">
        <x:v>https://www.carandache.com/content_files/uploaded_doc/product/10595/Colour_Chart_NeoPastel.pdf</x:v>
      </x:c>
    </x:row>
    <x:row r="476">
      <x:c r="A476" t="str">
        <x:v>CDA-NEO-171</x:v>
      </x:c>
      <x:c r="B476" t="str">
        <x:v>NEO</x:v>
      </x:c>
      <x:c r="C476" t="str">
        <x:v>NEOPASTEL</x:v>
      </x:c>
      <x:c r="D476" t="str">
        <x:v>171</x:v>
      </x:c>
      <x:c r="E476" t="str">
        <x:v>Turquoise blue</x:v>
      </x:c>
      <x:c r="F476" t="n">
        <x:v>2</x:v>
      </x:c>
      <x:c r="G476" t="str">
        <x:v>PB15</x:v>
      </x:c>
      <x:c r="H476" t="str">
        <x:v>PG7/PB15</x:v>
      </x:c>
      <x:c r="I476" t="str">
        <x:v>https://www.carandache.com/content_files/uploaded_doc/product/10595/Colour_Chart_NeoPastel.pdf</x:v>
      </x:c>
    </x:row>
    <x:row r="477">
      <x:c r="A477" t="str">
        <x:v>CDA-NEO-191</x:v>
      </x:c>
      <x:c r="B477" t="str">
        <x:v>NEO</x:v>
      </x:c>
      <x:c r="C477" t="str">
        <x:v>NEOPASTEL</x:v>
      </x:c>
      <x:c r="D477" t="str">
        <x:v>191</x:v>
      </x:c>
      <x:c r="E477" t="str">
        <x:v>Turquoise</x:v>
      </x:c>
      <x:c r="F477" t="n">
        <x:v>1</x:v>
      </x:c>
      <x:c r="G477" t="str">
        <x:v>PB15:3</x:v>
      </x:c>
      <x:c r="H477" t="str">
        <x:v>PB15:3/PG7</x:v>
      </x:c>
      <x:c r="I477" t="str">
        <x:v>https://www.carandache.com/content_files/uploaded_doc/product/10595/Colour_Chart_NeoPastel.pdf</x:v>
      </x:c>
    </x:row>
    <x:row r="478">
      <x:c r="A478" t="str">
        <x:v>CDA-NEO-191</x:v>
      </x:c>
      <x:c r="B478" t="str">
        <x:v>NEO</x:v>
      </x:c>
      <x:c r="C478" t="str">
        <x:v>NEOPASTEL</x:v>
      </x:c>
      <x:c r="D478" t="str">
        <x:v>191</x:v>
      </x:c>
      <x:c r="E478" t="str">
        <x:v>Turquoise</x:v>
      </x:c>
      <x:c r="F478" t="n">
        <x:v>2</x:v>
      </x:c>
      <x:c r="G478" t="str">
        <x:v>PG7</x:v>
      </x:c>
      <x:c r="H478" t="str">
        <x:v>PB15:3/PG7</x:v>
      </x:c>
      <x:c r="I478" t="str">
        <x:v>https://www.carandache.com/content_files/uploaded_doc/product/10595/Colour_Chart_NeoPastel.pdf</x:v>
      </x:c>
    </x:row>
    <x:row r="479">
      <x:c r="A479" t="str">
        <x:v>CDA-NEO-211</x:v>
      </x:c>
      <x:c r="B479" t="str">
        <x:v>NEO</x:v>
      </x:c>
      <x:c r="C479" t="str">
        <x:v>NEOPASTEL</x:v>
      </x:c>
      <x:c r="D479" t="str">
        <x:v>211</x:v>
      </x:c>
      <x:c r="E479" t="str">
        <x:v>Jade green</x:v>
      </x:c>
      <x:c r="F479" t="n">
        <x:v>1</x:v>
      </x:c>
      <x:c r="G479" t="str">
        <x:v>PY1</x:v>
      </x:c>
      <x:c r="H479" t="str">
        <x:v>PY1/PG7</x:v>
      </x:c>
      <x:c r="I479" t="str">
        <x:v>https://www.carandache.com/content_files/uploaded_doc/product/10595/Colour_Chart_NeoPastel.pdf</x:v>
      </x:c>
    </x:row>
    <x:row r="480">
      <x:c r="A480" t="str">
        <x:v>CDA-NEO-211</x:v>
      </x:c>
      <x:c r="B480" t="str">
        <x:v>NEO</x:v>
      </x:c>
      <x:c r="C480" t="str">
        <x:v>NEOPASTEL</x:v>
      </x:c>
      <x:c r="D480" t="str">
        <x:v>211</x:v>
      </x:c>
      <x:c r="E480" t="str">
        <x:v>Jade green</x:v>
      </x:c>
      <x:c r="F480" t="n">
        <x:v>2</x:v>
      </x:c>
      <x:c r="G480" t="str">
        <x:v>PG7</x:v>
      </x:c>
      <x:c r="H480" t="str">
        <x:v>PY1/PG7</x:v>
      </x:c>
      <x:c r="I480" t="str">
        <x:v>https://www.carandache.com/content_files/uploaded_doc/product/10595/Colour_Chart_NeoPastel.pdf</x:v>
      </x:c>
    </x:row>
    <x:row r="481">
      <x:c r="A481" t="str">
        <x:v>CDA-NEO-201</x:v>
      </x:c>
      <x:c r="B481" t="str">
        <x:v>NEO</x:v>
      </x:c>
      <x:c r="C481" t="str">
        <x:v>NEOPASTEL</x:v>
      </x:c>
      <x:c r="D481" t="str">
        <x:v>201</x:v>
      </x:c>
      <x:c r="E481" t="str">
        <x:v>Veronese green</x:v>
      </x:c>
      <x:c r="F481" t="n">
        <x:v>1</x:v>
      </x:c>
      <x:c r="G481" t="str">
        <x:v>PY3</x:v>
      </x:c>
      <x:c r="H481" t="str">
        <x:v>PY3/PG7</x:v>
      </x:c>
      <x:c r="I481" t="str">
        <x:v>https://www.carandache.com/content_files/uploaded_doc/product/10595/Colour_Chart_NeoPastel.pdf</x:v>
      </x:c>
    </x:row>
    <x:row r="482">
      <x:c r="A482" t="str">
        <x:v>CDA-NEO-201</x:v>
      </x:c>
      <x:c r="B482" t="str">
        <x:v>NEO</x:v>
      </x:c>
      <x:c r="C482" t="str">
        <x:v>NEOPASTEL</x:v>
      </x:c>
      <x:c r="D482" t="str">
        <x:v>201</x:v>
      </x:c>
      <x:c r="E482" t="str">
        <x:v>Veronese green</x:v>
      </x:c>
      <x:c r="F482" t="n">
        <x:v>2</x:v>
      </x:c>
      <x:c r="G482" t="str">
        <x:v>PG7</x:v>
      </x:c>
      <x:c r="H482" t="str">
        <x:v>PY3/PG7</x:v>
      </x:c>
      <x:c r="I482" t="str">
        <x:v>https://www.carandache.com/content_files/uploaded_doc/product/10595/Colour_Chart_NeoPastel.pdf</x:v>
      </x:c>
    </x:row>
    <x:row r="483">
      <x:c r="A483" t="str">
        <x:v>CDA-NEO-015</x:v>
      </x:c>
      <x:c r="B483" t="str">
        <x:v>NEO</x:v>
      </x:c>
      <x:c r="C483" t="str">
        <x:v>NEOPASTEL</x:v>
      </x:c>
      <x:c r="D483" t="str">
        <x:v>015</x:v>
      </x:c>
      <x:c r="E483" t="str">
        <x:v>Olive yellow</x:v>
      </x:c>
      <x:c r="F483" t="n">
        <x:v>1</x:v>
      </x:c>
      <x:c r="G483" t="str">
        <x:v>PY1</x:v>
      </x:c>
      <x:c r="H483" t="str">
        <x:v>PY1/PBk6/PY13/PY3</x:v>
      </x:c>
      <x:c r="I483" t="str">
        <x:v>https://www.carandache.com/content_files/uploaded_doc/product/10595/Colour_Chart_NeoPastel.pdf</x:v>
      </x:c>
    </x:row>
    <x:row r="484">
      <x:c r="A484" t="str">
        <x:v>CDA-NEO-015</x:v>
      </x:c>
      <x:c r="B484" t="str">
        <x:v>NEO</x:v>
      </x:c>
      <x:c r="C484" t="str">
        <x:v>NEOPASTEL</x:v>
      </x:c>
      <x:c r="D484" t="str">
        <x:v>015</x:v>
      </x:c>
      <x:c r="E484" t="str">
        <x:v>Olive yellow</x:v>
      </x:c>
      <x:c r="F484" t="n">
        <x:v>2</x:v>
      </x:c>
      <x:c r="G484" t="str">
        <x:v>PBk6</x:v>
      </x:c>
      <x:c r="H484" t="str">
        <x:v>PY1/PBk6/PY13/PY3</x:v>
      </x:c>
      <x:c r="I484" t="str">
        <x:v>https://www.carandache.com/content_files/uploaded_doc/product/10595/Colour_Chart_NeoPastel.pdf</x:v>
      </x:c>
    </x:row>
    <x:row r="485">
      <x:c r="A485" t="str">
        <x:v>CDA-NEO-015</x:v>
      </x:c>
      <x:c r="B485" t="str">
        <x:v>NEO</x:v>
      </x:c>
      <x:c r="C485" t="str">
        <x:v>NEOPASTEL</x:v>
      </x:c>
      <x:c r="D485" t="str">
        <x:v>015</x:v>
      </x:c>
      <x:c r="E485" t="str">
        <x:v>Olive yellow</x:v>
      </x:c>
      <x:c r="F485" t="n">
        <x:v>3</x:v>
      </x:c>
      <x:c r="G485" t="str">
        <x:v>PY13</x:v>
      </x:c>
      <x:c r="H485" t="str">
        <x:v>PY1/PBk6/PY13/PY3</x:v>
      </x:c>
      <x:c r="I485" t="str">
        <x:v>https://www.carandache.com/content_files/uploaded_doc/product/10595/Colour_Chart_NeoPastel.pdf</x:v>
      </x:c>
    </x:row>
    <x:row r="486">
      <x:c r="A486" t="str">
        <x:v>CDA-NEO-015</x:v>
      </x:c>
      <x:c r="B486" t="str">
        <x:v>NEO</x:v>
      </x:c>
      <x:c r="C486" t="str">
        <x:v>NEOPASTEL</x:v>
      </x:c>
      <x:c r="D486" t="str">
        <x:v>015</x:v>
      </x:c>
      <x:c r="E486" t="str">
        <x:v>Olive yellow</x:v>
      </x:c>
      <x:c r="F486" t="n">
        <x:v>4</x:v>
      </x:c>
      <x:c r="G486" t="str">
        <x:v>PY3</x:v>
      </x:c>
      <x:c r="H486" t="str">
        <x:v>PY1/PBk6/PY13/PY3</x:v>
      </x:c>
      <x:c r="I486" t="str">
        <x:v>https://www.carandache.com/content_files/uploaded_doc/product/10595/Colour_Chart_NeoPastel.pdf</x:v>
      </x:c>
    </x:row>
    <x:row r="487">
      <x:c r="A487" t="str">
        <x:v>CDA-NEO-245</x:v>
      </x:c>
      <x:c r="B487" t="str">
        <x:v>NEO</x:v>
      </x:c>
      <x:c r="C487" t="str">
        <x:v>NEOPASTEL</x:v>
      </x:c>
      <x:c r="D487" t="str">
        <x:v>245</x:v>
      </x:c>
      <x:c r="E487" t="str">
        <x:v>Light olive</x:v>
      </x:c>
      <x:c r="F487" t="n">
        <x:v>1</x:v>
      </x:c>
      <x:c r="G487" t="str">
        <x:v>PO13</x:v>
      </x:c>
      <x:c r="H487" t="str">
        <x:v>PO13/PY13/PG7/PY3/PO61</x:v>
      </x:c>
      <x:c r="I487" t="str">
        <x:v>https://www.carandache.com/content_files/uploaded_doc/product/10595/Colour_Chart_NeoPastel.pdf</x:v>
      </x:c>
    </x:row>
    <x:row r="488">
      <x:c r="A488" t="str">
        <x:v>CDA-NEO-245</x:v>
      </x:c>
      <x:c r="B488" t="str">
        <x:v>NEO</x:v>
      </x:c>
      <x:c r="C488" t="str">
        <x:v>NEOPASTEL</x:v>
      </x:c>
      <x:c r="D488" t="str">
        <x:v>245</x:v>
      </x:c>
      <x:c r="E488" t="str">
        <x:v>Light olive</x:v>
      </x:c>
      <x:c r="F488" t="n">
        <x:v>2</x:v>
      </x:c>
      <x:c r="G488" t="str">
        <x:v>PY13</x:v>
      </x:c>
      <x:c r="H488" t="str">
        <x:v>PO13/PY13/PG7/PY3/PO61</x:v>
      </x:c>
      <x:c r="I488" t="str">
        <x:v>https://www.carandache.com/content_files/uploaded_doc/product/10595/Colour_Chart_NeoPastel.pdf</x:v>
      </x:c>
    </x:row>
    <x:row r="489">
      <x:c r="A489" t="str">
        <x:v>CDA-NEO-245</x:v>
      </x:c>
      <x:c r="B489" t="str">
        <x:v>NEO</x:v>
      </x:c>
      <x:c r="C489" t="str">
        <x:v>NEOPASTEL</x:v>
      </x:c>
      <x:c r="D489" t="str">
        <x:v>245</x:v>
      </x:c>
      <x:c r="E489" t="str">
        <x:v>Light olive</x:v>
      </x:c>
      <x:c r="F489" t="n">
        <x:v>3</x:v>
      </x:c>
      <x:c r="G489" t="str">
        <x:v>PG7</x:v>
      </x:c>
      <x:c r="H489" t="str">
        <x:v>PO13/PY13/PG7/PY3/PO61</x:v>
      </x:c>
      <x:c r="I489" t="str">
        <x:v>https://www.carandache.com/content_files/uploaded_doc/product/10595/Colour_Chart_NeoPastel.pdf</x:v>
      </x:c>
    </x:row>
    <x:row r="490">
      <x:c r="A490" t="str">
        <x:v>CDA-NEO-245</x:v>
      </x:c>
      <x:c r="B490" t="str">
        <x:v>NEO</x:v>
      </x:c>
      <x:c r="C490" t="str">
        <x:v>NEOPASTEL</x:v>
      </x:c>
      <x:c r="D490" t="str">
        <x:v>245</x:v>
      </x:c>
      <x:c r="E490" t="str">
        <x:v>Light olive</x:v>
      </x:c>
      <x:c r="F490" t="n">
        <x:v>4</x:v>
      </x:c>
      <x:c r="G490" t="str">
        <x:v>PY3</x:v>
      </x:c>
      <x:c r="H490" t="str">
        <x:v>PO13/PY13/PG7/PY3/PO61</x:v>
      </x:c>
      <x:c r="I490" t="str">
        <x:v>https://www.carandache.com/content_files/uploaded_doc/product/10595/Colour_Chart_NeoPastel.pdf</x:v>
      </x:c>
    </x:row>
    <x:row r="491">
      <x:c r="A491" t="str">
        <x:v>CDA-NEO-245</x:v>
      </x:c>
      <x:c r="B491" t="str">
        <x:v>NEO</x:v>
      </x:c>
      <x:c r="C491" t="str">
        <x:v>NEOPASTEL</x:v>
      </x:c>
      <x:c r="D491" t="str">
        <x:v>245</x:v>
      </x:c>
      <x:c r="E491" t="str">
        <x:v>Light olive</x:v>
      </x:c>
      <x:c r="F491" t="n">
        <x:v>5</x:v>
      </x:c>
      <x:c r="G491" t="str">
        <x:v>PO61</x:v>
      </x:c>
      <x:c r="H491" t="str">
        <x:v>PO13/PY13/PG7/PY3/PO61</x:v>
      </x:c>
      <x:c r="I491" t="str">
        <x:v>https://www.carandache.com/content_files/uploaded_doc/product/10595/Colour_Chart_NeoPastel.pdf</x:v>
      </x:c>
    </x:row>
    <x:row r="492">
      <x:c r="A492" t="str">
        <x:v>CDA-NEO-016</x:v>
      </x:c>
      <x:c r="B492" t="str">
        <x:v>NEO</x:v>
      </x:c>
      <x:c r="C492" t="str">
        <x:v>NEOPASTEL</x:v>
      </x:c>
      <x:c r="D492" t="str">
        <x:v>016</x:v>
      </x:c>
      <x:c r="E492" t="str">
        <x:v>Khaki green</x:v>
      </x:c>
      <x:c r="F492" t="n">
        <x:v>1</x:v>
      </x:c>
      <x:c r="G492" t="str">
        <x:v>PY3</x:v>
      </x:c>
      <x:c r="H492" t="str">
        <x:v>PY3/PBk7</x:v>
      </x:c>
      <x:c r="I492" t="str">
        <x:v>https://www.carandache.com/content_files/uploaded_doc/product/10595/Colour_Chart_NeoPastel.pdf</x:v>
      </x:c>
    </x:row>
    <x:row r="493">
      <x:c r="A493" t="str">
        <x:v>CDA-NEO-016</x:v>
      </x:c>
      <x:c r="B493" t="str">
        <x:v>NEO</x:v>
      </x:c>
      <x:c r="C493" t="str">
        <x:v>NEOPASTEL</x:v>
      </x:c>
      <x:c r="D493" t="str">
        <x:v>016</x:v>
      </x:c>
      <x:c r="E493" t="str">
        <x:v>Khaki green</x:v>
      </x:c>
      <x:c r="F493" t="n">
        <x:v>2</x:v>
      </x:c>
      <x:c r="G493" t="str">
        <x:v>PBk7</x:v>
      </x:c>
      <x:c r="H493" t="str">
        <x:v>PY3/PBk7</x:v>
      </x:c>
      <x:c r="I493" t="str">
        <x:v>https://www.carandache.com/content_files/uploaded_doc/product/10595/Colour_Chart_NeoPastel.pdf</x:v>
      </x:c>
    </x:row>
    <x:row r="494">
      <x:c r="A494" t="str">
        <x:v>CDA-NEO-249</x:v>
      </x:c>
      <x:c r="B494" t="str">
        <x:v>NEO</x:v>
      </x:c>
      <x:c r="C494" t="str">
        <x:v>NEOPASTEL</x:v>
      </x:c>
      <x:c r="D494" t="str">
        <x:v>249</x:v>
      </x:c>
      <x:c r="E494" t="str">
        <x:v>Olive</x:v>
      </x:c>
      <x:c r="F494" t="n">
        <x:v>1</x:v>
      </x:c>
      <x:c r="G494" t="str">
        <x:v>PY13</x:v>
      </x:c>
      <x:c r="H494" t="str">
        <x:v>PY13/PY1/PO62/PBk6</x:v>
      </x:c>
      <x:c r="I494" t="str">
        <x:v>https://www.carandache.com/content_files/uploaded_doc/product/10595/Colour_Chart_NeoPastel.pdf</x:v>
      </x:c>
    </x:row>
    <x:row r="495">
      <x:c r="A495" t="str">
        <x:v>CDA-NEO-249</x:v>
      </x:c>
      <x:c r="B495" t="str">
        <x:v>NEO</x:v>
      </x:c>
      <x:c r="C495" t="str">
        <x:v>NEOPASTEL</x:v>
      </x:c>
      <x:c r="D495" t="str">
        <x:v>249</x:v>
      </x:c>
      <x:c r="E495" t="str">
        <x:v>Olive</x:v>
      </x:c>
      <x:c r="F495" t="n">
        <x:v>2</x:v>
      </x:c>
      <x:c r="G495" t="str">
        <x:v>PY1</x:v>
      </x:c>
      <x:c r="H495" t="str">
        <x:v>PY13/PY1/PO62/PBk6</x:v>
      </x:c>
      <x:c r="I495" t="str">
        <x:v>https://www.carandache.com/content_files/uploaded_doc/product/10595/Colour_Chart_NeoPastel.pdf</x:v>
      </x:c>
    </x:row>
    <x:row r="496">
      <x:c r="A496" t="str">
        <x:v>CDA-NEO-249</x:v>
      </x:c>
      <x:c r="B496" t="str">
        <x:v>NEO</x:v>
      </x:c>
      <x:c r="C496" t="str">
        <x:v>NEOPASTEL</x:v>
      </x:c>
      <x:c r="D496" t="str">
        <x:v>249</x:v>
      </x:c>
      <x:c r="E496" t="str">
        <x:v>Olive</x:v>
      </x:c>
      <x:c r="F496" t="n">
        <x:v>3</x:v>
      </x:c>
      <x:c r="G496" t="str">
        <x:v>PO62</x:v>
      </x:c>
      <x:c r="H496" t="str">
        <x:v>PY13/PY1/PO62/PBk6</x:v>
      </x:c>
      <x:c r="I496" t="str">
        <x:v>https://www.carandache.com/content_files/uploaded_doc/product/10595/Colour_Chart_NeoPastel.pdf</x:v>
      </x:c>
    </x:row>
    <x:row r="497">
      <x:c r="A497" t="str">
        <x:v>CDA-NEO-249</x:v>
      </x:c>
      <x:c r="B497" t="str">
        <x:v>NEO</x:v>
      </x:c>
      <x:c r="C497" t="str">
        <x:v>NEOPASTEL</x:v>
      </x:c>
      <x:c r="D497" t="str">
        <x:v>249</x:v>
      </x:c>
      <x:c r="E497" t="str">
        <x:v>Olive</x:v>
      </x:c>
      <x:c r="F497" t="n">
        <x:v>4</x:v>
      </x:c>
      <x:c r="G497" t="str">
        <x:v>PBk6</x:v>
      </x:c>
      <x:c r="H497" t="str">
        <x:v>PY13/PY1/PO62/PBk6</x:v>
      </x:c>
      <x:c r="I497" t="str">
        <x:v>https://www.carandache.com/content_files/uploaded_doc/product/10595/Colour_Chart_NeoPastel.pdf</x:v>
      </x:c>
    </x:row>
    <x:row r="498">
      <x:c r="A498" t="str">
        <x:v>CDA-NEO-225</x:v>
      </x:c>
      <x:c r="B498" t="str">
        <x:v>NEO</x:v>
      </x:c>
      <x:c r="C498" t="str">
        <x:v>NEOPASTEL</x:v>
      </x:c>
      <x:c r="D498" t="str">
        <x:v>225</x:v>
      </x:c>
      <x:c r="E498" t="str">
        <x:v>Moss green</x:v>
      </x:c>
      <x:c r="F498" t="n">
        <x:v>1</x:v>
      </x:c>
      <x:c r="G498" t="str">
        <x:v>PY1</x:v>
      </x:c>
      <x:c r="H498" t="str">
        <x:v>PY1/PY3/PG7/PO61/PBk6</x:v>
      </x:c>
      <x:c r="I498" t="str">
        <x:v>https://www.carandache.com/content_files/uploaded_doc/product/10595/Colour_Chart_NeoPastel.pdf</x:v>
      </x:c>
    </x:row>
    <x:row r="499">
      <x:c r="A499" t="str">
        <x:v>CDA-NEO-225</x:v>
      </x:c>
      <x:c r="B499" t="str">
        <x:v>NEO</x:v>
      </x:c>
      <x:c r="C499" t="str">
        <x:v>NEOPASTEL</x:v>
      </x:c>
      <x:c r="D499" t="str">
        <x:v>225</x:v>
      </x:c>
      <x:c r="E499" t="str">
        <x:v>Moss green</x:v>
      </x:c>
      <x:c r="F499" t="n">
        <x:v>2</x:v>
      </x:c>
      <x:c r="G499" t="str">
        <x:v>PY3</x:v>
      </x:c>
      <x:c r="H499" t="str">
        <x:v>PY1/PY3/PG7/PO61/PBk6</x:v>
      </x:c>
      <x:c r="I499" t="str">
        <x:v>https://www.carandache.com/content_files/uploaded_doc/product/10595/Colour_Chart_NeoPastel.pdf</x:v>
      </x:c>
    </x:row>
    <x:row r="500">
      <x:c r="A500" t="str">
        <x:v>CDA-NEO-225</x:v>
      </x:c>
      <x:c r="B500" t="str">
        <x:v>NEO</x:v>
      </x:c>
      <x:c r="C500" t="str">
        <x:v>NEOPASTEL</x:v>
      </x:c>
      <x:c r="D500" t="str">
        <x:v>225</x:v>
      </x:c>
      <x:c r="E500" t="str">
        <x:v>Moss green</x:v>
      </x:c>
      <x:c r="F500" t="n">
        <x:v>3</x:v>
      </x:c>
      <x:c r="G500" t="str">
        <x:v>PG7</x:v>
      </x:c>
      <x:c r="H500" t="str">
        <x:v>PY1/PY3/PG7/PO61/PBk6</x:v>
      </x:c>
      <x:c r="I500" t="str">
        <x:v>https://www.carandache.com/content_files/uploaded_doc/product/10595/Colour_Chart_NeoPastel.pdf</x:v>
      </x:c>
    </x:row>
    <x:row r="501">
      <x:c r="A501" t="str">
        <x:v>CDA-NEO-225</x:v>
      </x:c>
      <x:c r="B501" t="str">
        <x:v>NEO</x:v>
      </x:c>
      <x:c r="C501" t="str">
        <x:v>NEOPASTEL</x:v>
      </x:c>
      <x:c r="D501" t="str">
        <x:v>225</x:v>
      </x:c>
      <x:c r="E501" t="str">
        <x:v>Moss green</x:v>
      </x:c>
      <x:c r="F501" t="n">
        <x:v>4</x:v>
      </x:c>
      <x:c r="G501" t="str">
        <x:v>PO61</x:v>
      </x:c>
      <x:c r="H501" t="str">
        <x:v>PY1/PY3/PG7/PO61/PBk6</x:v>
      </x:c>
      <x:c r="I501" t="str">
        <x:v>https://www.carandache.com/content_files/uploaded_doc/product/10595/Colour_Chart_NeoPastel.pdf</x:v>
      </x:c>
    </x:row>
    <x:row r="502">
      <x:c r="A502" t="str">
        <x:v>CDA-NEO-225</x:v>
      </x:c>
      <x:c r="B502" t="str">
        <x:v>NEO</x:v>
      </x:c>
      <x:c r="C502" t="str">
        <x:v>NEOPASTEL</x:v>
      </x:c>
      <x:c r="D502" t="str">
        <x:v>225</x:v>
      </x:c>
      <x:c r="E502" t="str">
        <x:v>Moss green</x:v>
      </x:c>
      <x:c r="F502" t="n">
        <x:v>5</x:v>
      </x:c>
      <x:c r="G502" t="str">
        <x:v>PBk6</x:v>
      </x:c>
      <x:c r="H502" t="str">
        <x:v>PY1/PY3/PG7/PO61/PBk6</x:v>
      </x:c>
      <x:c r="I502" t="str">
        <x:v>https://www.carandache.com/content_files/uploaded_doc/product/10595/Colour_Chart_NeoPastel.pdf</x:v>
      </x:c>
    </x:row>
    <x:row r="503">
      <x:c r="A503" t="str">
        <x:v>CDA-NEO-019</x:v>
      </x:c>
      <x:c r="B503" t="str">
        <x:v>NEO</x:v>
      </x:c>
      <x:c r="C503" t="str">
        <x:v>NEOPASTEL</x:v>
      </x:c>
      <x:c r="D503" t="str">
        <x:v>019</x:v>
      </x:c>
      <x:c r="E503" t="str">
        <x:v>Olive black</x:v>
      </x:c>
      <x:c r="F503" t="n">
        <x:v>1</x:v>
      </x:c>
      <x:c r="G503" t="str">
        <x:v>PY3</x:v>
      </x:c>
      <x:c r="H503" t="str">
        <x:v>PY3/PBk7</x:v>
      </x:c>
      <x:c r="I503" t="str">
        <x:v>https://www.carandache.com/content_files/uploaded_doc/product/10595/Colour_Chart_NeoPastel.pdf</x:v>
      </x:c>
    </x:row>
    <x:row r="504">
      <x:c r="A504" t="str">
        <x:v>CDA-NEO-019</x:v>
      </x:c>
      <x:c r="B504" t="str">
        <x:v>NEO</x:v>
      </x:c>
      <x:c r="C504" t="str">
        <x:v>NEOPASTEL</x:v>
      </x:c>
      <x:c r="D504" t="str">
        <x:v>019</x:v>
      </x:c>
      <x:c r="E504" t="str">
        <x:v>Olive black</x:v>
      </x:c>
      <x:c r="F504" t="n">
        <x:v>2</x:v>
      </x:c>
      <x:c r="G504" t="str">
        <x:v>PBk7</x:v>
      </x:c>
      <x:c r="H504" t="str">
        <x:v>PY3/PBk7</x:v>
      </x:c>
      <x:c r="I504" t="str">
        <x:v>https://www.carandache.com/content_files/uploaded_doc/product/10595/Colour_Chart_NeoPastel.pdf</x:v>
      </x:c>
    </x:row>
    <x:row r="505">
      <x:c r="A505" t="str">
        <x:v>CDA-NEO-018</x:v>
      </x:c>
      <x:c r="B505" t="str">
        <x:v>NEO</x:v>
      </x:c>
      <x:c r="C505" t="str">
        <x:v>NEOPASTEL</x:v>
      </x:c>
      <x:c r="D505" t="str">
        <x:v>018</x:v>
      </x:c>
      <x:c r="E505" t="str">
        <x:v>Olive grey</x:v>
      </x:c>
      <x:c r="F505" t="n">
        <x:v>1</x:v>
      </x:c>
      <x:c r="G505" t="str">
        <x:v>PY3</x:v>
      </x:c>
      <x:c r="H505" t="str">
        <x:v>PY3/PBk7</x:v>
      </x:c>
      <x:c r="I505" t="str">
        <x:v>https://www.carandache.com/content_files/uploaded_doc/product/10595/Colour_Chart_NeoPastel.pdf</x:v>
      </x:c>
    </x:row>
    <x:row r="506">
      <x:c r="A506" t="str">
        <x:v>CDA-NEO-018</x:v>
      </x:c>
      <x:c r="B506" t="str">
        <x:v>NEO</x:v>
      </x:c>
      <x:c r="C506" t="str">
        <x:v>NEOPASTEL</x:v>
      </x:c>
      <x:c r="D506" t="str">
        <x:v>018</x:v>
      </x:c>
      <x:c r="E506" t="str">
        <x:v>Olive grey</x:v>
      </x:c>
      <x:c r="F506" t="n">
        <x:v>2</x:v>
      </x:c>
      <x:c r="G506" t="str">
        <x:v>PBk7</x:v>
      </x:c>
      <x:c r="H506" t="str">
        <x:v>PY3/PBk7</x:v>
      </x:c>
      <x:c r="I506" t="str">
        <x:v>https://www.carandache.com/content_files/uploaded_doc/product/10595/Colour_Chart_NeoPastel.pdf</x:v>
      </x:c>
    </x:row>
    <x:row r="507">
      <x:c r="A507" t="str">
        <x:v>CDA-NEO-039</x:v>
      </x:c>
      <x:c r="B507" t="str">
        <x:v>NEO</x:v>
      </x:c>
      <x:c r="C507" t="str">
        <x:v>NEOPASTEL</x:v>
      </x:c>
      <x:c r="D507" t="str">
        <x:v>039</x:v>
      </x:c>
      <x:c r="E507" t="str">
        <x:v>Olive brown</x:v>
      </x:c>
      <x:c r="F507" t="n">
        <x:v>1</x:v>
      </x:c>
      <x:c r="G507" t="str">
        <x:v>PBk6</x:v>
      </x:c>
      <x:c r="H507" t="str">
        <x:v>PBk6/PY42</x:v>
      </x:c>
      <x:c r="I507" t="str">
        <x:v>https://www.carandache.com/content_files/uploaded_doc/product/10595/Colour_Chart_NeoPastel.pdf</x:v>
      </x:c>
    </x:row>
    <x:row r="508">
      <x:c r="A508" t="str">
        <x:v>CDA-NEO-039</x:v>
      </x:c>
      <x:c r="B508" t="str">
        <x:v>NEO</x:v>
      </x:c>
      <x:c r="C508" t="str">
        <x:v>NEOPASTEL</x:v>
      </x:c>
      <x:c r="D508" t="str">
        <x:v>039</x:v>
      </x:c>
      <x:c r="E508" t="str">
        <x:v>Olive brown</x:v>
      </x:c>
      <x:c r="F508" t="n">
        <x:v>2</x:v>
      </x:c>
      <x:c r="G508" t="str">
        <x:v>PY42</x:v>
      </x:c>
      <x:c r="H508" t="str">
        <x:v>PBk6/PY42</x:v>
      </x:c>
      <x:c r="I508" t="str">
        <x:v>https://www.carandache.com/content_files/uploaded_doc/product/10595/Colour_Chart_NeoPastel.pdf</x:v>
      </x:c>
    </x:row>
    <x:row r="509">
      <x:c r="A509" t="str">
        <x:v>CDA-NEO-037</x:v>
      </x:c>
      <x:c r="B509" t="str">
        <x:v>NEO</x:v>
      </x:c>
      <x:c r="C509" t="str">
        <x:v>NEOPASTEL</x:v>
      </x:c>
      <x:c r="D509" t="str">
        <x:v>037</x:v>
      </x:c>
      <x:c r="E509" t="str">
        <x:v>Brown ochre</x:v>
      </x:c>
      <x:c r="F509" t="n">
        <x:v>1</x:v>
      </x:c>
      <x:c r="G509" t="str">
        <x:v>PR101</x:v>
      </x:c>
      <x:c r="H509" t="str">
        <x:v>PR101/PBk6/PY42</x:v>
      </x:c>
      <x:c r="I509" t="str">
        <x:v>https://www.carandache.com/content_files/uploaded_doc/product/10595/Colour_Chart_NeoPastel.pdf</x:v>
      </x:c>
    </x:row>
    <x:row r="510">
      <x:c r="A510" t="str">
        <x:v>CDA-NEO-037</x:v>
      </x:c>
      <x:c r="B510" t="str">
        <x:v>NEO</x:v>
      </x:c>
      <x:c r="C510" t="str">
        <x:v>NEOPASTEL</x:v>
      </x:c>
      <x:c r="D510" t="str">
        <x:v>037</x:v>
      </x:c>
      <x:c r="E510" t="str">
        <x:v>Brown ochre</x:v>
      </x:c>
      <x:c r="F510" t="n">
        <x:v>2</x:v>
      </x:c>
      <x:c r="G510" t="str">
        <x:v>PBk6</x:v>
      </x:c>
      <x:c r="H510" t="str">
        <x:v>PR101/PBk6/PY42</x:v>
      </x:c>
      <x:c r="I510" t="str">
        <x:v>https://www.carandache.com/content_files/uploaded_doc/product/10595/Colour_Chart_NeoPastel.pdf</x:v>
      </x:c>
    </x:row>
    <x:row r="511">
      <x:c r="A511" t="str">
        <x:v>CDA-NEO-037</x:v>
      </x:c>
      <x:c r="B511" t="str">
        <x:v>NEO</x:v>
      </x:c>
      <x:c r="C511" t="str">
        <x:v>NEOPASTEL</x:v>
      </x:c>
      <x:c r="D511" t="str">
        <x:v>037</x:v>
      </x:c>
      <x:c r="E511" t="str">
        <x:v>Brown ochre</x:v>
      </x:c>
      <x:c r="F511" t="n">
        <x:v>3</x:v>
      </x:c>
      <x:c r="G511" t="str">
        <x:v>PY42</x:v>
      </x:c>
      <x:c r="H511" t="str">
        <x:v>PR101/PBk6/PY42</x:v>
      </x:c>
      <x:c r="I511" t="str">
        <x:v>https://www.carandache.com/content_files/uploaded_doc/product/10595/Colour_Chart_NeoPastel.pdf</x:v>
      </x:c>
    </x:row>
    <x:row r="512">
      <x:c r="A512" t="str">
        <x:v>CDA-NEO-035</x:v>
      </x:c>
      <x:c r="B512" t="str">
        <x:v>NEO</x:v>
      </x:c>
      <x:c r="C512" t="str">
        <x:v>NEOPASTEL</x:v>
      </x:c>
      <x:c r="D512" t="str">
        <x:v>035</x:v>
      </x:c>
      <x:c r="E512" t="str">
        <x:v>Ochre</x:v>
      </x:c>
      <x:c r="F512" t="n">
        <x:v>1</x:v>
      </x:c>
      <x:c r="G512" t="str">
        <x:v>PY42</x:v>
      </x:c>
      <x:c r="H512" t="str">
        <x:v>PY42</x:v>
      </x:c>
      <x:c r="I512" t="str">
        <x:v>https://www.carandache.com/content_files/uploaded_doc/product/10595/Colour_Chart_NeoPastel.pdf</x:v>
      </x:c>
    </x:row>
    <x:row r="513">
      <x:c r="A513" t="str">
        <x:v>CDA-NEO-033</x:v>
      </x:c>
      <x:c r="B513" t="str">
        <x:v>NEO</x:v>
      </x:c>
      <x:c r="C513" t="str">
        <x:v>NEOPASTEL</x:v>
      </x:c>
      <x:c r="D513" t="str">
        <x:v>033</x:v>
      </x:c>
      <x:c r="E513" t="str">
        <x:v>Golden ochre</x:v>
      </x:c>
      <x:c r="F513" t="n">
        <x:v>1</x:v>
      </x:c>
      <x:c r="G513" t="str">
        <x:v>PY184</x:v>
      </x:c>
      <x:c r="H513" t="str">
        <x:v>PY184/PY42</x:v>
      </x:c>
      <x:c r="I513" t="str">
        <x:v>https://www.carandache.com/content_files/uploaded_doc/product/10595/Colour_Chart_NeoPastel.pdf</x:v>
      </x:c>
    </x:row>
    <x:row r="514">
      <x:c r="A514" t="str">
        <x:v>CDA-NEO-033</x:v>
      </x:c>
      <x:c r="B514" t="str">
        <x:v>NEO</x:v>
      </x:c>
      <x:c r="C514" t="str">
        <x:v>NEOPASTEL</x:v>
      </x:c>
      <x:c r="D514" t="str">
        <x:v>033</x:v>
      </x:c>
      <x:c r="E514" t="str">
        <x:v>Golden ochre</x:v>
      </x:c>
      <x:c r="F514" t="n">
        <x:v>2</x:v>
      </x:c>
      <x:c r="G514" t="str">
        <x:v>PY42</x:v>
      </x:c>
      <x:c r="H514" t="str">
        <x:v>PY184/PY42</x:v>
      </x:c>
      <x:c r="I514" t="str">
        <x:v>https://www.carandache.com/content_files/uploaded_doc/product/10595/Colour_Chart_NeoPastel.pdf</x:v>
      </x:c>
    </x:row>
    <x:row r="515">
      <x:c r="A515" t="str">
        <x:v>CDA-NEO-065</x:v>
      </x:c>
      <x:c r="B515" t="str">
        <x:v>NEO</x:v>
      </x:c>
      <x:c r="C515" t="str">
        <x:v>NEOPASTEL</x:v>
      </x:c>
      <x:c r="D515" t="str">
        <x:v>065</x:v>
      </x:c>
      <x:c r="E515" t="str">
        <x:v>Russet</x:v>
      </x:c>
      <x:c r="F515" t="n">
        <x:v>1</x:v>
      </x:c>
      <x:c r="G515" t="str">
        <x:v>PB15</x:v>
      </x:c>
      <x:c r="H515" t="str">
        <x:v>PB15/PO13/PY1/PR3</x:v>
      </x:c>
      <x:c r="I515" t="str">
        <x:v>https://www.carandache.com/content_files/uploaded_doc/product/10595/Colour_Chart_NeoPastel.pdf</x:v>
      </x:c>
    </x:row>
    <x:row r="516">
      <x:c r="A516" t="str">
        <x:v>CDA-NEO-065</x:v>
      </x:c>
      <x:c r="B516" t="str">
        <x:v>NEO</x:v>
      </x:c>
      <x:c r="C516" t="str">
        <x:v>NEOPASTEL</x:v>
      </x:c>
      <x:c r="D516" t="str">
        <x:v>065</x:v>
      </x:c>
      <x:c r="E516" t="str">
        <x:v>Russet</x:v>
      </x:c>
      <x:c r="F516" t="n">
        <x:v>2</x:v>
      </x:c>
      <x:c r="G516" t="str">
        <x:v>PO13</x:v>
      </x:c>
      <x:c r="H516" t="str">
        <x:v>PB15/PO13/PY1/PR3</x:v>
      </x:c>
      <x:c r="I516" t="str">
        <x:v>https://www.carandache.com/content_files/uploaded_doc/product/10595/Colour_Chart_NeoPastel.pdf</x:v>
      </x:c>
    </x:row>
    <x:row r="517">
      <x:c r="A517" t="str">
        <x:v>CDA-NEO-065</x:v>
      </x:c>
      <x:c r="B517" t="str">
        <x:v>NEO</x:v>
      </x:c>
      <x:c r="C517" t="str">
        <x:v>NEOPASTEL</x:v>
      </x:c>
      <x:c r="D517" t="str">
        <x:v>065</x:v>
      </x:c>
      <x:c r="E517" t="str">
        <x:v>Russet</x:v>
      </x:c>
      <x:c r="F517" t="n">
        <x:v>3</x:v>
      </x:c>
      <x:c r="G517" t="str">
        <x:v>PY1</x:v>
      </x:c>
      <x:c r="H517" t="str">
        <x:v>PB15/PO13/PY1/PR3</x:v>
      </x:c>
      <x:c r="I517" t="str">
        <x:v>https://www.carandache.com/content_files/uploaded_doc/product/10595/Colour_Chart_NeoPastel.pdf</x:v>
      </x:c>
    </x:row>
    <x:row r="518">
      <x:c r="A518" t="str">
        <x:v>CDA-NEO-065</x:v>
      </x:c>
      <x:c r="B518" t="str">
        <x:v>NEO</x:v>
      </x:c>
      <x:c r="C518" t="str">
        <x:v>NEOPASTEL</x:v>
      </x:c>
      <x:c r="D518" t="str">
        <x:v>065</x:v>
      </x:c>
      <x:c r="E518" t="str">
        <x:v>Russet</x:v>
      </x:c>
      <x:c r="F518" t="n">
        <x:v>4</x:v>
      </x:c>
      <x:c r="G518" t="str">
        <x:v>PR3</x:v>
      </x:c>
      <x:c r="H518" t="str">
        <x:v>PB15/PO13/PY1/PR3</x:v>
      </x:c>
      <x:c r="I518" t="str">
        <x:v>https://www.carandache.com/content_files/uploaded_doc/product/10595/Colour_Chart_NeoPastel.pdf</x:v>
      </x:c>
    </x:row>
    <x:row r="519">
      <x:c r="A519" t="str">
        <x:v>CDA-NEO-063</x:v>
      </x:c>
      <x:c r="B519" t="str">
        <x:v>NEO</x:v>
      </x:c>
      <x:c r="C519" t="str">
        <x:v>NEOPASTEL</x:v>
      </x:c>
      <x:c r="D519" t="str">
        <x:v>063</x:v>
      </x:c>
      <x:c r="E519" t="str">
        <x:v>English red</x:v>
      </x:c>
      <x:c r="F519" t="n">
        <x:v>1</x:v>
      </x:c>
      <x:c r="G519" t="str">
        <x:v>PR101</x:v>
      </x:c>
      <x:c r="H519" t="str">
        <x:v>PR101/PY42</x:v>
      </x:c>
      <x:c r="I519" t="str">
        <x:v>https://www.carandache.com/content_files/uploaded_doc/product/10595/Colour_Chart_NeoPastel.pdf</x:v>
      </x:c>
    </x:row>
    <x:row r="520">
      <x:c r="A520" t="str">
        <x:v>CDA-NEO-063</x:v>
      </x:c>
      <x:c r="B520" t="str">
        <x:v>NEO</x:v>
      </x:c>
      <x:c r="C520" t="str">
        <x:v>NEOPASTEL</x:v>
      </x:c>
      <x:c r="D520" t="str">
        <x:v>063</x:v>
      </x:c>
      <x:c r="E520" t="str">
        <x:v>English red</x:v>
      </x:c>
      <x:c r="F520" t="n">
        <x:v>2</x:v>
      </x:c>
      <x:c r="G520" t="str">
        <x:v>PY42</x:v>
      </x:c>
      <x:c r="H520" t="str">
        <x:v>PR101/PY42</x:v>
      </x:c>
      <x:c r="I520" t="str">
        <x:v>https://www.carandache.com/content_files/uploaded_doc/product/10595/Colour_Chart_NeoPastel.pdf</x:v>
      </x:c>
    </x:row>
    <x:row r="521">
      <x:c r="A521" t="str">
        <x:v>CDA-NEO-055</x:v>
      </x:c>
      <x:c r="B521" t="str">
        <x:v>NEO</x:v>
      </x:c>
      <x:c r="C521" t="str">
        <x:v>NEOPASTEL</x:v>
      </x:c>
      <x:c r="D521" t="str">
        <x:v>055</x:v>
      </x:c>
      <x:c r="E521" t="str">
        <x:v>Cinnamon</x:v>
      </x:c>
      <x:c r="F521" t="n">
        <x:v>1</x:v>
      </x:c>
      <x:c r="G521" t="str">
        <x:v>PR101</x:v>
      </x:c>
      <x:c r="H521" t="str">
        <x:v>PR101/PY42/PBk6</x:v>
      </x:c>
      <x:c r="I521" t="str">
        <x:v>https://www.carandache.com/content_files/uploaded_doc/product/10595/Colour_Chart_NeoPastel.pdf</x:v>
      </x:c>
    </x:row>
    <x:row r="522">
      <x:c r="A522" t="str">
        <x:v>CDA-NEO-055</x:v>
      </x:c>
      <x:c r="B522" t="str">
        <x:v>NEO</x:v>
      </x:c>
      <x:c r="C522" t="str">
        <x:v>NEOPASTEL</x:v>
      </x:c>
      <x:c r="D522" t="str">
        <x:v>055</x:v>
      </x:c>
      <x:c r="E522" t="str">
        <x:v>Cinnamon</x:v>
      </x:c>
      <x:c r="F522" t="n">
        <x:v>2</x:v>
      </x:c>
      <x:c r="G522" t="str">
        <x:v>PY42</x:v>
      </x:c>
      <x:c r="H522" t="str">
        <x:v>PR101/PY42/PBk6</x:v>
      </x:c>
      <x:c r="I522" t="str">
        <x:v>https://www.carandache.com/content_files/uploaded_doc/product/10595/Colour_Chart_NeoPastel.pdf</x:v>
      </x:c>
    </x:row>
    <x:row r="523">
      <x:c r="A523" t="str">
        <x:v>CDA-NEO-055</x:v>
      </x:c>
      <x:c r="B523" t="str">
        <x:v>NEO</x:v>
      </x:c>
      <x:c r="C523" t="str">
        <x:v>NEOPASTEL</x:v>
      </x:c>
      <x:c r="D523" t="str">
        <x:v>055</x:v>
      </x:c>
      <x:c r="E523" t="str">
        <x:v>Cinnamon</x:v>
      </x:c>
      <x:c r="F523" t="n">
        <x:v>3</x:v>
      </x:c>
      <x:c r="G523" t="str">
        <x:v>PBk6</x:v>
      </x:c>
      <x:c r="H523" t="str">
        <x:v>PR101/PY42/PBk6</x:v>
      </x:c>
      <x:c r="I523" t="str">
        <x:v>https://www.carandache.com/content_files/uploaded_doc/product/10595/Colour_Chart_NeoPastel.pdf</x:v>
      </x:c>
    </x:row>
    <x:row r="524">
      <x:c r="A524" t="str">
        <x:v>CDA-NEO-057</x:v>
      </x:c>
      <x:c r="B524" t="str">
        <x:v>NEO</x:v>
      </x:c>
      <x:c r="C524" t="str">
        <x:v>NEOPASTEL</x:v>
      </x:c>
      <x:c r="D524" t="str">
        <x:v>057</x:v>
      </x:c>
      <x:c r="E524" t="str">
        <x:v>Chestnut</x:v>
      </x:c>
      <x:c r="F524" t="n">
        <x:v>1</x:v>
      </x:c>
      <x:c r="G524" t="str">
        <x:v>PR101</x:v>
      </x:c>
      <x:c r="H524" t="str">
        <x:v>PR101/PBk6/PY42</x:v>
      </x:c>
      <x:c r="I524" t="str">
        <x:v>https://www.carandache.com/content_files/uploaded_doc/product/10595/Colour_Chart_NeoPastel.pdf</x:v>
      </x:c>
    </x:row>
    <x:row r="525">
      <x:c r="A525" t="str">
        <x:v>CDA-NEO-057</x:v>
      </x:c>
      <x:c r="B525" t="str">
        <x:v>NEO</x:v>
      </x:c>
      <x:c r="C525" t="str">
        <x:v>NEOPASTEL</x:v>
      </x:c>
      <x:c r="D525" t="str">
        <x:v>057</x:v>
      </x:c>
      <x:c r="E525" t="str">
        <x:v>Chestnut</x:v>
      </x:c>
      <x:c r="F525" t="n">
        <x:v>2</x:v>
      </x:c>
      <x:c r="G525" t="str">
        <x:v>PBk6</x:v>
      </x:c>
      <x:c r="H525" t="str">
        <x:v>PR101/PBk6/PY42</x:v>
      </x:c>
      <x:c r="I525" t="str">
        <x:v>https://www.carandache.com/content_files/uploaded_doc/product/10595/Colour_Chart_NeoPastel.pdf</x:v>
      </x:c>
    </x:row>
    <x:row r="526">
      <x:c r="A526" t="str">
        <x:v>CDA-NEO-057</x:v>
      </x:c>
      <x:c r="B526" t="str">
        <x:v>NEO</x:v>
      </x:c>
      <x:c r="C526" t="str">
        <x:v>NEOPASTEL</x:v>
      </x:c>
      <x:c r="D526" t="str">
        <x:v>057</x:v>
      </x:c>
      <x:c r="E526" t="str">
        <x:v>Chestnut</x:v>
      </x:c>
      <x:c r="F526" t="n">
        <x:v>3</x:v>
      </x:c>
      <x:c r="G526" t="str">
        <x:v>PY42</x:v>
      </x:c>
      <x:c r="H526" t="str">
        <x:v>PR101/PBk6/PY42</x:v>
      </x:c>
      <x:c r="I526" t="str">
        <x:v>https://www.carandache.com/content_files/uploaded_doc/product/10595/Colour_Chart_NeoPastel.pdf</x:v>
      </x:c>
    </x:row>
    <x:row r="527">
      <x:c r="A527" t="str">
        <x:v>CDA-NEO-069</x:v>
      </x:c>
      <x:c r="B527" t="str">
        <x:v>NEO</x:v>
      </x:c>
      <x:c r="C527" t="str">
        <x:v>NEOPASTEL</x:v>
      </x:c>
      <x:c r="D527" t="str">
        <x:v>069</x:v>
      </x:c>
      <x:c r="E527" t="str">
        <x:v>Burnt sienna</x:v>
      </x:c>
      <x:c r="F527" t="n">
        <x:v>1</x:v>
      </x:c>
      <x:c r="G527" t="str">
        <x:v>PR101</x:v>
      </x:c>
      <x:c r="H527" t="str">
        <x:v>PR101</x:v>
      </x:c>
      <x:c r="I527" t="str">
        <x:v>https://www.carandache.com/content_files/uploaded_doc/product/10595/Colour_Chart_NeoPastel.pdf</x:v>
      </x:c>
    </x:row>
    <x:row r="528">
      <x:c r="A528" t="str">
        <x:v>CDA-NEO-059</x:v>
      </x:c>
      <x:c r="B528" t="str">
        <x:v>NEO</x:v>
      </x:c>
      <x:c r="C528" t="str">
        <x:v>NEOPASTEL</x:v>
      </x:c>
      <x:c r="D528" t="str">
        <x:v>059</x:v>
      </x:c>
      <x:c r="E528" t="str">
        <x:v>Brown</x:v>
      </x:c>
      <x:c r="F528" t="n">
        <x:v>1</x:v>
      </x:c>
      <x:c r="G528" t="str">
        <x:v>PO62</x:v>
      </x:c>
      <x:c r="H528" t="str">
        <x:v>PO62/PR112/PB15/PY3/PY42</x:v>
      </x:c>
      <x:c r="I528" t="str">
        <x:v>https://www.carandache.com/content_files/uploaded_doc/product/10595/Colour_Chart_NeoPastel.pdf</x:v>
      </x:c>
    </x:row>
    <x:row r="529">
      <x:c r="A529" t="str">
        <x:v>CDA-NEO-059</x:v>
      </x:c>
      <x:c r="B529" t="str">
        <x:v>NEO</x:v>
      </x:c>
      <x:c r="C529" t="str">
        <x:v>NEOPASTEL</x:v>
      </x:c>
      <x:c r="D529" t="str">
        <x:v>059</x:v>
      </x:c>
      <x:c r="E529" t="str">
        <x:v>Brown</x:v>
      </x:c>
      <x:c r="F529" t="n">
        <x:v>2</x:v>
      </x:c>
      <x:c r="G529" t="str">
        <x:v>PR112</x:v>
      </x:c>
      <x:c r="H529" t="str">
        <x:v>PO62/PR112/PB15/PY3/PY42</x:v>
      </x:c>
      <x:c r="I529" t="str">
        <x:v>https://www.carandache.com/content_files/uploaded_doc/product/10595/Colour_Chart_NeoPastel.pdf</x:v>
      </x:c>
    </x:row>
    <x:row r="530">
      <x:c r="A530" t="str">
        <x:v>CDA-NEO-059</x:v>
      </x:c>
      <x:c r="B530" t="str">
        <x:v>NEO</x:v>
      </x:c>
      <x:c r="C530" t="str">
        <x:v>NEOPASTEL</x:v>
      </x:c>
      <x:c r="D530" t="str">
        <x:v>059</x:v>
      </x:c>
      <x:c r="E530" t="str">
        <x:v>Brown</x:v>
      </x:c>
      <x:c r="F530" t="n">
        <x:v>3</x:v>
      </x:c>
      <x:c r="G530" t="str">
        <x:v>PB15</x:v>
      </x:c>
      <x:c r="H530" t="str">
        <x:v>PO62/PR112/PB15/PY3/PY42</x:v>
      </x:c>
      <x:c r="I530" t="str">
        <x:v>https://www.carandache.com/content_files/uploaded_doc/product/10595/Colour_Chart_NeoPastel.pdf</x:v>
      </x:c>
    </x:row>
    <x:row r="531">
      <x:c r="A531" t="str">
        <x:v>CDA-NEO-059</x:v>
      </x:c>
      <x:c r="B531" t="str">
        <x:v>NEO</x:v>
      </x:c>
      <x:c r="C531" t="str">
        <x:v>NEOPASTEL</x:v>
      </x:c>
      <x:c r="D531" t="str">
        <x:v>059</x:v>
      </x:c>
      <x:c r="E531" t="str">
        <x:v>Brown</x:v>
      </x:c>
      <x:c r="F531" t="n">
        <x:v>4</x:v>
      </x:c>
      <x:c r="G531" t="str">
        <x:v>PY3</x:v>
      </x:c>
      <x:c r="H531" t="str">
        <x:v>PO62/PR112/PB15/PY3/PY42</x:v>
      </x:c>
      <x:c r="I531" t="str">
        <x:v>https://www.carandache.com/content_files/uploaded_doc/product/10595/Colour_Chart_NeoPastel.pdf</x:v>
      </x:c>
    </x:row>
    <x:row r="532">
      <x:c r="A532" t="str">
        <x:v>CDA-NEO-059</x:v>
      </x:c>
      <x:c r="B532" t="str">
        <x:v>NEO</x:v>
      </x:c>
      <x:c r="C532" t="str">
        <x:v>NEOPASTEL</x:v>
      </x:c>
      <x:c r="D532" t="str">
        <x:v>059</x:v>
      </x:c>
      <x:c r="E532" t="str">
        <x:v>Brown</x:v>
      </x:c>
      <x:c r="F532" t="n">
        <x:v>5</x:v>
      </x:c>
      <x:c r="G532" t="str">
        <x:v>PY42</x:v>
      </x:c>
      <x:c r="H532" t="str">
        <x:v>PO62/PR112/PB15/PY3/PY42</x:v>
      </x:c>
      <x:c r="I532" t="str">
        <x:v>https://www.carandache.com/content_files/uploaded_doc/product/10595/Colour_Chart_NeoPastel.pdf</x:v>
      </x:c>
    </x:row>
    <x:row r="533">
      <x:c r="A533" t="str">
        <x:v>CDA-NEO-496</x:v>
      </x:c>
      <x:c r="B533" t="str">
        <x:v>NEO</x:v>
      </x:c>
      <x:c r="C533" t="str">
        <x:v>NEOPASTEL</x:v>
      </x:c>
      <x:c r="D533" t="str">
        <x:v>496</x:v>
      </x:c>
      <x:c r="E533" t="str">
        <x:v>Ivory Black</x:v>
      </x:c>
      <x:c r="F533" t="n">
        <x:v>1</x:v>
      </x:c>
      <x:c r="G533" t="str">
        <x:v>PBk7</x:v>
      </x:c>
      <x:c r="H533" t="str">
        <x:v>PBk7/PY42/PR101</x:v>
      </x:c>
      <x:c r="I533" t="str">
        <x:v>https://www.carandache.com/content_files/uploaded_doc/product/10595/Colour_Chart_NeoPastel.pdf</x:v>
      </x:c>
    </x:row>
    <x:row r="534">
      <x:c r="A534" t="str">
        <x:v>CDA-NEO-496</x:v>
      </x:c>
      <x:c r="B534" t="str">
        <x:v>NEO</x:v>
      </x:c>
      <x:c r="C534" t="str">
        <x:v>NEOPASTEL</x:v>
      </x:c>
      <x:c r="D534" t="str">
        <x:v>496</x:v>
      </x:c>
      <x:c r="E534" t="str">
        <x:v>Ivory Black</x:v>
      </x:c>
      <x:c r="F534" t="n">
        <x:v>2</x:v>
      </x:c>
      <x:c r="G534" t="str">
        <x:v>PY42</x:v>
      </x:c>
      <x:c r="H534" t="str">
        <x:v>PBk7/PY42/PR101</x:v>
      </x:c>
      <x:c r="I534" t="str">
        <x:v>https://www.carandache.com/content_files/uploaded_doc/product/10595/Colour_Chart_NeoPastel.pdf</x:v>
      </x:c>
    </x:row>
    <x:row r="535">
      <x:c r="A535" t="str">
        <x:v>CDA-NEO-496</x:v>
      </x:c>
      <x:c r="B535" t="str">
        <x:v>NEO</x:v>
      </x:c>
      <x:c r="C535" t="str">
        <x:v>NEOPASTEL</x:v>
      </x:c>
      <x:c r="D535" t="str">
        <x:v>496</x:v>
      </x:c>
      <x:c r="E535" t="str">
        <x:v>Ivory Black</x:v>
      </x:c>
      <x:c r="F535" t="n">
        <x:v>3</x:v>
      </x:c>
      <x:c r="G535" t="str">
        <x:v>PR101</x:v>
      </x:c>
      <x:c r="H535" t="str">
        <x:v>PBk7/PY42/PR101</x:v>
      </x:c>
      <x:c r="I535" t="str">
        <x:v>https://www.carandache.com/content_files/uploaded_doc/product/10595/Colour_Chart_NeoPastel.pdf</x:v>
      </x:c>
    </x:row>
    <x:row r="536">
      <x:c r="A536" t="str">
        <x:v>CDA-NEO-495</x:v>
      </x:c>
      <x:c r="B536" t="str">
        <x:v>NEO</x:v>
      </x:c>
      <x:c r="C536" t="str">
        <x:v>NEOPASTEL</x:v>
      </x:c>
      <x:c r="D536" t="str">
        <x:v>495</x:v>
      </x:c>
      <x:c r="E536" t="str">
        <x:v>Slate grey</x:v>
      </x:c>
      <x:c r="F536" t="n">
        <x:v>1</x:v>
      </x:c>
      <x:c r="G536" t="str">
        <x:v>Graphite</x:v>
      </x:c>
      <x:c r="H536" t="str">
        <x:v>Graphite</x:v>
      </x:c>
      <x:c r="I536" t="str">
        <x:v>https://www.carandache.com/content_files/uploaded_doc/product/10595/Colour_Chart_NeoPastel.pdf</x:v>
      </x:c>
    </x:row>
    <x:row r="537">
      <x:c r="A537" t="str">
        <x:v>CDA-NEO-049</x:v>
      </x:c>
      <x:c r="B537" t="str">
        <x:v>NEO</x:v>
      </x:c>
      <x:c r="C537" t="str">
        <x:v>NEOPASTEL</x:v>
      </x:c>
      <x:c r="D537" t="str">
        <x:v>049</x:v>
      </x:c>
      <x:c r="E537" t="str">
        <x:v>Raw Umber</x:v>
      </x:c>
      <x:c r="F537" t="n">
        <x:v>1</x:v>
      </x:c>
      <x:c r="G537" t="str">
        <x:v>PO61</x:v>
      </x:c>
      <x:c r="H537" t="str">
        <x:v>PO61/PG7/PR166/PY3/PBk6</x:v>
      </x:c>
      <x:c r="I537" t="str">
        <x:v>https://www.carandache.com/content_files/uploaded_doc/product/10595/Colour_Chart_NeoPastel.pdf</x:v>
      </x:c>
    </x:row>
    <x:row r="538">
      <x:c r="A538" t="str">
        <x:v>CDA-NEO-049</x:v>
      </x:c>
      <x:c r="B538" t="str">
        <x:v>NEO</x:v>
      </x:c>
      <x:c r="C538" t="str">
        <x:v>NEOPASTEL</x:v>
      </x:c>
      <x:c r="D538" t="str">
        <x:v>049</x:v>
      </x:c>
      <x:c r="E538" t="str">
        <x:v>Raw Umber</x:v>
      </x:c>
      <x:c r="F538" t="n">
        <x:v>2</x:v>
      </x:c>
      <x:c r="G538" t="str">
        <x:v>PG7</x:v>
      </x:c>
      <x:c r="H538" t="str">
        <x:v>PO61/PG7/PR166/PY3/PBk6</x:v>
      </x:c>
      <x:c r="I538" t="str">
        <x:v>https://www.carandache.com/content_files/uploaded_doc/product/10595/Colour_Chart_NeoPastel.pdf</x:v>
      </x:c>
    </x:row>
    <x:row r="539">
      <x:c r="A539" t="str">
        <x:v>CDA-NEO-049</x:v>
      </x:c>
      <x:c r="B539" t="str">
        <x:v>NEO</x:v>
      </x:c>
      <x:c r="C539" t="str">
        <x:v>NEOPASTEL</x:v>
      </x:c>
      <x:c r="D539" t="str">
        <x:v>049</x:v>
      </x:c>
      <x:c r="E539" t="str">
        <x:v>Raw Umber</x:v>
      </x:c>
      <x:c r="F539" t="n">
        <x:v>3</x:v>
      </x:c>
      <x:c r="G539" t="str">
        <x:v>PR166</x:v>
      </x:c>
      <x:c r="H539" t="str">
        <x:v>PO61/PG7/PR166/PY3/PBk6</x:v>
      </x:c>
      <x:c r="I539" t="str">
        <x:v>https://www.carandache.com/content_files/uploaded_doc/product/10595/Colour_Chart_NeoPastel.pdf</x:v>
      </x:c>
    </x:row>
    <x:row r="540">
      <x:c r="A540" t="str">
        <x:v>CDA-NEO-049</x:v>
      </x:c>
      <x:c r="B540" t="str">
        <x:v>NEO</x:v>
      </x:c>
      <x:c r="C540" t="str">
        <x:v>NEOPASTEL</x:v>
      </x:c>
      <x:c r="D540" t="str">
        <x:v>049</x:v>
      </x:c>
      <x:c r="E540" t="str">
        <x:v>Raw Umber</x:v>
      </x:c>
      <x:c r="F540" t="n">
        <x:v>4</x:v>
      </x:c>
      <x:c r="G540" t="str">
        <x:v>PY3</x:v>
      </x:c>
      <x:c r="H540" t="str">
        <x:v>PO61/PG7/PR166/PY3/PBk6</x:v>
      </x:c>
      <x:c r="I540" t="str">
        <x:v>https://www.carandache.com/content_files/uploaded_doc/product/10595/Colour_Chart_NeoPastel.pdf</x:v>
      </x:c>
    </x:row>
    <x:row r="541">
      <x:c r="A541" t="str">
        <x:v>CDA-NEO-049</x:v>
      </x:c>
      <x:c r="B541" t="str">
        <x:v>NEO</x:v>
      </x:c>
      <x:c r="C541" t="str">
        <x:v>NEOPASTEL</x:v>
      </x:c>
      <x:c r="D541" t="str">
        <x:v>049</x:v>
      </x:c>
      <x:c r="E541" t="str">
        <x:v>Raw Umber</x:v>
      </x:c>
      <x:c r="F541" t="n">
        <x:v>5</x:v>
      </x:c>
      <x:c r="G541" t="str">
        <x:v>PBk6</x:v>
      </x:c>
      <x:c r="H541" t="str">
        <x:v>PO61/PG7/PR166/PY3/PBk6</x:v>
      </x:c>
      <x:c r="I541" t="str">
        <x:v>https://www.carandache.com/content_files/uploaded_doc/product/10595/Colour_Chart_NeoPastel.pdf</x:v>
      </x:c>
    </x:row>
    <x:row r="542">
      <x:c r="A542" t="str">
        <x:v>CDA-NEO-045</x:v>
      </x:c>
      <x:c r="B542" t="str">
        <x:v>NEO</x:v>
      </x:c>
      <x:c r="C542" t="str">
        <x:v>NEOPASTEL</x:v>
      </x:c>
      <x:c r="D542" t="str">
        <x:v>045</x:v>
      </x:c>
      <x:c r="E542" t="str">
        <x:v>Vandycke brown</x:v>
      </x:c>
      <x:c r="F542" t="n">
        <x:v>1</x:v>
      </x:c>
      <x:c r="G542" t="str">
        <x:v>PBk7</x:v>
      </x:c>
      <x:c r="H542" t="str">
        <x:v>PBk7/PY42/PR101</x:v>
      </x:c>
      <x:c r="I542" t="str">
        <x:v>https://www.carandache.com/content_files/uploaded_doc/product/10595/Colour_Chart_NeoPastel.pdf</x:v>
      </x:c>
    </x:row>
    <x:row r="543">
      <x:c r="A543" t="str">
        <x:v>CDA-NEO-045</x:v>
      </x:c>
      <x:c r="B543" t="str">
        <x:v>NEO</x:v>
      </x:c>
      <x:c r="C543" t="str">
        <x:v>NEOPASTEL</x:v>
      </x:c>
      <x:c r="D543" t="str">
        <x:v>045</x:v>
      </x:c>
      <x:c r="E543" t="str">
        <x:v>Vandycke brown</x:v>
      </x:c>
      <x:c r="F543" t="n">
        <x:v>2</x:v>
      </x:c>
      <x:c r="G543" t="str">
        <x:v>PY42</x:v>
      </x:c>
      <x:c r="H543" t="str">
        <x:v>PBk7/PY42/PR101</x:v>
      </x:c>
      <x:c r="I543" t="str">
        <x:v>https://www.carandache.com/content_files/uploaded_doc/product/10595/Colour_Chart_NeoPastel.pdf</x:v>
      </x:c>
    </x:row>
    <x:row r="544">
      <x:c r="A544" t="str">
        <x:v>CDA-NEO-045</x:v>
      </x:c>
      <x:c r="B544" t="str">
        <x:v>NEO</x:v>
      </x:c>
      <x:c r="C544" t="str">
        <x:v>NEOPASTEL</x:v>
      </x:c>
      <x:c r="D544" t="str">
        <x:v>045</x:v>
      </x:c>
      <x:c r="E544" t="str">
        <x:v>Vandycke brown</x:v>
      </x:c>
      <x:c r="F544" t="n">
        <x:v>3</x:v>
      </x:c>
      <x:c r="G544" t="str">
        <x:v>PR101</x:v>
      </x:c>
      <x:c r="H544" t="str">
        <x:v>PBk7/PY42/PR101</x:v>
      </x:c>
      <x:c r="I544" t="str">
        <x:v>https://www.carandache.com/content_files/uploaded_doc/product/10595/Colour_Chart_NeoPastel.pdf</x:v>
      </x:c>
    </x:row>
    <x:row r="545">
      <x:c r="A545" t="str">
        <x:v>CDA-NEO-407</x:v>
      </x:c>
      <x:c r="B545" t="str">
        <x:v>NEO</x:v>
      </x:c>
      <x:c r="C545" t="str">
        <x:v>NEOPASTEL</x:v>
      </x:c>
      <x:c r="D545" t="str">
        <x:v>407</x:v>
      </x:c>
      <x:c r="E545" t="str">
        <x:v>Sepia</x:v>
      </x:c>
      <x:c r="F545" t="n">
        <x:v>1</x:v>
      </x:c>
      <x:c r="G545" t="str">
        <x:v>PBk7</x:v>
      </x:c>
      <x:c r="H545" t="str">
        <x:v>PBk7/PY42/PR101</x:v>
      </x:c>
      <x:c r="I545" t="str">
        <x:v>https://www.carandache.com/content_files/uploaded_doc/product/10595/Colour_Chart_NeoPastel.pdf</x:v>
      </x:c>
    </x:row>
    <x:row r="546">
      <x:c r="A546" t="str">
        <x:v>CDA-NEO-407</x:v>
      </x:c>
      <x:c r="B546" t="str">
        <x:v>NEO</x:v>
      </x:c>
      <x:c r="C546" t="str">
        <x:v>NEOPASTEL</x:v>
      </x:c>
      <x:c r="D546" t="str">
        <x:v>407</x:v>
      </x:c>
      <x:c r="E546" t="str">
        <x:v>Sepia</x:v>
      </x:c>
      <x:c r="F546" t="n">
        <x:v>2</x:v>
      </x:c>
      <x:c r="G546" t="str">
        <x:v>PY42</x:v>
      </x:c>
      <x:c r="H546" t="str">
        <x:v>PBk7/PY42/PR101</x:v>
      </x:c>
      <x:c r="I546" t="str">
        <x:v>https://www.carandache.com/content_files/uploaded_doc/product/10595/Colour_Chart_NeoPastel.pdf</x:v>
      </x:c>
    </x:row>
    <x:row r="547">
      <x:c r="A547" t="str">
        <x:v>CDA-NEO-407</x:v>
      </x:c>
      <x:c r="B547" t="str">
        <x:v>NEO</x:v>
      </x:c>
      <x:c r="C547" t="str">
        <x:v>NEOPASTEL</x:v>
      </x:c>
      <x:c r="D547" t="str">
        <x:v>407</x:v>
      </x:c>
      <x:c r="E547" t="str">
        <x:v>Sepia</x:v>
      </x:c>
      <x:c r="F547" t="n">
        <x:v>3</x:v>
      </x:c>
      <x:c r="G547" t="str">
        <x:v>PR101</x:v>
      </x:c>
      <x:c r="H547" t="str">
        <x:v>PBk7/PY42/PR101</x:v>
      </x:c>
      <x:c r="I547" t="str">
        <x:v>https://www.carandache.com/content_files/uploaded_doc/product/10595/Colour_Chart_NeoPastel.pdf</x:v>
      </x:c>
    </x:row>
    <x:row r="548">
      <x:c r="A548" t="str">
        <x:v>CDA-NEO-047</x:v>
      </x:c>
      <x:c r="B548" t="str">
        <x:v>NEO</x:v>
      </x:c>
      <x:c r="C548" t="str">
        <x:v>NEOPASTEL</x:v>
      </x:c>
      <x:c r="D548" t="str">
        <x:v>047</x:v>
      </x:c>
      <x:c r="E548" t="str">
        <x:v>Bistre</x:v>
      </x:c>
      <x:c r="F548" t="n">
        <x:v>1</x:v>
      </x:c>
      <x:c r="G548" t="str">
        <x:v>PR101</x:v>
      </x:c>
      <x:c r="H548" t="str">
        <x:v>PR101/PBk6/PY42</x:v>
      </x:c>
      <x:c r="I548" t="str">
        <x:v>https://www.carandache.com/content_files/uploaded_doc/product/10595/Colour_Chart_NeoPastel.pdf</x:v>
      </x:c>
    </x:row>
    <x:row r="549">
      <x:c r="A549" t="str">
        <x:v>CDA-NEO-047</x:v>
      </x:c>
      <x:c r="B549" t="str">
        <x:v>NEO</x:v>
      </x:c>
      <x:c r="C549" t="str">
        <x:v>NEOPASTEL</x:v>
      </x:c>
      <x:c r="D549" t="str">
        <x:v>047</x:v>
      </x:c>
      <x:c r="E549" t="str">
        <x:v>Bistre</x:v>
      </x:c>
      <x:c r="F549" t="n">
        <x:v>2</x:v>
      </x:c>
      <x:c r="G549" t="str">
        <x:v>PBk6</x:v>
      </x:c>
      <x:c r="H549" t="str">
        <x:v>PR101/PBk6/PY42</x:v>
      </x:c>
      <x:c r="I549" t="str">
        <x:v>https://www.carandache.com/content_files/uploaded_doc/product/10595/Colour_Chart_NeoPastel.pdf</x:v>
      </x:c>
    </x:row>
    <x:row r="550">
      <x:c r="A550" t="str">
        <x:v>CDA-NEO-047</x:v>
      </x:c>
      <x:c r="B550" t="str">
        <x:v>NEO</x:v>
      </x:c>
      <x:c r="C550" t="str">
        <x:v>NEOPASTEL</x:v>
      </x:c>
      <x:c r="D550" t="str">
        <x:v>047</x:v>
      </x:c>
      <x:c r="E550" t="str">
        <x:v>Bistre</x:v>
      </x:c>
      <x:c r="F550" t="n">
        <x:v>3</x:v>
      </x:c>
      <x:c r="G550" t="str">
        <x:v>PY42</x:v>
      </x:c>
      <x:c r="H550" t="str">
        <x:v>PR101/PBk6/PY42</x:v>
      </x:c>
      <x:c r="I550" t="str">
        <x:v>https://www.carandache.com/content_files/uploaded_doc/product/10595/Colour_Chart_NeoPastel.pdf</x:v>
      </x:c>
    </x:row>
    <x:row r="551">
      <x:c r="A551" t="str">
        <x:v>CDA-NEO-067</x:v>
      </x:c>
      <x:c r="B551" t="str">
        <x:v>NEO</x:v>
      </x:c>
      <x:c r="C551" t="str">
        <x:v>NEOPASTEL</x:v>
      </x:c>
      <x:c r="D551" t="str">
        <x:v>067</x:v>
      </x:c>
      <x:c r="E551" t="str">
        <x:v>Mahogany</x:v>
      </x:c>
      <x:c r="F551" t="n">
        <x:v>1</x:v>
      </x:c>
      <x:c r="G551" t="str">
        <x:v>PY42</x:v>
      </x:c>
      <x:c r="H551" t="str">
        <x:v>PY42/PR101/PBk7</x:v>
      </x:c>
      <x:c r="I551" t="str">
        <x:v>https://www.carandache.com/content_files/uploaded_doc/product/10595/Colour_Chart_NeoPastel.pdf</x:v>
      </x:c>
    </x:row>
    <x:row r="552">
      <x:c r="A552" t="str">
        <x:v>CDA-NEO-067</x:v>
      </x:c>
      <x:c r="B552" t="str">
        <x:v>NEO</x:v>
      </x:c>
      <x:c r="C552" t="str">
        <x:v>NEOPASTEL</x:v>
      </x:c>
      <x:c r="D552" t="str">
        <x:v>067</x:v>
      </x:c>
      <x:c r="E552" t="str">
        <x:v>Mahogany</x:v>
      </x:c>
      <x:c r="F552" t="n">
        <x:v>2</x:v>
      </x:c>
      <x:c r="G552" t="str">
        <x:v>PR101</x:v>
      </x:c>
      <x:c r="H552" t="str">
        <x:v>PY42/PR101/PBk7</x:v>
      </x:c>
      <x:c r="I552" t="str">
        <x:v>https://www.carandache.com/content_files/uploaded_doc/product/10595/Colour_Chart_NeoPastel.pdf</x:v>
      </x:c>
    </x:row>
    <x:row r="553">
      <x:c r="A553" t="str">
        <x:v>CDA-NEO-067</x:v>
      </x:c>
      <x:c r="B553" t="str">
        <x:v>NEO</x:v>
      </x:c>
      <x:c r="C553" t="str">
        <x:v>NEOPASTEL</x:v>
      </x:c>
      <x:c r="D553" t="str">
        <x:v>067</x:v>
      </x:c>
      <x:c r="E553" t="str">
        <x:v>Mahogany</x:v>
      </x:c>
      <x:c r="F553" t="n">
        <x:v>3</x:v>
      </x:c>
      <x:c r="G553" t="str">
        <x:v>PBk7</x:v>
      </x:c>
      <x:c r="H553" t="str">
        <x:v>PY42/PR101/PBk7</x:v>
      </x:c>
      <x:c r="I553" t="str">
        <x:v>https://www.carandache.com/content_files/uploaded_doc/product/10595/Colour_Chart_NeoPastel.pdf</x:v>
      </x:c>
    </x:row>
    <x:row r="554">
      <x:c r="A554" t="str">
        <x:v>CDA-NEO-405</x:v>
      </x:c>
      <x:c r="B554" t="str">
        <x:v>NEO</x:v>
      </x:c>
      <x:c r="C554" t="str">
        <x:v>NEOPASTEL</x:v>
      </x:c>
      <x:c r="D554" t="str">
        <x:v>405</x:v>
      </x:c>
      <x:c r="E554" t="str">
        <x:v>Cocoa</x:v>
      </x:c>
      <x:c r="F554" t="n">
        <x:v>1</x:v>
      </x:c>
      <x:c r="G554" t="str">
        <x:v>PBk6</x:v>
      </x:c>
      <x:c r="H554" t="str">
        <x:v>PBk6/PY42/PR101</x:v>
      </x:c>
      <x:c r="I554" t="str">
        <x:v>https://www.carandache.com/content_files/uploaded_doc/product/10595/Colour_Chart_NeoPastel.pdf</x:v>
      </x:c>
    </x:row>
    <x:row r="555">
      <x:c r="A555" t="str">
        <x:v>CDA-NEO-405</x:v>
      </x:c>
      <x:c r="B555" t="str">
        <x:v>NEO</x:v>
      </x:c>
      <x:c r="C555" t="str">
        <x:v>NEOPASTEL</x:v>
      </x:c>
      <x:c r="D555" t="str">
        <x:v>405</x:v>
      </x:c>
      <x:c r="E555" t="str">
        <x:v>Cocoa</x:v>
      </x:c>
      <x:c r="F555" t="n">
        <x:v>2</x:v>
      </x:c>
      <x:c r="G555" t="str">
        <x:v>PY42</x:v>
      </x:c>
      <x:c r="H555" t="str">
        <x:v>PBk6/PY42/PR101</x:v>
      </x:c>
      <x:c r="I555" t="str">
        <x:v>https://www.carandache.com/content_files/uploaded_doc/product/10595/Colour_Chart_NeoPastel.pdf</x:v>
      </x:c>
    </x:row>
    <x:row r="556">
      <x:c r="A556" t="str">
        <x:v>CDA-NEO-405</x:v>
      </x:c>
      <x:c r="B556" t="str">
        <x:v>NEO</x:v>
      </x:c>
      <x:c r="C556" t="str">
        <x:v>NEOPASTEL</x:v>
      </x:c>
      <x:c r="D556" t="str">
        <x:v>405</x:v>
      </x:c>
      <x:c r="E556" t="str">
        <x:v>Cocoa</x:v>
      </x:c>
      <x:c r="F556" t="n">
        <x:v>3</x:v>
      </x:c>
      <x:c r="G556" t="str">
        <x:v>PR101</x:v>
      </x:c>
      <x:c r="H556" t="str">
        <x:v>PBk6/PY42/PR101</x:v>
      </x:c>
      <x:c r="I556" t="str">
        <x:v>https://www.carandache.com/content_files/uploaded_doc/product/10595/Colour_Chart_NeoPastel.pdf</x:v>
      </x:c>
    </x:row>
    <x:row r="557">
      <x:c r="A557" t="str">
        <x:v>CDA-NEO-403</x:v>
      </x:c>
      <x:c r="B557" t="str">
        <x:v>NEO</x:v>
      </x:c>
      <x:c r="C557" t="str">
        <x:v>NEOPASTEL</x:v>
      </x:c>
      <x:c r="D557" t="str">
        <x:v>403</x:v>
      </x:c>
      <x:c r="E557" t="str">
        <x:v>Beige</x:v>
      </x:c>
      <x:c r="F557" t="n">
        <x:v>1</x:v>
      </x:c>
      <x:c r="G557" t="str">
        <x:v>PBk6</x:v>
      </x:c>
      <x:c r="H557" t="str">
        <x:v>PBk6/PY42/PR101</x:v>
      </x:c>
      <x:c r="I557" t="str">
        <x:v>https://www.carandache.com/content_files/uploaded_doc/product/10595/Colour_Chart_NeoPastel.pdf</x:v>
      </x:c>
    </x:row>
    <x:row r="558">
      <x:c r="A558" t="str">
        <x:v>CDA-NEO-403</x:v>
      </x:c>
      <x:c r="B558" t="str">
        <x:v>NEO</x:v>
      </x:c>
      <x:c r="C558" t="str">
        <x:v>NEOPASTEL</x:v>
      </x:c>
      <x:c r="D558" t="str">
        <x:v>403</x:v>
      </x:c>
      <x:c r="E558" t="str">
        <x:v>Beige</x:v>
      </x:c>
      <x:c r="F558" t="n">
        <x:v>2</x:v>
      </x:c>
      <x:c r="G558" t="str">
        <x:v>PY42</x:v>
      </x:c>
      <x:c r="H558" t="str">
        <x:v>PBk6/PY42/PR101</x:v>
      </x:c>
      <x:c r="I558" t="str">
        <x:v>https://www.carandache.com/content_files/uploaded_doc/product/10595/Colour_Chart_NeoPastel.pdf</x:v>
      </x:c>
    </x:row>
    <x:row r="559">
      <x:c r="A559" t="str">
        <x:v>CDA-NEO-403</x:v>
      </x:c>
      <x:c r="B559" t="str">
        <x:v>NEO</x:v>
      </x:c>
      <x:c r="C559" t="str">
        <x:v>NEOPASTEL</x:v>
      </x:c>
      <x:c r="D559" t="str">
        <x:v>403</x:v>
      </x:c>
      <x:c r="E559" t="str">
        <x:v>Beige</x:v>
      </x:c>
      <x:c r="F559" t="n">
        <x:v>3</x:v>
      </x:c>
      <x:c r="G559" t="str">
        <x:v>PR101</x:v>
      </x:c>
      <x:c r="H559" t="str">
        <x:v>PBk6/PY42/PR101</x:v>
      </x:c>
      <x:c r="I559" t="str">
        <x:v>https://www.carandache.com/content_files/uploaded_doc/product/10595/Colour_Chart_NeoPastel.pdf</x:v>
      </x:c>
    </x:row>
    <x:row r="560">
      <x:c r="A560" t="str">
        <x:v>CDA-NEO-402</x:v>
      </x:c>
      <x:c r="B560" t="str">
        <x:v>NEO</x:v>
      </x:c>
      <x:c r="C560" t="str">
        <x:v>NEOPASTEL</x:v>
      </x:c>
      <x:c r="D560" t="str">
        <x:v>402</x:v>
      </x:c>
      <x:c r="E560" t="str">
        <x:v>Light beige</x:v>
      </x:c>
      <x:c r="F560" t="n">
        <x:v>1</x:v>
      </x:c>
      <x:c r="G560" t="str">
        <x:v>PR101</x:v>
      </x:c>
      <x:c r="H560" t="str">
        <x:v>PR101/PY42</x:v>
      </x:c>
      <x:c r="I560" t="str">
        <x:v>https://www.carandache.com/content_files/uploaded_doc/product/10595/Colour_Chart_NeoPastel.pdf</x:v>
      </x:c>
    </x:row>
    <x:row r="561">
      <x:c r="A561" t="str">
        <x:v>CDA-NEO-402</x:v>
      </x:c>
      <x:c r="B561" t="str">
        <x:v>NEO</x:v>
      </x:c>
      <x:c r="C561" t="str">
        <x:v>NEOPASTEL</x:v>
      </x:c>
      <x:c r="D561" t="str">
        <x:v>402</x:v>
      </x:c>
      <x:c r="E561" t="str">
        <x:v>Light beige</x:v>
      </x:c>
      <x:c r="F561" t="n">
        <x:v>2</x:v>
      </x:c>
      <x:c r="G561" t="str">
        <x:v>PY42</x:v>
      </x:c>
      <x:c r="H561" t="str">
        <x:v>PR101/PY42</x:v>
      </x:c>
      <x:c r="I561" t="str">
        <x:v>https://www.carandache.com/content_files/uploaded_doc/product/10595/Colour_Chart_NeoPastel.pdf</x:v>
      </x:c>
    </x:row>
    <x:row r="562">
      <x:c r="A562" t="str">
        <x:v>CDA-NEO-401</x:v>
      </x:c>
      <x:c r="B562" t="str">
        <x:v>NEO</x:v>
      </x:c>
      <x:c r="C562" t="str">
        <x:v>NEOPASTEL</x:v>
      </x:c>
      <x:c r="D562" t="str">
        <x:v>401</x:v>
      </x:c>
      <x:c r="E562" t="str">
        <x:v>Ash grey</x:v>
      </x:c>
      <x:c r="F562" t="n">
        <x:v>1</x:v>
      </x:c>
      <x:c r="G562" t="str">
        <x:v>PBk6</x:v>
      </x:c>
      <x:c r="H562" t="str">
        <x:v>PBk6/PY42</x:v>
      </x:c>
      <x:c r="I562" t="str">
        <x:v>https://www.carandache.com/content_files/uploaded_doc/product/10595/Colour_Chart_NeoPastel.pdf</x:v>
      </x:c>
    </x:row>
    <x:row r="563">
      <x:c r="A563" t="str">
        <x:v>CDA-NEO-401</x:v>
      </x:c>
      <x:c r="B563" t="str">
        <x:v>NEO</x:v>
      </x:c>
      <x:c r="C563" t="str">
        <x:v>NEOPASTEL</x:v>
      </x:c>
      <x:c r="D563" t="str">
        <x:v>401</x:v>
      </x:c>
      <x:c r="E563" t="str">
        <x:v>Ash grey</x:v>
      </x:c>
      <x:c r="F563" t="n">
        <x:v>2</x:v>
      </x:c>
      <x:c r="G563" t="str">
        <x:v>PY42</x:v>
      </x:c>
      <x:c r="H563" t="str">
        <x:v>PBk6/PY42</x:v>
      </x:c>
      <x:c r="I563" t="str">
        <x:v>https://www.carandache.com/content_files/uploaded_doc/product/10595/Colour_Chart_NeoPastel.pdf</x:v>
      </x:c>
    </x:row>
    <x:row r="564">
      <x:c r="A564" t="str">
        <x:v>CDA-NEO-491</x:v>
      </x:c>
      <x:c r="B564" t="str">
        <x:v>NEO</x:v>
      </x:c>
      <x:c r="C564" t="str">
        <x:v>NEOPASTEL</x:v>
      </x:c>
      <x:c r="D564" t="str">
        <x:v>491</x:v>
      </x:c>
      <x:c r="E564" t="str">
        <x:v>Cream</x:v>
      </x:c>
      <x:c r="F564" t="n">
        <x:v>1</x:v>
      </x:c>
      <x:c r="G564" t="str">
        <x:v>PY42</x:v>
      </x:c>
      <x:c r="H564" t="str">
        <x:v>PY42</x:v>
      </x:c>
      <x:c r="I564" t="str">
        <x:v>https://www.carandache.com/content_files/uploaded_doc/product/10595/Colour_Chart_NeoPastel.pdf</x:v>
      </x:c>
    </x:row>
    <x:row r="565">
      <x:c r="A565" t="str">
        <x:v>CDA-NEO-001</x:v>
      </x:c>
      <x:c r="B565" t="str">
        <x:v>NEO</x:v>
      </x:c>
      <x:c r="C565" t="str">
        <x:v>NEOPASTEL</x:v>
      </x:c>
      <x:c r="D565" t="str">
        <x:v>001</x:v>
      </x:c>
      <x:c r="E565" t="str">
        <x:v>White</x:v>
      </x:c>
      <x:c r="F565" t="n">
        <x:v>1</x:v>
      </x:c>
      <x:c r="G565" t="str">
        <x:v>PW6</x:v>
      </x:c>
      <x:c r="H565" t="str">
        <x:v>PW6</x:v>
      </x:c>
      <x:c r="I565" t="str">
        <x:v>https://www.carandache.com/content_files/uploaded_doc/product/10595/Colour_Chart_NeoPastel.pdf</x:v>
      </x:c>
    </x:row>
    <x:row r="566">
      <x:c r="A566" t="str">
        <x:v>CDA-NEO-002</x:v>
      </x:c>
      <x:c r="B566" t="str">
        <x:v>NEO</x:v>
      </x:c>
      <x:c r="C566" t="str">
        <x:v>NEOPASTEL</x:v>
      </x:c>
      <x:c r="D566" t="str">
        <x:v>002</x:v>
      </x:c>
      <x:c r="E566" t="str">
        <x:v>Silver grey</x:v>
      </x:c>
      <x:c r="F566" t="n">
        <x:v>1</x:v>
      </x:c>
      <x:c r="G566" t="str">
        <x:v>PBk6</x:v>
      </x:c>
      <x:c r="H566" t="str">
        <x:v>PBk6/PB15</x:v>
      </x:c>
      <x:c r="I566" t="str">
        <x:v>https://www.carandache.com/content_files/uploaded_doc/product/10595/Colour_Chart_NeoPastel.pdf</x:v>
      </x:c>
    </x:row>
    <x:row r="567">
      <x:c r="A567" t="str">
        <x:v>CDA-NEO-002</x:v>
      </x:c>
      <x:c r="B567" t="str">
        <x:v>NEO</x:v>
      </x:c>
      <x:c r="C567" t="str">
        <x:v>NEOPASTEL</x:v>
      </x:c>
      <x:c r="D567" t="str">
        <x:v>002</x:v>
      </x:c>
      <x:c r="E567" t="str">
        <x:v>Silver grey</x:v>
      </x:c>
      <x:c r="F567" t="n">
        <x:v>2</x:v>
      </x:c>
      <x:c r="G567" t="str">
        <x:v>PB15</x:v>
      </x:c>
      <x:c r="H567" t="str">
        <x:v>PBk6/PB15</x:v>
      </x:c>
      <x:c r="I567" t="str">
        <x:v>https://www.carandache.com/content_files/uploaded_doc/product/10595/Colour_Chart_NeoPastel.pdf</x:v>
      </x:c>
    </x:row>
    <x:row r="568">
      <x:c r="A568" t="str">
        <x:v>CDA-NEO-003</x:v>
      </x:c>
      <x:c r="B568" t="str">
        <x:v>NEO</x:v>
      </x:c>
      <x:c r="C568" t="str">
        <x:v>NEOPASTEL</x:v>
      </x:c>
      <x:c r="D568" t="str">
        <x:v>003</x:v>
      </x:c>
      <x:c r="E568" t="str">
        <x:v>Light grey</x:v>
      </x:c>
      <x:c r="F568" t="n">
        <x:v>1</x:v>
      </x:c>
      <x:c r="G568" t="str">
        <x:v>PBk6</x:v>
      </x:c>
      <x:c r="H568" t="str">
        <x:v>PBk6/PB15</x:v>
      </x:c>
      <x:c r="I568" t="str">
        <x:v>https://www.carandache.com/content_files/uploaded_doc/product/10595/Colour_Chart_NeoPastel.pdf</x:v>
      </x:c>
    </x:row>
    <x:row r="569">
      <x:c r="A569" t="str">
        <x:v>CDA-NEO-003</x:v>
      </x:c>
      <x:c r="B569" t="str">
        <x:v>NEO</x:v>
      </x:c>
      <x:c r="C569" t="str">
        <x:v>NEOPASTEL</x:v>
      </x:c>
      <x:c r="D569" t="str">
        <x:v>003</x:v>
      </x:c>
      <x:c r="E569" t="str">
        <x:v>Light grey</x:v>
      </x:c>
      <x:c r="F569" t="n">
        <x:v>2</x:v>
      </x:c>
      <x:c r="G569" t="str">
        <x:v>PB15</x:v>
      </x:c>
      <x:c r="H569" t="str">
        <x:v>PBk6/PB15</x:v>
      </x:c>
      <x:c r="I569" t="str">
        <x:v>https://www.carandache.com/content_files/uploaded_doc/product/10595/Colour_Chart_NeoPastel.pdf</x:v>
      </x:c>
    </x:row>
    <x:row r="570">
      <x:c r="A570" t="str">
        <x:v>CDA-NEO-004</x:v>
      </x:c>
      <x:c r="B570" t="str">
        <x:v>NEO</x:v>
      </x:c>
      <x:c r="C570" t="str">
        <x:v>NEOPASTEL</x:v>
      </x:c>
      <x:c r="D570" t="str">
        <x:v>004</x:v>
      </x:c>
      <x:c r="E570" t="str">
        <x:v>Steel grey</x:v>
      </x:c>
      <x:c r="F570" t="n">
        <x:v>1</x:v>
      </x:c>
      <x:c r="G570" t="str">
        <x:v>PY184</x:v>
      </x:c>
      <x:c r="H570" t="str">
        <x:v>PY184/PBk6/PB15</x:v>
      </x:c>
      <x:c r="I570" t="str">
        <x:v>https://www.carandache.com/content_files/uploaded_doc/product/10595/Colour_Chart_NeoPastel.pdf</x:v>
      </x:c>
    </x:row>
    <x:row r="571">
      <x:c r="A571" t="str">
        <x:v>CDA-NEO-004</x:v>
      </x:c>
      <x:c r="B571" t="str">
        <x:v>NEO</x:v>
      </x:c>
      <x:c r="C571" t="str">
        <x:v>NEOPASTEL</x:v>
      </x:c>
      <x:c r="D571" t="str">
        <x:v>004</x:v>
      </x:c>
      <x:c r="E571" t="str">
        <x:v>Steel grey</x:v>
      </x:c>
      <x:c r="F571" t="n">
        <x:v>2</x:v>
      </x:c>
      <x:c r="G571" t="str">
        <x:v>PBk6</x:v>
      </x:c>
      <x:c r="H571" t="str">
        <x:v>PY184/PBk6/PB15</x:v>
      </x:c>
      <x:c r="I571" t="str">
        <x:v>https://www.carandache.com/content_files/uploaded_doc/product/10595/Colour_Chart_NeoPastel.pdf</x:v>
      </x:c>
    </x:row>
    <x:row r="572">
      <x:c r="A572" t="str">
        <x:v>CDA-NEO-004</x:v>
      </x:c>
      <x:c r="B572" t="str">
        <x:v>NEO</x:v>
      </x:c>
      <x:c r="C572" t="str">
        <x:v>NEOPASTEL</x:v>
      </x:c>
      <x:c r="D572" t="str">
        <x:v>004</x:v>
      </x:c>
      <x:c r="E572" t="str">
        <x:v>Steel grey</x:v>
      </x:c>
      <x:c r="F572" t="n">
        <x:v>3</x:v>
      </x:c>
      <x:c r="G572" t="str">
        <x:v>PB15</x:v>
      </x:c>
      <x:c r="H572" t="str">
        <x:v>PY184/PBk6/PB15</x:v>
      </x:c>
      <x:c r="I572" t="str">
        <x:v>https://www.carandache.com/content_files/uploaded_doc/product/10595/Colour_Chart_NeoPastel.pdf</x:v>
      </x:c>
    </x:row>
    <x:row r="573">
      <x:c r="A573" t="str">
        <x:v>CDA-NEO-005</x:v>
      </x:c>
      <x:c r="B573" t="str">
        <x:v>NEO</x:v>
      </x:c>
      <x:c r="C573" t="str">
        <x:v>NEOPASTEL</x:v>
      </x:c>
      <x:c r="D573" t="str">
        <x:v>005</x:v>
      </x:c>
      <x:c r="E573" t="str">
        <x:v>Grey</x:v>
      </x:c>
      <x:c r="F573" t="n">
        <x:v>1</x:v>
      </x:c>
      <x:c r="G573" t="str">
        <x:v>PBk6</x:v>
      </x:c>
      <x:c r="H573" t="str">
        <x:v>PBk6/PB15/PY1</x:v>
      </x:c>
      <x:c r="I573" t="str">
        <x:v>https://www.carandache.com/content_files/uploaded_doc/product/10595/Colour_Chart_NeoPastel.pdf</x:v>
      </x:c>
    </x:row>
    <x:row r="574">
      <x:c r="A574" t="str">
        <x:v>CDA-NEO-005</x:v>
      </x:c>
      <x:c r="B574" t="str">
        <x:v>NEO</x:v>
      </x:c>
      <x:c r="C574" t="str">
        <x:v>NEOPASTEL</x:v>
      </x:c>
      <x:c r="D574" t="str">
        <x:v>005</x:v>
      </x:c>
      <x:c r="E574" t="str">
        <x:v>Grey</x:v>
      </x:c>
      <x:c r="F574" t="n">
        <x:v>2</x:v>
      </x:c>
      <x:c r="G574" t="str">
        <x:v>PB15</x:v>
      </x:c>
      <x:c r="H574" t="str">
        <x:v>PBk6/PB15/PY1</x:v>
      </x:c>
      <x:c r="I574" t="str">
        <x:v>https://www.carandache.com/content_files/uploaded_doc/product/10595/Colour_Chart_NeoPastel.pdf</x:v>
      </x:c>
    </x:row>
    <x:row r="575">
      <x:c r="A575" t="str">
        <x:v>CDA-NEO-005</x:v>
      </x:c>
      <x:c r="B575" t="str">
        <x:v>NEO</x:v>
      </x:c>
      <x:c r="C575" t="str">
        <x:v>NEOPASTEL</x:v>
      </x:c>
      <x:c r="D575" t="str">
        <x:v>005</x:v>
      </x:c>
      <x:c r="E575" t="str">
        <x:v>Grey</x:v>
      </x:c>
      <x:c r="F575" t="n">
        <x:v>3</x:v>
      </x:c>
      <x:c r="G575" t="str">
        <x:v>PY1</x:v>
      </x:c>
      <x:c r="H575" t="str">
        <x:v>PBk6/PB15/PY1</x:v>
      </x:c>
      <x:c r="I575" t="str">
        <x:v>https://www.carandache.com/content_files/uploaded_doc/product/10595/Colour_Chart_NeoPastel.pdf</x:v>
      </x:c>
    </x:row>
    <x:row r="576">
      <x:c r="A576" t="str">
        <x:v>CDA-NEO-006</x:v>
      </x:c>
      <x:c r="B576" t="str">
        <x:v>NEO</x:v>
      </x:c>
      <x:c r="C576" t="str">
        <x:v>NEOPASTEL</x:v>
      </x:c>
      <x:c r="D576" t="str">
        <x:v>006</x:v>
      </x:c>
      <x:c r="E576" t="str">
        <x:v>Mouse grey</x:v>
      </x:c>
      <x:c r="F576" t="n">
        <x:v>1</x:v>
      </x:c>
      <x:c r="G576" t="str">
        <x:v>PY184</x:v>
      </x:c>
      <x:c r="H576" t="str">
        <x:v>PY184/PBk6/PB15</x:v>
      </x:c>
      <x:c r="I576" t="str">
        <x:v>https://www.carandache.com/content_files/uploaded_doc/product/10595/Colour_Chart_NeoPastel.pdf</x:v>
      </x:c>
    </x:row>
    <x:row r="577">
      <x:c r="A577" t="str">
        <x:v>CDA-NEO-006</x:v>
      </x:c>
      <x:c r="B577" t="str">
        <x:v>NEO</x:v>
      </x:c>
      <x:c r="C577" t="str">
        <x:v>NEOPASTEL</x:v>
      </x:c>
      <x:c r="D577" t="str">
        <x:v>006</x:v>
      </x:c>
      <x:c r="E577" t="str">
        <x:v>Mouse grey</x:v>
      </x:c>
      <x:c r="F577" t="n">
        <x:v>2</x:v>
      </x:c>
      <x:c r="G577" t="str">
        <x:v>PBk6</x:v>
      </x:c>
      <x:c r="H577" t="str">
        <x:v>PY184/PBk6/PB15</x:v>
      </x:c>
      <x:c r="I577" t="str">
        <x:v>https://www.carandache.com/content_files/uploaded_doc/product/10595/Colour_Chart_NeoPastel.pdf</x:v>
      </x:c>
    </x:row>
    <x:row r="578">
      <x:c r="A578" t="str">
        <x:v>CDA-NEO-006</x:v>
      </x:c>
      <x:c r="B578" t="str">
        <x:v>NEO</x:v>
      </x:c>
      <x:c r="C578" t="str">
        <x:v>NEOPASTEL</x:v>
      </x:c>
      <x:c r="D578" t="str">
        <x:v>006</x:v>
      </x:c>
      <x:c r="E578" t="str">
        <x:v>Mouse grey</x:v>
      </x:c>
      <x:c r="F578" t="n">
        <x:v>3</x:v>
      </x:c>
      <x:c r="G578" t="str">
        <x:v>PB15</x:v>
      </x:c>
      <x:c r="H578" t="str">
        <x:v>PY184/PBk6/PB15</x:v>
      </x:c>
      <x:c r="I578" t="str">
        <x:v>https://www.carandache.com/content_files/uploaded_doc/product/10595/Colour_Chart_NeoPastel.pdf</x:v>
      </x:c>
    </x:row>
    <x:row r="579">
      <x:c r="A579" t="str">
        <x:v>CDA-NEO-007</x:v>
      </x:c>
      <x:c r="B579" t="str">
        <x:v>NEO</x:v>
      </x:c>
      <x:c r="C579" t="str">
        <x:v>NEOPASTEL</x:v>
      </x:c>
      <x:c r="D579" t="str">
        <x:v>007</x:v>
      </x:c>
      <x:c r="E579" t="str">
        <x:v>Dark grey</x:v>
      </x:c>
      <x:c r="F579" t="n">
        <x:v>1</x:v>
      </x:c>
      <x:c r="G579" t="str">
        <x:v>PY3</x:v>
      </x:c>
      <x:c r="H579" t="str">
        <x:v>PY3/PBk6/PB15</x:v>
      </x:c>
      <x:c r="I579" t="str">
        <x:v>https://www.carandache.com/content_files/uploaded_doc/product/10595/Colour_Chart_NeoPastel.pdf</x:v>
      </x:c>
    </x:row>
    <x:row r="580">
      <x:c r="A580" t="str">
        <x:v>CDA-NEO-007</x:v>
      </x:c>
      <x:c r="B580" t="str">
        <x:v>NEO</x:v>
      </x:c>
      <x:c r="C580" t="str">
        <x:v>NEOPASTEL</x:v>
      </x:c>
      <x:c r="D580" t="str">
        <x:v>007</x:v>
      </x:c>
      <x:c r="E580" t="str">
        <x:v>Dark grey</x:v>
      </x:c>
      <x:c r="F580" t="n">
        <x:v>2</x:v>
      </x:c>
      <x:c r="G580" t="str">
        <x:v>PBk6</x:v>
      </x:c>
      <x:c r="H580" t="str">
        <x:v>PY3/PBk6/PB15</x:v>
      </x:c>
      <x:c r="I580" t="str">
        <x:v>https://www.carandache.com/content_files/uploaded_doc/product/10595/Colour_Chart_NeoPastel.pdf</x:v>
      </x:c>
    </x:row>
    <x:row r="581">
      <x:c r="A581" t="str">
        <x:v>CDA-NEO-007</x:v>
      </x:c>
      <x:c r="B581" t="str">
        <x:v>NEO</x:v>
      </x:c>
      <x:c r="C581" t="str">
        <x:v>NEOPASTEL</x:v>
      </x:c>
      <x:c r="D581" t="str">
        <x:v>007</x:v>
      </x:c>
      <x:c r="E581" t="str">
        <x:v>Dark grey</x:v>
      </x:c>
      <x:c r="F581" t="n">
        <x:v>3</x:v>
      </x:c>
      <x:c r="G581" t="str">
        <x:v>PB15</x:v>
      </x:c>
      <x:c r="H581" t="str">
        <x:v>PY3/PBk6/PB15</x:v>
      </x:c>
      <x:c r="I581" t="str">
        <x:v>https://www.carandache.com/content_files/uploaded_doc/product/10595/Colour_Chart_NeoPastel.pdf</x:v>
      </x:c>
    </x:row>
    <x:row r="582">
      <x:c r="A582" t="str">
        <x:v>CDA-NEO-008</x:v>
      </x:c>
      <x:c r="B582" t="str">
        <x:v>NEO</x:v>
      </x:c>
      <x:c r="C582" t="str">
        <x:v>NEOPASTEL</x:v>
      </x:c>
      <x:c r="D582" t="str">
        <x:v>008</x:v>
      </x:c>
      <x:c r="E582" t="str">
        <x:v>Greyish black</x:v>
      </x:c>
      <x:c r="F582" t="n">
        <x:v>1</x:v>
      </x:c>
      <x:c r="G582" t="str">
        <x:v>PY184</x:v>
      </x:c>
      <x:c r="H582" t="str">
        <x:v>PY184/PBk6/PB15</x:v>
      </x:c>
      <x:c r="I582" t="str">
        <x:v>https://www.carandache.com/content_files/uploaded_doc/product/10595/Colour_Chart_NeoPastel.pdf</x:v>
      </x:c>
    </x:row>
    <x:row r="583">
      <x:c r="A583" t="str">
        <x:v>CDA-NEO-008</x:v>
      </x:c>
      <x:c r="B583" t="str">
        <x:v>NEO</x:v>
      </x:c>
      <x:c r="C583" t="str">
        <x:v>NEOPASTEL</x:v>
      </x:c>
      <x:c r="D583" t="str">
        <x:v>008</x:v>
      </x:c>
      <x:c r="E583" t="str">
        <x:v>Greyish black</x:v>
      </x:c>
      <x:c r="F583" t="n">
        <x:v>2</x:v>
      </x:c>
      <x:c r="G583" t="str">
        <x:v>PBk6</x:v>
      </x:c>
      <x:c r="H583" t="str">
        <x:v>PY184/PBk6/PB15</x:v>
      </x:c>
      <x:c r="I583" t="str">
        <x:v>https://www.carandache.com/content_files/uploaded_doc/product/10595/Colour_Chart_NeoPastel.pdf</x:v>
      </x:c>
    </x:row>
    <x:row r="584">
      <x:c r="A584" t="str">
        <x:v>CDA-NEO-008</x:v>
      </x:c>
      <x:c r="B584" t="str">
        <x:v>NEO</x:v>
      </x:c>
      <x:c r="C584" t="str">
        <x:v>NEOPASTEL</x:v>
      </x:c>
      <x:c r="D584" t="str">
        <x:v>008</x:v>
      </x:c>
      <x:c r="E584" t="str">
        <x:v>Greyish black</x:v>
      </x:c>
      <x:c r="F584" t="n">
        <x:v>3</x:v>
      </x:c>
      <x:c r="G584" t="str">
        <x:v>PB15</x:v>
      </x:c>
      <x:c r="H584" t="str">
        <x:v>PY184/PBk6/PB15</x:v>
      </x:c>
      <x:c r="I584" t="str">
        <x:v>https://www.carandache.com/content_files/uploaded_doc/product/10595/Colour_Chart_NeoPastel.pdf</x:v>
      </x:c>
    </x:row>
    <x:row r="585">
      <x:c r="A585" t="str">
        <x:v>CDA-NEO-009</x:v>
      </x:c>
      <x:c r="B585" t="str">
        <x:v>NEO</x:v>
      </x:c>
      <x:c r="C585" t="str">
        <x:v>NEOPASTEL</x:v>
      </x:c>
      <x:c r="D585" t="str">
        <x:v>009</x:v>
      </x:c>
      <x:c r="E585" t="str">
        <x:v>Black</x:v>
      </x:c>
      <x:c r="F585" t="n">
        <x:v>1</x:v>
      </x:c>
      <x:c r="G585" t="str">
        <x:v>PBk6</x:v>
      </x:c>
      <x:c r="H585" t="str">
        <x:v>PBk6</x:v>
      </x:c>
      <x:c r="I585" t="str">
        <x:v>https://www.carandache.com/content_files/uploaded_doc/product/10595/Colour_Chart_NeoPastel.pdf</x:v>
      </x:c>
    </x:row>
    <x:row r="586">
      <x:c r="A586" t="str">
        <x:v>CDA-NEO-498</x:v>
      </x:c>
      <x:c r="B586" t="str">
        <x:v>NEO</x:v>
      </x:c>
      <x:c r="C586" t="str">
        <x:v>NEOPASTEL</x:v>
      </x:c>
      <x:c r="D586" t="str">
        <x:v>498</x:v>
      </x:c>
      <x:c r="E586" t="str">
        <x:v>Silver</x:v>
      </x:c>
      <x:c r="F586" t="n">
        <x:v>1</x:v>
      </x:c>
      <x:c r="G586" t="str">
        <x:v>Aluminium powder</x:v>
      </x:c>
      <x:c r="H586" t="str">
        <x:v>Aluminium powder</x:v>
      </x:c>
      <x:c r="I586" t="str">
        <x:v>https://www.carandache.com/content_files/uploaded_doc/product/10595/Colour_Chart_NeoPastel.pdf</x:v>
      </x:c>
    </x:row>
    <x:row r="587">
      <x:c r="A587" t="str">
        <x:v>CDA-NEO-497</x:v>
      </x:c>
      <x:c r="B587" t="str">
        <x:v>NEO</x:v>
      </x:c>
      <x:c r="C587" t="str">
        <x:v>NEOPASTEL</x:v>
      </x:c>
      <x:c r="D587" t="str">
        <x:v>497</x:v>
      </x:c>
      <x:c r="E587" t="str">
        <x:v>Bronze</x:v>
      </x:c>
      <x:c r="F587" t="n">
        <x:v>1</x:v>
      </x:c>
      <x:c r="G587" t="str">
        <x:v>Aluminium powder</x:v>
      </x:c>
      <x:c r="H587" t="str">
        <x:v>Aluminium powder/PO34/PR188/PY3</x:v>
      </x:c>
      <x:c r="I587" t="str">
        <x:v>https://www.carandache.com/content_files/uploaded_doc/product/10595/Colour_Chart_NeoPastel.pdf</x:v>
      </x:c>
    </x:row>
    <x:row r="588">
      <x:c r="A588" t="str">
        <x:v>CDA-NEO-497</x:v>
      </x:c>
      <x:c r="B588" t="str">
        <x:v>NEO</x:v>
      </x:c>
      <x:c r="C588" t="str">
        <x:v>NEOPASTEL</x:v>
      </x:c>
      <x:c r="D588" t="str">
        <x:v>497</x:v>
      </x:c>
      <x:c r="E588" t="str">
        <x:v>Bronze</x:v>
      </x:c>
      <x:c r="F588" t="n">
        <x:v>2</x:v>
      </x:c>
      <x:c r="G588" t="str">
        <x:v>PO34</x:v>
      </x:c>
      <x:c r="H588" t="str">
        <x:v>Aluminium powder/PO34/PR188/PY3</x:v>
      </x:c>
      <x:c r="I588" t="str">
        <x:v>https://www.carandache.com/content_files/uploaded_doc/product/10595/Colour_Chart_NeoPastel.pdf</x:v>
      </x:c>
    </x:row>
    <x:row r="589">
      <x:c r="A589" t="str">
        <x:v>CDA-NEO-497</x:v>
      </x:c>
      <x:c r="B589" t="str">
        <x:v>NEO</x:v>
      </x:c>
      <x:c r="C589" t="str">
        <x:v>NEOPASTEL</x:v>
      </x:c>
      <x:c r="D589" t="str">
        <x:v>497</x:v>
      </x:c>
      <x:c r="E589" t="str">
        <x:v>Bronze</x:v>
      </x:c>
      <x:c r="F589" t="n">
        <x:v>3</x:v>
      </x:c>
      <x:c r="G589" t="str">
        <x:v>PR188</x:v>
      </x:c>
      <x:c r="H589" t="str">
        <x:v>Aluminium powder/PO34/PR188/PY3</x:v>
      </x:c>
      <x:c r="I589" t="str">
        <x:v>https://www.carandache.com/content_files/uploaded_doc/product/10595/Colour_Chart_NeoPastel.pdf</x:v>
      </x:c>
    </x:row>
    <x:row r="590">
      <x:c r="A590" t="str">
        <x:v>CDA-NEO-497</x:v>
      </x:c>
      <x:c r="B590" t="str">
        <x:v>NEO</x:v>
      </x:c>
      <x:c r="C590" t="str">
        <x:v>NEOPASTEL</x:v>
      </x:c>
      <x:c r="D590" t="str">
        <x:v>497</x:v>
      </x:c>
      <x:c r="E590" t="str">
        <x:v>Bronze</x:v>
      </x:c>
      <x:c r="F590" t="n">
        <x:v>4</x:v>
      </x:c>
      <x:c r="G590" t="str">
        <x:v>PY3</x:v>
      </x:c>
      <x:c r="H590" t="str">
        <x:v>Aluminium powder/PO34/PR188/PY3</x:v>
      </x:c>
      <x:c r="I590" t="str">
        <x:v>https://www.carandache.com/content_files/uploaded_doc/product/10595/Colour_Chart_NeoPastel.pdf</x:v>
      </x:c>
    </x:row>
    <x:row r="591">
      <x:c r="A591" t="str">
        <x:v>CDA-NEO-499</x:v>
      </x:c>
      <x:c r="B591" t="str">
        <x:v>NEO</x:v>
      </x:c>
      <x:c r="C591" t="str">
        <x:v>NEOPASTEL</x:v>
      </x:c>
      <x:c r="D591" t="str">
        <x:v>499</x:v>
      </x:c>
      <x:c r="E591" t="str">
        <x:v>Gold</x:v>
      </x:c>
      <x:c r="F591" t="n">
        <x:v>1</x:v>
      </x:c>
      <x:c r="G591" t="str">
        <x:v>Aluminium powder</x:v>
      </x:c>
      <x:c r="H591" t="str">
        <x:v>Aluminium powder/PY13/PO61/PR112</x:v>
      </x:c>
      <x:c r="I591" t="str">
        <x:v>https://www.carandache.com/content_files/uploaded_doc/product/10595/Colour_Chart_NeoPastel.pdf</x:v>
      </x:c>
    </x:row>
    <x:row r="592">
      <x:c r="A592" t="str">
        <x:v>CDA-NEO-499</x:v>
      </x:c>
      <x:c r="B592" t="str">
        <x:v>NEO</x:v>
      </x:c>
      <x:c r="C592" t="str">
        <x:v>NEOPASTEL</x:v>
      </x:c>
      <x:c r="D592" t="str">
        <x:v>499</x:v>
      </x:c>
      <x:c r="E592" t="str">
        <x:v>Gold</x:v>
      </x:c>
      <x:c r="F592" t="n">
        <x:v>2</x:v>
      </x:c>
      <x:c r="G592" t="str">
        <x:v>PY13</x:v>
      </x:c>
      <x:c r="H592" t="str">
        <x:v>Aluminium powder/PY13/PO61/PR112</x:v>
      </x:c>
      <x:c r="I592" t="str">
        <x:v>https://www.carandache.com/content_files/uploaded_doc/product/10595/Colour_Chart_NeoPastel.pdf</x:v>
      </x:c>
    </x:row>
    <x:row r="593">
      <x:c r="A593" t="str">
        <x:v>CDA-NEO-499</x:v>
      </x:c>
      <x:c r="B593" t="str">
        <x:v>NEO</x:v>
      </x:c>
      <x:c r="C593" t="str">
        <x:v>NEOPASTEL</x:v>
      </x:c>
      <x:c r="D593" t="str">
        <x:v>499</x:v>
      </x:c>
      <x:c r="E593" t="str">
        <x:v>Gold</x:v>
      </x:c>
      <x:c r="F593" t="n">
        <x:v>3</x:v>
      </x:c>
      <x:c r="G593" t="str">
        <x:v>PO61</x:v>
      </x:c>
      <x:c r="H593" t="str">
        <x:v>Aluminium powder/PY13/PO61/PR112</x:v>
      </x:c>
      <x:c r="I593" t="str">
        <x:v>https://www.carandache.com/content_files/uploaded_doc/product/10595/Colour_Chart_NeoPastel.pdf</x:v>
      </x:c>
    </x:row>
    <x:row r="594">
      <x:c r="A594" t="str">
        <x:v>CDA-NEO-499</x:v>
      </x:c>
      <x:c r="B594" t="str">
        <x:v>NEO</x:v>
      </x:c>
      <x:c r="C594" t="str">
        <x:v>NEOPASTEL</x:v>
      </x:c>
      <x:c r="D594" t="str">
        <x:v>499</x:v>
      </x:c>
      <x:c r="E594" t="str">
        <x:v>Gold</x:v>
      </x:c>
      <x:c r="F594" t="n">
        <x:v>4</x:v>
      </x:c>
      <x:c r="G594" t="str">
        <x:v>PR112</x:v>
      </x:c>
      <x:c r="H594" t="str">
        <x:v>Aluminium powder/PY13/PO61/PR112</x:v>
      </x:c>
      <x:c r="I594" t="str">
        <x:v>https://www.carandache.com/content_files/uploaded_doc/product/10595/Colour_Chart_NeoPastel.pdf</x:v>
      </x:c>
    </x:row>
    <x:row r="595">
      <x:c r="A595" t="str">
        <x:v>CDA-PSTP-901</x:v>
      </x:c>
      <x:c r="B595" t="str">
        <x:v>PSTP</x:v>
      </x:c>
      <x:c r="C595" t="str">
        <x:v>PASTEL PENCILS</x:v>
      </x:c>
      <x:c r="D595" t="str">
        <x:v>901</x:v>
      </x:c>
      <x:c r="E595" t="str">
        <x:v>Chinese White</x:v>
      </x:c>
      <x:c r="F595" t="n">
        <x:v>1</x:v>
      </x:c>
      <x:c r="G595" t="str">
        <x:v>PW6</x:v>
      </x:c>
      <x:c r="H595" t="str">
        <x:v>PW6</x:v>
      </x:c>
      <x:c r="I595" t="str">
        <x:v>https://www.carandache.com/content_files/uploaded_doc/product/10985/Colour_Chart_Pastel_Pencil.pdf</x:v>
      </x:c>
    </x:row>
    <x:row r="596">
      <x:c r="A596" t="str">
        <x:v>CDA-PSTP-811</x:v>
      </x:c>
      <x:c r="B596" t="str">
        <x:v>PSTP</x:v>
      </x:c>
      <x:c r="C596" t="str">
        <x:v>PASTEL PENCILS</x:v>
      </x:c>
      <x:c r="D596" t="str">
        <x:v>811</x:v>
      </x:c>
      <x:c r="E596" t="str">
        <x:v>Bismuth white</x:v>
      </x:c>
      <x:c r="F596" t="n">
        <x:v>1</x:v>
      </x:c>
      <x:c r="G596" t="str">
        <x:v>PW6</x:v>
      </x:c>
      <x:c r="H596" t="str">
        <x:v>PW6/PY184</x:v>
      </x:c>
      <x:c r="I596" t="str">
        <x:v>https://www.carandache.com/content_files/uploaded_doc/product/10985/Colour_Chart_Pastel_Pencil.pdf</x:v>
      </x:c>
    </x:row>
    <x:row r="597">
      <x:c r="A597" t="str">
        <x:v>CDA-PSTP-811</x:v>
      </x:c>
      <x:c r="B597" t="str">
        <x:v>PSTP</x:v>
      </x:c>
      <x:c r="C597" t="str">
        <x:v>PASTEL PENCILS</x:v>
      </x:c>
      <x:c r="D597" t="str">
        <x:v>811</x:v>
      </x:c>
      <x:c r="E597" t="str">
        <x:v>Bismuth white</x:v>
      </x:c>
      <x:c r="F597" t="n">
        <x:v>2</x:v>
      </x:c>
      <x:c r="G597" t="str">
        <x:v>PY184</x:v>
      </x:c>
      <x:c r="H597" t="str">
        <x:v>PW6/PY184</x:v>
      </x:c>
      <x:c r="I597" t="str">
        <x:v>https://www.carandache.com/content_files/uploaded_doc/product/10985/Colour_Chart_Pastel_Pencil.pdf</x:v>
      </x:c>
    </x:row>
    <x:row r="598">
      <x:c r="A598" t="str">
        <x:v>CDA-PSTP-011</x:v>
      </x:c>
      <x:c r="B598" t="str">
        <x:v>PSTP</x:v>
      </x:c>
      <x:c r="C598" t="str">
        <x:v>PASTEL PENCILS</x:v>
      </x:c>
      <x:c r="D598" t="str">
        <x:v>011</x:v>
      </x:c>
      <x:c r="E598" t="str">
        <x:v>Pale yellow</x:v>
      </x:c>
      <x:c r="F598" t="n">
        <x:v>1</x:v>
      </x:c>
      <x:c r="G598" t="str">
        <x:v>PY151</x:v>
      </x:c>
      <x:c r="H598" t="str">
        <x:v>PY151/PY42</x:v>
      </x:c>
      <x:c r="I598" t="str">
        <x:v>https://www.carandache.com/content_files/uploaded_doc/product/10985/Colour_Chart_Pastel_Pencil.pdf</x:v>
      </x:c>
    </x:row>
    <x:row r="599">
      <x:c r="A599" t="str">
        <x:v>CDA-PSTP-011</x:v>
      </x:c>
      <x:c r="B599" t="str">
        <x:v>PSTP</x:v>
      </x:c>
      <x:c r="C599" t="str">
        <x:v>PASTEL PENCILS</x:v>
      </x:c>
      <x:c r="D599" t="str">
        <x:v>011</x:v>
      </x:c>
      <x:c r="E599" t="str">
        <x:v>Pale yellow</x:v>
      </x:c>
      <x:c r="F599" t="n">
        <x:v>2</x:v>
      </x:c>
      <x:c r="G599" t="str">
        <x:v>PY42</x:v>
      </x:c>
      <x:c r="H599" t="str">
        <x:v>PY151/PY42</x:v>
      </x:c>
      <x:c r="I599" t="str">
        <x:v>https://www.carandache.com/content_files/uploaded_doc/product/10985/Colour_Chart_Pastel_Pencil.pdf</x:v>
      </x:c>
    </x:row>
    <x:row r="600">
      <x:c r="A600" t="str">
        <x:v>CDA-PSTP-241</x:v>
      </x:c>
      <x:c r="B600" t="str">
        <x:v>PSTP</x:v>
      </x:c>
      <x:c r="C600" t="str">
        <x:v>PASTEL PENCILS</x:v>
      </x:c>
      <x:c r="D600" t="str">
        <x:v>241</x:v>
      </x:c>
      <x:c r="E600" t="str">
        <x:v>Light lemon yellow</x:v>
      </x:c>
      <x:c r="F600" t="n">
        <x:v>1</x:v>
      </x:c>
      <x:c r="G600" t="str">
        <x:v>PY53</x:v>
      </x:c>
      <x:c r="H600" t="str">
        <x:v>PY53</x:v>
      </x:c>
      <x:c r="I600" t="str">
        <x:v>https://www.carandache.com/content_files/uploaded_doc/product/10985/Colour_Chart_Pastel_Pencil.pdf</x:v>
      </x:c>
    </x:row>
    <x:row r="601">
      <x:c r="A601" t="str">
        <x:v>CDA-PSTP-821</x:v>
      </x:c>
      <x:c r="B601" t="str">
        <x:v>PSTP</x:v>
      </x:c>
      <x:c r="C601" t="str">
        <x:v>PASTEL PENCILS</x:v>
      </x:c>
      <x:c r="D601" t="str">
        <x:v>821</x:v>
      </x:c>
      <x:c r="E601" t="str">
        <x:v>Naples ochre</x:v>
      </x:c>
      <x:c r="F601" t="n">
        <x:v>1</x:v>
      </x:c>
      <x:c r="G601" t="str">
        <x:v>PY184</x:v>
      </x:c>
      <x:c r="H601" t="str">
        <x:v>PY184/PY42/PY3</x:v>
      </x:c>
      <x:c r="I601" t="str">
        <x:v>https://www.carandache.com/content_files/uploaded_doc/product/10985/Colour_Chart_Pastel_Pencil.pdf</x:v>
      </x:c>
    </x:row>
    <x:row r="602">
      <x:c r="A602" t="str">
        <x:v>CDA-PSTP-821</x:v>
      </x:c>
      <x:c r="B602" t="str">
        <x:v>PSTP</x:v>
      </x:c>
      <x:c r="C602" t="str">
        <x:v>PASTEL PENCILS</x:v>
      </x:c>
      <x:c r="D602" t="str">
        <x:v>821</x:v>
      </x:c>
      <x:c r="E602" t="str">
        <x:v>Naples ochre</x:v>
      </x:c>
      <x:c r="F602" t="n">
        <x:v>2</x:v>
      </x:c>
      <x:c r="G602" t="str">
        <x:v>PY42</x:v>
      </x:c>
      <x:c r="H602" t="str">
        <x:v>PY184/PY42/PY3</x:v>
      </x:c>
      <x:c r="I602" t="str">
        <x:v>https://www.carandache.com/content_files/uploaded_doc/product/10985/Colour_Chart_Pastel_Pencil.pdf</x:v>
      </x:c>
    </x:row>
    <x:row r="603">
      <x:c r="A603" t="str">
        <x:v>CDA-PSTP-821</x:v>
      </x:c>
      <x:c r="B603" t="str">
        <x:v>PSTP</x:v>
      </x:c>
      <x:c r="C603" t="str">
        <x:v>PASTEL PENCILS</x:v>
      </x:c>
      <x:c r="D603" t="str">
        <x:v>821</x:v>
      </x:c>
      <x:c r="E603" t="str">
        <x:v>Naples ochre</x:v>
      </x:c>
      <x:c r="F603" t="n">
        <x:v>3</x:v>
      </x:c>
      <x:c r="G603" t="str">
        <x:v>PY3</x:v>
      </x:c>
      <x:c r="H603" t="str">
        <x:v>PY184/PY42/PY3</x:v>
      </x:c>
      <x:c r="I603" t="str">
        <x:v>https://www.carandache.com/content_files/uploaded_doc/product/10985/Colour_Chart_Pastel_Pencil.pdf</x:v>
      </x:c>
    </x:row>
    <x:row r="604">
      <x:c r="A604" t="str">
        <x:v>CDA-PSTP-240</x:v>
      </x:c>
      <x:c r="B604" t="str">
        <x:v>PSTP</x:v>
      </x:c>
      <x:c r="C604" t="str">
        <x:v>PASTEL PENCILS</x:v>
      </x:c>
      <x:c r="D604" t="str">
        <x:v>240</x:v>
      </x:c>
      <x:c r="E604" t="str">
        <x:v>Lemon Yellow</x:v>
      </x:c>
      <x:c r="F604" t="n">
        <x:v>1</x:v>
      </x:c>
      <x:c r="G604" t="str">
        <x:v>PY3</x:v>
      </x:c>
      <x:c r="H604" t="str">
        <x:v>PY3</x:v>
      </x:c>
      <x:c r="I604" t="str">
        <x:v>https://www.carandache.com/content_files/uploaded_doc/product/10985/Colour_Chart_Pastel_Pencil.pdf</x:v>
      </x:c>
    </x:row>
    <x:row r="605">
      <x:c r="A605" t="str">
        <x:v>CDA-PSTP-820</x:v>
      </x:c>
      <x:c r="B605" t="str">
        <x:v>PSTP</x:v>
      </x:c>
      <x:c r="C605" t="str">
        <x:v>PASTEL PENCILS</x:v>
      </x:c>
      <x:c r="D605" t="str">
        <x:v>820</x:v>
      </x:c>
      <x:c r="E605" t="str">
        <x:v>Golden Bismuth yellow</x:v>
      </x:c>
      <x:c r="F605" t="n">
        <x:v>1</x:v>
      </x:c>
      <x:c r="G605" t="str">
        <x:v>PY184</x:v>
      </x:c>
      <x:c r="H605" t="str">
        <x:v>PY184</x:v>
      </x:c>
      <x:c r="I605" t="str">
        <x:v>https://www.carandache.com/content_files/uploaded_doc/product/10985/Colour_Chart_Pastel_Pencil.pdf</x:v>
      </x:c>
    </x:row>
    <x:row r="606">
      <x:c r="A606" t="str">
        <x:v>CDA-PSTP-512</x:v>
      </x:c>
      <x:c r="B606" t="str">
        <x:v>PSTP</x:v>
      </x:c>
      <x:c r="C606" t="str">
        <x:v>PASTEL PENCILS</x:v>
      </x:c>
      <x:c r="D606" t="str">
        <x:v>512</x:v>
      </x:c>
      <x:c r="E606" t="str">
        <x:v>Light cadmium yellow</x:v>
      </x:c>
      <x:c r="F606" t="n">
        <x:v>1</x:v>
      </x:c>
      <x:c r="G606" t="str">
        <x:v>PY3</x:v>
      </x:c>
      <x:c r="H606" t="str">
        <x:v>PY3/PY74</x:v>
      </x:c>
      <x:c r="I606" t="str">
        <x:v>https://www.carandache.com/content_files/uploaded_doc/product/10985/Colour_Chart_Pastel_Pencil.pdf</x:v>
      </x:c>
    </x:row>
    <x:row r="607">
      <x:c r="A607" t="str">
        <x:v>CDA-PSTP-512</x:v>
      </x:c>
      <x:c r="B607" t="str">
        <x:v>PSTP</x:v>
      </x:c>
      <x:c r="C607" t="str">
        <x:v>PASTEL PENCILS</x:v>
      </x:c>
      <x:c r="D607" t="str">
        <x:v>512</x:v>
      </x:c>
      <x:c r="E607" t="str">
        <x:v>Light cadmium yellow</x:v>
      </x:c>
      <x:c r="F607" t="n">
        <x:v>2</x:v>
      </x:c>
      <x:c r="G607" t="str">
        <x:v>PY74</x:v>
      </x:c>
      <x:c r="H607" t="str">
        <x:v>PY3/PY74</x:v>
      </x:c>
      <x:c r="I607" t="str">
        <x:v>https://www.carandache.com/content_files/uploaded_doc/product/10985/Colour_Chart_Pastel_Pencil.pdf</x:v>
      </x:c>
    </x:row>
    <x:row r="608">
      <x:c r="A608" t="str">
        <x:v>CDA-PSTP-530</x:v>
      </x:c>
      <x:c r="B608" t="str">
        <x:v>PSTP</x:v>
      </x:c>
      <x:c r="C608" t="str">
        <x:v>PASTEL PENCILS</x:v>
      </x:c>
      <x:c r="D608" t="str">
        <x:v>530</x:v>
      </x:c>
      <x:c r="E608" t="str">
        <x:v>Gold Cadmium Yellow</x:v>
      </x:c>
      <x:c r="F608" t="n">
        <x:v>1</x:v>
      </x:c>
      <x:c r="G608" t="str">
        <x:v>PY3</x:v>
      </x:c>
      <x:c r="H608" t="str">
        <x:v>PY3/PY74/PO62</x:v>
      </x:c>
      <x:c r="I608" t="str">
        <x:v>https://www.carandache.com/content_files/uploaded_doc/product/10985/Colour_Chart_Pastel_Pencil.pdf</x:v>
      </x:c>
    </x:row>
    <x:row r="609">
      <x:c r="A609" t="str">
        <x:v>CDA-PSTP-530</x:v>
      </x:c>
      <x:c r="B609" t="str">
        <x:v>PSTP</x:v>
      </x:c>
      <x:c r="C609" t="str">
        <x:v>PASTEL PENCILS</x:v>
      </x:c>
      <x:c r="D609" t="str">
        <x:v>530</x:v>
      </x:c>
      <x:c r="E609" t="str">
        <x:v>Gold Cadmium Yellow</x:v>
      </x:c>
      <x:c r="F609" t="n">
        <x:v>2</x:v>
      </x:c>
      <x:c r="G609" t="str">
        <x:v>PY74</x:v>
      </x:c>
      <x:c r="H609" t="str">
        <x:v>PY3/PY74/PO62</x:v>
      </x:c>
      <x:c r="I609" t="str">
        <x:v>https://www.carandache.com/content_files/uploaded_doc/product/10985/Colour_Chart_Pastel_Pencil.pdf</x:v>
      </x:c>
    </x:row>
    <x:row r="610">
      <x:c r="A610" t="str">
        <x:v>CDA-PSTP-530</x:v>
      </x:c>
      <x:c r="B610" t="str">
        <x:v>PSTP</x:v>
      </x:c>
      <x:c r="C610" t="str">
        <x:v>PASTEL PENCILS</x:v>
      </x:c>
      <x:c r="D610" t="str">
        <x:v>530</x:v>
      </x:c>
      <x:c r="E610" t="str">
        <x:v>Gold Cadmium Yellow</x:v>
      </x:c>
      <x:c r="F610" t="n">
        <x:v>3</x:v>
      </x:c>
      <x:c r="G610" t="str">
        <x:v>PO62</x:v>
      </x:c>
      <x:c r="H610" t="str">
        <x:v>PY3/PY74/PO62</x:v>
      </x:c>
      <x:c r="I610" t="str">
        <x:v>https://www.carandache.com/content_files/uploaded_doc/product/10985/Colour_Chart_Pastel_Pencil.pdf</x:v>
      </x:c>
    </x:row>
    <x:row r="611">
      <x:c r="A611" t="str">
        <x:v>CDA-PSTP-300</x:v>
      </x:c>
      <x:c r="B611" t="str">
        <x:v>PSTP</x:v>
      </x:c>
      <x:c r="C611" t="str">
        <x:v>PASTEL PENCILS</x:v>
      </x:c>
      <x:c r="D611" t="str">
        <x:v>300</x:v>
      </x:c>
      <x:c r="E611" t="str">
        <x:v>Fast orange</x:v>
      </x:c>
      <x:c r="F611" t="n">
        <x:v>1</x:v>
      </x:c>
      <x:c r="G611" t="str">
        <x:v>PO62</x:v>
      </x:c>
      <x:c r="H611" t="str">
        <x:v>PO62</x:v>
      </x:c>
      <x:c r="I611" t="str">
        <x:v>https://www.carandache.com/content_files/uploaded_doc/product/10985/Colour_Chart_Pastel_Pencil.pdf</x:v>
      </x:c>
    </x:row>
    <x:row r="612">
      <x:c r="A612" t="str">
        <x:v>CDA-PSTP-050</x:v>
      </x:c>
      <x:c r="B612" t="str">
        <x:v>PSTP</x:v>
      </x:c>
      <x:c r="C612" t="str">
        <x:v>PASTEL PENCILS</x:v>
      </x:c>
      <x:c r="D612" t="str">
        <x:v>050</x:v>
      </x:c>
      <x:c r="E612" t="str">
        <x:v>Flame red</x:v>
      </x:c>
      <x:c r="F612" t="n">
        <x:v>1</x:v>
      </x:c>
      <x:c r="G612" t="str">
        <x:v>PO67</x:v>
      </x:c>
      <x:c r="H612" t="str">
        <x:v>PO67</x:v>
      </x:c>
      <x:c r="I612" t="str">
        <x:v>https://www.carandache.com/content_files/uploaded_doc/product/10985/Colour_Chart_Pastel_Pencil.pdf</x:v>
      </x:c>
    </x:row>
    <x:row r="613">
      <x:c r="A613" t="str">
        <x:v>CDA-PSTP-060</x:v>
      </x:c>
      <x:c r="B613" t="str">
        <x:v>PSTP</x:v>
      </x:c>
      <x:c r="C613" t="str">
        <x:v>PASTEL PENCILS</x:v>
      </x:c>
      <x:c r="D613" t="str">
        <x:v>060</x:v>
      </x:c>
      <x:c r="E613" t="str">
        <x:v>Vermilion</x:v>
      </x:c>
      <x:c r="F613" t="n">
        <x:v>1</x:v>
      </x:c>
      <x:c r="G613" t="str">
        <x:v>PR254</x:v>
      </x:c>
      <x:c r="H613" t="str">
        <x:v>PR254/PO82/PY3</x:v>
      </x:c>
      <x:c r="I613" t="str">
        <x:v>https://www.carandache.com/content_files/uploaded_doc/product/10985/Colour_Chart_Pastel_Pencil.pdf</x:v>
      </x:c>
    </x:row>
    <x:row r="614">
      <x:c r="A614" t="str">
        <x:v>CDA-PSTP-060</x:v>
      </x:c>
      <x:c r="B614" t="str">
        <x:v>PSTP</x:v>
      </x:c>
      <x:c r="C614" t="str">
        <x:v>PASTEL PENCILS</x:v>
      </x:c>
      <x:c r="D614" t="str">
        <x:v>060</x:v>
      </x:c>
      <x:c r="E614" t="str">
        <x:v>Vermilion</x:v>
      </x:c>
      <x:c r="F614" t="n">
        <x:v>2</x:v>
      </x:c>
      <x:c r="G614" t="str">
        <x:v>PO82</x:v>
      </x:c>
      <x:c r="H614" t="str">
        <x:v>PR254/PO82/PY3</x:v>
      </x:c>
      <x:c r="I614" t="str">
        <x:v>https://www.carandache.com/content_files/uploaded_doc/product/10985/Colour_Chart_Pastel_Pencil.pdf</x:v>
      </x:c>
    </x:row>
    <x:row r="615">
      <x:c r="A615" t="str">
        <x:v>CDA-PSTP-060</x:v>
      </x:c>
      <x:c r="B615" t="str">
        <x:v>PSTP</x:v>
      </x:c>
      <x:c r="C615" t="str">
        <x:v>PASTEL PENCILS</x:v>
      </x:c>
      <x:c r="D615" t="str">
        <x:v>060</x:v>
      </x:c>
      <x:c r="E615" t="str">
        <x:v>Vermilion</x:v>
      </x:c>
      <x:c r="F615" t="n">
        <x:v>3</x:v>
      </x:c>
      <x:c r="G615" t="str">
        <x:v>PY3</x:v>
      </x:c>
      <x:c r="H615" t="str">
        <x:v>PR254/PO82/PY3</x:v>
      </x:c>
      <x:c r="I615" t="str">
        <x:v>https://www.carandache.com/content_files/uploaded_doc/product/10985/Colour_Chart_Pastel_Pencil.pdf</x:v>
      </x:c>
    </x:row>
    <x:row r="616">
      <x:c r="A616" t="str">
        <x:v>CDA-PSTP-581</x:v>
      </x:c>
      <x:c r="B616" t="str">
        <x:v>PSTP</x:v>
      </x:c>
      <x:c r="C616" t="str">
        <x:v>PASTEL PENCILS</x:v>
      </x:c>
      <x:c r="D616" t="str">
        <x:v>581</x:v>
      </x:c>
      <x:c r="E616" t="str">
        <x:v>Pink white</x:v>
      </x:c>
      <x:c r="F616" t="n">
        <x:v>1</x:v>
      </x:c>
      <x:c r="G616" t="str">
        <x:v>PW6</x:v>
      </x:c>
      <x:c r="H616" t="str">
        <x:v>PW6/PR101</x:v>
      </x:c>
      <x:c r="I616" t="str">
        <x:v>https://www.carandache.com/content_files/uploaded_doc/product/10985/Colour_Chart_Pastel_Pencil.pdf</x:v>
      </x:c>
    </x:row>
    <x:row r="617">
      <x:c r="A617" t="str">
        <x:v>CDA-PSTP-581</x:v>
      </x:c>
      <x:c r="B617" t="str">
        <x:v>PSTP</x:v>
      </x:c>
      <x:c r="C617" t="str">
        <x:v>PASTEL PENCILS</x:v>
      </x:c>
      <x:c r="D617" t="str">
        <x:v>581</x:v>
      </x:c>
      <x:c r="E617" t="str">
        <x:v>Pink white</x:v>
      </x:c>
      <x:c r="F617" t="n">
        <x:v>2</x:v>
      </x:c>
      <x:c r="G617" t="str">
        <x:v>PR101</x:v>
      </x:c>
      <x:c r="H617" t="str">
        <x:v>PW6/PR101</x:v>
      </x:c>
      <x:c r="I617" t="str">
        <x:v>https://www.carandache.com/content_files/uploaded_doc/product/10985/Colour_Chart_Pastel_Pencil.pdf</x:v>
      </x:c>
    </x:row>
    <x:row r="618">
      <x:c r="A618" t="str">
        <x:v>CDA-PSTP-583</x:v>
      </x:c>
      <x:c r="B618" t="str">
        <x:v>PSTP</x:v>
      </x:c>
      <x:c r="C618" t="str">
        <x:v>PASTEL PENCILS</x:v>
      </x:c>
      <x:c r="D618" t="str">
        <x:v>583</x:v>
      </x:c>
      <x:c r="E618" t="str">
        <x:v>Violet pink</x:v>
      </x:c>
      <x:c r="F618" t="n">
        <x:v>1</x:v>
      </x:c>
      <x:c r="G618" t="str">
        <x:v>PR101</x:v>
      </x:c>
      <x:c r="H618" t="str">
        <x:v>PR101/PR168/PO82/PR122/PBk11/PY42/PBk7/PBr7</x:v>
      </x:c>
      <x:c r="I618" t="str">
        <x:v>https://www.carandache.com/content_files/uploaded_doc/product/10985/Colour_Chart_Pastel_Pencil.pdf</x:v>
      </x:c>
    </x:row>
    <x:row r="619">
      <x:c r="A619" t="str">
        <x:v>CDA-PSTP-583</x:v>
      </x:c>
      <x:c r="B619" t="str">
        <x:v>PSTP</x:v>
      </x:c>
      <x:c r="C619" t="str">
        <x:v>PASTEL PENCILS</x:v>
      </x:c>
      <x:c r="D619" t="str">
        <x:v>583</x:v>
      </x:c>
      <x:c r="E619" t="str">
        <x:v>Violet pink</x:v>
      </x:c>
      <x:c r="F619" t="n">
        <x:v>2</x:v>
      </x:c>
      <x:c r="G619" t="str">
        <x:v>PR168</x:v>
      </x:c>
      <x:c r="H619" t="str">
        <x:v>PR101/PR168/PO82/PR122/PBk11/PY42/PBk7/PBr7</x:v>
      </x:c>
      <x:c r="I619" t="str">
        <x:v>https://www.carandache.com/content_files/uploaded_doc/product/10985/Colour_Chart_Pastel_Pencil.pdf</x:v>
      </x:c>
    </x:row>
    <x:row r="620">
      <x:c r="A620" t="str">
        <x:v>CDA-PSTP-583</x:v>
      </x:c>
      <x:c r="B620" t="str">
        <x:v>PSTP</x:v>
      </x:c>
      <x:c r="C620" t="str">
        <x:v>PASTEL PENCILS</x:v>
      </x:c>
      <x:c r="D620" t="str">
        <x:v>583</x:v>
      </x:c>
      <x:c r="E620" t="str">
        <x:v>Violet pink</x:v>
      </x:c>
      <x:c r="F620" t="n">
        <x:v>3</x:v>
      </x:c>
      <x:c r="G620" t="str">
        <x:v>PO82</x:v>
      </x:c>
      <x:c r="H620" t="str">
        <x:v>PR101/PR168/PO82/PR122/PBk11/PY42/PBk7/PBr7</x:v>
      </x:c>
      <x:c r="I620" t="str">
        <x:v>https://www.carandache.com/content_files/uploaded_doc/product/10985/Colour_Chart_Pastel_Pencil.pdf</x:v>
      </x:c>
    </x:row>
    <x:row r="621">
      <x:c r="A621" t="str">
        <x:v>CDA-PSTP-583</x:v>
      </x:c>
      <x:c r="B621" t="str">
        <x:v>PSTP</x:v>
      </x:c>
      <x:c r="C621" t="str">
        <x:v>PASTEL PENCILS</x:v>
      </x:c>
      <x:c r="D621" t="str">
        <x:v>583</x:v>
      </x:c>
      <x:c r="E621" t="str">
        <x:v>Violet pink</x:v>
      </x:c>
      <x:c r="F621" t="n">
        <x:v>4</x:v>
      </x:c>
      <x:c r="G621" t="str">
        <x:v>PR122</x:v>
      </x:c>
      <x:c r="H621" t="str">
        <x:v>PR101/PR168/PO82/PR122/PBk11/PY42/PBk7/PBr7</x:v>
      </x:c>
      <x:c r="I621" t="str">
        <x:v>https://www.carandache.com/content_files/uploaded_doc/product/10985/Colour_Chart_Pastel_Pencil.pdf</x:v>
      </x:c>
    </x:row>
    <x:row r="622">
      <x:c r="A622" t="str">
        <x:v>CDA-PSTP-583</x:v>
      </x:c>
      <x:c r="B622" t="str">
        <x:v>PSTP</x:v>
      </x:c>
      <x:c r="C622" t="str">
        <x:v>PASTEL PENCILS</x:v>
      </x:c>
      <x:c r="D622" t="str">
        <x:v>583</x:v>
      </x:c>
      <x:c r="E622" t="str">
        <x:v>Violet pink</x:v>
      </x:c>
      <x:c r="F622" t="n">
        <x:v>5</x:v>
      </x:c>
      <x:c r="G622" t="str">
        <x:v>PBk11</x:v>
      </x:c>
      <x:c r="H622" t="str">
        <x:v>PR101/PR168/PO82/PR122/PBk11/PY42/PBk7/PBr7</x:v>
      </x:c>
      <x:c r="I622" t="str">
        <x:v>https://www.carandache.com/content_files/uploaded_doc/product/10985/Colour_Chart_Pastel_Pencil.pdf</x:v>
      </x:c>
    </x:row>
    <x:row r="623">
      <x:c r="A623" t="str">
        <x:v>CDA-PSTP-583</x:v>
      </x:c>
      <x:c r="B623" t="str">
        <x:v>PSTP</x:v>
      </x:c>
      <x:c r="C623" t="str">
        <x:v>PASTEL PENCILS</x:v>
      </x:c>
      <x:c r="D623" t="str">
        <x:v>583</x:v>
      </x:c>
      <x:c r="E623" t="str">
        <x:v>Violet pink</x:v>
      </x:c>
      <x:c r="F623" t="n">
        <x:v>6</x:v>
      </x:c>
      <x:c r="G623" t="str">
        <x:v>PY42</x:v>
      </x:c>
      <x:c r="H623" t="str">
        <x:v>PR101/PR168/PO82/PR122/PBk11/PY42/PBk7/PBr7</x:v>
      </x:c>
      <x:c r="I623" t="str">
        <x:v>https://www.carandache.com/content_files/uploaded_doc/product/10985/Colour_Chart_Pastel_Pencil.pdf</x:v>
      </x:c>
    </x:row>
    <x:row r="624">
      <x:c r="A624" t="str">
        <x:v>CDA-PSTP-583</x:v>
      </x:c>
      <x:c r="B624" t="str">
        <x:v>PSTP</x:v>
      </x:c>
      <x:c r="C624" t="str">
        <x:v>PASTEL PENCILS</x:v>
      </x:c>
      <x:c r="D624" t="str">
        <x:v>583</x:v>
      </x:c>
      <x:c r="E624" t="str">
        <x:v>Violet pink</x:v>
      </x:c>
      <x:c r="F624" t="n">
        <x:v>7</x:v>
      </x:c>
      <x:c r="G624" t="str">
        <x:v>PBk7</x:v>
      </x:c>
      <x:c r="H624" t="str">
        <x:v>PR101/PR168/PO82/PR122/PBk11/PY42/PBk7/PBr7</x:v>
      </x:c>
      <x:c r="I624" t="str">
        <x:v>https://www.carandache.com/content_files/uploaded_doc/product/10985/Colour_Chart_Pastel_Pencil.pdf</x:v>
      </x:c>
    </x:row>
    <x:row r="625">
      <x:c r="A625" t="str">
        <x:v>CDA-PSTP-583</x:v>
      </x:c>
      <x:c r="B625" t="str">
        <x:v>PSTP</x:v>
      </x:c>
      <x:c r="C625" t="str">
        <x:v>PASTEL PENCILS</x:v>
      </x:c>
      <x:c r="D625" t="str">
        <x:v>583</x:v>
      </x:c>
      <x:c r="E625" t="str">
        <x:v>Violet pink</x:v>
      </x:c>
      <x:c r="F625" t="n">
        <x:v>8</x:v>
      </x:c>
      <x:c r="G625" t="str">
        <x:v>PBr7</x:v>
      </x:c>
      <x:c r="H625" t="str">
        <x:v>PR101/PR168/PO82/PR122/PBk11/PY42/PBk7/PBr7</x:v>
      </x:c>
      <x:c r="I625" t="str">
        <x:v>https://www.carandache.com/content_files/uploaded_doc/product/10985/Colour_Chart_Pastel_Pencil.pdf</x:v>
      </x:c>
    </x:row>
    <x:row r="626">
      <x:c r="A626" t="str">
        <x:v>CDA-PSTP-070</x:v>
      </x:c>
      <x:c r="B626" t="str">
        <x:v>PSTP</x:v>
      </x:c>
      <x:c r="C626" t="str">
        <x:v>PASTEL PENCILS</x:v>
      </x:c>
      <x:c r="D626" t="str">
        <x:v>070</x:v>
      </x:c>
      <x:c r="E626" t="str">
        <x:v>Scarlet</x:v>
      </x:c>
      <x:c r="F626" t="n">
        <x:v>1</x:v>
      </x:c>
      <x:c r="G626" t="str">
        <x:v>PR254</x:v>
      </x:c>
      <x:c r="H626" t="str">
        <x:v>PR254</x:v>
      </x:c>
      <x:c r="I626" t="str">
        <x:v>https://www.carandache.com/content_files/uploaded_doc/product/10985/Colour_Chart_Pastel_Pencil.pdf</x:v>
      </x:c>
    </x:row>
    <x:row r="627">
      <x:c r="A627" t="str">
        <x:v>CDA-PSTP-080</x:v>
      </x:c>
      <x:c r="B627" t="str">
        <x:v>PSTP</x:v>
      </x:c>
      <x:c r="C627" t="str">
        <x:v>PASTEL PENCILS</x:v>
      </x:c>
      <x:c r="D627" t="str">
        <x:v>080</x:v>
      </x:c>
      <x:c r="E627" t="str">
        <x:v>Carmine Lake</x:v>
      </x:c>
      <x:c r="F627" t="n">
        <x:v>1</x:v>
      </x:c>
      <x:c r="G627" t="str">
        <x:v>PR48:3</x:v>
      </x:c>
      <x:c r="H627" t="str">
        <x:v>PR48:3/PR179</x:v>
      </x:c>
      <x:c r="I627" t="str">
        <x:v>https://www.carandache.com/content_files/uploaded_doc/product/10985/Colour_Chart_Pastel_Pencil.pdf</x:v>
      </x:c>
    </x:row>
    <x:row r="628">
      <x:c r="A628" t="str">
        <x:v>CDA-PSTP-080</x:v>
      </x:c>
      <x:c r="B628" t="str">
        <x:v>PSTP</x:v>
      </x:c>
      <x:c r="C628" t="str">
        <x:v>PASTEL PENCILS</x:v>
      </x:c>
      <x:c r="D628" t="str">
        <x:v>080</x:v>
      </x:c>
      <x:c r="E628" t="str">
        <x:v>Carmine Lake</x:v>
      </x:c>
      <x:c r="F628" t="n">
        <x:v>2</x:v>
      </x:c>
      <x:c r="G628" t="str">
        <x:v>PR179</x:v>
      </x:c>
      <x:c r="H628" t="str">
        <x:v>PR48:3/PR179</x:v>
      </x:c>
      <x:c r="I628" t="str">
        <x:v>https://www.carandache.com/content_files/uploaded_doc/product/10985/Colour_Chart_Pastel_Pencil.pdf</x:v>
      </x:c>
    </x:row>
    <x:row r="629">
      <x:c r="A629" t="str">
        <x:v>CDA-PSTP-585</x:v>
      </x:c>
      <x:c r="B629" t="str">
        <x:v>PSTP</x:v>
      </x:c>
      <x:c r="C629" t="str">
        <x:v>PASTEL PENCILS</x:v>
      </x:c>
      <x:c r="D629" t="str">
        <x:v>585</x:v>
      </x:c>
      <x:c r="E629" t="str">
        <x:v>Perylene brown</x:v>
      </x:c>
      <x:c r="F629" t="n">
        <x:v>1</x:v>
      </x:c>
      <x:c r="G629" t="str">
        <x:v>PR179</x:v>
      </x:c>
      <x:c r="H629" t="str">
        <x:v>PR179</x:v>
      </x:c>
      <x:c r="I629" t="str">
        <x:v>https://www.carandache.com/content_files/uploaded_doc/product/10985/Colour_Chart_Pastel_Pencil.pdf</x:v>
      </x:c>
    </x:row>
    <x:row r="630">
      <x:c r="A630" t="str">
        <x:v>CDA-PSTP-105</x:v>
      </x:c>
      <x:c r="B630" t="str">
        <x:v>PSTP</x:v>
      </x:c>
      <x:c r="C630" t="str">
        <x:v>PASTEL PENCILS</x:v>
      </x:c>
      <x:c r="D630" t="str">
        <x:v>105</x:v>
      </x:c>
      <x:c r="E630" t="str">
        <x:v>Plum</x:v>
      </x:c>
      <x:c r="F630" t="n">
        <x:v>1</x:v>
      </x:c>
      <x:c r="G630" t="str">
        <x:v>PR3</x:v>
      </x:c>
      <x:c r="H630" t="str">
        <x:v>PR3/PV23/PV19</x:v>
      </x:c>
      <x:c r="I630" t="str">
        <x:v>https://www.carandache.com/content_files/uploaded_doc/product/10985/Colour_Chart_Pastel_Pencil.pdf</x:v>
      </x:c>
    </x:row>
    <x:row r="631">
      <x:c r="A631" t="str">
        <x:v>CDA-PSTP-105</x:v>
      </x:c>
      <x:c r="B631" t="str">
        <x:v>PSTP</x:v>
      </x:c>
      <x:c r="C631" t="str">
        <x:v>PASTEL PENCILS</x:v>
      </x:c>
      <x:c r="D631" t="str">
        <x:v>105</x:v>
      </x:c>
      <x:c r="E631" t="str">
        <x:v>Plum</x:v>
      </x:c>
      <x:c r="F631" t="n">
        <x:v>2</x:v>
      </x:c>
      <x:c r="G631" t="str">
        <x:v>PV23</x:v>
      </x:c>
      <x:c r="H631" t="str">
        <x:v>PR3/PV23/PV19</x:v>
      </x:c>
      <x:c r="I631" t="str">
        <x:v>https://www.carandache.com/content_files/uploaded_doc/product/10985/Colour_Chart_Pastel_Pencil.pdf</x:v>
      </x:c>
    </x:row>
    <x:row r="632">
      <x:c r="A632" t="str">
        <x:v>CDA-PSTP-105</x:v>
      </x:c>
      <x:c r="B632" t="str">
        <x:v>PSTP</x:v>
      </x:c>
      <x:c r="C632" t="str">
        <x:v>PASTEL PENCILS</x:v>
      </x:c>
      <x:c r="D632" t="str">
        <x:v>105</x:v>
      </x:c>
      <x:c r="E632" t="str">
        <x:v>Plum</x:v>
      </x:c>
      <x:c r="F632" t="n">
        <x:v>3</x:v>
      </x:c>
      <x:c r="G632" t="str">
        <x:v>PV19</x:v>
      </x:c>
      <x:c r="H632" t="str">
        <x:v>PR3/PV23/PV19</x:v>
      </x:c>
      <x:c r="I632" t="str">
        <x:v>https://www.carandache.com/content_files/uploaded_doc/product/10985/Colour_Chart_Pastel_Pencil.pdf</x:v>
      </x:c>
    </x:row>
    <x:row r="633">
      <x:c r="A633" t="str">
        <x:v>CDA-PSTP-099</x:v>
      </x:c>
      <x:c r="B633" t="str">
        <x:v>PSTP</x:v>
      </x:c>
      <x:c r="C633" t="str">
        <x:v>PASTEL PENCILS</x:v>
      </x:c>
      <x:c r="D633" t="str">
        <x:v>099</x:v>
      </x:c>
      <x:c r="E633" t="str">
        <x:v>Aubergine</x:v>
      </x:c>
      <x:c r="F633" t="n">
        <x:v>1</x:v>
      </x:c>
      <x:c r="G633" t="str">
        <x:v>PV19</x:v>
      </x:c>
      <x:c r="H633" t="str">
        <x:v>PV19/PB15</x:v>
      </x:c>
      <x:c r="I633" t="str">
        <x:v>https://www.carandache.com/content_files/uploaded_doc/product/10985/Colour_Chart_Pastel_Pencil.pdf</x:v>
      </x:c>
    </x:row>
    <x:row r="634">
      <x:c r="A634" t="str">
        <x:v>CDA-PSTP-099</x:v>
      </x:c>
      <x:c r="B634" t="str">
        <x:v>PSTP</x:v>
      </x:c>
      <x:c r="C634" t="str">
        <x:v>PASTEL PENCILS</x:v>
      </x:c>
      <x:c r="D634" t="str">
        <x:v>099</x:v>
      </x:c>
      <x:c r="E634" t="str">
        <x:v>Aubergine</x:v>
      </x:c>
      <x:c r="F634" t="n">
        <x:v>2</x:v>
      </x:c>
      <x:c r="G634" t="str">
        <x:v>PB15</x:v>
      </x:c>
      <x:c r="H634" t="str">
        <x:v>PV19/PB15</x:v>
      </x:c>
      <x:c r="I634" t="str">
        <x:v>https://www.carandache.com/content_files/uploaded_doc/product/10985/Colour_Chart_Pastel_Pencil.pdf</x:v>
      </x:c>
    </x:row>
    <x:row r="635">
      <x:c r="A635" t="str">
        <x:v>CDA-PSTP-350</x:v>
      </x:c>
      <x:c r="B635" t="str">
        <x:v>PSTP</x:v>
      </x:c>
      <x:c r="C635" t="str">
        <x:v>PASTEL PENCILS</x:v>
      </x:c>
      <x:c r="D635" t="str">
        <x:v>350</x:v>
      </x:c>
      <x:c r="E635" t="str">
        <x:v>Purplish Red</x:v>
      </x:c>
      <x:c r="F635" t="n">
        <x:v>1</x:v>
      </x:c>
      <x:c r="G635" t="str">
        <x:v>PR122</x:v>
      </x:c>
      <x:c r="H635" t="str">
        <x:v>PR122</x:v>
      </x:c>
      <x:c r="I635" t="str">
        <x:v>https://www.carandache.com/content_files/uploaded_doc/product/10985/Colour_Chart_Pastel_Pencil.pdf</x:v>
      </x:c>
    </x:row>
    <x:row r="636">
      <x:c r="A636" t="str">
        <x:v>CDA-PSTP-631</x:v>
      </x:c>
      <x:c r="B636" t="str">
        <x:v>PSTP</x:v>
      </x:c>
      <x:c r="C636" t="str">
        <x:v>PASTEL PENCILS</x:v>
      </x:c>
      <x:c r="D636" t="str">
        <x:v>631</x:v>
      </x:c>
      <x:c r="E636" t="str">
        <x:v>Light ultramarine violet</x:v>
      </x:c>
      <x:c r="F636" t="n">
        <x:v>1</x:v>
      </x:c>
      <x:c r="G636" t="str">
        <x:v>PV15</x:v>
      </x:c>
      <x:c r="H636" t="str">
        <x:v>PV15</x:v>
      </x:c>
      <x:c r="I636" t="str">
        <x:v>https://www.carandache.com/content_files/uploaded_doc/product/10985/Colour_Chart_Pastel_Pencil.pdf</x:v>
      </x:c>
    </x:row>
    <x:row r="637">
      <x:c r="A637" t="str">
        <x:v>CDA-PSTP-083</x:v>
      </x:c>
      <x:c r="B637" t="str">
        <x:v>PSTP</x:v>
      </x:c>
      <x:c r="C637" t="str">
        <x:v>PASTEL PENCILS</x:v>
      </x:c>
      <x:c r="D637" t="str">
        <x:v>083</x:v>
      </x:c>
      <x:c r="E637" t="str">
        <x:v>Ultramarine pink</x:v>
      </x:c>
      <x:c r="F637" t="n">
        <x:v>1</x:v>
      </x:c>
      <x:c r="G637" t="str">
        <x:v>PR259</x:v>
      </x:c>
      <x:c r="H637" t="str">
        <x:v>PR259/PR122</x:v>
      </x:c>
      <x:c r="I637" t="str">
        <x:v>https://www.carandache.com/content_files/uploaded_doc/product/10985/Colour_Chart_Pastel_Pencil.pdf</x:v>
      </x:c>
    </x:row>
    <x:row r="638">
      <x:c r="A638" t="str">
        <x:v>CDA-PSTP-083</x:v>
      </x:c>
      <x:c r="B638" t="str">
        <x:v>PSTP</x:v>
      </x:c>
      <x:c r="C638" t="str">
        <x:v>PASTEL PENCILS</x:v>
      </x:c>
      <x:c r="D638" t="str">
        <x:v>083</x:v>
      </x:c>
      <x:c r="E638" t="str">
        <x:v>Ultramarine pink</x:v>
      </x:c>
      <x:c r="F638" t="n">
        <x:v>2</x:v>
      </x:c>
      <x:c r="G638" t="str">
        <x:v>PR122</x:v>
      </x:c>
      <x:c r="H638" t="str">
        <x:v>PR259/PR122</x:v>
      </x:c>
      <x:c r="I638" t="str">
        <x:v>https://www.carandache.com/content_files/uploaded_doc/product/10985/Colour_Chart_Pastel_Pencil.pdf</x:v>
      </x:c>
    </x:row>
    <x:row r="639">
      <x:c r="A639" t="str">
        <x:v>CDA-PSTP-582</x:v>
      </x:c>
      <x:c r="B639" t="str">
        <x:v>PSTP</x:v>
      </x:c>
      <x:c r="C639" t="str">
        <x:v>PASTEL PENCILS</x:v>
      </x:c>
      <x:c r="D639" t="str">
        <x:v>582</x:v>
      </x:c>
      <x:c r="E639" t="str">
        <x:v>Portrait pink</x:v>
      </x:c>
      <x:c r="F639" t="n">
        <x:v>1</x:v>
      </x:c>
      <x:c r="G639" t="str">
        <x:v>PR112</x:v>
      </x:c>
      <x:c r="H639" t="str">
        <x:v>PR112</x:v>
      </x:c>
      <x:c r="I639" t="str">
        <x:v>https://www.carandache.com/content_files/uploaded_doc/product/10985/Colour_Chart_Pastel_Pencil.pdf</x:v>
      </x:c>
    </x:row>
    <x:row r="640">
      <x:c r="A640" t="str">
        <x:v>CDA-PSTP-571</x:v>
      </x:c>
      <x:c r="B640" t="str">
        <x:v>PSTP</x:v>
      </x:c>
      <x:c r="C640" t="str">
        <x:v>PASTEL PENCILS</x:v>
      </x:c>
      <x:c r="D640" t="str">
        <x:v>571</x:v>
      </x:c>
      <x:c r="E640" t="str">
        <x:v>Anthraquinoid pink</x:v>
      </x:c>
      <x:c r="F640" t="n">
        <x:v>1</x:v>
      </x:c>
      <x:c r="G640" t="str">
        <x:v>PR168</x:v>
      </x:c>
      <x:c r="H640" t="str">
        <x:v>PR168</x:v>
      </x:c>
      <x:c r="I640" t="str">
        <x:v>https://www.carandache.com/content_files/uploaded_doc/product/10985/Colour_Chart_Pastel_Pencil.pdf</x:v>
      </x:c>
    </x:row>
    <x:row r="641">
      <x:c r="A641" t="str">
        <x:v>CDA-PSTP-871</x:v>
      </x:c>
      <x:c r="B641" t="str">
        <x:v>PSTP</x:v>
      </x:c>
      <x:c r="C641" t="str">
        <x:v>PASTEL PENCILS</x:v>
      </x:c>
      <x:c r="D641" t="str">
        <x:v>871</x:v>
      </x:c>
      <x:c r="E641" t="str">
        <x:v>Azurite white</x:v>
      </x:c>
      <x:c r="F641" t="n">
        <x:v>1</x:v>
      </x:c>
      <x:c r="G641" t="str">
        <x:v>PW6</x:v>
      </x:c>
      <x:c r="H641" t="str">
        <x:v>PW6/PB28</x:v>
      </x:c>
      <x:c r="I641" t="str">
        <x:v>https://www.carandache.com/content_files/uploaded_doc/product/10985/Colour_Chart_Pastel_Pencil.pdf</x:v>
      </x:c>
    </x:row>
    <x:row r="642">
      <x:c r="A642" t="str">
        <x:v>CDA-PSTP-871</x:v>
      </x:c>
      <x:c r="B642" t="str">
        <x:v>PSTP</x:v>
      </x:c>
      <x:c r="C642" t="str">
        <x:v>PASTEL PENCILS</x:v>
      </x:c>
      <x:c r="D642" t="str">
        <x:v>871</x:v>
      </x:c>
      <x:c r="E642" t="str">
        <x:v>Azurite white</x:v>
      </x:c>
      <x:c r="F642" t="n">
        <x:v>2</x:v>
      </x:c>
      <x:c r="G642" t="str">
        <x:v>PB28</x:v>
      </x:c>
      <x:c r="H642" t="str">
        <x:v>PW6/PB28</x:v>
      </x:c>
      <x:c r="I642" t="str">
        <x:v>https://www.carandache.com/content_files/uploaded_doc/product/10985/Colour_Chart_Pastel_Pencil.pdf</x:v>
      </x:c>
    </x:row>
    <x:row r="643">
      <x:c r="A643" t="str">
        <x:v>CDA-PSTP-661</x:v>
      </x:c>
      <x:c r="B643" t="str">
        <x:v>PSTP</x:v>
      </x:c>
      <x:c r="C643" t="str">
        <x:v>PASTEL PENCILS</x:v>
      </x:c>
      <x:c r="D643" t="str">
        <x:v>661</x:v>
      </x:c>
      <x:c r="E643" t="str">
        <x:v>Cobalt blue 5%</x:v>
      </x:c>
      <x:c r="F643" t="n">
        <x:v>1</x:v>
      </x:c>
      <x:c r="G643" t="str">
        <x:v>PB28</x:v>
      </x:c>
      <x:c r="H643" t="str">
        <x:v>PB28/PW6</x:v>
      </x:c>
      <x:c r="I643" t="str">
        <x:v>https://www.carandache.com/content_files/uploaded_doc/product/10985/Colour_Chart_Pastel_Pencil.pdf</x:v>
      </x:c>
    </x:row>
    <x:row r="644">
      <x:c r="A644" t="str">
        <x:v>CDA-PSTP-661</x:v>
      </x:c>
      <x:c r="B644" t="str">
        <x:v>PSTP</x:v>
      </x:c>
      <x:c r="C644" t="str">
        <x:v>PASTEL PENCILS</x:v>
      </x:c>
      <x:c r="D644" t="str">
        <x:v>661</x:v>
      </x:c>
      <x:c r="E644" t="str">
        <x:v>Cobalt blue 5%</x:v>
      </x:c>
      <x:c r="F644" t="n">
        <x:v>2</x:v>
      </x:c>
      <x:c r="G644" t="str">
        <x:v>PW6</x:v>
      </x:c>
      <x:c r="H644" t="str">
        <x:v>PB28/PW6</x:v>
      </x:c>
      <x:c r="I644" t="str">
        <x:v>https://www.carandache.com/content_files/uploaded_doc/product/10985/Colour_Chart_Pastel_Pencil.pdf</x:v>
      </x:c>
    </x:row>
    <x:row r="645">
      <x:c r="A645" t="str">
        <x:v>CDA-PSTP-662</x:v>
      </x:c>
      <x:c r="B645" t="str">
        <x:v>PSTP</x:v>
      </x:c>
      <x:c r="C645" t="str">
        <x:v>PASTEL PENCILS</x:v>
      </x:c>
      <x:c r="D645" t="str">
        <x:v>662</x:v>
      </x:c>
      <x:c r="E645" t="str">
        <x:v>Cobalt blue 10%</x:v>
      </x:c>
      <x:c r="F645" t="n">
        <x:v>1</x:v>
      </x:c>
      <x:c r="G645" t="str">
        <x:v>PB28</x:v>
      </x:c>
      <x:c r="H645" t="str">
        <x:v>PB28/PW6</x:v>
      </x:c>
      <x:c r="I645" t="str">
        <x:v>https://www.carandache.com/content_files/uploaded_doc/product/10985/Colour_Chart_Pastel_Pencil.pdf</x:v>
      </x:c>
    </x:row>
    <x:row r="646">
      <x:c r="A646" t="str">
        <x:v>CDA-PSTP-662</x:v>
      </x:c>
      <x:c r="B646" t="str">
        <x:v>PSTP</x:v>
      </x:c>
      <x:c r="C646" t="str">
        <x:v>PASTEL PENCILS</x:v>
      </x:c>
      <x:c r="D646" t="str">
        <x:v>662</x:v>
      </x:c>
      <x:c r="E646" t="str">
        <x:v>Cobalt blue 10%</x:v>
      </x:c>
      <x:c r="F646" t="n">
        <x:v>2</x:v>
      </x:c>
      <x:c r="G646" t="str">
        <x:v>PW6</x:v>
      </x:c>
      <x:c r="H646" t="str">
        <x:v>PB28/PW6</x:v>
      </x:c>
      <x:c r="I646" t="str">
        <x:v>https://www.carandache.com/content_files/uploaded_doc/product/10985/Colour_Chart_Pastel_Pencil.pdf</x:v>
      </x:c>
    </x:row>
    <x:row r="647">
      <x:c r="A647" t="str">
        <x:v>CDA-PSTP-664</x:v>
      </x:c>
      <x:c r="B647" t="str">
        <x:v>PSTP</x:v>
      </x:c>
      <x:c r="C647" t="str">
        <x:v>PASTEL PENCILS</x:v>
      </x:c>
      <x:c r="D647" t="str">
        <x:v>664</x:v>
      </x:c>
      <x:c r="E647" t="str">
        <x:v>Cobalt blue 30%</x:v>
      </x:c>
      <x:c r="F647" t="n">
        <x:v>1</x:v>
      </x:c>
      <x:c r="G647" t="str">
        <x:v>PB28</x:v>
      </x:c>
      <x:c r="H647" t="str">
        <x:v>PB28</x:v>
      </x:c>
      <x:c r="I647" t="str">
        <x:v>https://www.carandache.com/content_files/uploaded_doc/product/10985/Colour_Chart_Pastel_Pencil.pdf</x:v>
      </x:c>
    </x:row>
    <x:row r="648">
      <x:c r="A648" t="str">
        <x:v>CDA-PSTP-140</x:v>
      </x:c>
      <x:c r="B648" t="str">
        <x:v>PSTP</x:v>
      </x:c>
      <x:c r="C648" t="str">
        <x:v>PASTEL PENCILS</x:v>
      </x:c>
      <x:c r="D648" t="str">
        <x:v>140</x:v>
      </x:c>
      <x:c r="E648" t="str">
        <x:v>Ultramarine</x:v>
      </x:c>
      <x:c r="F648" t="n">
        <x:v>1</x:v>
      </x:c>
      <x:c r="G648" t="str">
        <x:v>PB15</x:v>
      </x:c>
      <x:c r="H648" t="str">
        <x:v>PB15/PB29</x:v>
      </x:c>
      <x:c r="I648" t="str">
        <x:v>https://www.carandache.com/content_files/uploaded_doc/product/10985/Colour_Chart_Pastel_Pencil.pdf</x:v>
      </x:c>
    </x:row>
    <x:row r="649">
      <x:c r="A649" t="str">
        <x:v>CDA-PSTP-140</x:v>
      </x:c>
      <x:c r="B649" t="str">
        <x:v>PSTP</x:v>
      </x:c>
      <x:c r="C649" t="str">
        <x:v>PASTEL PENCILS</x:v>
      </x:c>
      <x:c r="D649" t="str">
        <x:v>140</x:v>
      </x:c>
      <x:c r="E649" t="str">
        <x:v>Ultramarine</x:v>
      </x:c>
      <x:c r="F649" t="n">
        <x:v>2</x:v>
      </x:c>
      <x:c r="G649" t="str">
        <x:v>PB29</x:v>
      </x:c>
      <x:c r="H649" t="str">
        <x:v>PB15/PB29</x:v>
      </x:c>
      <x:c r="I649" t="str">
        <x:v>https://www.carandache.com/content_files/uploaded_doc/product/10985/Colour_Chart_Pastel_Pencil.pdf</x:v>
      </x:c>
    </x:row>
    <x:row r="650">
      <x:c r="A650" t="str">
        <x:v>CDA-PSTP-162</x:v>
      </x:c>
      <x:c r="B650" t="str">
        <x:v>PSTP</x:v>
      </x:c>
      <x:c r="C650" t="str">
        <x:v>PASTEL PENCILS</x:v>
      </x:c>
      <x:c r="D650" t="str">
        <x:v>162</x:v>
      </x:c>
      <x:c r="E650" t="str">
        <x:v>Phthalocyanine blue</x:v>
      </x:c>
      <x:c r="F650" t="n">
        <x:v>1</x:v>
      </x:c>
      <x:c r="G650" t="str">
        <x:v>PB15</x:v>
      </x:c>
      <x:c r="H650" t="str">
        <x:v>PB15</x:v>
      </x:c>
      <x:c r="I650" t="str">
        <x:v>https://www.carandache.com/content_files/uploaded_doc/product/10985/Colour_Chart_Pastel_Pencil.pdf</x:v>
      </x:c>
    </x:row>
    <x:row r="651">
      <x:c r="A651" t="str">
        <x:v>CDA-PSTP-145</x:v>
      </x:c>
      <x:c r="B651" t="str">
        <x:v>PSTP</x:v>
      </x:c>
      <x:c r="C651" t="str">
        <x:v>PASTEL PENCILS</x:v>
      </x:c>
      <x:c r="D651" t="str">
        <x:v>145</x:v>
      </x:c>
      <x:c r="E651" t="str">
        <x:v>Bluish grey</x:v>
      </x:c>
      <x:c r="F651" t="n">
        <x:v>1</x:v>
      </x:c>
      <x:c r="G651" t="str">
        <x:v>PB1</x:v>
      </x:c>
      <x:c r="H651" t="str">
        <x:v>PB1/PB60</x:v>
      </x:c>
      <x:c r="I651" t="str">
        <x:v>https://www.carandache.com/content_files/uploaded_doc/product/10985/Colour_Chart_Pastel_Pencil.pdf</x:v>
      </x:c>
    </x:row>
    <x:row r="652">
      <x:c r="A652" t="str">
        <x:v>CDA-PSTP-145</x:v>
      </x:c>
      <x:c r="B652" t="str">
        <x:v>PSTP</x:v>
      </x:c>
      <x:c r="C652" t="str">
        <x:v>PASTEL PENCILS</x:v>
      </x:c>
      <x:c r="D652" t="str">
        <x:v>145</x:v>
      </x:c>
      <x:c r="E652" t="str">
        <x:v>Bluish grey</x:v>
      </x:c>
      <x:c r="F652" t="n">
        <x:v>2</x:v>
      </x:c>
      <x:c r="G652" t="str">
        <x:v>PB60</x:v>
      </x:c>
      <x:c r="H652" t="str">
        <x:v>PB1/PB60</x:v>
      </x:c>
      <x:c r="I652" t="str">
        <x:v>https://www.carandache.com/content_files/uploaded_doc/product/10985/Colour_Chart_Pastel_Pencil.pdf</x:v>
      </x:c>
    </x:row>
    <x:row r="653">
      <x:c r="A653" t="str">
        <x:v>CDA-PSTP-120</x:v>
      </x:c>
      <x:c r="B653" t="str">
        <x:v>PSTP</x:v>
      </x:c>
      <x:c r="C653" t="str">
        <x:v>PASTEL PENCILS</x:v>
      </x:c>
      <x:c r="D653" t="str">
        <x:v>120</x:v>
      </x:c>
      <x:c r="E653" t="str">
        <x:v>Violet</x:v>
      </x:c>
      <x:c r="F653" t="n">
        <x:v>1</x:v>
      </x:c>
      <x:c r="G653" t="str">
        <x:v>PV23</x:v>
      </x:c>
      <x:c r="H653" t="str">
        <x:v>PV23</x:v>
      </x:c>
      <x:c r="I653" t="str">
        <x:v>https://www.carandache.com/content_files/uploaded_doc/product/10985/Colour_Chart_Pastel_Pencil.pdf</x:v>
      </x:c>
    </x:row>
    <x:row r="654">
      <x:c r="A654" t="str">
        <x:v>CDA-PSTP-620</x:v>
      </x:c>
      <x:c r="B654" t="str">
        <x:v>PSTP</x:v>
      </x:c>
      <x:c r="C654" t="str">
        <x:v>PASTEL PENCILS</x:v>
      </x:c>
      <x:c r="D654" t="str">
        <x:v>620</x:v>
      </x:c>
      <x:c r="E654" t="str">
        <x:v>Cobalt Violet</x:v>
      </x:c>
      <x:c r="F654" t="n">
        <x:v>1</x:v>
      </x:c>
      <x:c r="G654" t="str">
        <x:v>PV23</x:v>
      </x:c>
      <x:c r="H654" t="str">
        <x:v>PV23/PB15/PB29</x:v>
      </x:c>
      <x:c r="I654" t="str">
        <x:v>https://www.carandache.com/content_files/uploaded_doc/product/10985/Colour_Chart_Pastel_Pencil.pdf</x:v>
      </x:c>
    </x:row>
    <x:row r="655">
      <x:c r="A655" t="str">
        <x:v>CDA-PSTP-620</x:v>
      </x:c>
      <x:c r="B655" t="str">
        <x:v>PSTP</x:v>
      </x:c>
      <x:c r="C655" t="str">
        <x:v>PASTEL PENCILS</x:v>
      </x:c>
      <x:c r="D655" t="str">
        <x:v>620</x:v>
      </x:c>
      <x:c r="E655" t="str">
        <x:v>Cobalt Violet</x:v>
      </x:c>
      <x:c r="F655" t="n">
        <x:v>2</x:v>
      </x:c>
      <x:c r="G655" t="str">
        <x:v>PB15</x:v>
      </x:c>
      <x:c r="H655" t="str">
        <x:v>PV23/PB15/PB29</x:v>
      </x:c>
      <x:c r="I655" t="str">
        <x:v>https://www.carandache.com/content_files/uploaded_doc/product/10985/Colour_Chart_Pastel_Pencil.pdf</x:v>
      </x:c>
    </x:row>
    <x:row r="656">
      <x:c r="A656" t="str">
        <x:v>CDA-PSTP-620</x:v>
      </x:c>
      <x:c r="B656" t="str">
        <x:v>PSTP</x:v>
      </x:c>
      <x:c r="C656" t="str">
        <x:v>PASTEL PENCILS</x:v>
      </x:c>
      <x:c r="D656" t="str">
        <x:v>620</x:v>
      </x:c>
      <x:c r="E656" t="str">
        <x:v>Cobalt Violet</x:v>
      </x:c>
      <x:c r="F656" t="n">
        <x:v>3</x:v>
      </x:c>
      <x:c r="G656" t="str">
        <x:v>PB29</x:v>
      </x:c>
      <x:c r="H656" t="str">
        <x:v>PV23/PB15/PB29</x:v>
      </x:c>
      <x:c r="I656" t="str">
        <x:v>https://www.carandache.com/content_files/uploaded_doc/product/10985/Colour_Chart_Pastel_Pencil.pdf</x:v>
      </x:c>
    </x:row>
    <x:row r="657">
      <x:c r="A657" t="str">
        <x:v>CDA-PSTP-149</x:v>
      </x:c>
      <x:c r="B657" t="str">
        <x:v>PSTP</x:v>
      </x:c>
      <x:c r="C657" t="str">
        <x:v>PASTEL PENCILS</x:v>
      </x:c>
      <x:c r="D657" t="str">
        <x:v>149</x:v>
      </x:c>
      <x:c r="E657" t="str">
        <x:v>Night blue</x:v>
      </x:c>
      <x:c r="F657" t="n">
        <x:v>1</x:v>
      </x:c>
      <x:c r="G657" t="str">
        <x:v>PB1</x:v>
      </x:c>
      <x:c r="H657" t="str">
        <x:v>PB1/PBk7</x:v>
      </x:c>
      <x:c r="I657" t="str">
        <x:v>https://www.carandache.com/content_files/uploaded_doc/product/10985/Colour_Chart_Pastel_Pencil.pdf</x:v>
      </x:c>
    </x:row>
    <x:row r="658">
      <x:c r="A658" t="str">
        <x:v>CDA-PSTP-149</x:v>
      </x:c>
      <x:c r="B658" t="str">
        <x:v>PSTP</x:v>
      </x:c>
      <x:c r="C658" t="str">
        <x:v>PASTEL PENCILS</x:v>
      </x:c>
      <x:c r="D658" t="str">
        <x:v>149</x:v>
      </x:c>
      <x:c r="E658" t="str">
        <x:v>Night blue</x:v>
      </x:c>
      <x:c r="F658" t="n">
        <x:v>2</x:v>
      </x:c>
      <x:c r="G658" t="str">
        <x:v>PBk7</x:v>
      </x:c>
      <x:c r="H658" t="str">
        <x:v>PB1/PBk7</x:v>
      </x:c>
      <x:c r="I658" t="str">
        <x:v>https://www.carandache.com/content_files/uploaded_doc/product/10985/Colour_Chart_Pastel_Pencil.pdf</x:v>
      </x:c>
    </x:row>
    <x:row r="659">
      <x:c r="A659" t="str">
        <x:v>CDA-PSTP-185</x:v>
      </x:c>
      <x:c r="B659" t="str">
        <x:v>PSTP</x:v>
      </x:c>
      <x:c r="C659" t="str">
        <x:v>PASTEL PENCILS</x:v>
      </x:c>
      <x:c r="D659" t="str">
        <x:v>185</x:v>
      </x:c>
      <x:c r="E659" t="str">
        <x:v>Ice blue</x:v>
      </x:c>
      <x:c r="F659" t="n">
        <x:v>1</x:v>
      </x:c>
      <x:c r="G659" t="str">
        <x:v>PB16</x:v>
      </x:c>
      <x:c r="H659" t="str">
        <x:v>PB16</x:v>
      </x:c>
      <x:c r="I659" t="str">
        <x:v>https://www.carandache.com/content_files/uploaded_doc/product/10985/Colour_Chart_Pastel_Pencil.pdf</x:v>
      </x:c>
    </x:row>
    <x:row r="660">
      <x:c r="A660" t="str">
        <x:v>CDA-PSTP-161</x:v>
      </x:c>
      <x:c r="B660" t="str">
        <x:v>PSTP</x:v>
      </x:c>
      <x:c r="C660" t="str">
        <x:v>PASTEL PENCILS</x:v>
      </x:c>
      <x:c r="D660" t="str">
        <x:v>161</x:v>
      </x:c>
      <x:c r="E660" t="str">
        <x:v>Light blue</x:v>
      </x:c>
      <x:c r="F660" t="n">
        <x:v>1</x:v>
      </x:c>
      <x:c r="G660" t="str">
        <x:v>PB15:3</x:v>
      </x:c>
      <x:c r="H660" t="str">
        <x:v>PB15:3/PBk9</x:v>
      </x:c>
      <x:c r="I660" t="str">
        <x:v>https://www.carandache.com/content_files/uploaded_doc/product/10985/Colour_Chart_Pastel_Pencil.pdf</x:v>
      </x:c>
    </x:row>
    <x:row r="661">
      <x:c r="A661" t="str">
        <x:v>CDA-PSTP-161</x:v>
      </x:c>
      <x:c r="B661" t="str">
        <x:v>PSTP</x:v>
      </x:c>
      <x:c r="C661" t="str">
        <x:v>PASTEL PENCILS</x:v>
      </x:c>
      <x:c r="D661" t="str">
        <x:v>161</x:v>
      </x:c>
      <x:c r="E661" t="str">
        <x:v>Light blue</x:v>
      </x:c>
      <x:c r="F661" t="n">
        <x:v>2</x:v>
      </x:c>
      <x:c r="G661" t="str">
        <x:v>PBk9</x:v>
      </x:c>
      <x:c r="H661" t="str">
        <x:v>PB15:3/PBk9</x:v>
      </x:c>
      <x:c r="I661" t="str">
        <x:v>https://www.carandache.com/content_files/uploaded_doc/product/10985/Colour_Chart_Pastel_Pencil.pdf</x:v>
      </x:c>
    </x:row>
    <x:row r="662">
      <x:c r="A662" t="str">
        <x:v>CDA-PSTP-730</x:v>
      </x:c>
      <x:c r="B662" t="str">
        <x:v>PSTP</x:v>
      </x:c>
      <x:c r="C662" t="str">
        <x:v>PASTEL PENCILS</x:v>
      </x:c>
      <x:c r="D662" t="str">
        <x:v>730</x:v>
      </x:c>
      <x:c r="E662" t="str">
        <x:v>Chinese green</x:v>
      </x:c>
      <x:c r="F662" t="n">
        <x:v>1</x:v>
      </x:c>
      <x:c r="G662" t="str">
        <x:v>PY3</x:v>
      </x:c>
      <x:c r="H662" t="str">
        <x:v>PY3/PG7</x:v>
      </x:c>
      <x:c r="I662" t="str">
        <x:v>https://www.carandache.com/content_files/uploaded_doc/product/10985/Colour_Chart_Pastel_Pencil.pdf</x:v>
      </x:c>
    </x:row>
    <x:row r="663">
      <x:c r="A663" t="str">
        <x:v>CDA-PSTP-730</x:v>
      </x:c>
      <x:c r="B663" t="str">
        <x:v>PSTP</x:v>
      </x:c>
      <x:c r="C663" t="str">
        <x:v>PASTEL PENCILS</x:v>
      </x:c>
      <x:c r="D663" t="str">
        <x:v>730</x:v>
      </x:c>
      <x:c r="E663" t="str">
        <x:v>Chinese green</x:v>
      </x:c>
      <x:c r="F663" t="n">
        <x:v>2</x:v>
      </x:c>
      <x:c r="G663" t="str">
        <x:v>PG7</x:v>
      </x:c>
      <x:c r="H663" t="str">
        <x:v>PY3/PG7</x:v>
      </x:c>
      <x:c r="I663" t="str">
        <x:v>https://www.carandache.com/content_files/uploaded_doc/product/10985/Colour_Chart_Pastel_Pencil.pdf</x:v>
      </x:c>
    </x:row>
    <x:row r="664">
      <x:c r="A664" t="str">
        <x:v>CDA-PSTP-232</x:v>
      </x:c>
      <x:c r="B664" t="str">
        <x:v>PSTP</x:v>
      </x:c>
      <x:c r="C664" t="str">
        <x:v>PASTEL PENCILS</x:v>
      </x:c>
      <x:c r="D664" t="str">
        <x:v>232</x:v>
      </x:c>
      <x:c r="E664" t="str">
        <x:v>Middle moss green 10%</x:v>
      </x:c>
      <x:c r="F664" t="n">
        <x:v>1</x:v>
      </x:c>
      <x:c r="G664" t="str">
        <x:v>PY74</x:v>
      </x:c>
      <x:c r="H664" t="str">
        <x:v>PY74/PB15/PO82</x:v>
      </x:c>
      <x:c r="I664" t="str">
        <x:v>https://www.carandache.com/content_files/uploaded_doc/product/10985/Colour_Chart_Pastel_Pencil.pdf</x:v>
      </x:c>
    </x:row>
    <x:row r="665">
      <x:c r="A665" t="str">
        <x:v>CDA-PSTP-232</x:v>
      </x:c>
      <x:c r="B665" t="str">
        <x:v>PSTP</x:v>
      </x:c>
      <x:c r="C665" t="str">
        <x:v>PASTEL PENCILS</x:v>
      </x:c>
      <x:c r="D665" t="str">
        <x:v>232</x:v>
      </x:c>
      <x:c r="E665" t="str">
        <x:v>Middle moss green 10%</x:v>
      </x:c>
      <x:c r="F665" t="n">
        <x:v>2</x:v>
      </x:c>
      <x:c r="G665" t="str">
        <x:v>PB15</x:v>
      </x:c>
      <x:c r="H665" t="str">
        <x:v>PY74/PB15/PO82</x:v>
      </x:c>
      <x:c r="I665" t="str">
        <x:v>https://www.carandache.com/content_files/uploaded_doc/product/10985/Colour_Chart_Pastel_Pencil.pdf</x:v>
      </x:c>
    </x:row>
    <x:row r="666">
      <x:c r="A666" t="str">
        <x:v>CDA-PSTP-232</x:v>
      </x:c>
      <x:c r="B666" t="str">
        <x:v>PSTP</x:v>
      </x:c>
      <x:c r="C666" t="str">
        <x:v>PASTEL PENCILS</x:v>
      </x:c>
      <x:c r="D666" t="str">
        <x:v>232</x:v>
      </x:c>
      <x:c r="E666" t="str">
        <x:v>Middle moss green 10%</x:v>
      </x:c>
      <x:c r="F666" t="n">
        <x:v>3</x:v>
      </x:c>
      <x:c r="G666" t="str">
        <x:v>PO82</x:v>
      </x:c>
      <x:c r="H666" t="str">
        <x:v>PY74/PB15/PO82</x:v>
      </x:c>
      <x:c r="I666" t="str">
        <x:v>https://www.carandache.com/content_files/uploaded_doc/product/10985/Colour_Chart_Pastel_Pencil.pdf</x:v>
      </x:c>
    </x:row>
    <x:row r="667">
      <x:c r="A667" t="str">
        <x:v>CDA-PSTP-243</x:v>
      </x:c>
      <x:c r="B667" t="str">
        <x:v>PSTP</x:v>
      </x:c>
      <x:c r="C667" t="str">
        <x:v>PASTEL PENCILS</x:v>
      </x:c>
      <x:c r="D667" t="str">
        <x:v>243</x:v>
      </x:c>
      <x:c r="E667" t="str">
        <x:v>Light olive 20%</x:v>
      </x:c>
      <x:c r="F667" t="n">
        <x:v>1</x:v>
      </x:c>
      <x:c r="G667" t="str">
        <x:v>PY74</x:v>
      </x:c>
      <x:c r="H667" t="str">
        <x:v>PY74/PG17/PY42</x:v>
      </x:c>
      <x:c r="I667" t="str">
        <x:v>https://www.carandache.com/content_files/uploaded_doc/product/10985/Colour_Chart_Pastel_Pencil.pdf</x:v>
      </x:c>
    </x:row>
    <x:row r="668">
      <x:c r="A668" t="str">
        <x:v>CDA-PSTP-243</x:v>
      </x:c>
      <x:c r="B668" t="str">
        <x:v>PSTP</x:v>
      </x:c>
      <x:c r="C668" t="str">
        <x:v>PASTEL PENCILS</x:v>
      </x:c>
      <x:c r="D668" t="str">
        <x:v>243</x:v>
      </x:c>
      <x:c r="E668" t="str">
        <x:v>Light olive 20%</x:v>
      </x:c>
      <x:c r="F668" t="n">
        <x:v>2</x:v>
      </x:c>
      <x:c r="G668" t="str">
        <x:v>PG17</x:v>
      </x:c>
      <x:c r="H668" t="str">
        <x:v>PY74/PG17/PY42</x:v>
      </x:c>
      <x:c r="I668" t="str">
        <x:v>https://www.carandache.com/content_files/uploaded_doc/product/10985/Colour_Chart_Pastel_Pencil.pdf</x:v>
      </x:c>
    </x:row>
    <x:row r="669">
      <x:c r="A669" t="str">
        <x:v>CDA-PSTP-243</x:v>
      </x:c>
      <x:c r="B669" t="str">
        <x:v>PSTP</x:v>
      </x:c>
      <x:c r="C669" t="str">
        <x:v>PASTEL PENCILS</x:v>
      </x:c>
      <x:c r="D669" t="str">
        <x:v>243</x:v>
      </x:c>
      <x:c r="E669" t="str">
        <x:v>Light olive 20%</x:v>
      </x:c>
      <x:c r="F669" t="n">
        <x:v>3</x:v>
      </x:c>
      <x:c r="G669" t="str">
        <x:v>PY42</x:v>
      </x:c>
      <x:c r="H669" t="str">
        <x:v>PY74/PG17/PY42</x:v>
      </x:c>
      <x:c r="I669" t="str">
        <x:v>https://www.carandache.com/content_files/uploaded_doc/product/10985/Colour_Chart_Pastel_Pencil.pdf</x:v>
      </x:c>
    </x:row>
    <x:row r="670">
      <x:c r="A670" t="str">
        <x:v>CDA-PSTP-245</x:v>
      </x:c>
      <x:c r="B670" t="str">
        <x:v>PSTP</x:v>
      </x:c>
      <x:c r="C670" t="str">
        <x:v>PASTEL PENCILS</x:v>
      </x:c>
      <x:c r="D670" t="str">
        <x:v>245</x:v>
      </x:c>
      <x:c r="E670" t="str">
        <x:v>Light olive 40%</x:v>
      </x:c>
      <x:c r="F670" t="n">
        <x:v>1</x:v>
      </x:c>
      <x:c r="G670" t="str">
        <x:v>PY74</x:v>
      </x:c>
      <x:c r="H670" t="str">
        <x:v>PY74/PG17/PY42</x:v>
      </x:c>
      <x:c r="I670" t="str">
        <x:v>https://www.carandache.com/content_files/uploaded_doc/product/10985/Colour_Chart_Pastel_Pencil.pdf</x:v>
      </x:c>
    </x:row>
    <x:row r="671">
      <x:c r="A671" t="str">
        <x:v>CDA-PSTP-245</x:v>
      </x:c>
      <x:c r="B671" t="str">
        <x:v>PSTP</x:v>
      </x:c>
      <x:c r="C671" t="str">
        <x:v>PASTEL PENCILS</x:v>
      </x:c>
      <x:c r="D671" t="str">
        <x:v>245</x:v>
      </x:c>
      <x:c r="E671" t="str">
        <x:v>Light olive 40%</x:v>
      </x:c>
      <x:c r="F671" t="n">
        <x:v>2</x:v>
      </x:c>
      <x:c r="G671" t="str">
        <x:v>PG17</x:v>
      </x:c>
      <x:c r="H671" t="str">
        <x:v>PY74/PG17/PY42</x:v>
      </x:c>
      <x:c r="I671" t="str">
        <x:v>https://www.carandache.com/content_files/uploaded_doc/product/10985/Colour_Chart_Pastel_Pencil.pdf</x:v>
      </x:c>
    </x:row>
    <x:row r="672">
      <x:c r="A672" t="str">
        <x:v>CDA-PSTP-245</x:v>
      </x:c>
      <x:c r="B672" t="str">
        <x:v>PSTP</x:v>
      </x:c>
      <x:c r="C672" t="str">
        <x:v>PASTEL PENCILS</x:v>
      </x:c>
      <x:c r="D672" t="str">
        <x:v>245</x:v>
      </x:c>
      <x:c r="E672" t="str">
        <x:v>Light olive 40%</x:v>
      </x:c>
      <x:c r="F672" t="n">
        <x:v>3</x:v>
      </x:c>
      <x:c r="G672" t="str">
        <x:v>PY42</x:v>
      </x:c>
      <x:c r="H672" t="str">
        <x:v>PY74/PG17/PY42</x:v>
      </x:c>
      <x:c r="I672" t="str">
        <x:v>https://www.carandache.com/content_files/uploaded_doc/product/10985/Colour_Chart_Pastel_Pencil.pdf</x:v>
      </x:c>
    </x:row>
    <x:row r="673">
      <x:c r="A673" t="str">
        <x:v>CDA-PSTP-017</x:v>
      </x:c>
      <x:c r="B673" t="str">
        <x:v>PSTP</x:v>
      </x:c>
      <x:c r="C673" t="str">
        <x:v>PASTEL PENCILS</x:v>
      </x:c>
      <x:c r="D673" t="str">
        <x:v>017</x:v>
      </x:c>
      <x:c r="E673" t="str">
        <x:v>Light reseda</x:v>
      </x:c>
      <x:c r="F673" t="n">
        <x:v>1</x:v>
      </x:c>
      <x:c r="G673" t="str">
        <x:v>PY3</x:v>
      </x:c>
      <x:c r="H673" t="str">
        <x:v>PY3/PBk7</x:v>
      </x:c>
      <x:c r="I673" t="str">
        <x:v>https://www.carandache.com/content_files/uploaded_doc/product/10985/Colour_Chart_Pastel_Pencil.pdf</x:v>
      </x:c>
    </x:row>
    <x:row r="674">
      <x:c r="A674" t="str">
        <x:v>CDA-PSTP-017</x:v>
      </x:c>
      <x:c r="B674" t="str">
        <x:v>PSTP</x:v>
      </x:c>
      <x:c r="C674" t="str">
        <x:v>PASTEL PENCILS</x:v>
      </x:c>
      <x:c r="D674" t="str">
        <x:v>017</x:v>
      </x:c>
      <x:c r="E674" t="str">
        <x:v>Light reseda</x:v>
      </x:c>
      <x:c r="F674" t="n">
        <x:v>2</x:v>
      </x:c>
      <x:c r="G674" t="str">
        <x:v>PBk7</x:v>
      </x:c>
      <x:c r="H674" t="str">
        <x:v>PY3/PBk7</x:v>
      </x:c>
      <x:c r="I674" t="str">
        <x:v>https://www.carandache.com/content_files/uploaded_doc/product/10985/Colour_Chart_Pastel_Pencil.pdf</x:v>
      </x:c>
    </x:row>
    <x:row r="675">
      <x:c r="A675" t="str">
        <x:v>CDA-PSTP-234</x:v>
      </x:c>
      <x:c r="B675" t="str">
        <x:v>PSTP</x:v>
      </x:c>
      <x:c r="C675" t="str">
        <x:v>PASTEL PENCILS</x:v>
      </x:c>
      <x:c r="D675" t="str">
        <x:v>234</x:v>
      </x:c>
      <x:c r="E675" t="str">
        <x:v>Middle moss green 30%</x:v>
      </x:c>
      <x:c r="F675" t="n">
        <x:v>1</x:v>
      </x:c>
      <x:c r="G675" t="str">
        <x:v>PY74</x:v>
      </x:c>
      <x:c r="H675" t="str">
        <x:v>PY74/PB15/PO82</x:v>
      </x:c>
      <x:c r="I675" t="str">
        <x:v>https://www.carandache.com/content_files/uploaded_doc/product/10985/Colour_Chart_Pastel_Pencil.pdf</x:v>
      </x:c>
    </x:row>
    <x:row r="676">
      <x:c r="A676" t="str">
        <x:v>CDA-PSTP-234</x:v>
      </x:c>
      <x:c r="B676" t="str">
        <x:v>PSTP</x:v>
      </x:c>
      <x:c r="C676" t="str">
        <x:v>PASTEL PENCILS</x:v>
      </x:c>
      <x:c r="D676" t="str">
        <x:v>234</x:v>
      </x:c>
      <x:c r="E676" t="str">
        <x:v>Middle moss green 30%</x:v>
      </x:c>
      <x:c r="F676" t="n">
        <x:v>2</x:v>
      </x:c>
      <x:c r="G676" t="str">
        <x:v>PB15</x:v>
      </x:c>
      <x:c r="H676" t="str">
        <x:v>PY74/PB15/PO82</x:v>
      </x:c>
      <x:c r="I676" t="str">
        <x:v>https://www.carandache.com/content_files/uploaded_doc/product/10985/Colour_Chart_Pastel_Pencil.pdf</x:v>
      </x:c>
    </x:row>
    <x:row r="677">
      <x:c r="A677" t="str">
        <x:v>CDA-PSTP-234</x:v>
      </x:c>
      <x:c r="B677" t="str">
        <x:v>PSTP</x:v>
      </x:c>
      <x:c r="C677" t="str">
        <x:v>PASTEL PENCILS</x:v>
      </x:c>
      <x:c r="D677" t="str">
        <x:v>234</x:v>
      </x:c>
      <x:c r="E677" t="str">
        <x:v>Middle moss green 30%</x:v>
      </x:c>
      <x:c r="F677" t="n">
        <x:v>3</x:v>
      </x:c>
      <x:c r="G677" t="str">
        <x:v>PO82</x:v>
      </x:c>
      <x:c r="H677" t="str">
        <x:v>PY74/PB15/PO82</x:v>
      </x:c>
      <x:c r="I677" t="str">
        <x:v>https://www.carandache.com/content_files/uploaded_doc/product/10985/Colour_Chart_Pastel_Pencil.pdf</x:v>
      </x:c>
    </x:row>
    <x:row r="678">
      <x:c r="A678" t="str">
        <x:v>CDA-PSTP-225</x:v>
      </x:c>
      <x:c r="B678" t="str">
        <x:v>PSTP</x:v>
      </x:c>
      <x:c r="C678" t="str">
        <x:v>PASTEL PENCILS</x:v>
      </x:c>
      <x:c r="D678" t="str">
        <x:v>225</x:v>
      </x:c>
      <x:c r="E678" t="str">
        <x:v>Moss green</x:v>
      </x:c>
      <x:c r="F678" t="n">
        <x:v>1</x:v>
      </x:c>
      <x:c r="G678" t="str">
        <x:v>PB15</x:v>
      </x:c>
      <x:c r="H678" t="str">
        <x:v>PB15/PY3/PY74/PBk7</x:v>
      </x:c>
      <x:c r="I678" t="str">
        <x:v>https://www.carandache.com/content_files/uploaded_doc/product/10985/Colour_Chart_Pastel_Pencil.pdf</x:v>
      </x:c>
    </x:row>
    <x:row r="679">
      <x:c r="A679" t="str">
        <x:v>CDA-PSTP-225</x:v>
      </x:c>
      <x:c r="B679" t="str">
        <x:v>PSTP</x:v>
      </x:c>
      <x:c r="C679" t="str">
        <x:v>PASTEL PENCILS</x:v>
      </x:c>
      <x:c r="D679" t="str">
        <x:v>225</x:v>
      </x:c>
      <x:c r="E679" t="str">
        <x:v>Moss green</x:v>
      </x:c>
      <x:c r="F679" t="n">
        <x:v>2</x:v>
      </x:c>
      <x:c r="G679" t="str">
        <x:v>PY3</x:v>
      </x:c>
      <x:c r="H679" t="str">
        <x:v>PB15/PY3/PY74/PBk7</x:v>
      </x:c>
      <x:c r="I679" t="str">
        <x:v>https://www.carandache.com/content_files/uploaded_doc/product/10985/Colour_Chart_Pastel_Pencil.pdf</x:v>
      </x:c>
    </x:row>
    <x:row r="680">
      <x:c r="A680" t="str">
        <x:v>CDA-PSTP-225</x:v>
      </x:c>
      <x:c r="B680" t="str">
        <x:v>PSTP</x:v>
      </x:c>
      <x:c r="C680" t="str">
        <x:v>PASTEL PENCILS</x:v>
      </x:c>
      <x:c r="D680" t="str">
        <x:v>225</x:v>
      </x:c>
      <x:c r="E680" t="str">
        <x:v>Moss green</x:v>
      </x:c>
      <x:c r="F680" t="n">
        <x:v>3</x:v>
      </x:c>
      <x:c r="G680" t="str">
        <x:v>PY74</x:v>
      </x:c>
      <x:c r="H680" t="str">
        <x:v>PB15/PY3/PY74/PBk7</x:v>
      </x:c>
      <x:c r="I680" t="str">
        <x:v>https://www.carandache.com/content_files/uploaded_doc/product/10985/Colour_Chart_Pastel_Pencil.pdf</x:v>
      </x:c>
    </x:row>
    <x:row r="681">
      <x:c r="A681" t="str">
        <x:v>CDA-PSTP-225</x:v>
      </x:c>
      <x:c r="B681" t="str">
        <x:v>PSTP</x:v>
      </x:c>
      <x:c r="C681" t="str">
        <x:v>PASTEL PENCILS</x:v>
      </x:c>
      <x:c r="D681" t="str">
        <x:v>225</x:v>
      </x:c>
      <x:c r="E681" t="str">
        <x:v>Moss green</x:v>
      </x:c>
      <x:c r="F681" t="n">
        <x:v>4</x:v>
      </x:c>
      <x:c r="G681" t="str">
        <x:v>PBk7</x:v>
      </x:c>
      <x:c r="H681" t="str">
        <x:v>PB15/PY3/PY74/PBk7</x:v>
      </x:c>
      <x:c r="I681" t="str">
        <x:v>https://www.carandache.com/content_files/uploaded_doc/product/10985/Colour_Chart_Pastel_Pencil.pdf</x:v>
      </x:c>
    </x:row>
    <x:row r="682">
      <x:c r="A682" t="str">
        <x:v>CDA-PSTP-229</x:v>
      </x:c>
      <x:c r="B682" t="str">
        <x:v>PSTP</x:v>
      </x:c>
      <x:c r="C682" t="str">
        <x:v>PASTEL PENCILS</x:v>
      </x:c>
      <x:c r="D682" t="str">
        <x:v>229</x:v>
      </x:c>
      <x:c r="E682" t="str">
        <x:v>Dark green</x:v>
      </x:c>
      <x:c r="F682" t="n">
        <x:v>1</x:v>
      </x:c>
      <x:c r="G682" t="str">
        <x:v>PBk11</x:v>
      </x:c>
      <x:c r="H682" t="str">
        <x:v>PBk11/PY42/PR101</x:v>
      </x:c>
      <x:c r="I682" t="str">
        <x:v>https://www.carandache.com/content_files/uploaded_doc/product/10985/Colour_Chart_Pastel_Pencil.pdf</x:v>
      </x:c>
    </x:row>
    <x:row r="683">
      <x:c r="A683" t="str">
        <x:v>CDA-PSTP-229</x:v>
      </x:c>
      <x:c r="B683" t="str">
        <x:v>PSTP</x:v>
      </x:c>
      <x:c r="C683" t="str">
        <x:v>PASTEL PENCILS</x:v>
      </x:c>
      <x:c r="D683" t="str">
        <x:v>229</x:v>
      </x:c>
      <x:c r="E683" t="str">
        <x:v>Dark green</x:v>
      </x:c>
      <x:c r="F683" t="n">
        <x:v>2</x:v>
      </x:c>
      <x:c r="G683" t="str">
        <x:v>PY42</x:v>
      </x:c>
      <x:c r="H683" t="str">
        <x:v>PBk11/PY42/PR101</x:v>
      </x:c>
      <x:c r="I683" t="str">
        <x:v>https://www.carandache.com/content_files/uploaded_doc/product/10985/Colour_Chart_Pastel_Pencil.pdf</x:v>
      </x:c>
    </x:row>
    <x:row r="684">
      <x:c r="A684" t="str">
        <x:v>CDA-PSTP-229</x:v>
      </x:c>
      <x:c r="B684" t="str">
        <x:v>PSTP</x:v>
      </x:c>
      <x:c r="C684" t="str">
        <x:v>PASTEL PENCILS</x:v>
      </x:c>
      <x:c r="D684" t="str">
        <x:v>229</x:v>
      </x:c>
      <x:c r="E684" t="str">
        <x:v>Dark green</x:v>
      </x:c>
      <x:c r="F684" t="n">
        <x:v>3</x:v>
      </x:c>
      <x:c r="G684" t="str">
        <x:v>PR101</x:v>
      </x:c>
      <x:c r="H684" t="str">
        <x:v>PBk11/PY42/PR101</x:v>
      </x:c>
      <x:c r="I684" t="str">
        <x:v>https://www.carandache.com/content_files/uploaded_doc/product/10985/Colour_Chart_Pastel_Pencil.pdf</x:v>
      </x:c>
    </x:row>
    <x:row r="685">
      <x:c r="A685" t="str">
        <x:v>CDA-PSTP-718</x:v>
      </x:c>
      <x:c r="B685" t="str">
        <x:v>PSTP</x:v>
      </x:c>
      <x:c r="C685" t="str">
        <x:v>PASTEL PENCILS</x:v>
      </x:c>
      <x:c r="D685" t="str">
        <x:v>718</x:v>
      </x:c>
      <x:c r="E685" t="str">
        <x:v>Middle phthalocyanine green</x:v>
      </x:c>
      <x:c r="F685" t="n">
        <x:v>1</x:v>
      </x:c>
      <x:c r="G685" t="str">
        <x:v>PB15</x:v>
      </x:c>
      <x:c r="H685" t="str">
        <x:v>PB15/PBk11/PY42/PR101</x:v>
      </x:c>
      <x:c r="I685" t="str">
        <x:v>https://www.carandache.com/content_files/uploaded_doc/product/10985/Colour_Chart_Pastel_Pencil.pdf</x:v>
      </x:c>
    </x:row>
    <x:row r="686">
      <x:c r="A686" t="str">
        <x:v>CDA-PSTP-718</x:v>
      </x:c>
      <x:c r="B686" t="str">
        <x:v>PSTP</x:v>
      </x:c>
      <x:c r="C686" t="str">
        <x:v>PASTEL PENCILS</x:v>
      </x:c>
      <x:c r="D686" t="str">
        <x:v>718</x:v>
      </x:c>
      <x:c r="E686" t="str">
        <x:v>Middle phthalocyanine green</x:v>
      </x:c>
      <x:c r="F686" t="n">
        <x:v>2</x:v>
      </x:c>
      <x:c r="G686" t="str">
        <x:v>PBk11</x:v>
      </x:c>
      <x:c r="H686" t="str">
        <x:v>PB15/PBk11/PY42/PR101</x:v>
      </x:c>
      <x:c r="I686" t="str">
        <x:v>https://www.carandache.com/content_files/uploaded_doc/product/10985/Colour_Chart_Pastel_Pencil.pdf</x:v>
      </x:c>
    </x:row>
    <x:row r="687">
      <x:c r="A687" t="str">
        <x:v>CDA-PSTP-718</x:v>
      </x:c>
      <x:c r="B687" t="str">
        <x:v>PSTP</x:v>
      </x:c>
      <x:c r="C687" t="str">
        <x:v>PASTEL PENCILS</x:v>
      </x:c>
      <x:c r="D687" t="str">
        <x:v>718</x:v>
      </x:c>
      <x:c r="E687" t="str">
        <x:v>Middle phthalocyanine green</x:v>
      </x:c>
      <x:c r="F687" t="n">
        <x:v>3</x:v>
      </x:c>
      <x:c r="G687" t="str">
        <x:v>PY42</x:v>
      </x:c>
      <x:c r="H687" t="str">
        <x:v>PB15/PBk11/PY42/PR101</x:v>
      </x:c>
      <x:c r="I687" t="str">
        <x:v>https://www.carandache.com/content_files/uploaded_doc/product/10985/Colour_Chart_Pastel_Pencil.pdf</x:v>
      </x:c>
    </x:row>
    <x:row r="688">
      <x:c r="A688" t="str">
        <x:v>CDA-PSTP-718</x:v>
      </x:c>
      <x:c r="B688" t="str">
        <x:v>PSTP</x:v>
      </x:c>
      <x:c r="C688" t="str">
        <x:v>PASTEL PENCILS</x:v>
      </x:c>
      <x:c r="D688" t="str">
        <x:v>718</x:v>
      </x:c>
      <x:c r="E688" t="str">
        <x:v>Middle phthalocyanine green</x:v>
      </x:c>
      <x:c r="F688" t="n">
        <x:v>4</x:v>
      </x:c>
      <x:c r="G688" t="str">
        <x:v>PR101</x:v>
      </x:c>
      <x:c r="H688" t="str">
        <x:v>PB15/PBk11/PY42/PR101</x:v>
      </x:c>
      <x:c r="I688" t="str">
        <x:v>https://www.carandache.com/content_files/uploaded_doc/product/10985/Colour_Chart_Pastel_Pencil.pdf</x:v>
      </x:c>
    </x:row>
    <x:row r="689">
      <x:c r="A689" t="str">
        <x:v>CDA-PSTP-719</x:v>
      </x:c>
      <x:c r="B689" t="str">
        <x:v>PSTP</x:v>
      </x:c>
      <x:c r="C689" t="str">
        <x:v>PASTEL PENCILS</x:v>
      </x:c>
      <x:c r="D689" t="str">
        <x:v>719</x:v>
      </x:c>
      <x:c r="E689" t="str">
        <x:v>Dark phthalocyanine green</x:v>
      </x:c>
      <x:c r="F689" t="n">
        <x:v>1</x:v>
      </x:c>
      <x:c r="G689" t="str">
        <x:v>PB15</x:v>
      </x:c>
      <x:c r="H689" t="str">
        <x:v>PB15/PBk11/PY42/PR101</x:v>
      </x:c>
      <x:c r="I689" t="str">
        <x:v>https://www.carandache.com/content_files/uploaded_doc/product/10985/Colour_Chart_Pastel_Pencil.pdf</x:v>
      </x:c>
    </x:row>
    <x:row r="690">
      <x:c r="A690" t="str">
        <x:v>CDA-PSTP-719</x:v>
      </x:c>
      <x:c r="B690" t="str">
        <x:v>PSTP</x:v>
      </x:c>
      <x:c r="C690" t="str">
        <x:v>PASTEL PENCILS</x:v>
      </x:c>
      <x:c r="D690" t="str">
        <x:v>719</x:v>
      </x:c>
      <x:c r="E690" t="str">
        <x:v>Dark phthalocyanine green</x:v>
      </x:c>
      <x:c r="F690" t="n">
        <x:v>2</x:v>
      </x:c>
      <x:c r="G690" t="str">
        <x:v>PBk11</x:v>
      </x:c>
      <x:c r="H690" t="str">
        <x:v>PB15/PBk11/PY42/PR101</x:v>
      </x:c>
      <x:c r="I690" t="str">
        <x:v>https://www.carandache.com/content_files/uploaded_doc/product/10985/Colour_Chart_Pastel_Pencil.pdf</x:v>
      </x:c>
    </x:row>
    <x:row r="691">
      <x:c r="A691" t="str">
        <x:v>CDA-PSTP-719</x:v>
      </x:c>
      <x:c r="B691" t="str">
        <x:v>PSTP</x:v>
      </x:c>
      <x:c r="C691" t="str">
        <x:v>PASTEL PENCILS</x:v>
      </x:c>
      <x:c r="D691" t="str">
        <x:v>719</x:v>
      </x:c>
      <x:c r="E691" t="str">
        <x:v>Dark phthalocyanine green</x:v>
      </x:c>
      <x:c r="F691" t="n">
        <x:v>3</x:v>
      </x:c>
      <x:c r="G691" t="str">
        <x:v>PY42</x:v>
      </x:c>
      <x:c r="H691" t="str">
        <x:v>PB15/PBk11/PY42/PR101</x:v>
      </x:c>
      <x:c r="I691" t="str">
        <x:v>https://www.carandache.com/content_files/uploaded_doc/product/10985/Colour_Chart_Pastel_Pencil.pdf</x:v>
      </x:c>
    </x:row>
    <x:row r="692">
      <x:c r="A692" t="str">
        <x:v>CDA-PSTP-719</x:v>
      </x:c>
      <x:c r="B692" t="str">
        <x:v>PSTP</x:v>
      </x:c>
      <x:c r="C692" t="str">
        <x:v>PASTEL PENCILS</x:v>
      </x:c>
      <x:c r="D692" t="str">
        <x:v>719</x:v>
      </x:c>
      <x:c r="E692" t="str">
        <x:v>Dark phthalocyanine green</x:v>
      </x:c>
      <x:c r="F692" t="n">
        <x:v>4</x:v>
      </x:c>
      <x:c r="G692" t="str">
        <x:v>PR101</x:v>
      </x:c>
      <x:c r="H692" t="str">
        <x:v>PB15/PBk11/PY42/PR101</x:v>
      </x:c>
      <x:c r="I692" t="str">
        <x:v>https://www.carandache.com/content_files/uploaded_doc/product/10985/Colour_Chart_Pastel_Pencil.pdf</x:v>
      </x:c>
    </x:row>
    <x:row r="693">
      <x:c r="A693" t="str">
        <x:v>CDA-PSTP-180</x:v>
      </x:c>
      <x:c r="B693" t="str">
        <x:v>PSTP</x:v>
      </x:c>
      <x:c r="C693" t="str">
        <x:v>PASTEL PENCILS</x:v>
      </x:c>
      <x:c r="D693" t="str">
        <x:v>180</x:v>
      </x:c>
      <x:c r="E693" t="str">
        <x:v>Malachite green</x:v>
      </x:c>
      <x:c r="F693" t="n">
        <x:v>1</x:v>
      </x:c>
      <x:c r="G693" t="str">
        <x:v>PB15</x:v>
      </x:c>
      <x:c r="H693" t="str">
        <x:v>PB15/PY3/PBk7</x:v>
      </x:c>
      <x:c r="I693" t="str">
        <x:v>https://www.carandache.com/content_files/uploaded_doc/product/10985/Colour_Chart_Pastel_Pencil.pdf</x:v>
      </x:c>
    </x:row>
    <x:row r="694">
      <x:c r="A694" t="str">
        <x:v>CDA-PSTP-180</x:v>
      </x:c>
      <x:c r="B694" t="str">
        <x:v>PSTP</x:v>
      </x:c>
      <x:c r="C694" t="str">
        <x:v>PASTEL PENCILS</x:v>
      </x:c>
      <x:c r="D694" t="str">
        <x:v>180</x:v>
      </x:c>
      <x:c r="E694" t="str">
        <x:v>Malachite green</x:v>
      </x:c>
      <x:c r="F694" t="n">
        <x:v>2</x:v>
      </x:c>
      <x:c r="G694" t="str">
        <x:v>PY3</x:v>
      </x:c>
      <x:c r="H694" t="str">
        <x:v>PB15/PY3/PBk7</x:v>
      </x:c>
      <x:c r="I694" t="str">
        <x:v>https://www.carandache.com/content_files/uploaded_doc/product/10985/Colour_Chart_Pastel_Pencil.pdf</x:v>
      </x:c>
    </x:row>
    <x:row r="695">
      <x:c r="A695" t="str">
        <x:v>CDA-PSTP-180</x:v>
      </x:c>
      <x:c r="B695" t="str">
        <x:v>PSTP</x:v>
      </x:c>
      <x:c r="C695" t="str">
        <x:v>PASTEL PENCILS</x:v>
      </x:c>
      <x:c r="D695" t="str">
        <x:v>180</x:v>
      </x:c>
      <x:c r="E695" t="str">
        <x:v>Malachite green</x:v>
      </x:c>
      <x:c r="F695" t="n">
        <x:v>3</x:v>
      </x:c>
      <x:c r="G695" t="str">
        <x:v>PBk7</x:v>
      </x:c>
      <x:c r="H695" t="str">
        <x:v>PB15/PY3/PBk7</x:v>
      </x:c>
      <x:c r="I695" t="str">
        <x:v>https://www.carandache.com/content_files/uploaded_doc/product/10985/Colour_Chart_Pastel_Pencil.pdf</x:v>
      </x:c>
    </x:row>
    <x:row r="696">
      <x:c r="A696" t="str">
        <x:v>CDA-PSTP-214</x:v>
      </x:c>
      <x:c r="B696" t="str">
        <x:v>PSTP</x:v>
      </x:c>
      <x:c r="C696" t="str">
        <x:v>PASTEL PENCILS</x:v>
      </x:c>
      <x:c r="D696" t="str">
        <x:v>214</x:v>
      </x:c>
      <x:c r="E696" t="str">
        <x:v>Beryl green</x:v>
      </x:c>
      <x:c r="F696" t="n">
        <x:v>1</x:v>
      </x:c>
      <x:c r="G696" t="str">
        <x:v>PG7</x:v>
      </x:c>
      <x:c r="H696" t="str">
        <x:v>PG7</x:v>
      </x:c>
      <x:c r="I696" t="str">
        <x:v>https://www.carandache.com/content_files/uploaded_doc/product/10985/Colour_Chart_Pastel_Pencil.pdf</x:v>
      </x:c>
    </x:row>
    <x:row r="697">
      <x:c r="A697" t="str">
        <x:v>CDA-PSTP-711</x:v>
      </x:c>
      <x:c r="B697" t="str">
        <x:v>PSTP</x:v>
      </x:c>
      <x:c r="C697" t="str">
        <x:v>PASTEL PENCILS</x:v>
      </x:c>
      <x:c r="D697" t="str">
        <x:v>711</x:v>
      </x:c>
      <x:c r="E697" t="str">
        <x:v>Earth green</x:v>
      </x:c>
      <x:c r="F697" t="n">
        <x:v>1</x:v>
      </x:c>
      <x:c r="G697" t="str">
        <x:v>PG23</x:v>
      </x:c>
      <x:c r="H697" t="str">
        <x:v>PG23</x:v>
      </x:c>
      <x:c r="I697" t="str">
        <x:v>https://www.carandache.com/content_files/uploaded_doc/product/10985/Colour_Chart_Pastel_Pencil.pdf</x:v>
      </x:c>
    </x:row>
    <x:row r="698">
      <x:c r="A698" t="str">
        <x:v>CDA-PSTP-712</x:v>
      </x:c>
      <x:c r="B698" t="str">
        <x:v>PSTP</x:v>
      </x:c>
      <x:c r="C698" t="str">
        <x:v>PASTEL PENCILS</x:v>
      </x:c>
      <x:c r="D698" t="str">
        <x:v>712</x:v>
      </x:c>
      <x:c r="E698" t="str">
        <x:v>Verdigris</x:v>
      </x:c>
      <x:c r="F698" t="n">
        <x:v>1</x:v>
      </x:c>
      <x:c r="G698" t="str">
        <x:v>PG17</x:v>
      </x:c>
      <x:c r="H698" t="str">
        <x:v>PG17/PB28</x:v>
      </x:c>
      <x:c r="I698" t="str">
        <x:v>https://www.carandache.com/content_files/uploaded_doc/product/10985/Colour_Chart_Pastel_Pencil.pdf</x:v>
      </x:c>
    </x:row>
    <x:row r="699">
      <x:c r="A699" t="str">
        <x:v>CDA-PSTP-712</x:v>
      </x:c>
      <x:c r="B699" t="str">
        <x:v>PSTP</x:v>
      </x:c>
      <x:c r="C699" t="str">
        <x:v>PASTEL PENCILS</x:v>
      </x:c>
      <x:c r="D699" t="str">
        <x:v>712</x:v>
      </x:c>
      <x:c r="E699" t="str">
        <x:v>Verdigris</x:v>
      </x:c>
      <x:c r="F699" t="n">
        <x:v>2</x:v>
      </x:c>
      <x:c r="G699" t="str">
        <x:v>PB28</x:v>
      </x:c>
      <x:c r="H699" t="str">
        <x:v>PG17/PB28</x:v>
      </x:c>
      <x:c r="I699" t="str">
        <x:v>https://www.carandache.com/content_files/uploaded_doc/product/10985/Colour_Chart_Pastel_Pencil.pdf</x:v>
      </x:c>
    </x:row>
    <x:row r="700">
      <x:c r="A700" t="str">
        <x:v>CDA-PSTP-212</x:v>
      </x:c>
      <x:c r="B700" t="str">
        <x:v>PSTP</x:v>
      </x:c>
      <x:c r="C700" t="str">
        <x:v>PASTEL PENCILS</x:v>
      </x:c>
      <x:c r="D700" t="str">
        <x:v>212</x:v>
      </x:c>
      <x:c r="E700" t="str">
        <x:v>Chromium oxyde green</x:v>
      </x:c>
      <x:c r="F700" t="n">
        <x:v>1</x:v>
      </x:c>
      <x:c r="G700" t="str">
        <x:v>PG17</x:v>
      </x:c>
      <x:c r="H700" t="str">
        <x:v>PG17</x:v>
      </x:c>
      <x:c r="I700" t="str">
        <x:v>https://www.carandache.com/content_files/uploaded_doc/product/10985/Colour_Chart_Pastel_Pencil.pdf</x:v>
      </x:c>
    </x:row>
    <x:row r="701">
      <x:c r="A701" t="str">
        <x:v>CDA-PSTP-732</x:v>
      </x:c>
      <x:c r="B701" t="str">
        <x:v>PSTP</x:v>
      </x:c>
      <x:c r="C701" t="str">
        <x:v>PASTEL PENCILS</x:v>
      </x:c>
      <x:c r="D701" t="str">
        <x:v>732</x:v>
      </x:c>
      <x:c r="E701" t="str">
        <x:v>Brown Olive 10%</x:v>
      </x:c>
      <x:c r="F701" t="n">
        <x:v>1</x:v>
      </x:c>
      <x:c r="G701" t="str">
        <x:v>PY42</x:v>
      </x:c>
      <x:c r="H701" t="str">
        <x:v>PY42/PBk6</x:v>
      </x:c>
      <x:c r="I701" t="str">
        <x:v>https://www.carandache.com/content_files/uploaded_doc/product/10985/Colour_Chart_Pastel_Pencil.pdf</x:v>
      </x:c>
    </x:row>
    <x:row r="702">
      <x:c r="A702" t="str">
        <x:v>CDA-PSTP-732</x:v>
      </x:c>
      <x:c r="B702" t="str">
        <x:v>PSTP</x:v>
      </x:c>
      <x:c r="C702" t="str">
        <x:v>PASTEL PENCILS</x:v>
      </x:c>
      <x:c r="D702" t="str">
        <x:v>732</x:v>
      </x:c>
      <x:c r="E702" t="str">
        <x:v>Brown Olive 10%</x:v>
      </x:c>
      <x:c r="F702" t="n">
        <x:v>2</x:v>
      </x:c>
      <x:c r="G702" t="str">
        <x:v>PBk6</x:v>
      </x:c>
      <x:c r="H702" t="str">
        <x:v>PY42/PBk6</x:v>
      </x:c>
      <x:c r="I702" t="str">
        <x:v>https://www.carandache.com/content_files/uploaded_doc/product/10985/Colour_Chart_Pastel_Pencil.pdf</x:v>
      </x:c>
    </x:row>
    <x:row r="703">
      <x:c r="A703" t="str">
        <x:v>CDA-PSTP-736</x:v>
      </x:c>
      <x:c r="B703" t="str">
        <x:v>PSTP</x:v>
      </x:c>
      <x:c r="C703" t="str">
        <x:v>PASTEL PENCILS</x:v>
      </x:c>
      <x:c r="D703" t="str">
        <x:v>736</x:v>
      </x:c>
      <x:c r="E703" t="str">
        <x:v>Brown Olive 50%</x:v>
      </x:c>
      <x:c r="F703" t="n">
        <x:v>1</x:v>
      </x:c>
      <x:c r="G703" t="str">
        <x:v>PY42</x:v>
      </x:c>
      <x:c r="H703" t="str">
        <x:v>PY42/PBk6</x:v>
      </x:c>
      <x:c r="I703" t="str">
        <x:v>https://www.carandache.com/content_files/uploaded_doc/product/10985/Colour_Chart_Pastel_Pencil.pdf</x:v>
      </x:c>
    </x:row>
    <x:row r="704">
      <x:c r="A704" t="str">
        <x:v>CDA-PSTP-736</x:v>
      </x:c>
      <x:c r="B704" t="str">
        <x:v>PSTP</x:v>
      </x:c>
      <x:c r="C704" t="str">
        <x:v>PASTEL PENCILS</x:v>
      </x:c>
      <x:c r="D704" t="str">
        <x:v>736</x:v>
      </x:c>
      <x:c r="E704" t="str">
        <x:v>Brown Olive 50%</x:v>
      </x:c>
      <x:c r="F704" t="n">
        <x:v>2</x:v>
      </x:c>
      <x:c r="G704" t="str">
        <x:v>PBk6</x:v>
      </x:c>
      <x:c r="H704" t="str">
        <x:v>PY42/PBk6</x:v>
      </x:c>
      <x:c r="I704" t="str">
        <x:v>https://www.carandache.com/content_files/uploaded_doc/product/10985/Colour_Chart_Pastel_Pencil.pdf</x:v>
      </x:c>
    </x:row>
    <x:row r="705">
      <x:c r="A705" t="str">
        <x:v>CDA-PSTP-039</x:v>
      </x:c>
      <x:c r="B705" t="str">
        <x:v>PSTP</x:v>
      </x:c>
      <x:c r="C705" t="str">
        <x:v>PASTEL PENCILS</x:v>
      </x:c>
      <x:c r="D705" t="str">
        <x:v>039</x:v>
      </x:c>
      <x:c r="E705" t="str">
        <x:v>Olive brown</x:v>
      </x:c>
      <x:c r="F705" t="n">
        <x:v>1</x:v>
      </x:c>
      <x:c r="G705" t="str">
        <x:v>PY42</x:v>
      </x:c>
      <x:c r="H705" t="str">
        <x:v>PY42/PBk6</x:v>
      </x:c>
      <x:c r="I705" t="str">
        <x:v>https://www.carandache.com/content_files/uploaded_doc/product/10985/Colour_Chart_Pastel_Pencil.pdf</x:v>
      </x:c>
    </x:row>
    <x:row r="706">
      <x:c r="A706" t="str">
        <x:v>CDA-PSTP-039</x:v>
      </x:c>
      <x:c r="B706" t="str">
        <x:v>PSTP</x:v>
      </x:c>
      <x:c r="C706" t="str">
        <x:v>PASTEL PENCILS</x:v>
      </x:c>
      <x:c r="D706" t="str">
        <x:v>039</x:v>
      </x:c>
      <x:c r="E706" t="str">
        <x:v>Olive brown</x:v>
      </x:c>
      <x:c r="F706" t="n">
        <x:v>2</x:v>
      </x:c>
      <x:c r="G706" t="str">
        <x:v>PBk6</x:v>
      </x:c>
      <x:c r="H706" t="str">
        <x:v>PY42/PBk6</x:v>
      </x:c>
      <x:c r="I706" t="str">
        <x:v>https://www.carandache.com/content_files/uploaded_doc/product/10985/Colour_Chart_Pastel_Pencil.pdf</x:v>
      </x:c>
    </x:row>
    <x:row r="707">
      <x:c r="A707" t="str">
        <x:v>CDA-PSTP-033</x:v>
      </x:c>
      <x:c r="B707" t="str">
        <x:v>PSTP</x:v>
      </x:c>
      <x:c r="C707" t="str">
        <x:v>PASTEL PENCILS</x:v>
      </x:c>
      <x:c r="D707" t="str">
        <x:v>033</x:v>
      </x:c>
      <x:c r="E707" t="str">
        <x:v>Golden ochre</x:v>
      </x:c>
      <x:c r="F707" t="n">
        <x:v>1</x:v>
      </x:c>
      <x:c r="G707" t="str">
        <x:v>PY42</x:v>
      </x:c>
      <x:c r="H707" t="str">
        <x:v>PY42/PY74/PBk11/PR101/PBk7</x:v>
      </x:c>
      <x:c r="I707" t="str">
        <x:v>https://www.carandache.com/content_files/uploaded_doc/product/10985/Colour_Chart_Pastel_Pencil.pdf</x:v>
      </x:c>
    </x:row>
    <x:row r="708">
      <x:c r="A708" t="str">
        <x:v>CDA-PSTP-033</x:v>
      </x:c>
      <x:c r="B708" t="str">
        <x:v>PSTP</x:v>
      </x:c>
      <x:c r="C708" t="str">
        <x:v>PASTEL PENCILS</x:v>
      </x:c>
      <x:c r="D708" t="str">
        <x:v>033</x:v>
      </x:c>
      <x:c r="E708" t="str">
        <x:v>Golden ochre</x:v>
      </x:c>
      <x:c r="F708" t="n">
        <x:v>2</x:v>
      </x:c>
      <x:c r="G708" t="str">
        <x:v>PY74</x:v>
      </x:c>
      <x:c r="H708" t="str">
        <x:v>PY42/PY74/PBk11/PR101/PBk7</x:v>
      </x:c>
      <x:c r="I708" t="str">
        <x:v>https://www.carandache.com/content_files/uploaded_doc/product/10985/Colour_Chart_Pastel_Pencil.pdf</x:v>
      </x:c>
    </x:row>
    <x:row r="709">
      <x:c r="A709" t="str">
        <x:v>CDA-PSTP-033</x:v>
      </x:c>
      <x:c r="B709" t="str">
        <x:v>PSTP</x:v>
      </x:c>
      <x:c r="C709" t="str">
        <x:v>PASTEL PENCILS</x:v>
      </x:c>
      <x:c r="D709" t="str">
        <x:v>033</x:v>
      </x:c>
      <x:c r="E709" t="str">
        <x:v>Golden ochre</x:v>
      </x:c>
      <x:c r="F709" t="n">
        <x:v>3</x:v>
      </x:c>
      <x:c r="G709" t="str">
        <x:v>PBk11</x:v>
      </x:c>
      <x:c r="H709" t="str">
        <x:v>PY42/PY74/PBk11/PR101/PBk7</x:v>
      </x:c>
      <x:c r="I709" t="str">
        <x:v>https://www.carandache.com/content_files/uploaded_doc/product/10985/Colour_Chart_Pastel_Pencil.pdf</x:v>
      </x:c>
    </x:row>
    <x:row r="710">
      <x:c r="A710" t="str">
        <x:v>CDA-PSTP-033</x:v>
      </x:c>
      <x:c r="B710" t="str">
        <x:v>PSTP</x:v>
      </x:c>
      <x:c r="C710" t="str">
        <x:v>PASTEL PENCILS</x:v>
      </x:c>
      <x:c r="D710" t="str">
        <x:v>033</x:v>
      </x:c>
      <x:c r="E710" t="str">
        <x:v>Golden ochre</x:v>
      </x:c>
      <x:c r="F710" t="n">
        <x:v>4</x:v>
      </x:c>
      <x:c r="G710" t="str">
        <x:v>PR101</x:v>
      </x:c>
      <x:c r="H710" t="str">
        <x:v>PY42/PY74/PBk11/PR101/PBk7</x:v>
      </x:c>
      <x:c r="I710" t="str">
        <x:v>https://www.carandache.com/content_files/uploaded_doc/product/10985/Colour_Chart_Pastel_Pencil.pdf</x:v>
      </x:c>
    </x:row>
    <x:row r="711">
      <x:c r="A711" t="str">
        <x:v>CDA-PSTP-033</x:v>
      </x:c>
      <x:c r="B711" t="str">
        <x:v>PSTP</x:v>
      </x:c>
      <x:c r="C711" t="str">
        <x:v>PASTEL PENCILS</x:v>
      </x:c>
      <x:c r="D711" t="str">
        <x:v>033</x:v>
      </x:c>
      <x:c r="E711" t="str">
        <x:v>Golden ochre</x:v>
      </x:c>
      <x:c r="F711" t="n">
        <x:v>5</x:v>
      </x:c>
      <x:c r="G711" t="str">
        <x:v>PBk7</x:v>
      </x:c>
      <x:c r="H711" t="str">
        <x:v>PY42/PY74/PBk11/PR101/PBk7</x:v>
      </x:c>
      <x:c r="I711" t="str">
        <x:v>https://www.carandache.com/content_files/uploaded_doc/product/10985/Colour_Chart_Pastel_Pencil.pdf</x:v>
      </x:c>
    </x:row>
    <x:row r="712">
      <x:c r="A712" t="str">
        <x:v>CDA-PSTP-035</x:v>
      </x:c>
      <x:c r="B712" t="str">
        <x:v>PSTP</x:v>
      </x:c>
      <x:c r="C712" t="str">
        <x:v>PASTEL PENCILS</x:v>
      </x:c>
      <x:c r="D712" t="str">
        <x:v>035</x:v>
      </x:c>
      <x:c r="E712" t="str">
        <x:v>Ochre</x:v>
      </x:c>
      <x:c r="F712" t="n">
        <x:v>1</x:v>
      </x:c>
      <x:c r="G712" t="str">
        <x:v>PY42</x:v>
      </x:c>
      <x:c r="H712" t="str">
        <x:v>PY42/PY3/PY74/PB15/PO67</x:v>
      </x:c>
      <x:c r="I712" t="str">
        <x:v>https://www.carandache.com/content_files/uploaded_doc/product/10985/Colour_Chart_Pastel_Pencil.pdf</x:v>
      </x:c>
    </x:row>
    <x:row r="713">
      <x:c r="A713" t="str">
        <x:v>CDA-PSTP-035</x:v>
      </x:c>
      <x:c r="B713" t="str">
        <x:v>PSTP</x:v>
      </x:c>
      <x:c r="C713" t="str">
        <x:v>PASTEL PENCILS</x:v>
      </x:c>
      <x:c r="D713" t="str">
        <x:v>035</x:v>
      </x:c>
      <x:c r="E713" t="str">
        <x:v>Ochre</x:v>
      </x:c>
      <x:c r="F713" t="n">
        <x:v>2</x:v>
      </x:c>
      <x:c r="G713" t="str">
        <x:v>PY3</x:v>
      </x:c>
      <x:c r="H713" t="str">
        <x:v>PY42/PY3/PY74/PB15/PO67</x:v>
      </x:c>
      <x:c r="I713" t="str">
        <x:v>https://www.carandache.com/content_files/uploaded_doc/product/10985/Colour_Chart_Pastel_Pencil.pdf</x:v>
      </x:c>
    </x:row>
    <x:row r="714">
      <x:c r="A714" t="str">
        <x:v>CDA-PSTP-035</x:v>
      </x:c>
      <x:c r="B714" t="str">
        <x:v>PSTP</x:v>
      </x:c>
      <x:c r="C714" t="str">
        <x:v>PASTEL PENCILS</x:v>
      </x:c>
      <x:c r="D714" t="str">
        <x:v>035</x:v>
      </x:c>
      <x:c r="E714" t="str">
        <x:v>Ochre</x:v>
      </x:c>
      <x:c r="F714" t="n">
        <x:v>3</x:v>
      </x:c>
      <x:c r="G714" t="str">
        <x:v>PY74</x:v>
      </x:c>
      <x:c r="H714" t="str">
        <x:v>PY42/PY3/PY74/PB15/PO67</x:v>
      </x:c>
      <x:c r="I714" t="str">
        <x:v>https://www.carandache.com/content_files/uploaded_doc/product/10985/Colour_Chart_Pastel_Pencil.pdf</x:v>
      </x:c>
    </x:row>
    <x:row r="715">
      <x:c r="A715" t="str">
        <x:v>CDA-PSTP-035</x:v>
      </x:c>
      <x:c r="B715" t="str">
        <x:v>PSTP</x:v>
      </x:c>
      <x:c r="C715" t="str">
        <x:v>PASTEL PENCILS</x:v>
      </x:c>
      <x:c r="D715" t="str">
        <x:v>035</x:v>
      </x:c>
      <x:c r="E715" t="str">
        <x:v>Ochre</x:v>
      </x:c>
      <x:c r="F715" t="n">
        <x:v>4</x:v>
      </x:c>
      <x:c r="G715" t="str">
        <x:v>PB15</x:v>
      </x:c>
      <x:c r="H715" t="str">
        <x:v>PY42/PY3/PY74/PB15/PO67</x:v>
      </x:c>
      <x:c r="I715" t="str">
        <x:v>https://www.carandache.com/content_files/uploaded_doc/product/10985/Colour_Chart_Pastel_Pencil.pdf</x:v>
      </x:c>
    </x:row>
    <x:row r="716">
      <x:c r="A716" t="str">
        <x:v>CDA-PSTP-035</x:v>
      </x:c>
      <x:c r="B716" t="str">
        <x:v>PSTP</x:v>
      </x:c>
      <x:c r="C716" t="str">
        <x:v>PASTEL PENCILS</x:v>
      </x:c>
      <x:c r="D716" t="str">
        <x:v>035</x:v>
      </x:c>
      <x:c r="E716" t="str">
        <x:v>Ochre</x:v>
      </x:c>
      <x:c r="F716" t="n">
        <x:v>5</x:v>
      </x:c>
      <x:c r="G716" t="str">
        <x:v>PO67</x:v>
      </x:c>
      <x:c r="H716" t="str">
        <x:v>PY42/PY3/PY74/PB15/PO67</x:v>
      </x:c>
      <x:c r="I716" t="str">
        <x:v>https://www.carandache.com/content_files/uploaded_doc/product/10985/Colour_Chart_Pastel_Pencil.pdf</x:v>
      </x:c>
    </x:row>
    <x:row r="717">
      <x:c r="A717" t="str">
        <x:v>CDA-PSTP-036</x:v>
      </x:c>
      <x:c r="B717" t="str">
        <x:v>PSTP</x:v>
      </x:c>
      <x:c r="C717" t="str">
        <x:v>PASTEL PENCILS</x:v>
      </x:c>
      <x:c r="D717" t="str">
        <x:v>036</x:v>
      </x:c>
      <x:c r="E717" t="str">
        <x:v>Raw sienna</x:v>
      </x:c>
      <x:c r="F717" t="n">
        <x:v>1</x:v>
      </x:c>
      <x:c r="G717" t="str">
        <x:v>PY42</x:v>
      </x:c>
      <x:c r="H717" t="str">
        <x:v>PY42/PY1/PR3/PBk7</x:v>
      </x:c>
      <x:c r="I717" t="str">
        <x:v>https://www.carandache.com/content_files/uploaded_doc/product/10985/Colour_Chart_Pastel_Pencil.pdf</x:v>
      </x:c>
    </x:row>
    <x:row r="718">
      <x:c r="A718" t="str">
        <x:v>CDA-PSTP-036</x:v>
      </x:c>
      <x:c r="B718" t="str">
        <x:v>PSTP</x:v>
      </x:c>
      <x:c r="C718" t="str">
        <x:v>PASTEL PENCILS</x:v>
      </x:c>
      <x:c r="D718" t="str">
        <x:v>036</x:v>
      </x:c>
      <x:c r="E718" t="str">
        <x:v>Raw sienna</x:v>
      </x:c>
      <x:c r="F718" t="n">
        <x:v>2</x:v>
      </x:c>
      <x:c r="G718" t="str">
        <x:v>PY1</x:v>
      </x:c>
      <x:c r="H718" t="str">
        <x:v>PY42/PY1/PR3/PBk7</x:v>
      </x:c>
      <x:c r="I718" t="str">
        <x:v>https://www.carandache.com/content_files/uploaded_doc/product/10985/Colour_Chart_Pastel_Pencil.pdf</x:v>
      </x:c>
    </x:row>
    <x:row r="719">
      <x:c r="A719" t="str">
        <x:v>CDA-PSTP-036</x:v>
      </x:c>
      <x:c r="B719" t="str">
        <x:v>PSTP</x:v>
      </x:c>
      <x:c r="C719" t="str">
        <x:v>PASTEL PENCILS</x:v>
      </x:c>
      <x:c r="D719" t="str">
        <x:v>036</x:v>
      </x:c>
      <x:c r="E719" t="str">
        <x:v>Raw sienna</x:v>
      </x:c>
      <x:c r="F719" t="n">
        <x:v>3</x:v>
      </x:c>
      <x:c r="G719" t="str">
        <x:v>PR3</x:v>
      </x:c>
      <x:c r="H719" t="str">
        <x:v>PY42/PY1/PR3/PBk7</x:v>
      </x:c>
      <x:c r="I719" t="str">
        <x:v>https://www.carandache.com/content_files/uploaded_doc/product/10985/Colour_Chart_Pastel_Pencil.pdf</x:v>
      </x:c>
    </x:row>
    <x:row r="720">
      <x:c r="A720" t="str">
        <x:v>CDA-PSTP-036</x:v>
      </x:c>
      <x:c r="B720" t="str">
        <x:v>PSTP</x:v>
      </x:c>
      <x:c r="C720" t="str">
        <x:v>PASTEL PENCILS</x:v>
      </x:c>
      <x:c r="D720" t="str">
        <x:v>036</x:v>
      </x:c>
      <x:c r="E720" t="str">
        <x:v>Raw sienna</x:v>
      </x:c>
      <x:c r="F720" t="n">
        <x:v>4</x:v>
      </x:c>
      <x:c r="G720" t="str">
        <x:v>PBk7</x:v>
      </x:c>
      <x:c r="H720" t="str">
        <x:v>PY42/PY1/PR3/PBk7</x:v>
      </x:c>
      <x:c r="I720" t="str">
        <x:v>https://www.carandache.com/content_files/uploaded_doc/product/10985/Colour_Chart_Pastel_Pencil.pdf</x:v>
      </x:c>
    </x:row>
    <x:row r="721">
      <x:c r="A721" t="str">
        <x:v>CDA-PSTP-047</x:v>
      </x:c>
      <x:c r="B721" t="str">
        <x:v>PSTP</x:v>
      </x:c>
      <x:c r="C721" t="str">
        <x:v>PASTEL PENCILS</x:v>
      </x:c>
      <x:c r="D721" t="str">
        <x:v>047</x:v>
      </x:c>
      <x:c r="E721" t="str">
        <x:v>Bistre</x:v>
      </x:c>
      <x:c r="F721" t="n">
        <x:v>1</x:v>
      </x:c>
      <x:c r="G721" t="str">
        <x:v>PY74</x:v>
      </x:c>
      <x:c r="H721" t="str">
        <x:v>PY74/PBk11/PY42/PR101</x:v>
      </x:c>
      <x:c r="I721" t="str">
        <x:v>https://www.carandache.com/content_files/uploaded_doc/product/10985/Colour_Chart_Pastel_Pencil.pdf</x:v>
      </x:c>
    </x:row>
    <x:row r="722">
      <x:c r="A722" t="str">
        <x:v>CDA-PSTP-047</x:v>
      </x:c>
      <x:c r="B722" t="str">
        <x:v>PSTP</x:v>
      </x:c>
      <x:c r="C722" t="str">
        <x:v>PASTEL PENCILS</x:v>
      </x:c>
      <x:c r="D722" t="str">
        <x:v>047</x:v>
      </x:c>
      <x:c r="E722" t="str">
        <x:v>Bistre</x:v>
      </x:c>
      <x:c r="F722" t="n">
        <x:v>2</x:v>
      </x:c>
      <x:c r="G722" t="str">
        <x:v>PBk11</x:v>
      </x:c>
      <x:c r="H722" t="str">
        <x:v>PY74/PBk11/PY42/PR101</x:v>
      </x:c>
      <x:c r="I722" t="str">
        <x:v>https://www.carandache.com/content_files/uploaded_doc/product/10985/Colour_Chart_Pastel_Pencil.pdf</x:v>
      </x:c>
    </x:row>
    <x:row r="723">
      <x:c r="A723" t="str">
        <x:v>CDA-PSTP-047</x:v>
      </x:c>
      <x:c r="B723" t="str">
        <x:v>PSTP</x:v>
      </x:c>
      <x:c r="C723" t="str">
        <x:v>PASTEL PENCILS</x:v>
      </x:c>
      <x:c r="D723" t="str">
        <x:v>047</x:v>
      </x:c>
      <x:c r="E723" t="str">
        <x:v>Bistre</x:v>
      </x:c>
      <x:c r="F723" t="n">
        <x:v>3</x:v>
      </x:c>
      <x:c r="G723" t="str">
        <x:v>PY42</x:v>
      </x:c>
      <x:c r="H723" t="str">
        <x:v>PY74/PBk11/PY42/PR101</x:v>
      </x:c>
      <x:c r="I723" t="str">
        <x:v>https://www.carandache.com/content_files/uploaded_doc/product/10985/Colour_Chart_Pastel_Pencil.pdf</x:v>
      </x:c>
    </x:row>
    <x:row r="724">
      <x:c r="A724" t="str">
        <x:v>CDA-PSTP-047</x:v>
      </x:c>
      <x:c r="B724" t="str">
        <x:v>PSTP</x:v>
      </x:c>
      <x:c r="C724" t="str">
        <x:v>PASTEL PENCILS</x:v>
      </x:c>
      <x:c r="D724" t="str">
        <x:v>047</x:v>
      </x:c>
      <x:c r="E724" t="str">
        <x:v>Bistre</x:v>
      </x:c>
      <x:c r="F724" t="n">
        <x:v>4</x:v>
      </x:c>
      <x:c r="G724" t="str">
        <x:v>PR101</x:v>
      </x:c>
      <x:c r="H724" t="str">
        <x:v>PY74/PBk11/PY42/PR101</x:v>
      </x:c>
      <x:c r="I724" t="str">
        <x:v>https://www.carandache.com/content_files/uploaded_doc/product/10985/Colour_Chart_Pastel_Pencil.pdf</x:v>
      </x:c>
    </x:row>
    <x:row r="725">
      <x:c r="A725" t="str">
        <x:v>CDA-PSTP-746</x:v>
      </x:c>
      <x:c r="B725" t="str">
        <x:v>PSTP</x:v>
      </x:c>
      <x:c r="C725" t="str">
        <x:v>PASTEL PENCILS</x:v>
      </x:c>
      <x:c r="D725" t="str">
        <x:v>746</x:v>
      </x:c>
      <x:c r="E725" t="str">
        <x:v>Dark flesh 50%</x:v>
      </x:c>
      <x:c r="F725" t="n">
        <x:v>1</x:v>
      </x:c>
      <x:c r="G725" t="str">
        <x:v>PR101</x:v>
      </x:c>
      <x:c r="H725" t="str">
        <x:v>PR101/PO82/PBk7/PBr7/PBk11/PY42/PR101</x:v>
      </x:c>
      <x:c r="I725" t="str">
        <x:v>https://www.carandache.com/content_files/uploaded_doc/product/10985/Colour_Chart_Pastel_Pencil.pdf</x:v>
      </x:c>
    </x:row>
    <x:row r="726">
      <x:c r="A726" t="str">
        <x:v>CDA-PSTP-746</x:v>
      </x:c>
      <x:c r="B726" t="str">
        <x:v>PSTP</x:v>
      </x:c>
      <x:c r="C726" t="str">
        <x:v>PASTEL PENCILS</x:v>
      </x:c>
      <x:c r="D726" t="str">
        <x:v>746</x:v>
      </x:c>
      <x:c r="E726" t="str">
        <x:v>Dark flesh 50%</x:v>
      </x:c>
      <x:c r="F726" t="n">
        <x:v>2</x:v>
      </x:c>
      <x:c r="G726" t="str">
        <x:v>PO82</x:v>
      </x:c>
      <x:c r="H726" t="str">
        <x:v>PR101/PO82/PBk7/PBr7/PBk11/PY42/PR101</x:v>
      </x:c>
      <x:c r="I726" t="str">
        <x:v>https://www.carandache.com/content_files/uploaded_doc/product/10985/Colour_Chart_Pastel_Pencil.pdf</x:v>
      </x:c>
    </x:row>
    <x:row r="727">
      <x:c r="A727" t="str">
        <x:v>CDA-PSTP-746</x:v>
      </x:c>
      <x:c r="B727" t="str">
        <x:v>PSTP</x:v>
      </x:c>
      <x:c r="C727" t="str">
        <x:v>PASTEL PENCILS</x:v>
      </x:c>
      <x:c r="D727" t="str">
        <x:v>746</x:v>
      </x:c>
      <x:c r="E727" t="str">
        <x:v>Dark flesh 50%</x:v>
      </x:c>
      <x:c r="F727" t="n">
        <x:v>3</x:v>
      </x:c>
      <x:c r="G727" t="str">
        <x:v>PBk7</x:v>
      </x:c>
      <x:c r="H727" t="str">
        <x:v>PR101/PO82/PBk7/PBr7/PBk11/PY42/PR101</x:v>
      </x:c>
      <x:c r="I727" t="str">
        <x:v>https://www.carandache.com/content_files/uploaded_doc/product/10985/Colour_Chart_Pastel_Pencil.pdf</x:v>
      </x:c>
    </x:row>
    <x:row r="728">
      <x:c r="A728" t="str">
        <x:v>CDA-PSTP-746</x:v>
      </x:c>
      <x:c r="B728" t="str">
        <x:v>PSTP</x:v>
      </x:c>
      <x:c r="C728" t="str">
        <x:v>PASTEL PENCILS</x:v>
      </x:c>
      <x:c r="D728" t="str">
        <x:v>746</x:v>
      </x:c>
      <x:c r="E728" t="str">
        <x:v>Dark flesh 50%</x:v>
      </x:c>
      <x:c r="F728" t="n">
        <x:v>4</x:v>
      </x:c>
      <x:c r="G728" t="str">
        <x:v>PBr7</x:v>
      </x:c>
      <x:c r="H728" t="str">
        <x:v>PR101/PO82/PBk7/PBr7/PBk11/PY42/PR101</x:v>
      </x:c>
      <x:c r="I728" t="str">
        <x:v>https://www.carandache.com/content_files/uploaded_doc/product/10985/Colour_Chart_Pastel_Pencil.pdf</x:v>
      </x:c>
    </x:row>
    <x:row r="729">
      <x:c r="A729" t="str">
        <x:v>CDA-PSTP-746</x:v>
      </x:c>
      <x:c r="B729" t="str">
        <x:v>PSTP</x:v>
      </x:c>
      <x:c r="C729" t="str">
        <x:v>PASTEL PENCILS</x:v>
      </x:c>
      <x:c r="D729" t="str">
        <x:v>746</x:v>
      </x:c>
      <x:c r="E729" t="str">
        <x:v>Dark flesh 50%</x:v>
      </x:c>
      <x:c r="F729" t="n">
        <x:v>5</x:v>
      </x:c>
      <x:c r="G729" t="str">
        <x:v>PBk11</x:v>
      </x:c>
      <x:c r="H729" t="str">
        <x:v>PR101/PO82/PBk7/PBr7/PBk11/PY42/PR101</x:v>
      </x:c>
      <x:c r="I729" t="str">
        <x:v>https://www.carandache.com/content_files/uploaded_doc/product/10985/Colour_Chart_Pastel_Pencil.pdf</x:v>
      </x:c>
    </x:row>
    <x:row r="730">
      <x:c r="A730" t="str">
        <x:v>CDA-PSTP-746</x:v>
      </x:c>
      <x:c r="B730" t="str">
        <x:v>PSTP</x:v>
      </x:c>
      <x:c r="C730" t="str">
        <x:v>PASTEL PENCILS</x:v>
      </x:c>
      <x:c r="D730" t="str">
        <x:v>746</x:v>
      </x:c>
      <x:c r="E730" t="str">
        <x:v>Dark flesh 50%</x:v>
      </x:c>
      <x:c r="F730" t="n">
        <x:v>6</x:v>
      </x:c>
      <x:c r="G730" t="str">
        <x:v>PY42</x:v>
      </x:c>
      <x:c r="H730" t="str">
        <x:v>PR101/PO82/PBk7/PBr7/PBk11/PY42/PR101</x:v>
      </x:c>
      <x:c r="I730" t="str">
        <x:v>https://www.carandache.com/content_files/uploaded_doc/product/10985/Colour_Chart_Pastel_Pencil.pdf</x:v>
      </x:c>
    </x:row>
    <x:row r="731">
      <x:c r="A731" t="str">
        <x:v>CDA-PSTP-746</x:v>
      </x:c>
      <x:c r="B731" t="str">
        <x:v>PSTP</x:v>
      </x:c>
      <x:c r="C731" t="str">
        <x:v>PASTEL PENCILS</x:v>
      </x:c>
      <x:c r="D731" t="str">
        <x:v>746</x:v>
      </x:c>
      <x:c r="E731" t="str">
        <x:v>Dark flesh 50%</x:v>
      </x:c>
      <x:c r="F731" t="n">
        <x:v>7</x:v>
      </x:c>
      <x:c r="G731" t="str">
        <x:v>PR101</x:v>
      </x:c>
      <x:c r="H731" t="str">
        <x:v>PR101/PO82/PBk7/PBr7/PBk11/PY42/PR101</x:v>
      </x:c>
      <x:c r="I731" t="str">
        <x:v>https://www.carandache.com/content_files/uploaded_doc/product/10985/Colour_Chart_Pastel_Pencil.pdf</x:v>
      </x:c>
    </x:row>
    <x:row r="732">
      <x:c r="A732" t="str">
        <x:v>CDA-PSTP-745</x:v>
      </x:c>
      <x:c r="B732" t="str">
        <x:v>PSTP</x:v>
      </x:c>
      <x:c r="C732" t="str">
        <x:v>PASTEL PENCILS</x:v>
      </x:c>
      <x:c r="D732" t="str">
        <x:v>745</x:v>
      </x:c>
      <x:c r="E732" t="str">
        <x:v>Dark flesh 40%</x:v>
      </x:c>
      <x:c r="F732" t="n">
        <x:v>1</x:v>
      </x:c>
      <x:c r="G732" t="str">
        <x:v>PR101</x:v>
      </x:c>
      <x:c r="H732" t="str">
        <x:v>PR101/PO82/PBk7/PBr7/PBk11/PY42/PR101</x:v>
      </x:c>
      <x:c r="I732" t="str">
        <x:v>https://www.carandache.com/content_files/uploaded_doc/product/10985/Colour_Chart_Pastel_Pencil.pdf</x:v>
      </x:c>
    </x:row>
    <x:row r="733">
      <x:c r="A733" t="str">
        <x:v>CDA-PSTP-745</x:v>
      </x:c>
      <x:c r="B733" t="str">
        <x:v>PSTP</x:v>
      </x:c>
      <x:c r="C733" t="str">
        <x:v>PASTEL PENCILS</x:v>
      </x:c>
      <x:c r="D733" t="str">
        <x:v>745</x:v>
      </x:c>
      <x:c r="E733" t="str">
        <x:v>Dark flesh 40%</x:v>
      </x:c>
      <x:c r="F733" t="n">
        <x:v>2</x:v>
      </x:c>
      <x:c r="G733" t="str">
        <x:v>PO82</x:v>
      </x:c>
      <x:c r="H733" t="str">
        <x:v>PR101/PO82/PBk7/PBr7/PBk11/PY42/PR101</x:v>
      </x:c>
      <x:c r="I733" t="str">
        <x:v>https://www.carandache.com/content_files/uploaded_doc/product/10985/Colour_Chart_Pastel_Pencil.pdf</x:v>
      </x:c>
    </x:row>
    <x:row r="734">
      <x:c r="A734" t="str">
        <x:v>CDA-PSTP-745</x:v>
      </x:c>
      <x:c r="B734" t="str">
        <x:v>PSTP</x:v>
      </x:c>
      <x:c r="C734" t="str">
        <x:v>PASTEL PENCILS</x:v>
      </x:c>
      <x:c r="D734" t="str">
        <x:v>745</x:v>
      </x:c>
      <x:c r="E734" t="str">
        <x:v>Dark flesh 40%</x:v>
      </x:c>
      <x:c r="F734" t="n">
        <x:v>3</x:v>
      </x:c>
      <x:c r="G734" t="str">
        <x:v>PBk7</x:v>
      </x:c>
      <x:c r="H734" t="str">
        <x:v>PR101/PO82/PBk7/PBr7/PBk11/PY42/PR101</x:v>
      </x:c>
      <x:c r="I734" t="str">
        <x:v>https://www.carandache.com/content_files/uploaded_doc/product/10985/Colour_Chart_Pastel_Pencil.pdf</x:v>
      </x:c>
    </x:row>
    <x:row r="735">
      <x:c r="A735" t="str">
        <x:v>CDA-PSTP-745</x:v>
      </x:c>
      <x:c r="B735" t="str">
        <x:v>PSTP</x:v>
      </x:c>
      <x:c r="C735" t="str">
        <x:v>PASTEL PENCILS</x:v>
      </x:c>
      <x:c r="D735" t="str">
        <x:v>745</x:v>
      </x:c>
      <x:c r="E735" t="str">
        <x:v>Dark flesh 40%</x:v>
      </x:c>
      <x:c r="F735" t="n">
        <x:v>4</x:v>
      </x:c>
      <x:c r="G735" t="str">
        <x:v>PBr7</x:v>
      </x:c>
      <x:c r="H735" t="str">
        <x:v>PR101/PO82/PBk7/PBr7/PBk11/PY42/PR101</x:v>
      </x:c>
      <x:c r="I735" t="str">
        <x:v>https://www.carandache.com/content_files/uploaded_doc/product/10985/Colour_Chart_Pastel_Pencil.pdf</x:v>
      </x:c>
    </x:row>
    <x:row r="736">
      <x:c r="A736" t="str">
        <x:v>CDA-PSTP-745</x:v>
      </x:c>
      <x:c r="B736" t="str">
        <x:v>PSTP</x:v>
      </x:c>
      <x:c r="C736" t="str">
        <x:v>PASTEL PENCILS</x:v>
      </x:c>
      <x:c r="D736" t="str">
        <x:v>745</x:v>
      </x:c>
      <x:c r="E736" t="str">
        <x:v>Dark flesh 40%</x:v>
      </x:c>
      <x:c r="F736" t="n">
        <x:v>5</x:v>
      </x:c>
      <x:c r="G736" t="str">
        <x:v>PBk11</x:v>
      </x:c>
      <x:c r="H736" t="str">
        <x:v>PR101/PO82/PBk7/PBr7/PBk11/PY42/PR101</x:v>
      </x:c>
      <x:c r="I736" t="str">
        <x:v>https://www.carandache.com/content_files/uploaded_doc/product/10985/Colour_Chart_Pastel_Pencil.pdf</x:v>
      </x:c>
    </x:row>
    <x:row r="737">
      <x:c r="A737" t="str">
        <x:v>CDA-PSTP-745</x:v>
      </x:c>
      <x:c r="B737" t="str">
        <x:v>PSTP</x:v>
      </x:c>
      <x:c r="C737" t="str">
        <x:v>PASTEL PENCILS</x:v>
      </x:c>
      <x:c r="D737" t="str">
        <x:v>745</x:v>
      </x:c>
      <x:c r="E737" t="str">
        <x:v>Dark flesh 40%</x:v>
      </x:c>
      <x:c r="F737" t="n">
        <x:v>6</x:v>
      </x:c>
      <x:c r="G737" t="str">
        <x:v>PY42</x:v>
      </x:c>
      <x:c r="H737" t="str">
        <x:v>PR101/PO82/PBk7/PBr7/PBk11/PY42/PR101</x:v>
      </x:c>
      <x:c r="I737" t="str">
        <x:v>https://www.carandache.com/content_files/uploaded_doc/product/10985/Colour_Chart_Pastel_Pencil.pdf</x:v>
      </x:c>
    </x:row>
    <x:row r="738">
      <x:c r="A738" t="str">
        <x:v>CDA-PSTP-745</x:v>
      </x:c>
      <x:c r="B738" t="str">
        <x:v>PSTP</x:v>
      </x:c>
      <x:c r="C738" t="str">
        <x:v>PASTEL PENCILS</x:v>
      </x:c>
      <x:c r="D738" t="str">
        <x:v>745</x:v>
      </x:c>
      <x:c r="E738" t="str">
        <x:v>Dark flesh 40%</x:v>
      </x:c>
      <x:c r="F738" t="n">
        <x:v>7</x:v>
      </x:c>
      <x:c r="G738" t="str">
        <x:v>PR101</x:v>
      </x:c>
      <x:c r="H738" t="str">
        <x:v>PR101/PO82/PBk7/PBr7/PBk11/PY42/PR101</x:v>
      </x:c>
      <x:c r="I738" t="str">
        <x:v>https://www.carandache.com/content_files/uploaded_doc/product/10985/Colour_Chart_Pastel_Pencil.pdf</x:v>
      </x:c>
    </x:row>
    <x:row r="739">
      <x:c r="A739" t="str">
        <x:v>CDA-PSTP-541</x:v>
      </x:c>
      <x:c r="B739" t="str">
        <x:v>PSTP</x:v>
      </x:c>
      <x:c r="C739" t="str">
        <x:v>PASTEL PENCILS</x:v>
      </x:c>
      <x:c r="D739" t="str">
        <x:v>541</x:v>
      </x:c>
      <x:c r="E739" t="str">
        <x:v>Light flesh 5%</x:v>
      </x:c>
      <x:c r="F739" t="n">
        <x:v>1</x:v>
      </x:c>
      <x:c r="G739" t="str">
        <x:v>PO82</x:v>
      </x:c>
      <x:c r="H739" t="str">
        <x:v>PO82/PR259</x:v>
      </x:c>
      <x:c r="I739" t="str">
        <x:v>https://www.carandache.com/content_files/uploaded_doc/product/10985/Colour_Chart_Pastel_Pencil.pdf</x:v>
      </x:c>
    </x:row>
    <x:row r="740">
      <x:c r="A740" t="str">
        <x:v>CDA-PSTP-541</x:v>
      </x:c>
      <x:c r="B740" t="str">
        <x:v>PSTP</x:v>
      </x:c>
      <x:c r="C740" t="str">
        <x:v>PASTEL PENCILS</x:v>
      </x:c>
      <x:c r="D740" t="str">
        <x:v>541</x:v>
      </x:c>
      <x:c r="E740" t="str">
        <x:v>Light flesh 5%</x:v>
      </x:c>
      <x:c r="F740" t="n">
        <x:v>2</x:v>
      </x:c>
      <x:c r="G740" t="str">
        <x:v>PR259</x:v>
      </x:c>
      <x:c r="H740" t="str">
        <x:v>PO82/PR259</x:v>
      </x:c>
      <x:c r="I740" t="str">
        <x:v>https://www.carandache.com/content_files/uploaded_doc/product/10985/Colour_Chart_Pastel_Pencil.pdf</x:v>
      </x:c>
    </x:row>
    <x:row r="741">
      <x:c r="A741" t="str">
        <x:v>CDA-PSTP-542</x:v>
      </x:c>
      <x:c r="B741" t="str">
        <x:v>PSTP</x:v>
      </x:c>
      <x:c r="C741" t="str">
        <x:v>PASTEL PENCILS</x:v>
      </x:c>
      <x:c r="D741" t="str">
        <x:v>542</x:v>
      </x:c>
      <x:c r="E741" t="str">
        <x:v>Light flesh 10%</x:v>
      </x:c>
      <x:c r="F741" t="n">
        <x:v>1</x:v>
      </x:c>
      <x:c r="G741" t="str">
        <x:v>PO82</x:v>
      </x:c>
      <x:c r="H741" t="str">
        <x:v>PO82</x:v>
      </x:c>
      <x:c r="I741" t="str">
        <x:v>https://www.carandache.com/content_files/uploaded_doc/product/10985/Colour_Chart_Pastel_Pencil.pdf</x:v>
      </x:c>
    </x:row>
    <x:row r="742">
      <x:c r="A742" t="str">
        <x:v>CDA-PSTP-042</x:v>
      </x:c>
      <x:c r="B742" t="str">
        <x:v>PSTP</x:v>
      </x:c>
      <x:c r="C742" t="str">
        <x:v>PASTEL PENCILS</x:v>
      </x:c>
      <x:c r="D742" t="str">
        <x:v>042</x:v>
      </x:c>
      <x:c r="E742" t="str">
        <x:v>Flesh</x:v>
      </x:c>
      <x:c r="F742" t="n">
        <x:v>1</x:v>
      </x:c>
      <x:c r="G742" t="str">
        <x:v>PO82</x:v>
      </x:c>
      <x:c r="H742" t="str">
        <x:v>PO82/PR101</x:v>
      </x:c>
      <x:c r="I742" t="str">
        <x:v>https://www.carandache.com/content_files/uploaded_doc/product/10985/Colour_Chart_Pastel_Pencil.pdf</x:v>
      </x:c>
    </x:row>
    <x:row r="743">
      <x:c r="A743" t="str">
        <x:v>CDA-PSTP-042</x:v>
      </x:c>
      <x:c r="B743" t="str">
        <x:v>PSTP</x:v>
      </x:c>
      <x:c r="C743" t="str">
        <x:v>PASTEL PENCILS</x:v>
      </x:c>
      <x:c r="D743" t="str">
        <x:v>042</x:v>
      </x:c>
      <x:c r="E743" t="str">
        <x:v>Flesh</x:v>
      </x:c>
      <x:c r="F743" t="n">
        <x:v>2</x:v>
      </x:c>
      <x:c r="G743" t="str">
        <x:v>PR101</x:v>
      </x:c>
      <x:c r="H743" t="str">
        <x:v>PO82/PR101</x:v>
      </x:c>
      <x:c r="I743" t="str">
        <x:v>https://www.carandache.com/content_files/uploaded_doc/product/10985/Colour_Chart_Pastel_Pencil.pdf</x:v>
      </x:c>
    </x:row>
    <x:row r="744">
      <x:c r="A744" t="str">
        <x:v>CDA-PSTP-052</x:v>
      </x:c>
      <x:c r="B744" t="str">
        <x:v>PSTP</x:v>
      </x:c>
      <x:c r="C744" t="str">
        <x:v>PASTEL PENCILS</x:v>
      </x:c>
      <x:c r="D744" t="str">
        <x:v>052</x:v>
      </x:c>
      <x:c r="E744" t="str">
        <x:v>Saffron</x:v>
      </x:c>
      <x:c r="F744" t="n">
        <x:v>1</x:v>
      </x:c>
      <x:c r="G744" t="str">
        <x:v>PY1</x:v>
      </x:c>
      <x:c r="H744" t="str">
        <x:v>PY1/PR4/PR101</x:v>
      </x:c>
      <x:c r="I744" t="str">
        <x:v>https://www.carandache.com/content_files/uploaded_doc/product/10985/Colour_Chart_Pastel_Pencil.pdf</x:v>
      </x:c>
    </x:row>
    <x:row r="745">
      <x:c r="A745" t="str">
        <x:v>CDA-PSTP-052</x:v>
      </x:c>
      <x:c r="B745" t="str">
        <x:v>PSTP</x:v>
      </x:c>
      <x:c r="C745" t="str">
        <x:v>PASTEL PENCILS</x:v>
      </x:c>
      <x:c r="D745" t="str">
        <x:v>052</x:v>
      </x:c>
      <x:c r="E745" t="str">
        <x:v>Saffron</x:v>
      </x:c>
      <x:c r="F745" t="n">
        <x:v>2</x:v>
      </x:c>
      <x:c r="G745" t="str">
        <x:v>PR4</x:v>
      </x:c>
      <x:c r="H745" t="str">
        <x:v>PY1/PR4/PR101</x:v>
      </x:c>
      <x:c r="I745" t="str">
        <x:v>https://www.carandache.com/content_files/uploaded_doc/product/10985/Colour_Chart_Pastel_Pencil.pdf</x:v>
      </x:c>
    </x:row>
    <x:row r="746">
      <x:c r="A746" t="str">
        <x:v>CDA-PSTP-052</x:v>
      </x:c>
      <x:c r="B746" t="str">
        <x:v>PSTP</x:v>
      </x:c>
      <x:c r="C746" t="str">
        <x:v>PASTEL PENCILS</x:v>
      </x:c>
      <x:c r="D746" t="str">
        <x:v>052</x:v>
      </x:c>
      <x:c r="E746" t="str">
        <x:v>Saffron</x:v>
      </x:c>
      <x:c r="F746" t="n">
        <x:v>3</x:v>
      </x:c>
      <x:c r="G746" t="str">
        <x:v>PR101</x:v>
      </x:c>
      <x:c r="H746" t="str">
        <x:v>PY1/PR4/PR101</x:v>
      </x:c>
      <x:c r="I746" t="str">
        <x:v>https://www.carandache.com/content_files/uploaded_doc/product/10985/Colour_Chart_Pastel_Pencil.pdf</x:v>
      </x:c>
    </x:row>
    <x:row r="747">
      <x:c r="A747" t="str">
        <x:v>CDA-PSTP-068</x:v>
      </x:c>
      <x:c r="B747" t="str">
        <x:v>PSTP</x:v>
      </x:c>
      <x:c r="C747" t="str">
        <x:v>PASTEL PENCILS</x:v>
      </x:c>
      <x:c r="D747" t="str">
        <x:v>068</x:v>
      </x:c>
      <x:c r="E747" t="str">
        <x:v>Herculanum red</x:v>
      </x:c>
      <x:c r="F747" t="n">
        <x:v>1</x:v>
      </x:c>
      <x:c r="G747" t="str">
        <x:v>PR101</x:v>
      </x:c>
      <x:c r="H747" t="str">
        <x:v>PR101</x:v>
      </x:c>
      <x:c r="I747" t="str">
        <x:v>https://www.carandache.com/content_files/uploaded_doc/product/10985/Colour_Chart_Pastel_Pencil.pdf</x:v>
      </x:c>
    </x:row>
    <x:row r="748">
      <x:c r="A748" t="str">
        <x:v>CDA-PSTP-741</x:v>
      </x:c>
      <x:c r="B748" t="str">
        <x:v>PSTP</x:v>
      </x:c>
      <x:c r="C748" t="str">
        <x:v>PASTEL PENCILS</x:v>
      </x:c>
      <x:c r="D748" t="str">
        <x:v>741</x:v>
      </x:c>
      <x:c r="E748" t="str">
        <x:v>Dark flesh 5%</x:v>
      </x:c>
      <x:c r="F748" t="n">
        <x:v>1</x:v>
      </x:c>
      <x:c r="G748" t="str">
        <x:v>PR101</x:v>
      </x:c>
      <x:c r="H748" t="str">
        <x:v>PR101/PO82/PBk7/PBr7/PBk11/PY42/PR101</x:v>
      </x:c>
      <x:c r="I748" t="str">
        <x:v>https://www.carandache.com/content_files/uploaded_doc/product/10985/Colour_Chart_Pastel_Pencil.pdf</x:v>
      </x:c>
    </x:row>
    <x:row r="749">
      <x:c r="A749" t="str">
        <x:v>CDA-PSTP-741</x:v>
      </x:c>
      <x:c r="B749" t="str">
        <x:v>PSTP</x:v>
      </x:c>
      <x:c r="C749" t="str">
        <x:v>PASTEL PENCILS</x:v>
      </x:c>
      <x:c r="D749" t="str">
        <x:v>741</x:v>
      </x:c>
      <x:c r="E749" t="str">
        <x:v>Dark flesh 5%</x:v>
      </x:c>
      <x:c r="F749" t="n">
        <x:v>2</x:v>
      </x:c>
      <x:c r="G749" t="str">
        <x:v>PO82</x:v>
      </x:c>
      <x:c r="H749" t="str">
        <x:v>PR101/PO82/PBk7/PBr7/PBk11/PY42/PR101</x:v>
      </x:c>
      <x:c r="I749" t="str">
        <x:v>https://www.carandache.com/content_files/uploaded_doc/product/10985/Colour_Chart_Pastel_Pencil.pdf</x:v>
      </x:c>
    </x:row>
    <x:row r="750">
      <x:c r="A750" t="str">
        <x:v>CDA-PSTP-741</x:v>
      </x:c>
      <x:c r="B750" t="str">
        <x:v>PSTP</x:v>
      </x:c>
      <x:c r="C750" t="str">
        <x:v>PASTEL PENCILS</x:v>
      </x:c>
      <x:c r="D750" t="str">
        <x:v>741</x:v>
      </x:c>
      <x:c r="E750" t="str">
        <x:v>Dark flesh 5%</x:v>
      </x:c>
      <x:c r="F750" t="n">
        <x:v>3</x:v>
      </x:c>
      <x:c r="G750" t="str">
        <x:v>PBk7</x:v>
      </x:c>
      <x:c r="H750" t="str">
        <x:v>PR101/PO82/PBk7/PBr7/PBk11/PY42/PR101</x:v>
      </x:c>
      <x:c r="I750" t="str">
        <x:v>https://www.carandache.com/content_files/uploaded_doc/product/10985/Colour_Chart_Pastel_Pencil.pdf</x:v>
      </x:c>
    </x:row>
    <x:row r="751">
      <x:c r="A751" t="str">
        <x:v>CDA-PSTP-741</x:v>
      </x:c>
      <x:c r="B751" t="str">
        <x:v>PSTP</x:v>
      </x:c>
      <x:c r="C751" t="str">
        <x:v>PASTEL PENCILS</x:v>
      </x:c>
      <x:c r="D751" t="str">
        <x:v>741</x:v>
      </x:c>
      <x:c r="E751" t="str">
        <x:v>Dark flesh 5%</x:v>
      </x:c>
      <x:c r="F751" t="n">
        <x:v>4</x:v>
      </x:c>
      <x:c r="G751" t="str">
        <x:v>PBr7</x:v>
      </x:c>
      <x:c r="H751" t="str">
        <x:v>PR101/PO82/PBk7/PBr7/PBk11/PY42/PR101</x:v>
      </x:c>
      <x:c r="I751" t="str">
        <x:v>https://www.carandache.com/content_files/uploaded_doc/product/10985/Colour_Chart_Pastel_Pencil.pdf</x:v>
      </x:c>
    </x:row>
    <x:row r="752">
      <x:c r="A752" t="str">
        <x:v>CDA-PSTP-741</x:v>
      </x:c>
      <x:c r="B752" t="str">
        <x:v>PSTP</x:v>
      </x:c>
      <x:c r="C752" t="str">
        <x:v>PASTEL PENCILS</x:v>
      </x:c>
      <x:c r="D752" t="str">
        <x:v>741</x:v>
      </x:c>
      <x:c r="E752" t="str">
        <x:v>Dark flesh 5%</x:v>
      </x:c>
      <x:c r="F752" t="n">
        <x:v>5</x:v>
      </x:c>
      <x:c r="G752" t="str">
        <x:v>PBk11</x:v>
      </x:c>
      <x:c r="H752" t="str">
        <x:v>PR101/PO82/PBk7/PBr7/PBk11/PY42/PR101</x:v>
      </x:c>
      <x:c r="I752" t="str">
        <x:v>https://www.carandache.com/content_files/uploaded_doc/product/10985/Colour_Chart_Pastel_Pencil.pdf</x:v>
      </x:c>
    </x:row>
    <x:row r="753">
      <x:c r="A753" t="str">
        <x:v>CDA-PSTP-741</x:v>
      </x:c>
      <x:c r="B753" t="str">
        <x:v>PSTP</x:v>
      </x:c>
      <x:c r="C753" t="str">
        <x:v>PASTEL PENCILS</x:v>
      </x:c>
      <x:c r="D753" t="str">
        <x:v>741</x:v>
      </x:c>
      <x:c r="E753" t="str">
        <x:v>Dark flesh 5%</x:v>
      </x:c>
      <x:c r="F753" t="n">
        <x:v>6</x:v>
      </x:c>
      <x:c r="G753" t="str">
        <x:v>PY42</x:v>
      </x:c>
      <x:c r="H753" t="str">
        <x:v>PR101/PO82/PBk7/PBr7/PBk11/PY42/PR101</x:v>
      </x:c>
      <x:c r="I753" t="str">
        <x:v>https://www.carandache.com/content_files/uploaded_doc/product/10985/Colour_Chart_Pastel_Pencil.pdf</x:v>
      </x:c>
    </x:row>
    <x:row r="754">
      <x:c r="A754" t="str">
        <x:v>CDA-PSTP-741</x:v>
      </x:c>
      <x:c r="B754" t="str">
        <x:v>PSTP</x:v>
      </x:c>
      <x:c r="C754" t="str">
        <x:v>PASTEL PENCILS</x:v>
      </x:c>
      <x:c r="D754" t="str">
        <x:v>741</x:v>
      </x:c>
      <x:c r="E754" t="str">
        <x:v>Dark flesh 5%</x:v>
      </x:c>
      <x:c r="F754" t="n">
        <x:v>7</x:v>
      </x:c>
      <x:c r="G754" t="str">
        <x:v>PR101</x:v>
      </x:c>
      <x:c r="H754" t="str">
        <x:v>PR101/PO82/PBk7/PBr7/PBk11/PY42/PR101</x:v>
      </x:c>
      <x:c r="I754" t="str">
        <x:v>https://www.carandache.com/content_files/uploaded_doc/product/10985/Colour_Chart_Pastel_Pencil.pdf</x:v>
      </x:c>
    </x:row>
    <x:row r="755">
      <x:c r="A755" t="str">
        <x:v>CDA-PSTP-044</x:v>
      </x:c>
      <x:c r="B755" t="str">
        <x:v>PSTP</x:v>
      </x:c>
      <x:c r="C755" t="str">
        <x:v>PASTEL PENCILS</x:v>
      </x:c>
      <x:c r="D755" t="str">
        <x:v>044</x:v>
      </x:c>
      <x:c r="E755" t="str">
        <x:v>Terracotta</x:v>
      </x:c>
      <x:c r="F755" t="n">
        <x:v>1</x:v>
      </x:c>
      <x:c r="G755" t="str">
        <x:v>PR101</x:v>
      </x:c>
      <x:c r="H755" t="str">
        <x:v>PR101/PO82</x:v>
      </x:c>
      <x:c r="I755" t="str">
        <x:v>https://www.carandache.com/content_files/uploaded_doc/product/10985/Colour_Chart_Pastel_Pencil.pdf</x:v>
      </x:c>
    </x:row>
    <x:row r="756">
      <x:c r="A756" t="str">
        <x:v>CDA-PSTP-044</x:v>
      </x:c>
      <x:c r="B756" t="str">
        <x:v>PSTP</x:v>
      </x:c>
      <x:c r="C756" t="str">
        <x:v>PASTEL PENCILS</x:v>
      </x:c>
      <x:c r="D756" t="str">
        <x:v>044</x:v>
      </x:c>
      <x:c r="E756" t="str">
        <x:v>Terracotta</x:v>
      </x:c>
      <x:c r="F756" t="n">
        <x:v>2</x:v>
      </x:c>
      <x:c r="G756" t="str">
        <x:v>PO82</x:v>
      </x:c>
      <x:c r="H756" t="str">
        <x:v>PR101/PO82</x:v>
      </x:c>
      <x:c r="I756" t="str">
        <x:v>https://www.carandache.com/content_files/uploaded_doc/product/10985/Colour_Chart_Pastel_Pencil.pdf</x:v>
      </x:c>
    </x:row>
    <x:row r="757">
      <x:c r="A757" t="str">
        <x:v>CDA-PSTP-066</x:v>
      </x:c>
      <x:c r="B757" t="str">
        <x:v>PSTP</x:v>
      </x:c>
      <x:c r="C757" t="str">
        <x:v>PASTEL PENCILS</x:v>
      </x:c>
      <x:c r="D757" t="str">
        <x:v>066</x:v>
      </x:c>
      <x:c r="E757" t="str">
        <x:v>Raw Russet</x:v>
      </x:c>
      <x:c r="F757" t="n">
        <x:v>1</x:v>
      </x:c>
      <x:c r="G757" t="str">
        <x:v>PR101</x:v>
      </x:c>
      <x:c r="H757" t="str">
        <x:v>PR101</x:v>
      </x:c>
      <x:c r="I757" t="str">
        <x:v>https://www.carandache.com/content_files/uploaded_doc/product/10985/Colour_Chart_Pastel_Pencil.pdf</x:v>
      </x:c>
    </x:row>
    <x:row r="758">
      <x:c r="A758" t="str">
        <x:v>CDA-PSTP-064</x:v>
      </x:c>
      <x:c r="B758" t="str">
        <x:v>PSTP</x:v>
      </x:c>
      <x:c r="C758" t="str">
        <x:v>PASTEL PENCILS</x:v>
      </x:c>
      <x:c r="D758" t="str">
        <x:v>064</x:v>
      </x:c>
      <x:c r="E758" t="str">
        <x:v>Medium russet</x:v>
      </x:c>
      <x:c r="F758" t="n">
        <x:v>1</x:v>
      </x:c>
      <x:c r="G758" t="str">
        <x:v>PR101</x:v>
      </x:c>
      <x:c r="H758" t="str">
        <x:v>PR101/PBk11</x:v>
      </x:c>
      <x:c r="I758" t="str">
        <x:v>https://www.carandache.com/content_files/uploaded_doc/product/10985/Colour_Chart_Pastel_Pencil.pdf</x:v>
      </x:c>
    </x:row>
    <x:row r="759">
      <x:c r="A759" t="str">
        <x:v>CDA-PSTP-064</x:v>
      </x:c>
      <x:c r="B759" t="str">
        <x:v>PSTP</x:v>
      </x:c>
      <x:c r="C759" t="str">
        <x:v>PASTEL PENCILS</x:v>
      </x:c>
      <x:c r="D759" t="str">
        <x:v>064</x:v>
      </x:c>
      <x:c r="E759" t="str">
        <x:v>Medium russet</x:v>
      </x:c>
      <x:c r="F759" t="n">
        <x:v>2</x:v>
      </x:c>
      <x:c r="G759" t="str">
        <x:v>PBk11</x:v>
      </x:c>
      <x:c r="H759" t="str">
        <x:v>PR101/PBk11</x:v>
      </x:c>
      <x:c r="I759" t="str">
        <x:v>https://www.carandache.com/content_files/uploaded_doc/product/10985/Colour_Chart_Pastel_Pencil.pdf</x:v>
      </x:c>
    </x:row>
    <x:row r="760">
      <x:c r="A760" t="str">
        <x:v>CDA-PSTP-069</x:v>
      </x:c>
      <x:c r="B760" t="str">
        <x:v>PSTP</x:v>
      </x:c>
      <x:c r="C760" t="str">
        <x:v>PASTEL PENCILS</x:v>
      </x:c>
      <x:c r="D760" t="str">
        <x:v>069</x:v>
      </x:c>
      <x:c r="E760" t="str">
        <x:v>Burnt sienna</x:v>
      </x:c>
      <x:c r="F760" t="n">
        <x:v>1</x:v>
      </x:c>
      <x:c r="G760" t="str">
        <x:v>PBk6</x:v>
      </x:c>
      <x:c r="H760" t="str">
        <x:v>PBk6/PR101</x:v>
      </x:c>
      <x:c r="I760" t="str">
        <x:v>https://www.carandache.com/content_files/uploaded_doc/product/10985/Colour_Chart_Pastel_Pencil.pdf</x:v>
      </x:c>
    </x:row>
    <x:row r="761">
      <x:c r="A761" t="str">
        <x:v>CDA-PSTP-069</x:v>
      </x:c>
      <x:c r="B761" t="str">
        <x:v>PSTP</x:v>
      </x:c>
      <x:c r="C761" t="str">
        <x:v>PASTEL PENCILS</x:v>
      </x:c>
      <x:c r="D761" t="str">
        <x:v>069</x:v>
      </x:c>
      <x:c r="E761" t="str">
        <x:v>Burnt sienna</x:v>
      </x:c>
      <x:c r="F761" t="n">
        <x:v>2</x:v>
      </x:c>
      <x:c r="G761" t="str">
        <x:v>PR101</x:v>
      </x:c>
      <x:c r="H761" t="str">
        <x:v>PBk6/PR101</x:v>
      </x:c>
      <x:c r="I761" t="str">
        <x:v>https://www.carandache.com/content_files/uploaded_doc/product/10985/Colour_Chart_Pastel_Pencil.pdf</x:v>
      </x:c>
    </x:row>
    <x:row r="762">
      <x:c r="A762" t="str">
        <x:v>CDA-PSTP-089</x:v>
      </x:c>
      <x:c r="B762" t="str">
        <x:v>PSTP</x:v>
      </x:c>
      <x:c r="C762" t="str">
        <x:v>PASTEL PENCILS</x:v>
      </x:c>
      <x:c r="D762" t="str">
        <x:v>089</x:v>
      </x:c>
      <x:c r="E762" t="str">
        <x:v>Dark carmine</x:v>
      </x:c>
      <x:c r="F762" t="n">
        <x:v>1</x:v>
      </x:c>
      <x:c r="G762" t="str">
        <x:v>PR254</x:v>
      </x:c>
      <x:c r="H762" t="str">
        <x:v>PR254/PBK11/PY42/PR101/PBK7/PBr7</x:v>
      </x:c>
      <x:c r="I762" t="str">
        <x:v>https://www.carandache.com/content_files/uploaded_doc/product/10985/Colour_Chart_Pastel_Pencil.pdf</x:v>
      </x:c>
    </x:row>
    <x:row r="763">
      <x:c r="A763" t="str">
        <x:v>CDA-PSTP-089</x:v>
      </x:c>
      <x:c r="B763" t="str">
        <x:v>PSTP</x:v>
      </x:c>
      <x:c r="C763" t="str">
        <x:v>PASTEL PENCILS</x:v>
      </x:c>
      <x:c r="D763" t="str">
        <x:v>089</x:v>
      </x:c>
      <x:c r="E763" t="str">
        <x:v>Dark carmine</x:v>
      </x:c>
      <x:c r="F763" t="n">
        <x:v>2</x:v>
      </x:c>
      <x:c r="G763" t="str">
        <x:v>PBK11</x:v>
      </x:c>
      <x:c r="H763" t="str">
        <x:v>PR254/PBK11/PY42/PR101/PBK7/PBr7</x:v>
      </x:c>
      <x:c r="I763" t="str">
        <x:v>https://www.carandache.com/content_files/uploaded_doc/product/10985/Colour_Chart_Pastel_Pencil.pdf</x:v>
      </x:c>
    </x:row>
    <x:row r="764">
      <x:c r="A764" t="str">
        <x:v>CDA-PSTP-089</x:v>
      </x:c>
      <x:c r="B764" t="str">
        <x:v>PSTP</x:v>
      </x:c>
      <x:c r="C764" t="str">
        <x:v>PASTEL PENCILS</x:v>
      </x:c>
      <x:c r="D764" t="str">
        <x:v>089</x:v>
      </x:c>
      <x:c r="E764" t="str">
        <x:v>Dark carmine</x:v>
      </x:c>
      <x:c r="F764" t="n">
        <x:v>3</x:v>
      </x:c>
      <x:c r="G764" t="str">
        <x:v>PY42</x:v>
      </x:c>
      <x:c r="H764" t="str">
        <x:v>PR254/PBK11/PY42/PR101/PBK7/PBr7</x:v>
      </x:c>
      <x:c r="I764" t="str">
        <x:v>https://www.carandache.com/content_files/uploaded_doc/product/10985/Colour_Chart_Pastel_Pencil.pdf</x:v>
      </x:c>
    </x:row>
    <x:row r="765">
      <x:c r="A765" t="str">
        <x:v>CDA-PSTP-089</x:v>
      </x:c>
      <x:c r="B765" t="str">
        <x:v>PSTP</x:v>
      </x:c>
      <x:c r="C765" t="str">
        <x:v>PASTEL PENCILS</x:v>
      </x:c>
      <x:c r="D765" t="str">
        <x:v>089</x:v>
      </x:c>
      <x:c r="E765" t="str">
        <x:v>Dark carmine</x:v>
      </x:c>
      <x:c r="F765" t="n">
        <x:v>4</x:v>
      </x:c>
      <x:c r="G765" t="str">
        <x:v>PR101</x:v>
      </x:c>
      <x:c r="H765" t="str">
        <x:v>PR254/PBK11/PY42/PR101/PBK7/PBr7</x:v>
      </x:c>
      <x:c r="I765" t="str">
        <x:v>https://www.carandache.com/content_files/uploaded_doc/product/10985/Colour_Chart_Pastel_Pencil.pdf</x:v>
      </x:c>
    </x:row>
    <x:row r="766">
      <x:c r="A766" t="str">
        <x:v>CDA-PSTP-089</x:v>
      </x:c>
      <x:c r="B766" t="str">
        <x:v>PSTP</x:v>
      </x:c>
      <x:c r="C766" t="str">
        <x:v>PASTEL PENCILS</x:v>
      </x:c>
      <x:c r="D766" t="str">
        <x:v>089</x:v>
      </x:c>
      <x:c r="E766" t="str">
        <x:v>Dark carmine</x:v>
      </x:c>
      <x:c r="F766" t="n">
        <x:v>5</x:v>
      </x:c>
      <x:c r="G766" t="str">
        <x:v>PBK7</x:v>
      </x:c>
      <x:c r="H766" t="str">
        <x:v>PR254/PBK11/PY42/PR101/PBK7/PBr7</x:v>
      </x:c>
      <x:c r="I766" t="str">
        <x:v>https://www.carandache.com/content_files/uploaded_doc/product/10985/Colour_Chart_Pastel_Pencil.pdf</x:v>
      </x:c>
    </x:row>
    <x:row r="767">
      <x:c r="A767" t="str">
        <x:v>CDA-PSTP-089</x:v>
      </x:c>
      <x:c r="B767" t="str">
        <x:v>PSTP</x:v>
      </x:c>
      <x:c r="C767" t="str">
        <x:v>PASTEL PENCILS</x:v>
      </x:c>
      <x:c r="D767" t="str">
        <x:v>089</x:v>
      </x:c>
      <x:c r="E767" t="str">
        <x:v>Dark carmine</x:v>
      </x:c>
      <x:c r="F767" t="n">
        <x:v>6</x:v>
      </x:c>
      <x:c r="G767" t="str">
        <x:v>PBr7</x:v>
      </x:c>
      <x:c r="H767" t="str">
        <x:v>PR254/PBK11/PY42/PR101/PBK7/PBr7</x:v>
      </x:c>
      <x:c r="I767" t="str">
        <x:v>https://www.carandache.com/content_files/uploaded_doc/product/10985/Colour_Chart_Pastel_Pencil.pdf</x:v>
      </x:c>
    </x:row>
    <x:row r="768">
      <x:c r="A768" t="str">
        <x:v>CDA-PSTP-093</x:v>
      </x:c>
      <x:c r="B768" t="str">
        <x:v>PSTP</x:v>
      </x:c>
      <x:c r="C768" t="str">
        <x:v>PASTEL PENCILS</x:v>
      </x:c>
      <x:c r="D768" t="str">
        <x:v>093</x:v>
      </x:c>
      <x:c r="E768" t="str">
        <x:v>Violet grey</x:v>
      </x:c>
      <x:c r="F768" t="n">
        <x:v>1</x:v>
      </x:c>
      <x:c r="G768" t="str">
        <x:v>PB15</x:v>
      </x:c>
      <x:c r="H768" t="str">
        <x:v>PB15/PBk11/PV16/PR101</x:v>
      </x:c>
      <x:c r="I768" t="str">
        <x:v>https://www.carandache.com/content_files/uploaded_doc/product/10985/Colour_Chart_Pastel_Pencil.pdf</x:v>
      </x:c>
    </x:row>
    <x:row r="769">
      <x:c r="A769" t="str">
        <x:v>CDA-PSTP-093</x:v>
      </x:c>
      <x:c r="B769" t="str">
        <x:v>PSTP</x:v>
      </x:c>
      <x:c r="C769" t="str">
        <x:v>PASTEL PENCILS</x:v>
      </x:c>
      <x:c r="D769" t="str">
        <x:v>093</x:v>
      </x:c>
      <x:c r="E769" t="str">
        <x:v>Violet grey</x:v>
      </x:c>
      <x:c r="F769" t="n">
        <x:v>2</x:v>
      </x:c>
      <x:c r="G769" t="str">
        <x:v>PBk11</x:v>
      </x:c>
      <x:c r="H769" t="str">
        <x:v>PB15/PBk11/PV16/PR101</x:v>
      </x:c>
      <x:c r="I769" t="str">
        <x:v>https://www.carandache.com/content_files/uploaded_doc/product/10985/Colour_Chart_Pastel_Pencil.pdf</x:v>
      </x:c>
    </x:row>
    <x:row r="770">
      <x:c r="A770" t="str">
        <x:v>CDA-PSTP-093</x:v>
      </x:c>
      <x:c r="B770" t="str">
        <x:v>PSTP</x:v>
      </x:c>
      <x:c r="C770" t="str">
        <x:v>PASTEL PENCILS</x:v>
      </x:c>
      <x:c r="D770" t="str">
        <x:v>093</x:v>
      </x:c>
      <x:c r="E770" t="str">
        <x:v>Violet grey</x:v>
      </x:c>
      <x:c r="F770" t="n">
        <x:v>3</x:v>
      </x:c>
      <x:c r="G770" t="str">
        <x:v>PV16</x:v>
      </x:c>
      <x:c r="H770" t="str">
        <x:v>PB15/PBk11/PV16/PR101</x:v>
      </x:c>
      <x:c r="I770" t="str">
        <x:v>https://www.carandache.com/content_files/uploaded_doc/product/10985/Colour_Chart_Pastel_Pencil.pdf</x:v>
      </x:c>
    </x:row>
    <x:row r="771">
      <x:c r="A771" t="str">
        <x:v>CDA-PSTP-093</x:v>
      </x:c>
      <x:c r="B771" t="str">
        <x:v>PSTP</x:v>
      </x:c>
      <x:c r="C771" t="str">
        <x:v>PASTEL PENCILS</x:v>
      </x:c>
      <x:c r="D771" t="str">
        <x:v>093</x:v>
      </x:c>
      <x:c r="E771" t="str">
        <x:v>Violet grey</x:v>
      </x:c>
      <x:c r="F771" t="n">
        <x:v>4</x:v>
      </x:c>
      <x:c r="G771" t="str">
        <x:v>PR101</x:v>
      </x:c>
      <x:c r="H771" t="str">
        <x:v>PB15/PBk11/PV16/PR101</x:v>
      </x:c>
      <x:c r="I771" t="str">
        <x:v>https://www.carandache.com/content_files/uploaded_doc/product/10985/Colour_Chart_Pastel_Pencil.pdf</x:v>
      </x:c>
    </x:row>
    <x:row r="772">
      <x:c r="A772" t="str">
        <x:v>CDA-PSTP-002</x:v>
      </x:c>
      <x:c r="B772" t="str">
        <x:v>PSTP</x:v>
      </x:c>
      <x:c r="C772" t="str">
        <x:v>PASTEL PENCILS</x:v>
      </x:c>
      <x:c r="D772" t="str">
        <x:v>002</x:v>
      </x:c>
      <x:c r="E772" t="str">
        <x:v>Silver grey</x:v>
      </x:c>
      <x:c r="F772" t="n">
        <x:v>1</x:v>
      </x:c>
      <x:c r="G772" t="str">
        <x:v>PB15</x:v>
      </x:c>
      <x:c r="H772" t="str">
        <x:v>PB15/PBk6</x:v>
      </x:c>
      <x:c r="I772" t="str">
        <x:v>https://www.carandache.com/content_files/uploaded_doc/product/10985/Colour_Chart_Pastel_Pencil.pdf</x:v>
      </x:c>
    </x:row>
    <x:row r="773">
      <x:c r="A773" t="str">
        <x:v>CDA-PSTP-002</x:v>
      </x:c>
      <x:c r="B773" t="str">
        <x:v>PSTP</x:v>
      </x:c>
      <x:c r="C773" t="str">
        <x:v>PASTEL PENCILS</x:v>
      </x:c>
      <x:c r="D773" t="str">
        <x:v>002</x:v>
      </x:c>
      <x:c r="E773" t="str">
        <x:v>Silver grey</x:v>
      </x:c>
      <x:c r="F773" t="n">
        <x:v>2</x:v>
      </x:c>
      <x:c r="G773" t="str">
        <x:v>PBk6</x:v>
      </x:c>
      <x:c r="H773" t="str">
        <x:v>PB15/PBk6</x:v>
      </x:c>
      <x:c r="I773" t="str">
        <x:v>https://www.carandache.com/content_files/uploaded_doc/product/10985/Colour_Chart_Pastel_Pencil.pdf</x:v>
      </x:c>
    </x:row>
    <x:row r="774">
      <x:c r="A774" t="str">
        <x:v>CDA-PSTP-004</x:v>
      </x:c>
      <x:c r="B774" t="str">
        <x:v>PSTP</x:v>
      </x:c>
      <x:c r="C774" t="str">
        <x:v>PASTEL PENCILS</x:v>
      </x:c>
      <x:c r="D774" t="str">
        <x:v>004</x:v>
      </x:c>
      <x:c r="E774" t="str">
        <x:v>Steel grey</x:v>
      </x:c>
      <x:c r="F774" t="n">
        <x:v>1</x:v>
      </x:c>
      <x:c r="G774" t="str">
        <x:v>PB15</x:v>
      </x:c>
      <x:c r="H774" t="str">
        <x:v>PB15/PBk6</x:v>
      </x:c>
      <x:c r="I774" t="str">
        <x:v>https://www.carandache.com/content_files/uploaded_doc/product/10985/Colour_Chart_Pastel_Pencil.pdf</x:v>
      </x:c>
    </x:row>
    <x:row r="775">
      <x:c r="A775" t="str">
        <x:v>CDA-PSTP-004</x:v>
      </x:c>
      <x:c r="B775" t="str">
        <x:v>PSTP</x:v>
      </x:c>
      <x:c r="C775" t="str">
        <x:v>PASTEL PENCILS</x:v>
      </x:c>
      <x:c r="D775" t="str">
        <x:v>004</x:v>
      </x:c>
      <x:c r="E775" t="str">
        <x:v>Steel grey</x:v>
      </x:c>
      <x:c r="F775" t="n">
        <x:v>2</x:v>
      </x:c>
      <x:c r="G775" t="str">
        <x:v>PBk6</x:v>
      </x:c>
      <x:c r="H775" t="str">
        <x:v>PB15/PBk6</x:v>
      </x:c>
      <x:c r="I775" t="str">
        <x:v>https://www.carandache.com/content_files/uploaded_doc/product/10985/Colour_Chart_Pastel_Pencil.pdf</x:v>
      </x:c>
    </x:row>
    <x:row r="776">
      <x:c r="A776" t="str">
        <x:v>CDA-PSTP-008</x:v>
      </x:c>
      <x:c r="B776" t="str">
        <x:v>PSTP</x:v>
      </x:c>
      <x:c r="C776" t="str">
        <x:v>PASTEL PENCILS</x:v>
      </x:c>
      <x:c r="D776" t="str">
        <x:v>008</x:v>
      </x:c>
      <x:c r="E776" t="str">
        <x:v>Greyish black</x:v>
      </x:c>
      <x:c r="F776" t="n">
        <x:v>1</x:v>
      </x:c>
      <x:c r="G776" t="str">
        <x:v>PB15</x:v>
      </x:c>
      <x:c r="H776" t="str">
        <x:v>PB15/PBk6</x:v>
      </x:c>
      <x:c r="I776" t="str">
        <x:v>https://www.carandache.com/content_files/uploaded_doc/product/10985/Colour_Chart_Pastel_Pencil.pdf</x:v>
      </x:c>
    </x:row>
    <x:row r="777">
      <x:c r="A777" t="str">
        <x:v>CDA-PSTP-008</x:v>
      </x:c>
      <x:c r="B777" t="str">
        <x:v>PSTP</x:v>
      </x:c>
      <x:c r="C777" t="str">
        <x:v>PASTEL PENCILS</x:v>
      </x:c>
      <x:c r="D777" t="str">
        <x:v>008</x:v>
      </x:c>
      <x:c r="E777" t="str">
        <x:v>Greyish black</x:v>
      </x:c>
      <x:c r="F777" t="n">
        <x:v>2</x:v>
      </x:c>
      <x:c r="G777" t="str">
        <x:v>PBk6</x:v>
      </x:c>
      <x:c r="H777" t="str">
        <x:v>PB15/PBk6</x:v>
      </x:c>
      <x:c r="I777" t="str">
        <x:v>https://www.carandache.com/content_files/uploaded_doc/product/10985/Colour_Chart_Pastel_Pencil.pdf</x:v>
      </x:c>
    </x:row>
    <x:row r="778">
      <x:c r="A778" t="str">
        <x:v>CDA-PSTP-495</x:v>
      </x:c>
      <x:c r="B778" t="str">
        <x:v>PSTP</x:v>
      </x:c>
      <x:c r="C778" t="str">
        <x:v>PASTEL PENCILS</x:v>
      </x:c>
      <x:c r="D778" t="str">
        <x:v>495</x:v>
      </x:c>
      <x:c r="E778" t="str">
        <x:v>Slate grey</x:v>
      </x:c>
      <x:c r="F778" t="n">
        <x:v>1</x:v>
      </x:c>
      <x:c r="G778" t="str">
        <x:v>PBk9</x:v>
      </x:c>
      <x:c r="H778" t="str">
        <x:v>PBk9</x:v>
      </x:c>
      <x:c r="I778" t="str">
        <x:v>https://www.carandache.com/content_files/uploaded_doc/product/10985/Colour_Chart_Pastel_Pencil.pdf</x:v>
      </x:c>
    </x:row>
    <x:row r="779">
      <x:c r="A779" t="str">
        <x:v>CDA-PSTP-748</x:v>
      </x:c>
      <x:c r="B779" t="str">
        <x:v>PSTP</x:v>
      </x:c>
      <x:c r="C779" t="str">
        <x:v>PASTEL PENCILS</x:v>
      </x:c>
      <x:c r="D779" t="str">
        <x:v>748</x:v>
      </x:c>
      <x:c r="E779" t="str">
        <x:v>Dark flesh</x:v>
      </x:c>
      <x:c r="F779" t="n">
        <x:v>1</x:v>
      </x:c>
      <x:c r="G779" t="str">
        <x:v>PR179</x:v>
      </x:c>
      <x:c r="H779" t="str">
        <x:v>PR179/PBk7/PBr7/PBk11/PY42/PR101</x:v>
      </x:c>
      <x:c r="I779" t="str">
        <x:v>https://www.carandache.com/content_files/uploaded_doc/product/10985/Colour_Chart_Pastel_Pencil.pdf</x:v>
      </x:c>
    </x:row>
    <x:row r="780">
      <x:c r="A780" t="str">
        <x:v>CDA-PSTP-748</x:v>
      </x:c>
      <x:c r="B780" t="str">
        <x:v>PSTP</x:v>
      </x:c>
      <x:c r="C780" t="str">
        <x:v>PASTEL PENCILS</x:v>
      </x:c>
      <x:c r="D780" t="str">
        <x:v>748</x:v>
      </x:c>
      <x:c r="E780" t="str">
        <x:v>Dark flesh</x:v>
      </x:c>
      <x:c r="F780" t="n">
        <x:v>2</x:v>
      </x:c>
      <x:c r="G780" t="str">
        <x:v>PBk7</x:v>
      </x:c>
      <x:c r="H780" t="str">
        <x:v>PR179/PBk7/PBr7/PBk11/PY42/PR101</x:v>
      </x:c>
      <x:c r="I780" t="str">
        <x:v>https://www.carandache.com/content_files/uploaded_doc/product/10985/Colour_Chart_Pastel_Pencil.pdf</x:v>
      </x:c>
    </x:row>
    <x:row r="781">
      <x:c r="A781" t="str">
        <x:v>CDA-PSTP-748</x:v>
      </x:c>
      <x:c r="B781" t="str">
        <x:v>PSTP</x:v>
      </x:c>
      <x:c r="C781" t="str">
        <x:v>PASTEL PENCILS</x:v>
      </x:c>
      <x:c r="D781" t="str">
        <x:v>748</x:v>
      </x:c>
      <x:c r="E781" t="str">
        <x:v>Dark flesh</x:v>
      </x:c>
      <x:c r="F781" t="n">
        <x:v>3</x:v>
      </x:c>
      <x:c r="G781" t="str">
        <x:v>PBr7</x:v>
      </x:c>
      <x:c r="H781" t="str">
        <x:v>PR179/PBk7/PBr7/PBk11/PY42/PR101</x:v>
      </x:c>
      <x:c r="I781" t="str">
        <x:v>https://www.carandache.com/content_files/uploaded_doc/product/10985/Colour_Chart_Pastel_Pencil.pdf</x:v>
      </x:c>
    </x:row>
    <x:row r="782">
      <x:c r="A782" t="str">
        <x:v>CDA-PSTP-748</x:v>
      </x:c>
      <x:c r="B782" t="str">
        <x:v>PSTP</x:v>
      </x:c>
      <x:c r="C782" t="str">
        <x:v>PASTEL PENCILS</x:v>
      </x:c>
      <x:c r="D782" t="str">
        <x:v>748</x:v>
      </x:c>
      <x:c r="E782" t="str">
        <x:v>Dark flesh</x:v>
      </x:c>
      <x:c r="F782" t="n">
        <x:v>4</x:v>
      </x:c>
      <x:c r="G782" t="str">
        <x:v>PBk11</x:v>
      </x:c>
      <x:c r="H782" t="str">
        <x:v>PR179/PBk7/PBr7/PBk11/PY42/PR101</x:v>
      </x:c>
      <x:c r="I782" t="str">
        <x:v>https://www.carandache.com/content_files/uploaded_doc/product/10985/Colour_Chart_Pastel_Pencil.pdf</x:v>
      </x:c>
    </x:row>
    <x:row r="783">
      <x:c r="A783" t="str">
        <x:v>CDA-PSTP-748</x:v>
      </x:c>
      <x:c r="B783" t="str">
        <x:v>PSTP</x:v>
      </x:c>
      <x:c r="C783" t="str">
        <x:v>PASTEL PENCILS</x:v>
      </x:c>
      <x:c r="D783" t="str">
        <x:v>748</x:v>
      </x:c>
      <x:c r="E783" t="str">
        <x:v>Dark flesh</x:v>
      </x:c>
      <x:c r="F783" t="n">
        <x:v>5</x:v>
      </x:c>
      <x:c r="G783" t="str">
        <x:v>PY42</x:v>
      </x:c>
      <x:c r="H783" t="str">
        <x:v>PR179/PBk7/PBr7/PBk11/PY42/PR101</x:v>
      </x:c>
      <x:c r="I783" t="str">
        <x:v>https://www.carandache.com/content_files/uploaded_doc/product/10985/Colour_Chart_Pastel_Pencil.pdf</x:v>
      </x:c>
    </x:row>
    <x:row r="784">
      <x:c r="A784" t="str">
        <x:v>CDA-PSTP-748</x:v>
      </x:c>
      <x:c r="B784" t="str">
        <x:v>PSTP</x:v>
      </x:c>
      <x:c r="C784" t="str">
        <x:v>PASTEL PENCILS</x:v>
      </x:c>
      <x:c r="D784" t="str">
        <x:v>748</x:v>
      </x:c>
      <x:c r="E784" t="str">
        <x:v>Dark flesh</x:v>
      </x:c>
      <x:c r="F784" t="n">
        <x:v>6</x:v>
      </x:c>
      <x:c r="G784" t="str">
        <x:v>PR101</x:v>
      </x:c>
      <x:c r="H784" t="str">
        <x:v>PR179/PBk7/PBr7/PBk11/PY42/PR101</x:v>
      </x:c>
      <x:c r="I784" t="str">
        <x:v>https://www.carandache.com/content_files/uploaded_doc/product/10985/Colour_Chart_Pastel_Pencil.pdf</x:v>
      </x:c>
    </x:row>
    <x:row r="785">
      <x:c r="A785" t="str">
        <x:v>CDA-PSTP-009</x:v>
      </x:c>
      <x:c r="B785" t="str">
        <x:v>PSTP</x:v>
      </x:c>
      <x:c r="C785" t="str">
        <x:v>PASTEL PENCILS</x:v>
      </x:c>
      <x:c r="D785" t="str">
        <x:v>009</x:v>
      </x:c>
      <x:c r="E785" t="str">
        <x:v>Black</x:v>
      </x:c>
      <x:c r="F785" t="n">
        <x:v>1</x:v>
      </x:c>
      <x:c r="G785" t="str">
        <x:v>PBk7</x:v>
      </x:c>
      <x:c r="H785" t="str">
        <x:v>PBk7</x:v>
      </x:c>
      <x:c r="I785" t="str">
        <x:v>https://www.carandache.com/content_files/uploaded_doc/product/10985/Colour_Chart_Pastel_Pencil.pdf</x:v>
      </x:c>
    </x:row>
    <x:row r="786">
      <x:c r="A786" t="str">
        <x:v>CDA-PSTC-901</x:v>
      </x:c>
      <x:c r="B786" t="str">
        <x:v>PSTC</x:v>
      </x:c>
      <x:c r="C786" t="str">
        <x:v>PASTEL CUBES</x:v>
      </x:c>
      <x:c r="D786" t="str">
        <x:v>901</x:v>
      </x:c>
      <x:c r="E786" t="str">
        <x:v>Chinese White</x:v>
      </x:c>
      <x:c r="F786" t="n">
        <x:v>1</x:v>
      </x:c>
      <x:c r="G786" t="str">
        <x:v>PW6</x:v>
      </x:c>
      <x:c r="H786" t="str">
        <x:v>PW6</x:v>
      </x:c>
      <x:c r="I786" t="str">
        <x:v>https://www.carandache.com/content_files/uploaded_doc/product/10985/Colour_Chart_Pastel_Pencil.pdf</x:v>
      </x:c>
    </x:row>
    <x:row r="787">
      <x:c r="A787" t="str">
        <x:v>CDA-PSTC-811</x:v>
      </x:c>
      <x:c r="B787" t="str">
        <x:v>PSTC</x:v>
      </x:c>
      <x:c r="C787" t="str">
        <x:v>PASTEL CUBES</x:v>
      </x:c>
      <x:c r="D787" t="str">
        <x:v>811</x:v>
      </x:c>
      <x:c r="E787" t="str">
        <x:v>Bismuth white</x:v>
      </x:c>
      <x:c r="F787" t="n">
        <x:v>1</x:v>
      </x:c>
      <x:c r="G787" t="str">
        <x:v>PW6</x:v>
      </x:c>
      <x:c r="H787" t="str">
        <x:v>PW6/PY184</x:v>
      </x:c>
      <x:c r="I787" t="str">
        <x:v>https://www.carandache.com/content_files/uploaded_doc/product/10985/Colour_Chart_Pastel_Pencil.pdf</x:v>
      </x:c>
    </x:row>
    <x:row r="788">
      <x:c r="A788" t="str">
        <x:v>CDA-PSTC-811</x:v>
      </x:c>
      <x:c r="B788" t="str">
        <x:v>PSTC</x:v>
      </x:c>
      <x:c r="C788" t="str">
        <x:v>PASTEL CUBES</x:v>
      </x:c>
      <x:c r="D788" t="str">
        <x:v>811</x:v>
      </x:c>
      <x:c r="E788" t="str">
        <x:v>Bismuth white</x:v>
      </x:c>
      <x:c r="F788" t="n">
        <x:v>2</x:v>
      </x:c>
      <x:c r="G788" t="str">
        <x:v>PY184</x:v>
      </x:c>
      <x:c r="H788" t="str">
        <x:v>PW6/PY184</x:v>
      </x:c>
      <x:c r="I788" t="str">
        <x:v>https://www.carandache.com/content_files/uploaded_doc/product/10985/Colour_Chart_Pastel_Pencil.pdf</x:v>
      </x:c>
    </x:row>
    <x:row r="789">
      <x:c r="A789" t="str">
        <x:v>CDA-PSTC-011</x:v>
      </x:c>
      <x:c r="B789" t="str">
        <x:v>PSTC</x:v>
      </x:c>
      <x:c r="C789" t="str">
        <x:v>PASTEL CUBES</x:v>
      </x:c>
      <x:c r="D789" t="str">
        <x:v>011</x:v>
      </x:c>
      <x:c r="E789" t="str">
        <x:v>Pale yellow</x:v>
      </x:c>
      <x:c r="F789" t="n">
        <x:v>1</x:v>
      </x:c>
      <x:c r="G789" t="str">
        <x:v>PY151</x:v>
      </x:c>
      <x:c r="H789" t="str">
        <x:v>PY151/PY42</x:v>
      </x:c>
      <x:c r="I789" t="str">
        <x:v>https://www.carandache.com/content_files/uploaded_doc/product/10985/Colour_Chart_Pastel_Pencil.pdf</x:v>
      </x:c>
    </x:row>
    <x:row r="790">
      <x:c r="A790" t="str">
        <x:v>CDA-PSTC-011</x:v>
      </x:c>
      <x:c r="B790" t="str">
        <x:v>PSTC</x:v>
      </x:c>
      <x:c r="C790" t="str">
        <x:v>PASTEL CUBES</x:v>
      </x:c>
      <x:c r="D790" t="str">
        <x:v>011</x:v>
      </x:c>
      <x:c r="E790" t="str">
        <x:v>Pale yellow</x:v>
      </x:c>
      <x:c r="F790" t="n">
        <x:v>2</x:v>
      </x:c>
      <x:c r="G790" t="str">
        <x:v>PY42</x:v>
      </x:c>
      <x:c r="H790" t="str">
        <x:v>PY151/PY42</x:v>
      </x:c>
      <x:c r="I790" t="str">
        <x:v>https://www.carandache.com/content_files/uploaded_doc/product/10985/Colour_Chart_Pastel_Pencil.pdf</x:v>
      </x:c>
    </x:row>
    <x:row r="791">
      <x:c r="A791" t="str">
        <x:v>CDA-PSTC-241</x:v>
      </x:c>
      <x:c r="B791" t="str">
        <x:v>PSTC</x:v>
      </x:c>
      <x:c r="C791" t="str">
        <x:v>PASTEL CUBES</x:v>
      </x:c>
      <x:c r="D791" t="str">
        <x:v>241</x:v>
      </x:c>
      <x:c r="E791" t="str">
        <x:v>Light lemon yellow</x:v>
      </x:c>
      <x:c r="F791" t="n">
        <x:v>1</x:v>
      </x:c>
      <x:c r="G791" t="str">
        <x:v>PY53</x:v>
      </x:c>
      <x:c r="H791" t="str">
        <x:v>PY53</x:v>
      </x:c>
      <x:c r="I791" t="str">
        <x:v>https://www.carandache.com/content_files/uploaded_doc/product/10985/Colour_Chart_Pastel_Pencil.pdf</x:v>
      </x:c>
    </x:row>
    <x:row r="792">
      <x:c r="A792" t="str">
        <x:v>CDA-PSTC-821</x:v>
      </x:c>
      <x:c r="B792" t="str">
        <x:v>PSTC</x:v>
      </x:c>
      <x:c r="C792" t="str">
        <x:v>PASTEL CUBES</x:v>
      </x:c>
      <x:c r="D792" t="str">
        <x:v>821</x:v>
      </x:c>
      <x:c r="E792" t="str">
        <x:v>Naples ochre</x:v>
      </x:c>
      <x:c r="F792" t="n">
        <x:v>1</x:v>
      </x:c>
      <x:c r="G792" t="str">
        <x:v>PY184</x:v>
      </x:c>
      <x:c r="H792" t="str">
        <x:v>PY184/PY42/PY3</x:v>
      </x:c>
      <x:c r="I792" t="str">
        <x:v>https://www.carandache.com/content_files/uploaded_doc/product/10985/Colour_Chart_Pastel_Pencil.pdf</x:v>
      </x:c>
    </x:row>
    <x:row r="793">
      <x:c r="A793" t="str">
        <x:v>CDA-PSTC-821</x:v>
      </x:c>
      <x:c r="B793" t="str">
        <x:v>PSTC</x:v>
      </x:c>
      <x:c r="C793" t="str">
        <x:v>PASTEL CUBES</x:v>
      </x:c>
      <x:c r="D793" t="str">
        <x:v>821</x:v>
      </x:c>
      <x:c r="E793" t="str">
        <x:v>Naples ochre</x:v>
      </x:c>
      <x:c r="F793" t="n">
        <x:v>2</x:v>
      </x:c>
      <x:c r="G793" t="str">
        <x:v>PY42</x:v>
      </x:c>
      <x:c r="H793" t="str">
        <x:v>PY184/PY42/PY3</x:v>
      </x:c>
      <x:c r="I793" t="str">
        <x:v>https://www.carandache.com/content_files/uploaded_doc/product/10985/Colour_Chart_Pastel_Pencil.pdf</x:v>
      </x:c>
    </x:row>
    <x:row r="794">
      <x:c r="A794" t="str">
        <x:v>CDA-PSTC-821</x:v>
      </x:c>
      <x:c r="B794" t="str">
        <x:v>PSTC</x:v>
      </x:c>
      <x:c r="C794" t="str">
        <x:v>PASTEL CUBES</x:v>
      </x:c>
      <x:c r="D794" t="str">
        <x:v>821</x:v>
      </x:c>
      <x:c r="E794" t="str">
        <x:v>Naples ochre</x:v>
      </x:c>
      <x:c r="F794" t="n">
        <x:v>3</x:v>
      </x:c>
      <x:c r="G794" t="str">
        <x:v>PY3</x:v>
      </x:c>
      <x:c r="H794" t="str">
        <x:v>PY184/PY42/PY3</x:v>
      </x:c>
      <x:c r="I794" t="str">
        <x:v>https://www.carandache.com/content_files/uploaded_doc/product/10985/Colour_Chart_Pastel_Pencil.pdf</x:v>
      </x:c>
    </x:row>
    <x:row r="795">
      <x:c r="A795" t="str">
        <x:v>CDA-PSTC-240</x:v>
      </x:c>
      <x:c r="B795" t="str">
        <x:v>PSTC</x:v>
      </x:c>
      <x:c r="C795" t="str">
        <x:v>PASTEL CUBES</x:v>
      </x:c>
      <x:c r="D795" t="str">
        <x:v>240</x:v>
      </x:c>
      <x:c r="E795" t="str">
        <x:v>Lemon Yellow</x:v>
      </x:c>
      <x:c r="F795" t="n">
        <x:v>1</x:v>
      </x:c>
      <x:c r="G795" t="str">
        <x:v>PY3</x:v>
      </x:c>
      <x:c r="H795" t="str">
        <x:v>PY3</x:v>
      </x:c>
      <x:c r="I795" t="str">
        <x:v>https://www.carandache.com/content_files/uploaded_doc/product/10985/Colour_Chart_Pastel_Pencil.pdf</x:v>
      </x:c>
    </x:row>
    <x:row r="796">
      <x:c r="A796" t="str">
        <x:v>CDA-PSTC-820</x:v>
      </x:c>
      <x:c r="B796" t="str">
        <x:v>PSTC</x:v>
      </x:c>
      <x:c r="C796" t="str">
        <x:v>PASTEL CUBES</x:v>
      </x:c>
      <x:c r="D796" t="str">
        <x:v>820</x:v>
      </x:c>
      <x:c r="E796" t="str">
        <x:v>Golden Bismuth yellow</x:v>
      </x:c>
      <x:c r="F796" t="n">
        <x:v>1</x:v>
      </x:c>
      <x:c r="G796" t="str">
        <x:v>PY184</x:v>
      </x:c>
      <x:c r="H796" t="str">
        <x:v>PY184</x:v>
      </x:c>
      <x:c r="I796" t="str">
        <x:v>https://www.carandache.com/content_files/uploaded_doc/product/10985/Colour_Chart_Pastel_Pencil.pdf</x:v>
      </x:c>
    </x:row>
    <x:row r="797">
      <x:c r="A797" t="str">
        <x:v>CDA-PSTC-512</x:v>
      </x:c>
      <x:c r="B797" t="str">
        <x:v>PSTC</x:v>
      </x:c>
      <x:c r="C797" t="str">
        <x:v>PASTEL CUBES</x:v>
      </x:c>
      <x:c r="D797" t="str">
        <x:v>512</x:v>
      </x:c>
      <x:c r="E797" t="str">
        <x:v>Light cadmium yellow</x:v>
      </x:c>
      <x:c r="F797" t="n">
        <x:v>1</x:v>
      </x:c>
      <x:c r="G797" t="str">
        <x:v>PY3</x:v>
      </x:c>
      <x:c r="H797" t="str">
        <x:v>PY3/PY74</x:v>
      </x:c>
      <x:c r="I797" t="str">
        <x:v>https://www.carandache.com/content_files/uploaded_doc/product/10985/Colour_Chart_Pastel_Pencil.pdf</x:v>
      </x:c>
    </x:row>
    <x:row r="798">
      <x:c r="A798" t="str">
        <x:v>CDA-PSTC-512</x:v>
      </x:c>
      <x:c r="B798" t="str">
        <x:v>PSTC</x:v>
      </x:c>
      <x:c r="C798" t="str">
        <x:v>PASTEL CUBES</x:v>
      </x:c>
      <x:c r="D798" t="str">
        <x:v>512</x:v>
      </x:c>
      <x:c r="E798" t="str">
        <x:v>Light cadmium yellow</x:v>
      </x:c>
      <x:c r="F798" t="n">
        <x:v>2</x:v>
      </x:c>
      <x:c r="G798" t="str">
        <x:v>PY74</x:v>
      </x:c>
      <x:c r="H798" t="str">
        <x:v>PY3/PY74</x:v>
      </x:c>
      <x:c r="I798" t="str">
        <x:v>https://www.carandache.com/content_files/uploaded_doc/product/10985/Colour_Chart_Pastel_Pencil.pdf</x:v>
      </x:c>
    </x:row>
    <x:row r="799">
      <x:c r="A799" t="str">
        <x:v>CDA-PSTC-530</x:v>
      </x:c>
      <x:c r="B799" t="str">
        <x:v>PSTC</x:v>
      </x:c>
      <x:c r="C799" t="str">
        <x:v>PASTEL CUBES</x:v>
      </x:c>
      <x:c r="D799" t="str">
        <x:v>530</x:v>
      </x:c>
      <x:c r="E799" t="str">
        <x:v>Gold Cadmium Yellow</x:v>
      </x:c>
      <x:c r="F799" t="n">
        <x:v>1</x:v>
      </x:c>
      <x:c r="G799" t="str">
        <x:v>PY3</x:v>
      </x:c>
      <x:c r="H799" t="str">
        <x:v>PY3/PY74/PO62</x:v>
      </x:c>
      <x:c r="I799" t="str">
        <x:v>https://www.carandache.com/content_files/uploaded_doc/product/10985/Colour_Chart_Pastel_Pencil.pdf</x:v>
      </x:c>
    </x:row>
    <x:row r="800">
      <x:c r="A800" t="str">
        <x:v>CDA-PSTC-530</x:v>
      </x:c>
      <x:c r="B800" t="str">
        <x:v>PSTC</x:v>
      </x:c>
      <x:c r="C800" t="str">
        <x:v>PASTEL CUBES</x:v>
      </x:c>
      <x:c r="D800" t="str">
        <x:v>530</x:v>
      </x:c>
      <x:c r="E800" t="str">
        <x:v>Gold Cadmium Yellow</x:v>
      </x:c>
      <x:c r="F800" t="n">
        <x:v>2</x:v>
      </x:c>
      <x:c r="G800" t="str">
        <x:v>PY74</x:v>
      </x:c>
      <x:c r="H800" t="str">
        <x:v>PY3/PY74/PO62</x:v>
      </x:c>
      <x:c r="I800" t="str">
        <x:v>https://www.carandache.com/content_files/uploaded_doc/product/10985/Colour_Chart_Pastel_Pencil.pdf</x:v>
      </x:c>
    </x:row>
    <x:row r="801">
      <x:c r="A801" t="str">
        <x:v>CDA-PSTC-530</x:v>
      </x:c>
      <x:c r="B801" t="str">
        <x:v>PSTC</x:v>
      </x:c>
      <x:c r="C801" t="str">
        <x:v>PASTEL CUBES</x:v>
      </x:c>
      <x:c r="D801" t="str">
        <x:v>530</x:v>
      </x:c>
      <x:c r="E801" t="str">
        <x:v>Gold Cadmium Yellow</x:v>
      </x:c>
      <x:c r="F801" t="n">
        <x:v>3</x:v>
      </x:c>
      <x:c r="G801" t="str">
        <x:v>PO62</x:v>
      </x:c>
      <x:c r="H801" t="str">
        <x:v>PY3/PY74/PO62</x:v>
      </x:c>
      <x:c r="I801" t="str">
        <x:v>https://www.carandache.com/content_files/uploaded_doc/product/10985/Colour_Chart_Pastel_Pencil.pdf</x:v>
      </x:c>
    </x:row>
    <x:row r="802">
      <x:c r="A802" t="str">
        <x:v>CDA-PSTC-300</x:v>
      </x:c>
      <x:c r="B802" t="str">
        <x:v>PSTC</x:v>
      </x:c>
      <x:c r="C802" t="str">
        <x:v>PASTEL CUBES</x:v>
      </x:c>
      <x:c r="D802" t="str">
        <x:v>300</x:v>
      </x:c>
      <x:c r="E802" t="str">
        <x:v>Fast orange</x:v>
      </x:c>
      <x:c r="F802" t="n">
        <x:v>1</x:v>
      </x:c>
      <x:c r="G802" t="str">
        <x:v>PO62</x:v>
      </x:c>
      <x:c r="H802" t="str">
        <x:v>PO62</x:v>
      </x:c>
      <x:c r="I802" t="str">
        <x:v>https://www.carandache.com/content_files/uploaded_doc/product/10985/Colour_Chart_Pastel_Pencil.pdf</x:v>
      </x:c>
    </x:row>
    <x:row r="803">
      <x:c r="A803" t="str">
        <x:v>CDA-PSTC-050</x:v>
      </x:c>
      <x:c r="B803" t="str">
        <x:v>PSTC</x:v>
      </x:c>
      <x:c r="C803" t="str">
        <x:v>PASTEL CUBES</x:v>
      </x:c>
      <x:c r="D803" t="str">
        <x:v>050</x:v>
      </x:c>
      <x:c r="E803" t="str">
        <x:v>Flame red</x:v>
      </x:c>
      <x:c r="F803" t="n">
        <x:v>1</x:v>
      </x:c>
      <x:c r="G803" t="str">
        <x:v>PO67</x:v>
      </x:c>
      <x:c r="H803" t="str">
        <x:v>PO67</x:v>
      </x:c>
      <x:c r="I803" t="str">
        <x:v>https://www.carandache.com/content_files/uploaded_doc/product/10985/Colour_Chart_Pastel_Pencil.pdf</x:v>
      </x:c>
    </x:row>
    <x:row r="804">
      <x:c r="A804" t="str">
        <x:v>CDA-PSTC-060</x:v>
      </x:c>
      <x:c r="B804" t="str">
        <x:v>PSTC</x:v>
      </x:c>
      <x:c r="C804" t="str">
        <x:v>PASTEL CUBES</x:v>
      </x:c>
      <x:c r="D804" t="str">
        <x:v>060</x:v>
      </x:c>
      <x:c r="E804" t="str">
        <x:v>Vermilion</x:v>
      </x:c>
      <x:c r="F804" t="n">
        <x:v>1</x:v>
      </x:c>
      <x:c r="G804" t="str">
        <x:v>PR254</x:v>
      </x:c>
      <x:c r="H804" t="str">
        <x:v>PR254/PO82/PY3</x:v>
      </x:c>
      <x:c r="I804" t="str">
        <x:v>https://www.carandache.com/content_files/uploaded_doc/product/10985/Colour_Chart_Pastel_Pencil.pdf</x:v>
      </x:c>
    </x:row>
    <x:row r="805">
      <x:c r="A805" t="str">
        <x:v>CDA-PSTC-060</x:v>
      </x:c>
      <x:c r="B805" t="str">
        <x:v>PSTC</x:v>
      </x:c>
      <x:c r="C805" t="str">
        <x:v>PASTEL CUBES</x:v>
      </x:c>
      <x:c r="D805" t="str">
        <x:v>060</x:v>
      </x:c>
      <x:c r="E805" t="str">
        <x:v>Vermilion</x:v>
      </x:c>
      <x:c r="F805" t="n">
        <x:v>2</x:v>
      </x:c>
      <x:c r="G805" t="str">
        <x:v>PO82</x:v>
      </x:c>
      <x:c r="H805" t="str">
        <x:v>PR254/PO82/PY3</x:v>
      </x:c>
      <x:c r="I805" t="str">
        <x:v>https://www.carandache.com/content_files/uploaded_doc/product/10985/Colour_Chart_Pastel_Pencil.pdf</x:v>
      </x:c>
    </x:row>
    <x:row r="806">
      <x:c r="A806" t="str">
        <x:v>CDA-PSTC-060</x:v>
      </x:c>
      <x:c r="B806" t="str">
        <x:v>PSTC</x:v>
      </x:c>
      <x:c r="C806" t="str">
        <x:v>PASTEL CUBES</x:v>
      </x:c>
      <x:c r="D806" t="str">
        <x:v>060</x:v>
      </x:c>
      <x:c r="E806" t="str">
        <x:v>Vermilion</x:v>
      </x:c>
      <x:c r="F806" t="n">
        <x:v>3</x:v>
      </x:c>
      <x:c r="G806" t="str">
        <x:v>PY3</x:v>
      </x:c>
      <x:c r="H806" t="str">
        <x:v>PR254/PO82/PY3</x:v>
      </x:c>
      <x:c r="I806" t="str">
        <x:v>https://www.carandache.com/content_files/uploaded_doc/product/10985/Colour_Chart_Pastel_Pencil.pdf</x:v>
      </x:c>
    </x:row>
    <x:row r="807">
      <x:c r="A807" t="str">
        <x:v>CDA-PSTC-581</x:v>
      </x:c>
      <x:c r="B807" t="str">
        <x:v>PSTC</x:v>
      </x:c>
      <x:c r="C807" t="str">
        <x:v>PASTEL CUBES</x:v>
      </x:c>
      <x:c r="D807" t="str">
        <x:v>581</x:v>
      </x:c>
      <x:c r="E807" t="str">
        <x:v>Pink white</x:v>
      </x:c>
      <x:c r="F807" t="n">
        <x:v>1</x:v>
      </x:c>
      <x:c r="G807" t="str">
        <x:v>PW6</x:v>
      </x:c>
      <x:c r="H807" t="str">
        <x:v>PW6/PR101</x:v>
      </x:c>
      <x:c r="I807" t="str">
        <x:v>https://www.carandache.com/content_files/uploaded_doc/product/10985/Colour_Chart_Pastel_Pencil.pdf</x:v>
      </x:c>
    </x:row>
    <x:row r="808">
      <x:c r="A808" t="str">
        <x:v>CDA-PSTC-581</x:v>
      </x:c>
      <x:c r="B808" t="str">
        <x:v>PSTC</x:v>
      </x:c>
      <x:c r="C808" t="str">
        <x:v>PASTEL CUBES</x:v>
      </x:c>
      <x:c r="D808" t="str">
        <x:v>581</x:v>
      </x:c>
      <x:c r="E808" t="str">
        <x:v>Pink white</x:v>
      </x:c>
      <x:c r="F808" t="n">
        <x:v>2</x:v>
      </x:c>
      <x:c r="G808" t="str">
        <x:v>PR101</x:v>
      </x:c>
      <x:c r="H808" t="str">
        <x:v>PW6/PR101</x:v>
      </x:c>
      <x:c r="I808" t="str">
        <x:v>https://www.carandache.com/content_files/uploaded_doc/product/10985/Colour_Chart_Pastel_Pencil.pdf</x:v>
      </x:c>
    </x:row>
    <x:row r="809">
      <x:c r="A809" t="str">
        <x:v>CDA-PSTC-583</x:v>
      </x:c>
      <x:c r="B809" t="str">
        <x:v>PSTC</x:v>
      </x:c>
      <x:c r="C809" t="str">
        <x:v>PASTEL CUBES</x:v>
      </x:c>
      <x:c r="D809" t="str">
        <x:v>583</x:v>
      </x:c>
      <x:c r="E809" t="str">
        <x:v>Violet pink</x:v>
      </x:c>
      <x:c r="F809" t="n">
        <x:v>1</x:v>
      </x:c>
      <x:c r="G809" t="str">
        <x:v>PR101</x:v>
      </x:c>
      <x:c r="H809" t="str">
        <x:v>PR101/PR168/PO82/PR122/PBk11/PY42/PBk7/PBr7</x:v>
      </x:c>
      <x:c r="I809" t="str">
        <x:v>https://www.carandache.com/content_files/uploaded_doc/product/10985/Colour_Chart_Pastel_Pencil.pdf</x:v>
      </x:c>
    </x:row>
    <x:row r="810">
      <x:c r="A810" t="str">
        <x:v>CDA-PSTC-583</x:v>
      </x:c>
      <x:c r="B810" t="str">
        <x:v>PSTC</x:v>
      </x:c>
      <x:c r="C810" t="str">
        <x:v>PASTEL CUBES</x:v>
      </x:c>
      <x:c r="D810" t="str">
        <x:v>583</x:v>
      </x:c>
      <x:c r="E810" t="str">
        <x:v>Violet pink</x:v>
      </x:c>
      <x:c r="F810" t="n">
        <x:v>2</x:v>
      </x:c>
      <x:c r="G810" t="str">
        <x:v>PR168</x:v>
      </x:c>
      <x:c r="H810" t="str">
        <x:v>PR101/PR168/PO82/PR122/PBk11/PY42/PBk7/PBr7</x:v>
      </x:c>
      <x:c r="I810" t="str">
        <x:v>https://www.carandache.com/content_files/uploaded_doc/product/10985/Colour_Chart_Pastel_Pencil.pdf</x:v>
      </x:c>
    </x:row>
    <x:row r="811">
      <x:c r="A811" t="str">
        <x:v>CDA-PSTC-583</x:v>
      </x:c>
      <x:c r="B811" t="str">
        <x:v>PSTC</x:v>
      </x:c>
      <x:c r="C811" t="str">
        <x:v>PASTEL CUBES</x:v>
      </x:c>
      <x:c r="D811" t="str">
        <x:v>583</x:v>
      </x:c>
      <x:c r="E811" t="str">
        <x:v>Violet pink</x:v>
      </x:c>
      <x:c r="F811" t="n">
        <x:v>3</x:v>
      </x:c>
      <x:c r="G811" t="str">
        <x:v>PO82</x:v>
      </x:c>
      <x:c r="H811" t="str">
        <x:v>PR101/PR168/PO82/PR122/PBk11/PY42/PBk7/PBr7</x:v>
      </x:c>
      <x:c r="I811" t="str">
        <x:v>https://www.carandache.com/content_files/uploaded_doc/product/10985/Colour_Chart_Pastel_Pencil.pdf</x:v>
      </x:c>
    </x:row>
    <x:row r="812">
      <x:c r="A812" t="str">
        <x:v>CDA-PSTC-583</x:v>
      </x:c>
      <x:c r="B812" t="str">
        <x:v>PSTC</x:v>
      </x:c>
      <x:c r="C812" t="str">
        <x:v>PASTEL CUBES</x:v>
      </x:c>
      <x:c r="D812" t="str">
        <x:v>583</x:v>
      </x:c>
      <x:c r="E812" t="str">
        <x:v>Violet pink</x:v>
      </x:c>
      <x:c r="F812" t="n">
        <x:v>4</x:v>
      </x:c>
      <x:c r="G812" t="str">
        <x:v>PR122</x:v>
      </x:c>
      <x:c r="H812" t="str">
        <x:v>PR101/PR168/PO82/PR122/PBk11/PY42/PBk7/PBr7</x:v>
      </x:c>
      <x:c r="I812" t="str">
        <x:v>https://www.carandache.com/content_files/uploaded_doc/product/10985/Colour_Chart_Pastel_Pencil.pdf</x:v>
      </x:c>
    </x:row>
    <x:row r="813">
      <x:c r="A813" t="str">
        <x:v>CDA-PSTC-583</x:v>
      </x:c>
      <x:c r="B813" t="str">
        <x:v>PSTC</x:v>
      </x:c>
      <x:c r="C813" t="str">
        <x:v>PASTEL CUBES</x:v>
      </x:c>
      <x:c r="D813" t="str">
        <x:v>583</x:v>
      </x:c>
      <x:c r="E813" t="str">
        <x:v>Violet pink</x:v>
      </x:c>
      <x:c r="F813" t="n">
        <x:v>5</x:v>
      </x:c>
      <x:c r="G813" t="str">
        <x:v>PBk11</x:v>
      </x:c>
      <x:c r="H813" t="str">
        <x:v>PR101/PR168/PO82/PR122/PBk11/PY42/PBk7/PBr7</x:v>
      </x:c>
      <x:c r="I813" t="str">
        <x:v>https://www.carandache.com/content_files/uploaded_doc/product/10985/Colour_Chart_Pastel_Pencil.pdf</x:v>
      </x:c>
    </x:row>
    <x:row r="814">
      <x:c r="A814" t="str">
        <x:v>CDA-PSTC-583</x:v>
      </x:c>
      <x:c r="B814" t="str">
        <x:v>PSTC</x:v>
      </x:c>
      <x:c r="C814" t="str">
        <x:v>PASTEL CUBES</x:v>
      </x:c>
      <x:c r="D814" t="str">
        <x:v>583</x:v>
      </x:c>
      <x:c r="E814" t="str">
        <x:v>Violet pink</x:v>
      </x:c>
      <x:c r="F814" t="n">
        <x:v>6</x:v>
      </x:c>
      <x:c r="G814" t="str">
        <x:v>PY42</x:v>
      </x:c>
      <x:c r="H814" t="str">
        <x:v>PR101/PR168/PO82/PR122/PBk11/PY42/PBk7/PBr7</x:v>
      </x:c>
      <x:c r="I814" t="str">
        <x:v>https://www.carandache.com/content_files/uploaded_doc/product/10985/Colour_Chart_Pastel_Pencil.pdf</x:v>
      </x:c>
    </x:row>
    <x:row r="815">
      <x:c r="A815" t="str">
        <x:v>CDA-PSTC-583</x:v>
      </x:c>
      <x:c r="B815" t="str">
        <x:v>PSTC</x:v>
      </x:c>
      <x:c r="C815" t="str">
        <x:v>PASTEL CUBES</x:v>
      </x:c>
      <x:c r="D815" t="str">
        <x:v>583</x:v>
      </x:c>
      <x:c r="E815" t="str">
        <x:v>Violet pink</x:v>
      </x:c>
      <x:c r="F815" t="n">
        <x:v>7</x:v>
      </x:c>
      <x:c r="G815" t="str">
        <x:v>PBk7</x:v>
      </x:c>
      <x:c r="H815" t="str">
        <x:v>PR101/PR168/PO82/PR122/PBk11/PY42/PBk7/PBr7</x:v>
      </x:c>
      <x:c r="I815" t="str">
        <x:v>https://www.carandache.com/content_files/uploaded_doc/product/10985/Colour_Chart_Pastel_Pencil.pdf</x:v>
      </x:c>
    </x:row>
    <x:row r="816">
      <x:c r="A816" t="str">
        <x:v>CDA-PSTC-583</x:v>
      </x:c>
      <x:c r="B816" t="str">
        <x:v>PSTC</x:v>
      </x:c>
      <x:c r="C816" t="str">
        <x:v>PASTEL CUBES</x:v>
      </x:c>
      <x:c r="D816" t="str">
        <x:v>583</x:v>
      </x:c>
      <x:c r="E816" t="str">
        <x:v>Violet pink</x:v>
      </x:c>
      <x:c r="F816" t="n">
        <x:v>8</x:v>
      </x:c>
      <x:c r="G816" t="str">
        <x:v>PBr7</x:v>
      </x:c>
      <x:c r="H816" t="str">
        <x:v>PR101/PR168/PO82/PR122/PBk11/PY42/PBk7/PBr7</x:v>
      </x:c>
      <x:c r="I816" t="str">
        <x:v>https://www.carandache.com/content_files/uploaded_doc/product/10985/Colour_Chart_Pastel_Pencil.pdf</x:v>
      </x:c>
    </x:row>
    <x:row r="817">
      <x:c r="A817" t="str">
        <x:v>CDA-PSTC-070</x:v>
      </x:c>
      <x:c r="B817" t="str">
        <x:v>PSTC</x:v>
      </x:c>
      <x:c r="C817" t="str">
        <x:v>PASTEL CUBES</x:v>
      </x:c>
      <x:c r="D817" t="str">
        <x:v>070</x:v>
      </x:c>
      <x:c r="E817" t="str">
        <x:v>Scarlet</x:v>
      </x:c>
      <x:c r="F817" t="n">
        <x:v>1</x:v>
      </x:c>
      <x:c r="G817" t="str">
        <x:v>PR254</x:v>
      </x:c>
      <x:c r="H817" t="str">
        <x:v>PR254</x:v>
      </x:c>
      <x:c r="I817" t="str">
        <x:v>https://www.carandache.com/content_files/uploaded_doc/product/10985/Colour_Chart_Pastel_Pencil.pdf</x:v>
      </x:c>
    </x:row>
    <x:row r="818">
      <x:c r="A818" t="str">
        <x:v>CDA-PSTC-080</x:v>
      </x:c>
      <x:c r="B818" t="str">
        <x:v>PSTC</x:v>
      </x:c>
      <x:c r="C818" t="str">
        <x:v>PASTEL CUBES</x:v>
      </x:c>
      <x:c r="D818" t="str">
        <x:v>080</x:v>
      </x:c>
      <x:c r="E818" t="str">
        <x:v>Carmine Lake</x:v>
      </x:c>
      <x:c r="F818" t="n">
        <x:v>1</x:v>
      </x:c>
      <x:c r="G818" t="str">
        <x:v>PR48:3</x:v>
      </x:c>
      <x:c r="H818" t="str">
        <x:v>PR48:3/PR179</x:v>
      </x:c>
      <x:c r="I818" t="str">
        <x:v>https://www.carandache.com/content_files/uploaded_doc/product/10985/Colour_Chart_Pastel_Pencil.pdf</x:v>
      </x:c>
    </x:row>
    <x:row r="819">
      <x:c r="A819" t="str">
        <x:v>CDA-PSTC-080</x:v>
      </x:c>
      <x:c r="B819" t="str">
        <x:v>PSTC</x:v>
      </x:c>
      <x:c r="C819" t="str">
        <x:v>PASTEL CUBES</x:v>
      </x:c>
      <x:c r="D819" t="str">
        <x:v>080</x:v>
      </x:c>
      <x:c r="E819" t="str">
        <x:v>Carmine Lake</x:v>
      </x:c>
      <x:c r="F819" t="n">
        <x:v>2</x:v>
      </x:c>
      <x:c r="G819" t="str">
        <x:v>PR179</x:v>
      </x:c>
      <x:c r="H819" t="str">
        <x:v>PR48:3/PR179</x:v>
      </x:c>
      <x:c r="I819" t="str">
        <x:v>https://www.carandache.com/content_files/uploaded_doc/product/10985/Colour_Chart_Pastel_Pencil.pdf</x:v>
      </x:c>
    </x:row>
    <x:row r="820">
      <x:c r="A820" t="str">
        <x:v>CDA-PSTC-585</x:v>
      </x:c>
      <x:c r="B820" t="str">
        <x:v>PSTC</x:v>
      </x:c>
      <x:c r="C820" t="str">
        <x:v>PASTEL CUBES</x:v>
      </x:c>
      <x:c r="D820" t="str">
        <x:v>585</x:v>
      </x:c>
      <x:c r="E820" t="str">
        <x:v>Perylene brown</x:v>
      </x:c>
      <x:c r="F820" t="n">
        <x:v>1</x:v>
      </x:c>
      <x:c r="G820" t="str">
        <x:v>PR179</x:v>
      </x:c>
      <x:c r="H820" t="str">
        <x:v>PR179</x:v>
      </x:c>
      <x:c r="I820" t="str">
        <x:v>https://www.carandache.com/content_files/uploaded_doc/product/10985/Colour_Chart_Pastel_Pencil.pdf</x:v>
      </x:c>
    </x:row>
    <x:row r="821">
      <x:c r="A821" t="str">
        <x:v>CDA-PSTC-105</x:v>
      </x:c>
      <x:c r="B821" t="str">
        <x:v>PSTC</x:v>
      </x:c>
      <x:c r="C821" t="str">
        <x:v>PASTEL CUBES</x:v>
      </x:c>
      <x:c r="D821" t="str">
        <x:v>105</x:v>
      </x:c>
      <x:c r="E821" t="str">
        <x:v>Plum</x:v>
      </x:c>
      <x:c r="F821" t="n">
        <x:v>1</x:v>
      </x:c>
      <x:c r="G821" t="str">
        <x:v>PR3</x:v>
      </x:c>
      <x:c r="H821" t="str">
        <x:v>PR3/PV23/PV19</x:v>
      </x:c>
      <x:c r="I821" t="str">
        <x:v>https://www.carandache.com/content_files/uploaded_doc/product/10985/Colour_Chart_Pastel_Pencil.pdf</x:v>
      </x:c>
    </x:row>
    <x:row r="822">
      <x:c r="A822" t="str">
        <x:v>CDA-PSTC-105</x:v>
      </x:c>
      <x:c r="B822" t="str">
        <x:v>PSTC</x:v>
      </x:c>
      <x:c r="C822" t="str">
        <x:v>PASTEL CUBES</x:v>
      </x:c>
      <x:c r="D822" t="str">
        <x:v>105</x:v>
      </x:c>
      <x:c r="E822" t="str">
        <x:v>Plum</x:v>
      </x:c>
      <x:c r="F822" t="n">
        <x:v>2</x:v>
      </x:c>
      <x:c r="G822" t="str">
        <x:v>PV23</x:v>
      </x:c>
      <x:c r="H822" t="str">
        <x:v>PR3/PV23/PV19</x:v>
      </x:c>
      <x:c r="I822" t="str">
        <x:v>https://www.carandache.com/content_files/uploaded_doc/product/10985/Colour_Chart_Pastel_Pencil.pdf</x:v>
      </x:c>
    </x:row>
    <x:row r="823">
      <x:c r="A823" t="str">
        <x:v>CDA-PSTC-105</x:v>
      </x:c>
      <x:c r="B823" t="str">
        <x:v>PSTC</x:v>
      </x:c>
      <x:c r="C823" t="str">
        <x:v>PASTEL CUBES</x:v>
      </x:c>
      <x:c r="D823" t="str">
        <x:v>105</x:v>
      </x:c>
      <x:c r="E823" t="str">
        <x:v>Plum</x:v>
      </x:c>
      <x:c r="F823" t="n">
        <x:v>3</x:v>
      </x:c>
      <x:c r="G823" t="str">
        <x:v>PV19</x:v>
      </x:c>
      <x:c r="H823" t="str">
        <x:v>PR3/PV23/PV19</x:v>
      </x:c>
      <x:c r="I823" t="str">
        <x:v>https://www.carandache.com/content_files/uploaded_doc/product/10985/Colour_Chart_Pastel_Pencil.pdf</x:v>
      </x:c>
    </x:row>
    <x:row r="824">
      <x:c r="A824" t="str">
        <x:v>CDA-PSTC-099</x:v>
      </x:c>
      <x:c r="B824" t="str">
        <x:v>PSTC</x:v>
      </x:c>
      <x:c r="C824" t="str">
        <x:v>PASTEL CUBES</x:v>
      </x:c>
      <x:c r="D824" t="str">
        <x:v>099</x:v>
      </x:c>
      <x:c r="E824" t="str">
        <x:v>Aubergine</x:v>
      </x:c>
      <x:c r="F824" t="n">
        <x:v>1</x:v>
      </x:c>
      <x:c r="G824" t="str">
        <x:v>PV19</x:v>
      </x:c>
      <x:c r="H824" t="str">
        <x:v>PV19/PB15</x:v>
      </x:c>
      <x:c r="I824" t="str">
        <x:v>https://www.carandache.com/content_files/uploaded_doc/product/10985/Colour_Chart_Pastel_Pencil.pdf</x:v>
      </x:c>
    </x:row>
    <x:row r="825">
      <x:c r="A825" t="str">
        <x:v>CDA-PSTC-099</x:v>
      </x:c>
      <x:c r="B825" t="str">
        <x:v>PSTC</x:v>
      </x:c>
      <x:c r="C825" t="str">
        <x:v>PASTEL CUBES</x:v>
      </x:c>
      <x:c r="D825" t="str">
        <x:v>099</x:v>
      </x:c>
      <x:c r="E825" t="str">
        <x:v>Aubergine</x:v>
      </x:c>
      <x:c r="F825" t="n">
        <x:v>2</x:v>
      </x:c>
      <x:c r="G825" t="str">
        <x:v>PB15</x:v>
      </x:c>
      <x:c r="H825" t="str">
        <x:v>PV19/PB15</x:v>
      </x:c>
      <x:c r="I825" t="str">
        <x:v>https://www.carandache.com/content_files/uploaded_doc/product/10985/Colour_Chart_Pastel_Pencil.pdf</x:v>
      </x:c>
    </x:row>
    <x:row r="826">
      <x:c r="A826" t="str">
        <x:v>CDA-PSTC-350</x:v>
      </x:c>
      <x:c r="B826" t="str">
        <x:v>PSTC</x:v>
      </x:c>
      <x:c r="C826" t="str">
        <x:v>PASTEL CUBES</x:v>
      </x:c>
      <x:c r="D826" t="str">
        <x:v>350</x:v>
      </x:c>
      <x:c r="E826" t="str">
        <x:v>Purplish Red</x:v>
      </x:c>
      <x:c r="F826" t="n">
        <x:v>1</x:v>
      </x:c>
      <x:c r="G826" t="str">
        <x:v>PR122</x:v>
      </x:c>
      <x:c r="H826" t="str">
        <x:v>PR122</x:v>
      </x:c>
      <x:c r="I826" t="str">
        <x:v>https://www.carandache.com/content_files/uploaded_doc/product/10985/Colour_Chart_Pastel_Pencil.pdf</x:v>
      </x:c>
    </x:row>
    <x:row r="827">
      <x:c r="A827" t="str">
        <x:v>CDA-PSTC-631</x:v>
      </x:c>
      <x:c r="B827" t="str">
        <x:v>PSTC</x:v>
      </x:c>
      <x:c r="C827" t="str">
        <x:v>PASTEL CUBES</x:v>
      </x:c>
      <x:c r="D827" t="str">
        <x:v>631</x:v>
      </x:c>
      <x:c r="E827" t="str">
        <x:v>Light ultramarine violet</x:v>
      </x:c>
      <x:c r="F827" t="n">
        <x:v>1</x:v>
      </x:c>
      <x:c r="G827" t="str">
        <x:v>PV15</x:v>
      </x:c>
      <x:c r="H827" t="str">
        <x:v>PV15</x:v>
      </x:c>
      <x:c r="I827" t="str">
        <x:v>https://www.carandache.com/content_files/uploaded_doc/product/10985/Colour_Chart_Pastel_Pencil.pdf</x:v>
      </x:c>
    </x:row>
    <x:row r="828">
      <x:c r="A828" t="str">
        <x:v>CDA-PSTC-083</x:v>
      </x:c>
      <x:c r="B828" t="str">
        <x:v>PSTC</x:v>
      </x:c>
      <x:c r="C828" t="str">
        <x:v>PASTEL CUBES</x:v>
      </x:c>
      <x:c r="D828" t="str">
        <x:v>083</x:v>
      </x:c>
      <x:c r="E828" t="str">
        <x:v>Ultramarine pink</x:v>
      </x:c>
      <x:c r="F828" t="n">
        <x:v>1</x:v>
      </x:c>
      <x:c r="G828" t="str">
        <x:v>PR259</x:v>
      </x:c>
      <x:c r="H828" t="str">
        <x:v>PR259/PR122</x:v>
      </x:c>
      <x:c r="I828" t="str">
        <x:v>https://www.carandache.com/content_files/uploaded_doc/product/10985/Colour_Chart_Pastel_Pencil.pdf</x:v>
      </x:c>
    </x:row>
    <x:row r="829">
      <x:c r="A829" t="str">
        <x:v>CDA-PSTC-083</x:v>
      </x:c>
      <x:c r="B829" t="str">
        <x:v>PSTC</x:v>
      </x:c>
      <x:c r="C829" t="str">
        <x:v>PASTEL CUBES</x:v>
      </x:c>
      <x:c r="D829" t="str">
        <x:v>083</x:v>
      </x:c>
      <x:c r="E829" t="str">
        <x:v>Ultramarine pink</x:v>
      </x:c>
      <x:c r="F829" t="n">
        <x:v>2</x:v>
      </x:c>
      <x:c r="G829" t="str">
        <x:v>PR122</x:v>
      </x:c>
      <x:c r="H829" t="str">
        <x:v>PR259/PR122</x:v>
      </x:c>
      <x:c r="I829" t="str">
        <x:v>https://www.carandache.com/content_files/uploaded_doc/product/10985/Colour_Chart_Pastel_Pencil.pdf</x:v>
      </x:c>
    </x:row>
    <x:row r="830">
      <x:c r="A830" t="str">
        <x:v>CDA-PSTC-582</x:v>
      </x:c>
      <x:c r="B830" t="str">
        <x:v>PSTC</x:v>
      </x:c>
      <x:c r="C830" t="str">
        <x:v>PASTEL CUBES</x:v>
      </x:c>
      <x:c r="D830" t="str">
        <x:v>582</x:v>
      </x:c>
      <x:c r="E830" t="str">
        <x:v>Portrait pink</x:v>
      </x:c>
      <x:c r="F830" t="n">
        <x:v>1</x:v>
      </x:c>
      <x:c r="G830" t="str">
        <x:v>PR112</x:v>
      </x:c>
      <x:c r="H830" t="str">
        <x:v>PR112</x:v>
      </x:c>
      <x:c r="I830" t="str">
        <x:v>https://www.carandache.com/content_files/uploaded_doc/product/10985/Colour_Chart_Pastel_Pencil.pdf</x:v>
      </x:c>
    </x:row>
    <x:row r="831">
      <x:c r="A831" t="str">
        <x:v>CDA-PSTC-571</x:v>
      </x:c>
      <x:c r="B831" t="str">
        <x:v>PSTC</x:v>
      </x:c>
      <x:c r="C831" t="str">
        <x:v>PASTEL CUBES</x:v>
      </x:c>
      <x:c r="D831" t="str">
        <x:v>571</x:v>
      </x:c>
      <x:c r="E831" t="str">
        <x:v>Anthraquinoid pink</x:v>
      </x:c>
      <x:c r="F831" t="n">
        <x:v>1</x:v>
      </x:c>
      <x:c r="G831" t="str">
        <x:v>PR168</x:v>
      </x:c>
      <x:c r="H831" t="str">
        <x:v>PR168</x:v>
      </x:c>
      <x:c r="I831" t="str">
        <x:v>https://www.carandache.com/content_files/uploaded_doc/product/10985/Colour_Chart_Pastel_Pencil.pdf</x:v>
      </x:c>
    </x:row>
    <x:row r="832">
      <x:c r="A832" t="str">
        <x:v>CDA-PSTC-871</x:v>
      </x:c>
      <x:c r="B832" t="str">
        <x:v>PSTC</x:v>
      </x:c>
      <x:c r="C832" t="str">
        <x:v>PASTEL CUBES</x:v>
      </x:c>
      <x:c r="D832" t="str">
        <x:v>871</x:v>
      </x:c>
      <x:c r="E832" t="str">
        <x:v>Azurite white</x:v>
      </x:c>
      <x:c r="F832" t="n">
        <x:v>1</x:v>
      </x:c>
      <x:c r="G832" t="str">
        <x:v>PW6</x:v>
      </x:c>
      <x:c r="H832" t="str">
        <x:v>PW6/PB28</x:v>
      </x:c>
      <x:c r="I832" t="str">
        <x:v>https://www.carandache.com/content_files/uploaded_doc/product/10985/Colour_Chart_Pastel_Pencil.pdf</x:v>
      </x:c>
    </x:row>
    <x:row r="833">
      <x:c r="A833" t="str">
        <x:v>CDA-PSTC-871</x:v>
      </x:c>
      <x:c r="B833" t="str">
        <x:v>PSTC</x:v>
      </x:c>
      <x:c r="C833" t="str">
        <x:v>PASTEL CUBES</x:v>
      </x:c>
      <x:c r="D833" t="str">
        <x:v>871</x:v>
      </x:c>
      <x:c r="E833" t="str">
        <x:v>Azurite white</x:v>
      </x:c>
      <x:c r="F833" t="n">
        <x:v>2</x:v>
      </x:c>
      <x:c r="G833" t="str">
        <x:v>PB28</x:v>
      </x:c>
      <x:c r="H833" t="str">
        <x:v>PW6/PB28</x:v>
      </x:c>
      <x:c r="I833" t="str">
        <x:v>https://www.carandache.com/content_files/uploaded_doc/product/10985/Colour_Chart_Pastel_Pencil.pdf</x:v>
      </x:c>
    </x:row>
    <x:row r="834">
      <x:c r="A834" t="str">
        <x:v>CDA-PSTC-661</x:v>
      </x:c>
      <x:c r="B834" t="str">
        <x:v>PSTC</x:v>
      </x:c>
      <x:c r="C834" t="str">
        <x:v>PASTEL CUBES</x:v>
      </x:c>
      <x:c r="D834" t="str">
        <x:v>661</x:v>
      </x:c>
      <x:c r="E834" t="str">
        <x:v>Cobalt blue 5%</x:v>
      </x:c>
      <x:c r="F834" t="n">
        <x:v>1</x:v>
      </x:c>
      <x:c r="G834" t="str">
        <x:v>PB28</x:v>
      </x:c>
      <x:c r="H834" t="str">
        <x:v>PB28/PW6</x:v>
      </x:c>
      <x:c r="I834" t="str">
        <x:v>https://www.carandache.com/content_files/uploaded_doc/product/10985/Colour_Chart_Pastel_Pencil.pdf</x:v>
      </x:c>
    </x:row>
    <x:row r="835">
      <x:c r="A835" t="str">
        <x:v>CDA-PSTC-661</x:v>
      </x:c>
      <x:c r="B835" t="str">
        <x:v>PSTC</x:v>
      </x:c>
      <x:c r="C835" t="str">
        <x:v>PASTEL CUBES</x:v>
      </x:c>
      <x:c r="D835" t="str">
        <x:v>661</x:v>
      </x:c>
      <x:c r="E835" t="str">
        <x:v>Cobalt blue 5%</x:v>
      </x:c>
      <x:c r="F835" t="n">
        <x:v>2</x:v>
      </x:c>
      <x:c r="G835" t="str">
        <x:v>PW6</x:v>
      </x:c>
      <x:c r="H835" t="str">
        <x:v>PB28/PW6</x:v>
      </x:c>
      <x:c r="I835" t="str">
        <x:v>https://www.carandache.com/content_files/uploaded_doc/product/10985/Colour_Chart_Pastel_Pencil.pdf</x:v>
      </x:c>
    </x:row>
    <x:row r="836">
      <x:c r="A836" t="str">
        <x:v>CDA-PSTC-662</x:v>
      </x:c>
      <x:c r="B836" t="str">
        <x:v>PSTC</x:v>
      </x:c>
      <x:c r="C836" t="str">
        <x:v>PASTEL CUBES</x:v>
      </x:c>
      <x:c r="D836" t="str">
        <x:v>662</x:v>
      </x:c>
      <x:c r="E836" t="str">
        <x:v>Cobalt blue 10%</x:v>
      </x:c>
      <x:c r="F836" t="n">
        <x:v>1</x:v>
      </x:c>
      <x:c r="G836" t="str">
        <x:v>PB28</x:v>
      </x:c>
      <x:c r="H836" t="str">
        <x:v>PB28/PW6</x:v>
      </x:c>
      <x:c r="I836" t="str">
        <x:v>https://www.carandache.com/content_files/uploaded_doc/product/10985/Colour_Chart_Pastel_Pencil.pdf</x:v>
      </x:c>
    </x:row>
    <x:row r="837">
      <x:c r="A837" t="str">
        <x:v>CDA-PSTC-662</x:v>
      </x:c>
      <x:c r="B837" t="str">
        <x:v>PSTC</x:v>
      </x:c>
      <x:c r="C837" t="str">
        <x:v>PASTEL CUBES</x:v>
      </x:c>
      <x:c r="D837" t="str">
        <x:v>662</x:v>
      </x:c>
      <x:c r="E837" t="str">
        <x:v>Cobalt blue 10%</x:v>
      </x:c>
      <x:c r="F837" t="n">
        <x:v>2</x:v>
      </x:c>
      <x:c r="G837" t="str">
        <x:v>PW6</x:v>
      </x:c>
      <x:c r="H837" t="str">
        <x:v>PB28/PW6</x:v>
      </x:c>
      <x:c r="I837" t="str">
        <x:v>https://www.carandache.com/content_files/uploaded_doc/product/10985/Colour_Chart_Pastel_Pencil.pdf</x:v>
      </x:c>
    </x:row>
    <x:row r="838">
      <x:c r="A838" t="str">
        <x:v>CDA-PSTC-664</x:v>
      </x:c>
      <x:c r="B838" t="str">
        <x:v>PSTC</x:v>
      </x:c>
      <x:c r="C838" t="str">
        <x:v>PASTEL CUBES</x:v>
      </x:c>
      <x:c r="D838" t="str">
        <x:v>664</x:v>
      </x:c>
      <x:c r="E838" t="str">
        <x:v>Cobalt blue 30%</x:v>
      </x:c>
      <x:c r="F838" t="n">
        <x:v>1</x:v>
      </x:c>
      <x:c r="G838" t="str">
        <x:v>PB28</x:v>
      </x:c>
      <x:c r="H838" t="str">
        <x:v>PB28</x:v>
      </x:c>
      <x:c r="I838" t="str">
        <x:v>https://www.carandache.com/content_files/uploaded_doc/product/10985/Colour_Chart_Pastel_Pencil.pdf</x:v>
      </x:c>
    </x:row>
    <x:row r="839">
      <x:c r="A839" t="str">
        <x:v>CDA-PSTC-140</x:v>
      </x:c>
      <x:c r="B839" t="str">
        <x:v>PSTC</x:v>
      </x:c>
      <x:c r="C839" t="str">
        <x:v>PASTEL CUBES</x:v>
      </x:c>
      <x:c r="D839" t="str">
        <x:v>140</x:v>
      </x:c>
      <x:c r="E839" t="str">
        <x:v>Ultramarine</x:v>
      </x:c>
      <x:c r="F839" t="n">
        <x:v>1</x:v>
      </x:c>
      <x:c r="G839" t="str">
        <x:v>PB15</x:v>
      </x:c>
      <x:c r="H839" t="str">
        <x:v>PB15/PB29</x:v>
      </x:c>
      <x:c r="I839" t="str">
        <x:v>https://www.carandache.com/content_files/uploaded_doc/product/10985/Colour_Chart_Pastel_Pencil.pdf</x:v>
      </x:c>
    </x:row>
    <x:row r="840">
      <x:c r="A840" t="str">
        <x:v>CDA-PSTC-140</x:v>
      </x:c>
      <x:c r="B840" t="str">
        <x:v>PSTC</x:v>
      </x:c>
      <x:c r="C840" t="str">
        <x:v>PASTEL CUBES</x:v>
      </x:c>
      <x:c r="D840" t="str">
        <x:v>140</x:v>
      </x:c>
      <x:c r="E840" t="str">
        <x:v>Ultramarine</x:v>
      </x:c>
      <x:c r="F840" t="n">
        <x:v>2</x:v>
      </x:c>
      <x:c r="G840" t="str">
        <x:v>PB29</x:v>
      </x:c>
      <x:c r="H840" t="str">
        <x:v>PB15/PB29</x:v>
      </x:c>
      <x:c r="I840" t="str">
        <x:v>https://www.carandache.com/content_files/uploaded_doc/product/10985/Colour_Chart_Pastel_Pencil.pdf</x:v>
      </x:c>
    </x:row>
    <x:row r="841">
      <x:c r="A841" t="str">
        <x:v>CDA-PSTC-162</x:v>
      </x:c>
      <x:c r="B841" t="str">
        <x:v>PSTC</x:v>
      </x:c>
      <x:c r="C841" t="str">
        <x:v>PASTEL CUBES</x:v>
      </x:c>
      <x:c r="D841" t="str">
        <x:v>162</x:v>
      </x:c>
      <x:c r="E841" t="str">
        <x:v>Phthalocyanine blue</x:v>
      </x:c>
      <x:c r="F841" t="n">
        <x:v>1</x:v>
      </x:c>
      <x:c r="G841" t="str">
        <x:v>PB15</x:v>
      </x:c>
      <x:c r="H841" t="str">
        <x:v>PB15</x:v>
      </x:c>
      <x:c r="I841" t="str">
        <x:v>https://www.carandache.com/content_files/uploaded_doc/product/10985/Colour_Chart_Pastel_Pencil.pdf</x:v>
      </x:c>
    </x:row>
    <x:row r="842">
      <x:c r="A842" t="str">
        <x:v>CDA-PSTC-145</x:v>
      </x:c>
      <x:c r="B842" t="str">
        <x:v>PSTC</x:v>
      </x:c>
      <x:c r="C842" t="str">
        <x:v>PASTEL CUBES</x:v>
      </x:c>
      <x:c r="D842" t="str">
        <x:v>145</x:v>
      </x:c>
      <x:c r="E842" t="str">
        <x:v>Bluish grey</x:v>
      </x:c>
      <x:c r="F842" t="n">
        <x:v>1</x:v>
      </x:c>
      <x:c r="G842" t="str">
        <x:v>PB1</x:v>
      </x:c>
      <x:c r="H842" t="str">
        <x:v>PB1/PB60</x:v>
      </x:c>
      <x:c r="I842" t="str">
        <x:v>https://www.carandache.com/content_files/uploaded_doc/product/10985/Colour_Chart_Pastel_Pencil.pdf</x:v>
      </x:c>
    </x:row>
    <x:row r="843">
      <x:c r="A843" t="str">
        <x:v>CDA-PSTC-145</x:v>
      </x:c>
      <x:c r="B843" t="str">
        <x:v>PSTC</x:v>
      </x:c>
      <x:c r="C843" t="str">
        <x:v>PASTEL CUBES</x:v>
      </x:c>
      <x:c r="D843" t="str">
        <x:v>145</x:v>
      </x:c>
      <x:c r="E843" t="str">
        <x:v>Bluish grey</x:v>
      </x:c>
      <x:c r="F843" t="n">
        <x:v>2</x:v>
      </x:c>
      <x:c r="G843" t="str">
        <x:v>PB60</x:v>
      </x:c>
      <x:c r="H843" t="str">
        <x:v>PB1/PB60</x:v>
      </x:c>
      <x:c r="I843" t="str">
        <x:v>https://www.carandache.com/content_files/uploaded_doc/product/10985/Colour_Chart_Pastel_Pencil.pdf</x:v>
      </x:c>
    </x:row>
    <x:row r="844">
      <x:c r="A844" t="str">
        <x:v>CDA-PSTC-120</x:v>
      </x:c>
      <x:c r="B844" t="str">
        <x:v>PSTC</x:v>
      </x:c>
      <x:c r="C844" t="str">
        <x:v>PASTEL CUBES</x:v>
      </x:c>
      <x:c r="D844" t="str">
        <x:v>120</x:v>
      </x:c>
      <x:c r="E844" t="str">
        <x:v>Violet</x:v>
      </x:c>
      <x:c r="F844" t="n">
        <x:v>1</x:v>
      </x:c>
      <x:c r="G844" t="str">
        <x:v>PV23</x:v>
      </x:c>
      <x:c r="H844" t="str">
        <x:v>PV23</x:v>
      </x:c>
      <x:c r="I844" t="str">
        <x:v>https://www.carandache.com/content_files/uploaded_doc/product/10985/Colour_Chart_Pastel_Pencil.pdf</x:v>
      </x:c>
    </x:row>
    <x:row r="845">
      <x:c r="A845" t="str">
        <x:v>CDA-PSTC-620</x:v>
      </x:c>
      <x:c r="B845" t="str">
        <x:v>PSTC</x:v>
      </x:c>
      <x:c r="C845" t="str">
        <x:v>PASTEL CUBES</x:v>
      </x:c>
      <x:c r="D845" t="str">
        <x:v>620</x:v>
      </x:c>
      <x:c r="E845" t="str">
        <x:v>Cobalt Violet</x:v>
      </x:c>
      <x:c r="F845" t="n">
        <x:v>1</x:v>
      </x:c>
      <x:c r="G845" t="str">
        <x:v>PV23</x:v>
      </x:c>
      <x:c r="H845" t="str">
        <x:v>PV23/PB15/PB29</x:v>
      </x:c>
      <x:c r="I845" t="str">
        <x:v>https://www.carandache.com/content_files/uploaded_doc/product/10985/Colour_Chart_Pastel_Pencil.pdf</x:v>
      </x:c>
    </x:row>
    <x:row r="846">
      <x:c r="A846" t="str">
        <x:v>CDA-PSTC-620</x:v>
      </x:c>
      <x:c r="B846" t="str">
        <x:v>PSTC</x:v>
      </x:c>
      <x:c r="C846" t="str">
        <x:v>PASTEL CUBES</x:v>
      </x:c>
      <x:c r="D846" t="str">
        <x:v>620</x:v>
      </x:c>
      <x:c r="E846" t="str">
        <x:v>Cobalt Violet</x:v>
      </x:c>
      <x:c r="F846" t="n">
        <x:v>2</x:v>
      </x:c>
      <x:c r="G846" t="str">
        <x:v>PB15</x:v>
      </x:c>
      <x:c r="H846" t="str">
        <x:v>PV23/PB15/PB29</x:v>
      </x:c>
      <x:c r="I846" t="str">
        <x:v>https://www.carandache.com/content_files/uploaded_doc/product/10985/Colour_Chart_Pastel_Pencil.pdf</x:v>
      </x:c>
    </x:row>
    <x:row r="847">
      <x:c r="A847" t="str">
        <x:v>CDA-PSTC-620</x:v>
      </x:c>
      <x:c r="B847" t="str">
        <x:v>PSTC</x:v>
      </x:c>
      <x:c r="C847" t="str">
        <x:v>PASTEL CUBES</x:v>
      </x:c>
      <x:c r="D847" t="str">
        <x:v>620</x:v>
      </x:c>
      <x:c r="E847" t="str">
        <x:v>Cobalt Violet</x:v>
      </x:c>
      <x:c r="F847" t="n">
        <x:v>3</x:v>
      </x:c>
      <x:c r="G847" t="str">
        <x:v>PB29</x:v>
      </x:c>
      <x:c r="H847" t="str">
        <x:v>PV23/PB15/PB29</x:v>
      </x:c>
      <x:c r="I847" t="str">
        <x:v>https://www.carandache.com/content_files/uploaded_doc/product/10985/Colour_Chart_Pastel_Pencil.pdf</x:v>
      </x:c>
    </x:row>
    <x:row r="848">
      <x:c r="A848" t="str">
        <x:v>CDA-PSTC-149</x:v>
      </x:c>
      <x:c r="B848" t="str">
        <x:v>PSTC</x:v>
      </x:c>
      <x:c r="C848" t="str">
        <x:v>PASTEL CUBES</x:v>
      </x:c>
      <x:c r="D848" t="str">
        <x:v>149</x:v>
      </x:c>
      <x:c r="E848" t="str">
        <x:v>Night blue</x:v>
      </x:c>
      <x:c r="F848" t="n">
        <x:v>1</x:v>
      </x:c>
      <x:c r="G848" t="str">
        <x:v>PB1</x:v>
      </x:c>
      <x:c r="H848" t="str">
        <x:v>PB1/PBk7</x:v>
      </x:c>
      <x:c r="I848" t="str">
        <x:v>https://www.carandache.com/content_files/uploaded_doc/product/10985/Colour_Chart_Pastel_Pencil.pdf</x:v>
      </x:c>
    </x:row>
    <x:row r="849">
      <x:c r="A849" t="str">
        <x:v>CDA-PSTC-149</x:v>
      </x:c>
      <x:c r="B849" t="str">
        <x:v>PSTC</x:v>
      </x:c>
      <x:c r="C849" t="str">
        <x:v>PASTEL CUBES</x:v>
      </x:c>
      <x:c r="D849" t="str">
        <x:v>149</x:v>
      </x:c>
      <x:c r="E849" t="str">
        <x:v>Night blue</x:v>
      </x:c>
      <x:c r="F849" t="n">
        <x:v>2</x:v>
      </x:c>
      <x:c r="G849" t="str">
        <x:v>PBk7</x:v>
      </x:c>
      <x:c r="H849" t="str">
        <x:v>PB1/PBk7</x:v>
      </x:c>
      <x:c r="I849" t="str">
        <x:v>https://www.carandache.com/content_files/uploaded_doc/product/10985/Colour_Chart_Pastel_Pencil.pdf</x:v>
      </x:c>
    </x:row>
    <x:row r="850">
      <x:c r="A850" t="str">
        <x:v>CDA-PSTC-185</x:v>
      </x:c>
      <x:c r="B850" t="str">
        <x:v>PSTC</x:v>
      </x:c>
      <x:c r="C850" t="str">
        <x:v>PASTEL CUBES</x:v>
      </x:c>
      <x:c r="D850" t="str">
        <x:v>185</x:v>
      </x:c>
      <x:c r="E850" t="str">
        <x:v>Ice blue</x:v>
      </x:c>
      <x:c r="F850" t="n">
        <x:v>1</x:v>
      </x:c>
      <x:c r="G850" t="str">
        <x:v>PB16</x:v>
      </x:c>
      <x:c r="H850" t="str">
        <x:v>PB16</x:v>
      </x:c>
      <x:c r="I850" t="str">
        <x:v>https://www.carandache.com/content_files/uploaded_doc/product/10985/Colour_Chart_Pastel_Pencil.pdf</x:v>
      </x:c>
    </x:row>
    <x:row r="851">
      <x:c r="A851" t="str">
        <x:v>CDA-PSTC-161</x:v>
      </x:c>
      <x:c r="B851" t="str">
        <x:v>PSTC</x:v>
      </x:c>
      <x:c r="C851" t="str">
        <x:v>PASTEL CUBES</x:v>
      </x:c>
      <x:c r="D851" t="str">
        <x:v>161</x:v>
      </x:c>
      <x:c r="E851" t="str">
        <x:v>Light blue</x:v>
      </x:c>
      <x:c r="F851" t="n">
        <x:v>1</x:v>
      </x:c>
      <x:c r="G851" t="str">
        <x:v>PB15:3</x:v>
      </x:c>
      <x:c r="H851" t="str">
        <x:v>PB15:3/PBk9</x:v>
      </x:c>
      <x:c r="I851" t="str">
        <x:v>https://www.carandache.com/content_files/uploaded_doc/product/10985/Colour_Chart_Pastel_Pencil.pdf</x:v>
      </x:c>
    </x:row>
    <x:row r="852">
      <x:c r="A852" t="str">
        <x:v>CDA-PSTC-161</x:v>
      </x:c>
      <x:c r="B852" t="str">
        <x:v>PSTC</x:v>
      </x:c>
      <x:c r="C852" t="str">
        <x:v>PASTEL CUBES</x:v>
      </x:c>
      <x:c r="D852" t="str">
        <x:v>161</x:v>
      </x:c>
      <x:c r="E852" t="str">
        <x:v>Light blue</x:v>
      </x:c>
      <x:c r="F852" t="n">
        <x:v>2</x:v>
      </x:c>
      <x:c r="G852" t="str">
        <x:v>PBk9</x:v>
      </x:c>
      <x:c r="H852" t="str">
        <x:v>PB15:3/PBk9</x:v>
      </x:c>
      <x:c r="I852" t="str">
        <x:v>https://www.carandache.com/content_files/uploaded_doc/product/10985/Colour_Chart_Pastel_Pencil.pdf</x:v>
      </x:c>
    </x:row>
    <x:row r="853">
      <x:c r="A853" t="str">
        <x:v>CDA-PSTC-730</x:v>
      </x:c>
      <x:c r="B853" t="str">
        <x:v>PSTC</x:v>
      </x:c>
      <x:c r="C853" t="str">
        <x:v>PASTEL CUBES</x:v>
      </x:c>
      <x:c r="D853" t="str">
        <x:v>730</x:v>
      </x:c>
      <x:c r="E853" t="str">
        <x:v>Chinese green</x:v>
      </x:c>
      <x:c r="F853" t="n">
        <x:v>1</x:v>
      </x:c>
      <x:c r="G853" t="str">
        <x:v>PY3</x:v>
      </x:c>
      <x:c r="H853" t="str">
        <x:v>PY3/PG7</x:v>
      </x:c>
      <x:c r="I853" t="str">
        <x:v>https://www.carandache.com/content_files/uploaded_doc/product/10985/Colour_Chart_Pastel_Pencil.pdf</x:v>
      </x:c>
    </x:row>
    <x:row r="854">
      <x:c r="A854" t="str">
        <x:v>CDA-PSTC-730</x:v>
      </x:c>
      <x:c r="B854" t="str">
        <x:v>PSTC</x:v>
      </x:c>
      <x:c r="C854" t="str">
        <x:v>PASTEL CUBES</x:v>
      </x:c>
      <x:c r="D854" t="str">
        <x:v>730</x:v>
      </x:c>
      <x:c r="E854" t="str">
        <x:v>Chinese green</x:v>
      </x:c>
      <x:c r="F854" t="n">
        <x:v>2</x:v>
      </x:c>
      <x:c r="G854" t="str">
        <x:v>PG7</x:v>
      </x:c>
      <x:c r="H854" t="str">
        <x:v>PY3/PG7</x:v>
      </x:c>
      <x:c r="I854" t="str">
        <x:v>https://www.carandache.com/content_files/uploaded_doc/product/10985/Colour_Chart_Pastel_Pencil.pdf</x:v>
      </x:c>
    </x:row>
    <x:row r="855">
      <x:c r="A855" t="str">
        <x:v>CDA-PSTC-232</x:v>
      </x:c>
      <x:c r="B855" t="str">
        <x:v>PSTC</x:v>
      </x:c>
      <x:c r="C855" t="str">
        <x:v>PASTEL CUBES</x:v>
      </x:c>
      <x:c r="D855" t="str">
        <x:v>232</x:v>
      </x:c>
      <x:c r="E855" t="str">
        <x:v>Middle moss green 10%</x:v>
      </x:c>
      <x:c r="F855" t="n">
        <x:v>1</x:v>
      </x:c>
      <x:c r="G855" t="str">
        <x:v>PY74</x:v>
      </x:c>
      <x:c r="H855" t="str">
        <x:v>PY74/PB15/PO82</x:v>
      </x:c>
      <x:c r="I855" t="str">
        <x:v>https://www.carandache.com/content_files/uploaded_doc/product/10985/Colour_Chart_Pastel_Pencil.pdf</x:v>
      </x:c>
    </x:row>
    <x:row r="856">
      <x:c r="A856" t="str">
        <x:v>CDA-PSTC-232</x:v>
      </x:c>
      <x:c r="B856" t="str">
        <x:v>PSTC</x:v>
      </x:c>
      <x:c r="C856" t="str">
        <x:v>PASTEL CUBES</x:v>
      </x:c>
      <x:c r="D856" t="str">
        <x:v>232</x:v>
      </x:c>
      <x:c r="E856" t="str">
        <x:v>Middle moss green 10%</x:v>
      </x:c>
      <x:c r="F856" t="n">
        <x:v>2</x:v>
      </x:c>
      <x:c r="G856" t="str">
        <x:v>PB15</x:v>
      </x:c>
      <x:c r="H856" t="str">
        <x:v>PY74/PB15/PO82</x:v>
      </x:c>
      <x:c r="I856" t="str">
        <x:v>https://www.carandache.com/content_files/uploaded_doc/product/10985/Colour_Chart_Pastel_Pencil.pdf</x:v>
      </x:c>
    </x:row>
    <x:row r="857">
      <x:c r="A857" t="str">
        <x:v>CDA-PSTC-232</x:v>
      </x:c>
      <x:c r="B857" t="str">
        <x:v>PSTC</x:v>
      </x:c>
      <x:c r="C857" t="str">
        <x:v>PASTEL CUBES</x:v>
      </x:c>
      <x:c r="D857" t="str">
        <x:v>232</x:v>
      </x:c>
      <x:c r="E857" t="str">
        <x:v>Middle moss green 10%</x:v>
      </x:c>
      <x:c r="F857" t="n">
        <x:v>3</x:v>
      </x:c>
      <x:c r="G857" t="str">
        <x:v>PO82</x:v>
      </x:c>
      <x:c r="H857" t="str">
        <x:v>PY74/PB15/PO82</x:v>
      </x:c>
      <x:c r="I857" t="str">
        <x:v>https://www.carandache.com/content_files/uploaded_doc/product/10985/Colour_Chart_Pastel_Pencil.pdf</x:v>
      </x:c>
    </x:row>
    <x:row r="858">
      <x:c r="A858" t="str">
        <x:v>CDA-PSTC-243</x:v>
      </x:c>
      <x:c r="B858" t="str">
        <x:v>PSTC</x:v>
      </x:c>
      <x:c r="C858" t="str">
        <x:v>PASTEL CUBES</x:v>
      </x:c>
      <x:c r="D858" t="str">
        <x:v>243</x:v>
      </x:c>
      <x:c r="E858" t="str">
        <x:v>Light olive 20%</x:v>
      </x:c>
      <x:c r="F858" t="n">
        <x:v>1</x:v>
      </x:c>
      <x:c r="G858" t="str">
        <x:v>PY74</x:v>
      </x:c>
      <x:c r="H858" t="str">
        <x:v>PY74/PG17/PY42</x:v>
      </x:c>
      <x:c r="I858" t="str">
        <x:v>https://www.carandache.com/content_files/uploaded_doc/product/10985/Colour_Chart_Pastel_Pencil.pdf</x:v>
      </x:c>
    </x:row>
    <x:row r="859">
      <x:c r="A859" t="str">
        <x:v>CDA-PSTC-243</x:v>
      </x:c>
      <x:c r="B859" t="str">
        <x:v>PSTC</x:v>
      </x:c>
      <x:c r="C859" t="str">
        <x:v>PASTEL CUBES</x:v>
      </x:c>
      <x:c r="D859" t="str">
        <x:v>243</x:v>
      </x:c>
      <x:c r="E859" t="str">
        <x:v>Light olive 20%</x:v>
      </x:c>
      <x:c r="F859" t="n">
        <x:v>2</x:v>
      </x:c>
      <x:c r="G859" t="str">
        <x:v>PG17</x:v>
      </x:c>
      <x:c r="H859" t="str">
        <x:v>PY74/PG17/PY42</x:v>
      </x:c>
      <x:c r="I859" t="str">
        <x:v>https://www.carandache.com/content_files/uploaded_doc/product/10985/Colour_Chart_Pastel_Pencil.pdf</x:v>
      </x:c>
    </x:row>
    <x:row r="860">
      <x:c r="A860" t="str">
        <x:v>CDA-PSTC-243</x:v>
      </x:c>
      <x:c r="B860" t="str">
        <x:v>PSTC</x:v>
      </x:c>
      <x:c r="C860" t="str">
        <x:v>PASTEL CUBES</x:v>
      </x:c>
      <x:c r="D860" t="str">
        <x:v>243</x:v>
      </x:c>
      <x:c r="E860" t="str">
        <x:v>Light olive 20%</x:v>
      </x:c>
      <x:c r="F860" t="n">
        <x:v>3</x:v>
      </x:c>
      <x:c r="G860" t="str">
        <x:v>PY42</x:v>
      </x:c>
      <x:c r="H860" t="str">
        <x:v>PY74/PG17/PY42</x:v>
      </x:c>
      <x:c r="I860" t="str">
        <x:v>https://www.carandache.com/content_files/uploaded_doc/product/10985/Colour_Chart_Pastel_Pencil.pdf</x:v>
      </x:c>
    </x:row>
    <x:row r="861">
      <x:c r="A861" t="str">
        <x:v>CDA-PSTC-245</x:v>
      </x:c>
      <x:c r="B861" t="str">
        <x:v>PSTC</x:v>
      </x:c>
      <x:c r="C861" t="str">
        <x:v>PASTEL CUBES</x:v>
      </x:c>
      <x:c r="D861" t="str">
        <x:v>245</x:v>
      </x:c>
      <x:c r="E861" t="str">
        <x:v>Light olive 40%</x:v>
      </x:c>
      <x:c r="F861" t="n">
        <x:v>1</x:v>
      </x:c>
      <x:c r="G861" t="str">
        <x:v>PY74</x:v>
      </x:c>
      <x:c r="H861" t="str">
        <x:v>PY74/PG17/PY42</x:v>
      </x:c>
      <x:c r="I861" t="str">
        <x:v>https://www.carandache.com/content_files/uploaded_doc/product/10985/Colour_Chart_Pastel_Pencil.pdf</x:v>
      </x:c>
    </x:row>
    <x:row r="862">
      <x:c r="A862" t="str">
        <x:v>CDA-PSTC-245</x:v>
      </x:c>
      <x:c r="B862" t="str">
        <x:v>PSTC</x:v>
      </x:c>
      <x:c r="C862" t="str">
        <x:v>PASTEL CUBES</x:v>
      </x:c>
      <x:c r="D862" t="str">
        <x:v>245</x:v>
      </x:c>
      <x:c r="E862" t="str">
        <x:v>Light olive 40%</x:v>
      </x:c>
      <x:c r="F862" t="n">
        <x:v>2</x:v>
      </x:c>
      <x:c r="G862" t="str">
        <x:v>PG17</x:v>
      </x:c>
      <x:c r="H862" t="str">
        <x:v>PY74/PG17/PY42</x:v>
      </x:c>
      <x:c r="I862" t="str">
        <x:v>https://www.carandache.com/content_files/uploaded_doc/product/10985/Colour_Chart_Pastel_Pencil.pdf</x:v>
      </x:c>
    </x:row>
    <x:row r="863">
      <x:c r="A863" t="str">
        <x:v>CDA-PSTC-245</x:v>
      </x:c>
      <x:c r="B863" t="str">
        <x:v>PSTC</x:v>
      </x:c>
      <x:c r="C863" t="str">
        <x:v>PASTEL CUBES</x:v>
      </x:c>
      <x:c r="D863" t="str">
        <x:v>245</x:v>
      </x:c>
      <x:c r="E863" t="str">
        <x:v>Light olive 40%</x:v>
      </x:c>
      <x:c r="F863" t="n">
        <x:v>3</x:v>
      </x:c>
      <x:c r="G863" t="str">
        <x:v>PY42</x:v>
      </x:c>
      <x:c r="H863" t="str">
        <x:v>PY74/PG17/PY42</x:v>
      </x:c>
      <x:c r="I863" t="str">
        <x:v>https://www.carandache.com/content_files/uploaded_doc/product/10985/Colour_Chart_Pastel_Pencil.pdf</x:v>
      </x:c>
    </x:row>
    <x:row r="864">
      <x:c r="A864" t="str">
        <x:v>CDA-PSTC-017</x:v>
      </x:c>
      <x:c r="B864" t="str">
        <x:v>PSTC</x:v>
      </x:c>
      <x:c r="C864" t="str">
        <x:v>PASTEL CUBES</x:v>
      </x:c>
      <x:c r="D864" t="str">
        <x:v>017</x:v>
      </x:c>
      <x:c r="E864" t="str">
        <x:v>Light reseda</x:v>
      </x:c>
      <x:c r="F864" t="n">
        <x:v>1</x:v>
      </x:c>
      <x:c r="G864" t="str">
        <x:v>PY3</x:v>
      </x:c>
      <x:c r="H864" t="str">
        <x:v>PY3/PBk7</x:v>
      </x:c>
      <x:c r="I864" t="str">
        <x:v>https://www.carandache.com/content_files/uploaded_doc/product/10985/Colour_Chart_Pastel_Pencil.pdf</x:v>
      </x:c>
    </x:row>
    <x:row r="865">
      <x:c r="A865" t="str">
        <x:v>CDA-PSTC-017</x:v>
      </x:c>
      <x:c r="B865" t="str">
        <x:v>PSTC</x:v>
      </x:c>
      <x:c r="C865" t="str">
        <x:v>PASTEL CUBES</x:v>
      </x:c>
      <x:c r="D865" t="str">
        <x:v>017</x:v>
      </x:c>
      <x:c r="E865" t="str">
        <x:v>Light reseda</x:v>
      </x:c>
      <x:c r="F865" t="n">
        <x:v>2</x:v>
      </x:c>
      <x:c r="G865" t="str">
        <x:v>PBk7</x:v>
      </x:c>
      <x:c r="H865" t="str">
        <x:v>PY3/PBk7</x:v>
      </x:c>
      <x:c r="I865" t="str">
        <x:v>https://www.carandache.com/content_files/uploaded_doc/product/10985/Colour_Chart_Pastel_Pencil.pdf</x:v>
      </x:c>
    </x:row>
    <x:row r="866">
      <x:c r="A866" t="str">
        <x:v>CDA-PSTC-234</x:v>
      </x:c>
      <x:c r="B866" t="str">
        <x:v>PSTC</x:v>
      </x:c>
      <x:c r="C866" t="str">
        <x:v>PASTEL CUBES</x:v>
      </x:c>
      <x:c r="D866" t="str">
        <x:v>234</x:v>
      </x:c>
      <x:c r="E866" t="str">
        <x:v>Middle moss green 30%</x:v>
      </x:c>
      <x:c r="F866" t="n">
        <x:v>1</x:v>
      </x:c>
      <x:c r="G866" t="str">
        <x:v>PY74</x:v>
      </x:c>
      <x:c r="H866" t="str">
        <x:v>PY74/PB15/PO82</x:v>
      </x:c>
      <x:c r="I866" t="str">
        <x:v>https://www.carandache.com/content_files/uploaded_doc/product/10985/Colour_Chart_Pastel_Pencil.pdf</x:v>
      </x:c>
    </x:row>
    <x:row r="867">
      <x:c r="A867" t="str">
        <x:v>CDA-PSTC-234</x:v>
      </x:c>
      <x:c r="B867" t="str">
        <x:v>PSTC</x:v>
      </x:c>
      <x:c r="C867" t="str">
        <x:v>PASTEL CUBES</x:v>
      </x:c>
      <x:c r="D867" t="str">
        <x:v>234</x:v>
      </x:c>
      <x:c r="E867" t="str">
        <x:v>Middle moss green 30%</x:v>
      </x:c>
      <x:c r="F867" t="n">
        <x:v>2</x:v>
      </x:c>
      <x:c r="G867" t="str">
        <x:v>PB15</x:v>
      </x:c>
      <x:c r="H867" t="str">
        <x:v>PY74/PB15/PO82</x:v>
      </x:c>
      <x:c r="I867" t="str">
        <x:v>https://www.carandache.com/content_files/uploaded_doc/product/10985/Colour_Chart_Pastel_Pencil.pdf</x:v>
      </x:c>
    </x:row>
    <x:row r="868">
      <x:c r="A868" t="str">
        <x:v>CDA-PSTC-234</x:v>
      </x:c>
      <x:c r="B868" t="str">
        <x:v>PSTC</x:v>
      </x:c>
      <x:c r="C868" t="str">
        <x:v>PASTEL CUBES</x:v>
      </x:c>
      <x:c r="D868" t="str">
        <x:v>234</x:v>
      </x:c>
      <x:c r="E868" t="str">
        <x:v>Middle moss green 30%</x:v>
      </x:c>
      <x:c r="F868" t="n">
        <x:v>3</x:v>
      </x:c>
      <x:c r="G868" t="str">
        <x:v>PO82</x:v>
      </x:c>
      <x:c r="H868" t="str">
        <x:v>PY74/PB15/PO82</x:v>
      </x:c>
      <x:c r="I868" t="str">
        <x:v>https://www.carandache.com/content_files/uploaded_doc/product/10985/Colour_Chart_Pastel_Pencil.pdf</x:v>
      </x:c>
    </x:row>
    <x:row r="869">
      <x:c r="A869" t="str">
        <x:v>CDA-PSTC-225</x:v>
      </x:c>
      <x:c r="B869" t="str">
        <x:v>PSTC</x:v>
      </x:c>
      <x:c r="C869" t="str">
        <x:v>PASTEL CUBES</x:v>
      </x:c>
      <x:c r="D869" t="str">
        <x:v>225</x:v>
      </x:c>
      <x:c r="E869" t="str">
        <x:v>Moss green</x:v>
      </x:c>
      <x:c r="F869" t="n">
        <x:v>1</x:v>
      </x:c>
      <x:c r="G869" t="str">
        <x:v>PB15</x:v>
      </x:c>
      <x:c r="H869" t="str">
        <x:v>PB15/PY3/PY74/PBk7</x:v>
      </x:c>
      <x:c r="I869" t="str">
        <x:v>https://www.carandache.com/content_files/uploaded_doc/product/10985/Colour_Chart_Pastel_Pencil.pdf</x:v>
      </x:c>
    </x:row>
    <x:row r="870">
      <x:c r="A870" t="str">
        <x:v>CDA-PSTC-225</x:v>
      </x:c>
      <x:c r="B870" t="str">
        <x:v>PSTC</x:v>
      </x:c>
      <x:c r="C870" t="str">
        <x:v>PASTEL CUBES</x:v>
      </x:c>
      <x:c r="D870" t="str">
        <x:v>225</x:v>
      </x:c>
      <x:c r="E870" t="str">
        <x:v>Moss green</x:v>
      </x:c>
      <x:c r="F870" t="n">
        <x:v>2</x:v>
      </x:c>
      <x:c r="G870" t="str">
        <x:v>PY3</x:v>
      </x:c>
      <x:c r="H870" t="str">
        <x:v>PB15/PY3/PY74/PBk7</x:v>
      </x:c>
      <x:c r="I870" t="str">
        <x:v>https://www.carandache.com/content_files/uploaded_doc/product/10985/Colour_Chart_Pastel_Pencil.pdf</x:v>
      </x:c>
    </x:row>
    <x:row r="871">
      <x:c r="A871" t="str">
        <x:v>CDA-PSTC-225</x:v>
      </x:c>
      <x:c r="B871" t="str">
        <x:v>PSTC</x:v>
      </x:c>
      <x:c r="C871" t="str">
        <x:v>PASTEL CUBES</x:v>
      </x:c>
      <x:c r="D871" t="str">
        <x:v>225</x:v>
      </x:c>
      <x:c r="E871" t="str">
        <x:v>Moss green</x:v>
      </x:c>
      <x:c r="F871" t="n">
        <x:v>3</x:v>
      </x:c>
      <x:c r="G871" t="str">
        <x:v>PY74</x:v>
      </x:c>
      <x:c r="H871" t="str">
        <x:v>PB15/PY3/PY74/PBk7</x:v>
      </x:c>
      <x:c r="I871" t="str">
        <x:v>https://www.carandache.com/content_files/uploaded_doc/product/10985/Colour_Chart_Pastel_Pencil.pdf</x:v>
      </x:c>
    </x:row>
    <x:row r="872">
      <x:c r="A872" t="str">
        <x:v>CDA-PSTC-225</x:v>
      </x:c>
      <x:c r="B872" t="str">
        <x:v>PSTC</x:v>
      </x:c>
      <x:c r="C872" t="str">
        <x:v>PASTEL CUBES</x:v>
      </x:c>
      <x:c r="D872" t="str">
        <x:v>225</x:v>
      </x:c>
      <x:c r="E872" t="str">
        <x:v>Moss green</x:v>
      </x:c>
      <x:c r="F872" t="n">
        <x:v>4</x:v>
      </x:c>
      <x:c r="G872" t="str">
        <x:v>PBk7</x:v>
      </x:c>
      <x:c r="H872" t="str">
        <x:v>PB15/PY3/PY74/PBk7</x:v>
      </x:c>
      <x:c r="I872" t="str">
        <x:v>https://www.carandache.com/content_files/uploaded_doc/product/10985/Colour_Chart_Pastel_Pencil.pdf</x:v>
      </x:c>
    </x:row>
    <x:row r="873">
      <x:c r="A873" t="str">
        <x:v>CDA-PSTC-229</x:v>
      </x:c>
      <x:c r="B873" t="str">
        <x:v>PSTC</x:v>
      </x:c>
      <x:c r="C873" t="str">
        <x:v>PASTEL CUBES</x:v>
      </x:c>
      <x:c r="D873" t="str">
        <x:v>229</x:v>
      </x:c>
      <x:c r="E873" t="str">
        <x:v>Dark green</x:v>
      </x:c>
      <x:c r="F873" t="n">
        <x:v>1</x:v>
      </x:c>
      <x:c r="G873" t="str">
        <x:v>PBk11</x:v>
      </x:c>
      <x:c r="H873" t="str">
        <x:v>PBk11/PY42/PR101</x:v>
      </x:c>
      <x:c r="I873" t="str">
        <x:v>https://www.carandache.com/content_files/uploaded_doc/product/10985/Colour_Chart_Pastel_Pencil.pdf</x:v>
      </x:c>
    </x:row>
    <x:row r="874">
      <x:c r="A874" t="str">
        <x:v>CDA-PSTC-229</x:v>
      </x:c>
      <x:c r="B874" t="str">
        <x:v>PSTC</x:v>
      </x:c>
      <x:c r="C874" t="str">
        <x:v>PASTEL CUBES</x:v>
      </x:c>
      <x:c r="D874" t="str">
        <x:v>229</x:v>
      </x:c>
      <x:c r="E874" t="str">
        <x:v>Dark green</x:v>
      </x:c>
      <x:c r="F874" t="n">
        <x:v>2</x:v>
      </x:c>
      <x:c r="G874" t="str">
        <x:v>PY42</x:v>
      </x:c>
      <x:c r="H874" t="str">
        <x:v>PBk11/PY42/PR101</x:v>
      </x:c>
      <x:c r="I874" t="str">
        <x:v>https://www.carandache.com/content_files/uploaded_doc/product/10985/Colour_Chart_Pastel_Pencil.pdf</x:v>
      </x:c>
    </x:row>
    <x:row r="875">
      <x:c r="A875" t="str">
        <x:v>CDA-PSTC-229</x:v>
      </x:c>
      <x:c r="B875" t="str">
        <x:v>PSTC</x:v>
      </x:c>
      <x:c r="C875" t="str">
        <x:v>PASTEL CUBES</x:v>
      </x:c>
      <x:c r="D875" t="str">
        <x:v>229</x:v>
      </x:c>
      <x:c r="E875" t="str">
        <x:v>Dark green</x:v>
      </x:c>
      <x:c r="F875" t="n">
        <x:v>3</x:v>
      </x:c>
      <x:c r="G875" t="str">
        <x:v>PR101</x:v>
      </x:c>
      <x:c r="H875" t="str">
        <x:v>PBk11/PY42/PR101</x:v>
      </x:c>
      <x:c r="I875" t="str">
        <x:v>https://www.carandache.com/content_files/uploaded_doc/product/10985/Colour_Chart_Pastel_Pencil.pdf</x:v>
      </x:c>
    </x:row>
    <x:row r="876">
      <x:c r="A876" t="str">
        <x:v>CDA-PSTC-718</x:v>
      </x:c>
      <x:c r="B876" t="str">
        <x:v>PSTC</x:v>
      </x:c>
      <x:c r="C876" t="str">
        <x:v>PASTEL CUBES</x:v>
      </x:c>
      <x:c r="D876" t="str">
        <x:v>718</x:v>
      </x:c>
      <x:c r="E876" t="str">
        <x:v>Middle phthalocyanine green</x:v>
      </x:c>
      <x:c r="F876" t="n">
        <x:v>1</x:v>
      </x:c>
      <x:c r="G876" t="str">
        <x:v>PB15</x:v>
      </x:c>
      <x:c r="H876" t="str">
        <x:v>PB15/PBk11/PY42/PR101</x:v>
      </x:c>
      <x:c r="I876" t="str">
        <x:v>https://www.carandache.com/content_files/uploaded_doc/product/10985/Colour_Chart_Pastel_Pencil.pdf</x:v>
      </x:c>
    </x:row>
    <x:row r="877">
      <x:c r="A877" t="str">
        <x:v>CDA-PSTC-718</x:v>
      </x:c>
      <x:c r="B877" t="str">
        <x:v>PSTC</x:v>
      </x:c>
      <x:c r="C877" t="str">
        <x:v>PASTEL CUBES</x:v>
      </x:c>
      <x:c r="D877" t="str">
        <x:v>718</x:v>
      </x:c>
      <x:c r="E877" t="str">
        <x:v>Middle phthalocyanine green</x:v>
      </x:c>
      <x:c r="F877" t="n">
        <x:v>2</x:v>
      </x:c>
      <x:c r="G877" t="str">
        <x:v>PBk11</x:v>
      </x:c>
      <x:c r="H877" t="str">
        <x:v>PB15/PBk11/PY42/PR101</x:v>
      </x:c>
      <x:c r="I877" t="str">
        <x:v>https://www.carandache.com/content_files/uploaded_doc/product/10985/Colour_Chart_Pastel_Pencil.pdf</x:v>
      </x:c>
    </x:row>
    <x:row r="878">
      <x:c r="A878" t="str">
        <x:v>CDA-PSTC-718</x:v>
      </x:c>
      <x:c r="B878" t="str">
        <x:v>PSTC</x:v>
      </x:c>
      <x:c r="C878" t="str">
        <x:v>PASTEL CUBES</x:v>
      </x:c>
      <x:c r="D878" t="str">
        <x:v>718</x:v>
      </x:c>
      <x:c r="E878" t="str">
        <x:v>Middle phthalocyanine green</x:v>
      </x:c>
      <x:c r="F878" t="n">
        <x:v>3</x:v>
      </x:c>
      <x:c r="G878" t="str">
        <x:v>PY42</x:v>
      </x:c>
      <x:c r="H878" t="str">
        <x:v>PB15/PBk11/PY42/PR101</x:v>
      </x:c>
      <x:c r="I878" t="str">
        <x:v>https://www.carandache.com/content_files/uploaded_doc/product/10985/Colour_Chart_Pastel_Pencil.pdf</x:v>
      </x:c>
    </x:row>
    <x:row r="879">
      <x:c r="A879" t="str">
        <x:v>CDA-PSTC-718</x:v>
      </x:c>
      <x:c r="B879" t="str">
        <x:v>PSTC</x:v>
      </x:c>
      <x:c r="C879" t="str">
        <x:v>PASTEL CUBES</x:v>
      </x:c>
      <x:c r="D879" t="str">
        <x:v>718</x:v>
      </x:c>
      <x:c r="E879" t="str">
        <x:v>Middle phthalocyanine green</x:v>
      </x:c>
      <x:c r="F879" t="n">
        <x:v>4</x:v>
      </x:c>
      <x:c r="G879" t="str">
        <x:v>PR101</x:v>
      </x:c>
      <x:c r="H879" t="str">
        <x:v>PB15/PBk11/PY42/PR101</x:v>
      </x:c>
      <x:c r="I879" t="str">
        <x:v>https://www.carandache.com/content_files/uploaded_doc/product/10985/Colour_Chart_Pastel_Pencil.pdf</x:v>
      </x:c>
    </x:row>
    <x:row r="880">
      <x:c r="A880" t="str">
        <x:v>CDA-PSTC-719</x:v>
      </x:c>
      <x:c r="B880" t="str">
        <x:v>PSTC</x:v>
      </x:c>
      <x:c r="C880" t="str">
        <x:v>PASTEL CUBES</x:v>
      </x:c>
      <x:c r="D880" t="str">
        <x:v>719</x:v>
      </x:c>
      <x:c r="E880" t="str">
        <x:v>Dark phthalocyanine green</x:v>
      </x:c>
      <x:c r="F880" t="n">
        <x:v>1</x:v>
      </x:c>
      <x:c r="G880" t="str">
        <x:v>PB15</x:v>
      </x:c>
      <x:c r="H880" t="str">
        <x:v>PB15/PBk11/PY42/PR101</x:v>
      </x:c>
      <x:c r="I880" t="str">
        <x:v>https://www.carandache.com/content_files/uploaded_doc/product/10985/Colour_Chart_Pastel_Pencil.pdf</x:v>
      </x:c>
    </x:row>
    <x:row r="881">
      <x:c r="A881" t="str">
        <x:v>CDA-PSTC-719</x:v>
      </x:c>
      <x:c r="B881" t="str">
        <x:v>PSTC</x:v>
      </x:c>
      <x:c r="C881" t="str">
        <x:v>PASTEL CUBES</x:v>
      </x:c>
      <x:c r="D881" t="str">
        <x:v>719</x:v>
      </x:c>
      <x:c r="E881" t="str">
        <x:v>Dark phthalocyanine green</x:v>
      </x:c>
      <x:c r="F881" t="n">
        <x:v>2</x:v>
      </x:c>
      <x:c r="G881" t="str">
        <x:v>PBk11</x:v>
      </x:c>
      <x:c r="H881" t="str">
        <x:v>PB15/PBk11/PY42/PR101</x:v>
      </x:c>
      <x:c r="I881" t="str">
        <x:v>https://www.carandache.com/content_files/uploaded_doc/product/10985/Colour_Chart_Pastel_Pencil.pdf</x:v>
      </x:c>
    </x:row>
    <x:row r="882">
      <x:c r="A882" t="str">
        <x:v>CDA-PSTC-719</x:v>
      </x:c>
      <x:c r="B882" t="str">
        <x:v>PSTC</x:v>
      </x:c>
      <x:c r="C882" t="str">
        <x:v>PASTEL CUBES</x:v>
      </x:c>
      <x:c r="D882" t="str">
        <x:v>719</x:v>
      </x:c>
      <x:c r="E882" t="str">
        <x:v>Dark phthalocyanine green</x:v>
      </x:c>
      <x:c r="F882" t="n">
        <x:v>3</x:v>
      </x:c>
      <x:c r="G882" t="str">
        <x:v>PY42</x:v>
      </x:c>
      <x:c r="H882" t="str">
        <x:v>PB15/PBk11/PY42/PR101</x:v>
      </x:c>
      <x:c r="I882" t="str">
        <x:v>https://www.carandache.com/content_files/uploaded_doc/product/10985/Colour_Chart_Pastel_Pencil.pdf</x:v>
      </x:c>
    </x:row>
    <x:row r="883">
      <x:c r="A883" t="str">
        <x:v>CDA-PSTC-719</x:v>
      </x:c>
      <x:c r="B883" t="str">
        <x:v>PSTC</x:v>
      </x:c>
      <x:c r="C883" t="str">
        <x:v>PASTEL CUBES</x:v>
      </x:c>
      <x:c r="D883" t="str">
        <x:v>719</x:v>
      </x:c>
      <x:c r="E883" t="str">
        <x:v>Dark phthalocyanine green</x:v>
      </x:c>
      <x:c r="F883" t="n">
        <x:v>4</x:v>
      </x:c>
      <x:c r="G883" t="str">
        <x:v>PR101</x:v>
      </x:c>
      <x:c r="H883" t="str">
        <x:v>PB15/PBk11/PY42/PR101</x:v>
      </x:c>
      <x:c r="I883" t="str">
        <x:v>https://www.carandache.com/content_files/uploaded_doc/product/10985/Colour_Chart_Pastel_Pencil.pdf</x:v>
      </x:c>
    </x:row>
    <x:row r="884">
      <x:c r="A884" t="str">
        <x:v>CDA-PSTC-180</x:v>
      </x:c>
      <x:c r="B884" t="str">
        <x:v>PSTC</x:v>
      </x:c>
      <x:c r="C884" t="str">
        <x:v>PASTEL CUBES</x:v>
      </x:c>
      <x:c r="D884" t="str">
        <x:v>180</x:v>
      </x:c>
      <x:c r="E884" t="str">
        <x:v>Malachite green</x:v>
      </x:c>
      <x:c r="F884" t="n">
        <x:v>1</x:v>
      </x:c>
      <x:c r="G884" t="str">
        <x:v>PB15</x:v>
      </x:c>
      <x:c r="H884" t="str">
        <x:v>PB15/PY3/PBk7</x:v>
      </x:c>
      <x:c r="I884" t="str">
        <x:v>https://www.carandache.com/content_files/uploaded_doc/product/10985/Colour_Chart_Pastel_Pencil.pdf</x:v>
      </x:c>
    </x:row>
    <x:row r="885">
      <x:c r="A885" t="str">
        <x:v>CDA-PSTC-180</x:v>
      </x:c>
      <x:c r="B885" t="str">
        <x:v>PSTC</x:v>
      </x:c>
      <x:c r="C885" t="str">
        <x:v>PASTEL CUBES</x:v>
      </x:c>
      <x:c r="D885" t="str">
        <x:v>180</x:v>
      </x:c>
      <x:c r="E885" t="str">
        <x:v>Malachite green</x:v>
      </x:c>
      <x:c r="F885" t="n">
        <x:v>2</x:v>
      </x:c>
      <x:c r="G885" t="str">
        <x:v>PY3</x:v>
      </x:c>
      <x:c r="H885" t="str">
        <x:v>PB15/PY3/PBk7</x:v>
      </x:c>
      <x:c r="I885" t="str">
        <x:v>https://www.carandache.com/content_files/uploaded_doc/product/10985/Colour_Chart_Pastel_Pencil.pdf</x:v>
      </x:c>
    </x:row>
    <x:row r="886">
      <x:c r="A886" t="str">
        <x:v>CDA-PSTC-180</x:v>
      </x:c>
      <x:c r="B886" t="str">
        <x:v>PSTC</x:v>
      </x:c>
      <x:c r="C886" t="str">
        <x:v>PASTEL CUBES</x:v>
      </x:c>
      <x:c r="D886" t="str">
        <x:v>180</x:v>
      </x:c>
      <x:c r="E886" t="str">
        <x:v>Malachite green</x:v>
      </x:c>
      <x:c r="F886" t="n">
        <x:v>3</x:v>
      </x:c>
      <x:c r="G886" t="str">
        <x:v>PBk7</x:v>
      </x:c>
      <x:c r="H886" t="str">
        <x:v>PB15/PY3/PBk7</x:v>
      </x:c>
      <x:c r="I886" t="str">
        <x:v>https://www.carandache.com/content_files/uploaded_doc/product/10985/Colour_Chart_Pastel_Pencil.pdf</x:v>
      </x:c>
    </x:row>
    <x:row r="887">
      <x:c r="A887" t="str">
        <x:v>CDA-PSTC-214</x:v>
      </x:c>
      <x:c r="B887" t="str">
        <x:v>PSTC</x:v>
      </x:c>
      <x:c r="C887" t="str">
        <x:v>PASTEL CUBES</x:v>
      </x:c>
      <x:c r="D887" t="str">
        <x:v>214</x:v>
      </x:c>
      <x:c r="E887" t="str">
        <x:v>Beryl green</x:v>
      </x:c>
      <x:c r="F887" t="n">
        <x:v>1</x:v>
      </x:c>
      <x:c r="G887" t="str">
        <x:v>PG7</x:v>
      </x:c>
      <x:c r="H887" t="str">
        <x:v>PG7</x:v>
      </x:c>
      <x:c r="I887" t="str">
        <x:v>https://www.carandache.com/content_files/uploaded_doc/product/10985/Colour_Chart_Pastel_Pencil.pdf</x:v>
      </x:c>
    </x:row>
    <x:row r="888">
      <x:c r="A888" t="str">
        <x:v>CDA-PSTC-711</x:v>
      </x:c>
      <x:c r="B888" t="str">
        <x:v>PSTC</x:v>
      </x:c>
      <x:c r="C888" t="str">
        <x:v>PASTEL CUBES</x:v>
      </x:c>
      <x:c r="D888" t="str">
        <x:v>711</x:v>
      </x:c>
      <x:c r="E888" t="str">
        <x:v>Earth green</x:v>
      </x:c>
      <x:c r="F888" t="n">
        <x:v>1</x:v>
      </x:c>
      <x:c r="G888" t="str">
        <x:v>PG23</x:v>
      </x:c>
      <x:c r="H888" t="str">
        <x:v>PG23</x:v>
      </x:c>
      <x:c r="I888" t="str">
        <x:v>https://www.carandache.com/content_files/uploaded_doc/product/10985/Colour_Chart_Pastel_Pencil.pdf</x:v>
      </x:c>
    </x:row>
    <x:row r="889">
      <x:c r="A889" t="str">
        <x:v>CDA-PSTC-712</x:v>
      </x:c>
      <x:c r="B889" t="str">
        <x:v>PSTC</x:v>
      </x:c>
      <x:c r="C889" t="str">
        <x:v>PASTEL CUBES</x:v>
      </x:c>
      <x:c r="D889" t="str">
        <x:v>712</x:v>
      </x:c>
      <x:c r="E889" t="str">
        <x:v>Verdigris</x:v>
      </x:c>
      <x:c r="F889" t="n">
        <x:v>1</x:v>
      </x:c>
      <x:c r="G889" t="str">
        <x:v>PG17</x:v>
      </x:c>
      <x:c r="H889" t="str">
        <x:v>PG17/PB28</x:v>
      </x:c>
      <x:c r="I889" t="str">
        <x:v>https://www.carandache.com/content_files/uploaded_doc/product/10985/Colour_Chart_Pastel_Pencil.pdf</x:v>
      </x:c>
    </x:row>
    <x:row r="890">
      <x:c r="A890" t="str">
        <x:v>CDA-PSTC-712</x:v>
      </x:c>
      <x:c r="B890" t="str">
        <x:v>PSTC</x:v>
      </x:c>
      <x:c r="C890" t="str">
        <x:v>PASTEL CUBES</x:v>
      </x:c>
      <x:c r="D890" t="str">
        <x:v>712</x:v>
      </x:c>
      <x:c r="E890" t="str">
        <x:v>Verdigris</x:v>
      </x:c>
      <x:c r="F890" t="n">
        <x:v>2</x:v>
      </x:c>
      <x:c r="G890" t="str">
        <x:v>PB28</x:v>
      </x:c>
      <x:c r="H890" t="str">
        <x:v>PG17/PB28</x:v>
      </x:c>
      <x:c r="I890" t="str">
        <x:v>https://www.carandache.com/content_files/uploaded_doc/product/10985/Colour_Chart_Pastel_Pencil.pdf</x:v>
      </x:c>
    </x:row>
    <x:row r="891">
      <x:c r="A891" t="str">
        <x:v>CDA-PSTC-212</x:v>
      </x:c>
      <x:c r="B891" t="str">
        <x:v>PSTC</x:v>
      </x:c>
      <x:c r="C891" t="str">
        <x:v>PASTEL CUBES</x:v>
      </x:c>
      <x:c r="D891" t="str">
        <x:v>212</x:v>
      </x:c>
      <x:c r="E891" t="str">
        <x:v>Chromium oxyde green</x:v>
      </x:c>
      <x:c r="F891" t="n">
        <x:v>1</x:v>
      </x:c>
      <x:c r="G891" t="str">
        <x:v>PG17</x:v>
      </x:c>
      <x:c r="H891" t="str">
        <x:v>PG17</x:v>
      </x:c>
      <x:c r="I891" t="str">
        <x:v>https://www.carandache.com/content_files/uploaded_doc/product/10985/Colour_Chart_Pastel_Pencil.pdf</x:v>
      </x:c>
    </x:row>
    <x:row r="892">
      <x:c r="A892" t="str">
        <x:v>CDA-PSTC-732</x:v>
      </x:c>
      <x:c r="B892" t="str">
        <x:v>PSTC</x:v>
      </x:c>
      <x:c r="C892" t="str">
        <x:v>PASTEL CUBES</x:v>
      </x:c>
      <x:c r="D892" t="str">
        <x:v>732</x:v>
      </x:c>
      <x:c r="E892" t="str">
        <x:v>Brown Olive 10%</x:v>
      </x:c>
      <x:c r="F892" t="n">
        <x:v>1</x:v>
      </x:c>
      <x:c r="G892" t="str">
        <x:v>PY42</x:v>
      </x:c>
      <x:c r="H892" t="str">
        <x:v>PY42/PBk6</x:v>
      </x:c>
      <x:c r="I892" t="str">
        <x:v>https://www.carandache.com/content_files/uploaded_doc/product/10985/Colour_Chart_Pastel_Pencil.pdf</x:v>
      </x:c>
    </x:row>
    <x:row r="893">
      <x:c r="A893" t="str">
        <x:v>CDA-PSTC-732</x:v>
      </x:c>
      <x:c r="B893" t="str">
        <x:v>PSTC</x:v>
      </x:c>
      <x:c r="C893" t="str">
        <x:v>PASTEL CUBES</x:v>
      </x:c>
      <x:c r="D893" t="str">
        <x:v>732</x:v>
      </x:c>
      <x:c r="E893" t="str">
        <x:v>Brown Olive 10%</x:v>
      </x:c>
      <x:c r="F893" t="n">
        <x:v>2</x:v>
      </x:c>
      <x:c r="G893" t="str">
        <x:v>PBk6</x:v>
      </x:c>
      <x:c r="H893" t="str">
        <x:v>PY42/PBk6</x:v>
      </x:c>
      <x:c r="I893" t="str">
        <x:v>https://www.carandache.com/content_files/uploaded_doc/product/10985/Colour_Chart_Pastel_Pencil.pdf</x:v>
      </x:c>
    </x:row>
    <x:row r="894">
      <x:c r="A894" t="str">
        <x:v>CDA-PSTC-736</x:v>
      </x:c>
      <x:c r="B894" t="str">
        <x:v>PSTC</x:v>
      </x:c>
      <x:c r="C894" t="str">
        <x:v>PASTEL CUBES</x:v>
      </x:c>
      <x:c r="D894" t="str">
        <x:v>736</x:v>
      </x:c>
      <x:c r="E894" t="str">
        <x:v>Brown Olive 50%</x:v>
      </x:c>
      <x:c r="F894" t="n">
        <x:v>1</x:v>
      </x:c>
      <x:c r="G894" t="str">
        <x:v>PY42</x:v>
      </x:c>
      <x:c r="H894" t="str">
        <x:v>PY42/PBk6</x:v>
      </x:c>
      <x:c r="I894" t="str">
        <x:v>https://www.carandache.com/content_files/uploaded_doc/product/10985/Colour_Chart_Pastel_Pencil.pdf</x:v>
      </x:c>
    </x:row>
    <x:row r="895">
      <x:c r="A895" t="str">
        <x:v>CDA-PSTC-736</x:v>
      </x:c>
      <x:c r="B895" t="str">
        <x:v>PSTC</x:v>
      </x:c>
      <x:c r="C895" t="str">
        <x:v>PASTEL CUBES</x:v>
      </x:c>
      <x:c r="D895" t="str">
        <x:v>736</x:v>
      </x:c>
      <x:c r="E895" t="str">
        <x:v>Brown Olive 50%</x:v>
      </x:c>
      <x:c r="F895" t="n">
        <x:v>2</x:v>
      </x:c>
      <x:c r="G895" t="str">
        <x:v>PBk6</x:v>
      </x:c>
      <x:c r="H895" t="str">
        <x:v>PY42/PBk6</x:v>
      </x:c>
      <x:c r="I895" t="str">
        <x:v>https://www.carandache.com/content_files/uploaded_doc/product/10985/Colour_Chart_Pastel_Pencil.pdf</x:v>
      </x:c>
    </x:row>
    <x:row r="896">
      <x:c r="A896" t="str">
        <x:v>CDA-PSTC-039</x:v>
      </x:c>
      <x:c r="B896" t="str">
        <x:v>PSTC</x:v>
      </x:c>
      <x:c r="C896" t="str">
        <x:v>PASTEL CUBES</x:v>
      </x:c>
      <x:c r="D896" t="str">
        <x:v>039</x:v>
      </x:c>
      <x:c r="E896" t="str">
        <x:v>Olive brown</x:v>
      </x:c>
      <x:c r="F896" t="n">
        <x:v>1</x:v>
      </x:c>
      <x:c r="G896" t="str">
        <x:v>PY42</x:v>
      </x:c>
      <x:c r="H896" t="str">
        <x:v>PY42/PBk6</x:v>
      </x:c>
      <x:c r="I896" t="str">
        <x:v>https://www.carandache.com/content_files/uploaded_doc/product/10985/Colour_Chart_Pastel_Pencil.pdf</x:v>
      </x:c>
    </x:row>
    <x:row r="897">
      <x:c r="A897" t="str">
        <x:v>CDA-PSTC-039</x:v>
      </x:c>
      <x:c r="B897" t="str">
        <x:v>PSTC</x:v>
      </x:c>
      <x:c r="C897" t="str">
        <x:v>PASTEL CUBES</x:v>
      </x:c>
      <x:c r="D897" t="str">
        <x:v>039</x:v>
      </x:c>
      <x:c r="E897" t="str">
        <x:v>Olive brown</x:v>
      </x:c>
      <x:c r="F897" t="n">
        <x:v>2</x:v>
      </x:c>
      <x:c r="G897" t="str">
        <x:v>PBk6</x:v>
      </x:c>
      <x:c r="H897" t="str">
        <x:v>PY42/PBk6</x:v>
      </x:c>
      <x:c r="I897" t="str">
        <x:v>https://www.carandache.com/content_files/uploaded_doc/product/10985/Colour_Chart_Pastel_Pencil.pdf</x:v>
      </x:c>
    </x:row>
    <x:row r="898">
      <x:c r="A898" t="str">
        <x:v>CDA-PSTC-033</x:v>
      </x:c>
      <x:c r="B898" t="str">
        <x:v>PSTC</x:v>
      </x:c>
      <x:c r="C898" t="str">
        <x:v>PASTEL CUBES</x:v>
      </x:c>
      <x:c r="D898" t="str">
        <x:v>033</x:v>
      </x:c>
      <x:c r="E898" t="str">
        <x:v>Golden ochre</x:v>
      </x:c>
      <x:c r="F898" t="n">
        <x:v>1</x:v>
      </x:c>
      <x:c r="G898" t="str">
        <x:v>PY42</x:v>
      </x:c>
      <x:c r="H898" t="str">
        <x:v>PY42/PY74/PBk11/PR101/PBk7</x:v>
      </x:c>
      <x:c r="I898" t="str">
        <x:v>https://www.carandache.com/content_files/uploaded_doc/product/10985/Colour_Chart_Pastel_Pencil.pdf</x:v>
      </x:c>
    </x:row>
    <x:row r="899">
      <x:c r="A899" t="str">
        <x:v>CDA-PSTC-033</x:v>
      </x:c>
      <x:c r="B899" t="str">
        <x:v>PSTC</x:v>
      </x:c>
      <x:c r="C899" t="str">
        <x:v>PASTEL CUBES</x:v>
      </x:c>
      <x:c r="D899" t="str">
        <x:v>033</x:v>
      </x:c>
      <x:c r="E899" t="str">
        <x:v>Golden ochre</x:v>
      </x:c>
      <x:c r="F899" t="n">
        <x:v>2</x:v>
      </x:c>
      <x:c r="G899" t="str">
        <x:v>PY74</x:v>
      </x:c>
      <x:c r="H899" t="str">
        <x:v>PY42/PY74/PBk11/PR101/PBk7</x:v>
      </x:c>
      <x:c r="I899" t="str">
        <x:v>https://www.carandache.com/content_files/uploaded_doc/product/10985/Colour_Chart_Pastel_Pencil.pdf</x:v>
      </x:c>
    </x:row>
    <x:row r="900">
      <x:c r="A900" t="str">
        <x:v>CDA-PSTC-033</x:v>
      </x:c>
      <x:c r="B900" t="str">
        <x:v>PSTC</x:v>
      </x:c>
      <x:c r="C900" t="str">
        <x:v>PASTEL CUBES</x:v>
      </x:c>
      <x:c r="D900" t="str">
        <x:v>033</x:v>
      </x:c>
      <x:c r="E900" t="str">
        <x:v>Golden ochre</x:v>
      </x:c>
      <x:c r="F900" t="n">
        <x:v>3</x:v>
      </x:c>
      <x:c r="G900" t="str">
        <x:v>PBk11</x:v>
      </x:c>
      <x:c r="H900" t="str">
        <x:v>PY42/PY74/PBk11/PR101/PBk7</x:v>
      </x:c>
      <x:c r="I900" t="str">
        <x:v>https://www.carandache.com/content_files/uploaded_doc/product/10985/Colour_Chart_Pastel_Pencil.pdf</x:v>
      </x:c>
    </x:row>
    <x:row r="901">
      <x:c r="A901" t="str">
        <x:v>CDA-PSTC-033</x:v>
      </x:c>
      <x:c r="B901" t="str">
        <x:v>PSTC</x:v>
      </x:c>
      <x:c r="C901" t="str">
        <x:v>PASTEL CUBES</x:v>
      </x:c>
      <x:c r="D901" t="str">
        <x:v>033</x:v>
      </x:c>
      <x:c r="E901" t="str">
        <x:v>Golden ochre</x:v>
      </x:c>
      <x:c r="F901" t="n">
        <x:v>4</x:v>
      </x:c>
      <x:c r="G901" t="str">
        <x:v>PR101</x:v>
      </x:c>
      <x:c r="H901" t="str">
        <x:v>PY42/PY74/PBk11/PR101/PBk7</x:v>
      </x:c>
      <x:c r="I901" t="str">
        <x:v>https://www.carandache.com/content_files/uploaded_doc/product/10985/Colour_Chart_Pastel_Pencil.pdf</x:v>
      </x:c>
    </x:row>
    <x:row r="902">
      <x:c r="A902" t="str">
        <x:v>CDA-PSTC-033</x:v>
      </x:c>
      <x:c r="B902" t="str">
        <x:v>PSTC</x:v>
      </x:c>
      <x:c r="C902" t="str">
        <x:v>PASTEL CUBES</x:v>
      </x:c>
      <x:c r="D902" t="str">
        <x:v>033</x:v>
      </x:c>
      <x:c r="E902" t="str">
        <x:v>Golden ochre</x:v>
      </x:c>
      <x:c r="F902" t="n">
        <x:v>5</x:v>
      </x:c>
      <x:c r="G902" t="str">
        <x:v>PBk7</x:v>
      </x:c>
      <x:c r="H902" t="str">
        <x:v>PY42/PY74/PBk11/PR101/PBk7</x:v>
      </x:c>
      <x:c r="I902" t="str">
        <x:v>https://www.carandache.com/content_files/uploaded_doc/product/10985/Colour_Chart_Pastel_Pencil.pdf</x:v>
      </x:c>
    </x:row>
    <x:row r="903">
      <x:c r="A903" t="str">
        <x:v>CDA-PSTC-035</x:v>
      </x:c>
      <x:c r="B903" t="str">
        <x:v>PSTC</x:v>
      </x:c>
      <x:c r="C903" t="str">
        <x:v>PASTEL CUBES</x:v>
      </x:c>
      <x:c r="D903" t="str">
        <x:v>035</x:v>
      </x:c>
      <x:c r="E903" t="str">
        <x:v>Ochre</x:v>
      </x:c>
      <x:c r="F903" t="n">
        <x:v>1</x:v>
      </x:c>
      <x:c r="G903" t="str">
        <x:v>PY42</x:v>
      </x:c>
      <x:c r="H903" t="str">
        <x:v>PY42/PY3/PY74/PB15/PO67</x:v>
      </x:c>
      <x:c r="I903" t="str">
        <x:v>https://www.carandache.com/content_files/uploaded_doc/product/10985/Colour_Chart_Pastel_Pencil.pdf</x:v>
      </x:c>
    </x:row>
    <x:row r="904">
      <x:c r="A904" t="str">
        <x:v>CDA-PSTC-035</x:v>
      </x:c>
      <x:c r="B904" t="str">
        <x:v>PSTC</x:v>
      </x:c>
      <x:c r="C904" t="str">
        <x:v>PASTEL CUBES</x:v>
      </x:c>
      <x:c r="D904" t="str">
        <x:v>035</x:v>
      </x:c>
      <x:c r="E904" t="str">
        <x:v>Ochre</x:v>
      </x:c>
      <x:c r="F904" t="n">
        <x:v>2</x:v>
      </x:c>
      <x:c r="G904" t="str">
        <x:v>PY3</x:v>
      </x:c>
      <x:c r="H904" t="str">
        <x:v>PY42/PY3/PY74/PB15/PO67</x:v>
      </x:c>
      <x:c r="I904" t="str">
        <x:v>https://www.carandache.com/content_files/uploaded_doc/product/10985/Colour_Chart_Pastel_Pencil.pdf</x:v>
      </x:c>
    </x:row>
    <x:row r="905">
      <x:c r="A905" t="str">
        <x:v>CDA-PSTC-035</x:v>
      </x:c>
      <x:c r="B905" t="str">
        <x:v>PSTC</x:v>
      </x:c>
      <x:c r="C905" t="str">
        <x:v>PASTEL CUBES</x:v>
      </x:c>
      <x:c r="D905" t="str">
        <x:v>035</x:v>
      </x:c>
      <x:c r="E905" t="str">
        <x:v>Ochre</x:v>
      </x:c>
      <x:c r="F905" t="n">
        <x:v>3</x:v>
      </x:c>
      <x:c r="G905" t="str">
        <x:v>PY74</x:v>
      </x:c>
      <x:c r="H905" t="str">
        <x:v>PY42/PY3/PY74/PB15/PO67</x:v>
      </x:c>
      <x:c r="I905" t="str">
        <x:v>https://www.carandache.com/content_files/uploaded_doc/product/10985/Colour_Chart_Pastel_Pencil.pdf</x:v>
      </x:c>
    </x:row>
    <x:row r="906">
      <x:c r="A906" t="str">
        <x:v>CDA-PSTC-035</x:v>
      </x:c>
      <x:c r="B906" t="str">
        <x:v>PSTC</x:v>
      </x:c>
      <x:c r="C906" t="str">
        <x:v>PASTEL CUBES</x:v>
      </x:c>
      <x:c r="D906" t="str">
        <x:v>035</x:v>
      </x:c>
      <x:c r="E906" t="str">
        <x:v>Ochre</x:v>
      </x:c>
      <x:c r="F906" t="n">
        <x:v>4</x:v>
      </x:c>
      <x:c r="G906" t="str">
        <x:v>PB15</x:v>
      </x:c>
      <x:c r="H906" t="str">
        <x:v>PY42/PY3/PY74/PB15/PO67</x:v>
      </x:c>
      <x:c r="I906" t="str">
        <x:v>https://www.carandache.com/content_files/uploaded_doc/product/10985/Colour_Chart_Pastel_Pencil.pdf</x:v>
      </x:c>
    </x:row>
    <x:row r="907">
      <x:c r="A907" t="str">
        <x:v>CDA-PSTC-035</x:v>
      </x:c>
      <x:c r="B907" t="str">
        <x:v>PSTC</x:v>
      </x:c>
      <x:c r="C907" t="str">
        <x:v>PASTEL CUBES</x:v>
      </x:c>
      <x:c r="D907" t="str">
        <x:v>035</x:v>
      </x:c>
      <x:c r="E907" t="str">
        <x:v>Ochre</x:v>
      </x:c>
      <x:c r="F907" t="n">
        <x:v>5</x:v>
      </x:c>
      <x:c r="G907" t="str">
        <x:v>PO67</x:v>
      </x:c>
      <x:c r="H907" t="str">
        <x:v>PY42/PY3/PY74/PB15/PO67</x:v>
      </x:c>
      <x:c r="I907" t="str">
        <x:v>https://www.carandache.com/content_files/uploaded_doc/product/10985/Colour_Chart_Pastel_Pencil.pdf</x:v>
      </x:c>
    </x:row>
    <x:row r="908">
      <x:c r="A908" t="str">
        <x:v>CDA-PSTC-036</x:v>
      </x:c>
      <x:c r="B908" t="str">
        <x:v>PSTC</x:v>
      </x:c>
      <x:c r="C908" t="str">
        <x:v>PASTEL CUBES</x:v>
      </x:c>
      <x:c r="D908" t="str">
        <x:v>036</x:v>
      </x:c>
      <x:c r="E908" t="str">
        <x:v>Raw sienna</x:v>
      </x:c>
      <x:c r="F908" t="n">
        <x:v>1</x:v>
      </x:c>
      <x:c r="G908" t="str">
        <x:v>PY42</x:v>
      </x:c>
      <x:c r="H908" t="str">
        <x:v>PY42/PY1/PR3/PBk7</x:v>
      </x:c>
      <x:c r="I908" t="str">
        <x:v>https://www.carandache.com/content_files/uploaded_doc/product/10985/Colour_Chart_Pastel_Pencil.pdf</x:v>
      </x:c>
    </x:row>
    <x:row r="909">
      <x:c r="A909" t="str">
        <x:v>CDA-PSTC-036</x:v>
      </x:c>
      <x:c r="B909" t="str">
        <x:v>PSTC</x:v>
      </x:c>
      <x:c r="C909" t="str">
        <x:v>PASTEL CUBES</x:v>
      </x:c>
      <x:c r="D909" t="str">
        <x:v>036</x:v>
      </x:c>
      <x:c r="E909" t="str">
        <x:v>Raw sienna</x:v>
      </x:c>
      <x:c r="F909" t="n">
        <x:v>2</x:v>
      </x:c>
      <x:c r="G909" t="str">
        <x:v>PY1</x:v>
      </x:c>
      <x:c r="H909" t="str">
        <x:v>PY42/PY1/PR3/PBk7</x:v>
      </x:c>
      <x:c r="I909" t="str">
        <x:v>https://www.carandache.com/content_files/uploaded_doc/product/10985/Colour_Chart_Pastel_Pencil.pdf</x:v>
      </x:c>
    </x:row>
    <x:row r="910">
      <x:c r="A910" t="str">
        <x:v>CDA-PSTC-036</x:v>
      </x:c>
      <x:c r="B910" t="str">
        <x:v>PSTC</x:v>
      </x:c>
      <x:c r="C910" t="str">
        <x:v>PASTEL CUBES</x:v>
      </x:c>
      <x:c r="D910" t="str">
        <x:v>036</x:v>
      </x:c>
      <x:c r="E910" t="str">
        <x:v>Raw sienna</x:v>
      </x:c>
      <x:c r="F910" t="n">
        <x:v>3</x:v>
      </x:c>
      <x:c r="G910" t="str">
        <x:v>PR3</x:v>
      </x:c>
      <x:c r="H910" t="str">
        <x:v>PY42/PY1/PR3/PBk7</x:v>
      </x:c>
      <x:c r="I910" t="str">
        <x:v>https://www.carandache.com/content_files/uploaded_doc/product/10985/Colour_Chart_Pastel_Pencil.pdf</x:v>
      </x:c>
    </x:row>
    <x:row r="911">
      <x:c r="A911" t="str">
        <x:v>CDA-PSTC-036</x:v>
      </x:c>
      <x:c r="B911" t="str">
        <x:v>PSTC</x:v>
      </x:c>
      <x:c r="C911" t="str">
        <x:v>PASTEL CUBES</x:v>
      </x:c>
      <x:c r="D911" t="str">
        <x:v>036</x:v>
      </x:c>
      <x:c r="E911" t="str">
        <x:v>Raw sienna</x:v>
      </x:c>
      <x:c r="F911" t="n">
        <x:v>4</x:v>
      </x:c>
      <x:c r="G911" t="str">
        <x:v>PBk7</x:v>
      </x:c>
      <x:c r="H911" t="str">
        <x:v>PY42/PY1/PR3/PBk7</x:v>
      </x:c>
      <x:c r="I911" t="str">
        <x:v>https://www.carandache.com/content_files/uploaded_doc/product/10985/Colour_Chart_Pastel_Pencil.pdf</x:v>
      </x:c>
    </x:row>
    <x:row r="912">
      <x:c r="A912" t="str">
        <x:v>CDA-PSTC-047</x:v>
      </x:c>
      <x:c r="B912" t="str">
        <x:v>PSTC</x:v>
      </x:c>
      <x:c r="C912" t="str">
        <x:v>PASTEL CUBES</x:v>
      </x:c>
      <x:c r="D912" t="str">
        <x:v>047</x:v>
      </x:c>
      <x:c r="E912" t="str">
        <x:v>Bistre</x:v>
      </x:c>
      <x:c r="F912" t="n">
        <x:v>1</x:v>
      </x:c>
      <x:c r="G912" t="str">
        <x:v>PY74</x:v>
      </x:c>
      <x:c r="H912" t="str">
        <x:v>PY74/PBk11/PY42/PR101</x:v>
      </x:c>
      <x:c r="I912" t="str">
        <x:v>https://www.carandache.com/content_files/uploaded_doc/product/10985/Colour_Chart_Pastel_Pencil.pdf</x:v>
      </x:c>
    </x:row>
    <x:row r="913">
      <x:c r="A913" t="str">
        <x:v>CDA-PSTC-047</x:v>
      </x:c>
      <x:c r="B913" t="str">
        <x:v>PSTC</x:v>
      </x:c>
      <x:c r="C913" t="str">
        <x:v>PASTEL CUBES</x:v>
      </x:c>
      <x:c r="D913" t="str">
        <x:v>047</x:v>
      </x:c>
      <x:c r="E913" t="str">
        <x:v>Bistre</x:v>
      </x:c>
      <x:c r="F913" t="n">
        <x:v>2</x:v>
      </x:c>
      <x:c r="G913" t="str">
        <x:v>PBk11</x:v>
      </x:c>
      <x:c r="H913" t="str">
        <x:v>PY74/PBk11/PY42/PR101</x:v>
      </x:c>
      <x:c r="I913" t="str">
        <x:v>https://www.carandache.com/content_files/uploaded_doc/product/10985/Colour_Chart_Pastel_Pencil.pdf</x:v>
      </x:c>
    </x:row>
    <x:row r="914">
      <x:c r="A914" t="str">
        <x:v>CDA-PSTC-047</x:v>
      </x:c>
      <x:c r="B914" t="str">
        <x:v>PSTC</x:v>
      </x:c>
      <x:c r="C914" t="str">
        <x:v>PASTEL CUBES</x:v>
      </x:c>
      <x:c r="D914" t="str">
        <x:v>047</x:v>
      </x:c>
      <x:c r="E914" t="str">
        <x:v>Bistre</x:v>
      </x:c>
      <x:c r="F914" t="n">
        <x:v>3</x:v>
      </x:c>
      <x:c r="G914" t="str">
        <x:v>PY42</x:v>
      </x:c>
      <x:c r="H914" t="str">
        <x:v>PY74/PBk11/PY42/PR101</x:v>
      </x:c>
      <x:c r="I914" t="str">
        <x:v>https://www.carandache.com/content_files/uploaded_doc/product/10985/Colour_Chart_Pastel_Pencil.pdf</x:v>
      </x:c>
    </x:row>
    <x:row r="915">
      <x:c r="A915" t="str">
        <x:v>CDA-PSTC-047</x:v>
      </x:c>
      <x:c r="B915" t="str">
        <x:v>PSTC</x:v>
      </x:c>
      <x:c r="C915" t="str">
        <x:v>PASTEL CUBES</x:v>
      </x:c>
      <x:c r="D915" t="str">
        <x:v>047</x:v>
      </x:c>
      <x:c r="E915" t="str">
        <x:v>Bistre</x:v>
      </x:c>
      <x:c r="F915" t="n">
        <x:v>4</x:v>
      </x:c>
      <x:c r="G915" t="str">
        <x:v>PR101</x:v>
      </x:c>
      <x:c r="H915" t="str">
        <x:v>PY74/PBk11/PY42/PR101</x:v>
      </x:c>
      <x:c r="I915" t="str">
        <x:v>https://www.carandache.com/content_files/uploaded_doc/product/10985/Colour_Chart_Pastel_Pencil.pdf</x:v>
      </x:c>
    </x:row>
    <x:row r="916">
      <x:c r="A916" t="str">
        <x:v>CDA-PSTC-746</x:v>
      </x:c>
      <x:c r="B916" t="str">
        <x:v>PSTC</x:v>
      </x:c>
      <x:c r="C916" t="str">
        <x:v>PASTEL CUBES</x:v>
      </x:c>
      <x:c r="D916" t="str">
        <x:v>746</x:v>
      </x:c>
      <x:c r="E916" t="str">
        <x:v>Dark flesh 50%</x:v>
      </x:c>
      <x:c r="F916" t="n">
        <x:v>1</x:v>
      </x:c>
      <x:c r="G916" t="str">
        <x:v>PR101</x:v>
      </x:c>
      <x:c r="H916" t="str">
        <x:v>PR101/PO82/PBk7/PBr7/PBk11/PY42/PR101</x:v>
      </x:c>
      <x:c r="I916" t="str">
        <x:v>https://www.carandache.com/content_files/uploaded_doc/product/10985/Colour_Chart_Pastel_Pencil.pdf</x:v>
      </x:c>
    </x:row>
    <x:row r="917">
      <x:c r="A917" t="str">
        <x:v>CDA-PSTC-746</x:v>
      </x:c>
      <x:c r="B917" t="str">
        <x:v>PSTC</x:v>
      </x:c>
      <x:c r="C917" t="str">
        <x:v>PASTEL CUBES</x:v>
      </x:c>
      <x:c r="D917" t="str">
        <x:v>746</x:v>
      </x:c>
      <x:c r="E917" t="str">
        <x:v>Dark flesh 50%</x:v>
      </x:c>
      <x:c r="F917" t="n">
        <x:v>2</x:v>
      </x:c>
      <x:c r="G917" t="str">
        <x:v>PO82</x:v>
      </x:c>
      <x:c r="H917" t="str">
        <x:v>PR101/PO82/PBk7/PBr7/PBk11/PY42/PR101</x:v>
      </x:c>
      <x:c r="I917" t="str">
        <x:v>https://www.carandache.com/content_files/uploaded_doc/product/10985/Colour_Chart_Pastel_Pencil.pdf</x:v>
      </x:c>
    </x:row>
    <x:row r="918">
      <x:c r="A918" t="str">
        <x:v>CDA-PSTC-746</x:v>
      </x:c>
      <x:c r="B918" t="str">
        <x:v>PSTC</x:v>
      </x:c>
      <x:c r="C918" t="str">
        <x:v>PASTEL CUBES</x:v>
      </x:c>
      <x:c r="D918" t="str">
        <x:v>746</x:v>
      </x:c>
      <x:c r="E918" t="str">
        <x:v>Dark flesh 50%</x:v>
      </x:c>
      <x:c r="F918" t="n">
        <x:v>3</x:v>
      </x:c>
      <x:c r="G918" t="str">
        <x:v>PBk7</x:v>
      </x:c>
      <x:c r="H918" t="str">
        <x:v>PR101/PO82/PBk7/PBr7/PBk11/PY42/PR101</x:v>
      </x:c>
      <x:c r="I918" t="str">
        <x:v>https://www.carandache.com/content_files/uploaded_doc/product/10985/Colour_Chart_Pastel_Pencil.pdf</x:v>
      </x:c>
    </x:row>
    <x:row r="919">
      <x:c r="A919" t="str">
        <x:v>CDA-PSTC-746</x:v>
      </x:c>
      <x:c r="B919" t="str">
        <x:v>PSTC</x:v>
      </x:c>
      <x:c r="C919" t="str">
        <x:v>PASTEL CUBES</x:v>
      </x:c>
      <x:c r="D919" t="str">
        <x:v>746</x:v>
      </x:c>
      <x:c r="E919" t="str">
        <x:v>Dark flesh 50%</x:v>
      </x:c>
      <x:c r="F919" t="n">
        <x:v>4</x:v>
      </x:c>
      <x:c r="G919" t="str">
        <x:v>PBr7</x:v>
      </x:c>
      <x:c r="H919" t="str">
        <x:v>PR101/PO82/PBk7/PBr7/PBk11/PY42/PR101</x:v>
      </x:c>
      <x:c r="I919" t="str">
        <x:v>https://www.carandache.com/content_files/uploaded_doc/product/10985/Colour_Chart_Pastel_Pencil.pdf</x:v>
      </x:c>
    </x:row>
    <x:row r="920">
      <x:c r="A920" t="str">
        <x:v>CDA-PSTC-746</x:v>
      </x:c>
      <x:c r="B920" t="str">
        <x:v>PSTC</x:v>
      </x:c>
      <x:c r="C920" t="str">
        <x:v>PASTEL CUBES</x:v>
      </x:c>
      <x:c r="D920" t="str">
        <x:v>746</x:v>
      </x:c>
      <x:c r="E920" t="str">
        <x:v>Dark flesh 50%</x:v>
      </x:c>
      <x:c r="F920" t="n">
        <x:v>5</x:v>
      </x:c>
      <x:c r="G920" t="str">
        <x:v>PBk11</x:v>
      </x:c>
      <x:c r="H920" t="str">
        <x:v>PR101/PO82/PBk7/PBr7/PBk11/PY42/PR101</x:v>
      </x:c>
      <x:c r="I920" t="str">
        <x:v>https://www.carandache.com/content_files/uploaded_doc/product/10985/Colour_Chart_Pastel_Pencil.pdf</x:v>
      </x:c>
    </x:row>
    <x:row r="921">
      <x:c r="A921" t="str">
        <x:v>CDA-PSTC-746</x:v>
      </x:c>
      <x:c r="B921" t="str">
        <x:v>PSTC</x:v>
      </x:c>
      <x:c r="C921" t="str">
        <x:v>PASTEL CUBES</x:v>
      </x:c>
      <x:c r="D921" t="str">
        <x:v>746</x:v>
      </x:c>
      <x:c r="E921" t="str">
        <x:v>Dark flesh 50%</x:v>
      </x:c>
      <x:c r="F921" t="n">
        <x:v>6</x:v>
      </x:c>
      <x:c r="G921" t="str">
        <x:v>PY42</x:v>
      </x:c>
      <x:c r="H921" t="str">
        <x:v>PR101/PO82/PBk7/PBr7/PBk11/PY42/PR101</x:v>
      </x:c>
      <x:c r="I921" t="str">
        <x:v>https://www.carandache.com/content_files/uploaded_doc/product/10985/Colour_Chart_Pastel_Pencil.pdf</x:v>
      </x:c>
    </x:row>
    <x:row r="922">
      <x:c r="A922" t="str">
        <x:v>CDA-PSTC-746</x:v>
      </x:c>
      <x:c r="B922" t="str">
        <x:v>PSTC</x:v>
      </x:c>
      <x:c r="C922" t="str">
        <x:v>PASTEL CUBES</x:v>
      </x:c>
      <x:c r="D922" t="str">
        <x:v>746</x:v>
      </x:c>
      <x:c r="E922" t="str">
        <x:v>Dark flesh 50%</x:v>
      </x:c>
      <x:c r="F922" t="n">
        <x:v>7</x:v>
      </x:c>
      <x:c r="G922" t="str">
        <x:v>PR101</x:v>
      </x:c>
      <x:c r="H922" t="str">
        <x:v>PR101/PO82/PBk7/PBr7/PBk11/PY42/PR101</x:v>
      </x:c>
      <x:c r="I922" t="str">
        <x:v>https://www.carandache.com/content_files/uploaded_doc/product/10985/Colour_Chart_Pastel_Pencil.pdf</x:v>
      </x:c>
    </x:row>
    <x:row r="923">
      <x:c r="A923" t="str">
        <x:v>CDA-PSTC-745</x:v>
      </x:c>
      <x:c r="B923" t="str">
        <x:v>PSTC</x:v>
      </x:c>
      <x:c r="C923" t="str">
        <x:v>PASTEL CUBES</x:v>
      </x:c>
      <x:c r="D923" t="str">
        <x:v>745</x:v>
      </x:c>
      <x:c r="E923" t="str">
        <x:v>Dark flesh 40%</x:v>
      </x:c>
      <x:c r="F923" t="n">
        <x:v>1</x:v>
      </x:c>
      <x:c r="G923" t="str">
        <x:v>PR101</x:v>
      </x:c>
      <x:c r="H923" t="str">
        <x:v>PR101/PO82/PBk7/PBr7/PBk11/PY42/PR101</x:v>
      </x:c>
      <x:c r="I923" t="str">
        <x:v>https://www.carandache.com/content_files/uploaded_doc/product/10985/Colour_Chart_Pastel_Pencil.pdf</x:v>
      </x:c>
    </x:row>
    <x:row r="924">
      <x:c r="A924" t="str">
        <x:v>CDA-PSTC-745</x:v>
      </x:c>
      <x:c r="B924" t="str">
        <x:v>PSTC</x:v>
      </x:c>
      <x:c r="C924" t="str">
        <x:v>PASTEL CUBES</x:v>
      </x:c>
      <x:c r="D924" t="str">
        <x:v>745</x:v>
      </x:c>
      <x:c r="E924" t="str">
        <x:v>Dark flesh 40%</x:v>
      </x:c>
      <x:c r="F924" t="n">
        <x:v>2</x:v>
      </x:c>
      <x:c r="G924" t="str">
        <x:v>PO82</x:v>
      </x:c>
      <x:c r="H924" t="str">
        <x:v>PR101/PO82/PBk7/PBr7/PBk11/PY42/PR101</x:v>
      </x:c>
      <x:c r="I924" t="str">
        <x:v>https://www.carandache.com/content_files/uploaded_doc/product/10985/Colour_Chart_Pastel_Pencil.pdf</x:v>
      </x:c>
    </x:row>
    <x:row r="925">
      <x:c r="A925" t="str">
        <x:v>CDA-PSTC-745</x:v>
      </x:c>
      <x:c r="B925" t="str">
        <x:v>PSTC</x:v>
      </x:c>
      <x:c r="C925" t="str">
        <x:v>PASTEL CUBES</x:v>
      </x:c>
      <x:c r="D925" t="str">
        <x:v>745</x:v>
      </x:c>
      <x:c r="E925" t="str">
        <x:v>Dark flesh 40%</x:v>
      </x:c>
      <x:c r="F925" t="n">
        <x:v>3</x:v>
      </x:c>
      <x:c r="G925" t="str">
        <x:v>PBk7</x:v>
      </x:c>
      <x:c r="H925" t="str">
        <x:v>PR101/PO82/PBk7/PBr7/PBk11/PY42/PR101</x:v>
      </x:c>
      <x:c r="I925" t="str">
        <x:v>https://www.carandache.com/content_files/uploaded_doc/product/10985/Colour_Chart_Pastel_Pencil.pdf</x:v>
      </x:c>
    </x:row>
    <x:row r="926">
      <x:c r="A926" t="str">
        <x:v>CDA-PSTC-745</x:v>
      </x:c>
      <x:c r="B926" t="str">
        <x:v>PSTC</x:v>
      </x:c>
      <x:c r="C926" t="str">
        <x:v>PASTEL CUBES</x:v>
      </x:c>
      <x:c r="D926" t="str">
        <x:v>745</x:v>
      </x:c>
      <x:c r="E926" t="str">
        <x:v>Dark flesh 40%</x:v>
      </x:c>
      <x:c r="F926" t="n">
        <x:v>4</x:v>
      </x:c>
      <x:c r="G926" t="str">
        <x:v>PBr7</x:v>
      </x:c>
      <x:c r="H926" t="str">
        <x:v>PR101/PO82/PBk7/PBr7/PBk11/PY42/PR101</x:v>
      </x:c>
      <x:c r="I926" t="str">
        <x:v>https://www.carandache.com/content_files/uploaded_doc/product/10985/Colour_Chart_Pastel_Pencil.pdf</x:v>
      </x:c>
    </x:row>
    <x:row r="927">
      <x:c r="A927" t="str">
        <x:v>CDA-PSTC-745</x:v>
      </x:c>
      <x:c r="B927" t="str">
        <x:v>PSTC</x:v>
      </x:c>
      <x:c r="C927" t="str">
        <x:v>PASTEL CUBES</x:v>
      </x:c>
      <x:c r="D927" t="str">
        <x:v>745</x:v>
      </x:c>
      <x:c r="E927" t="str">
        <x:v>Dark flesh 40%</x:v>
      </x:c>
      <x:c r="F927" t="n">
        <x:v>5</x:v>
      </x:c>
      <x:c r="G927" t="str">
        <x:v>PBk11</x:v>
      </x:c>
      <x:c r="H927" t="str">
        <x:v>PR101/PO82/PBk7/PBr7/PBk11/PY42/PR101</x:v>
      </x:c>
      <x:c r="I927" t="str">
        <x:v>https://www.carandache.com/content_files/uploaded_doc/product/10985/Colour_Chart_Pastel_Pencil.pdf</x:v>
      </x:c>
    </x:row>
    <x:row r="928">
      <x:c r="A928" t="str">
        <x:v>CDA-PSTC-745</x:v>
      </x:c>
      <x:c r="B928" t="str">
        <x:v>PSTC</x:v>
      </x:c>
      <x:c r="C928" t="str">
        <x:v>PASTEL CUBES</x:v>
      </x:c>
      <x:c r="D928" t="str">
        <x:v>745</x:v>
      </x:c>
      <x:c r="E928" t="str">
        <x:v>Dark flesh 40%</x:v>
      </x:c>
      <x:c r="F928" t="n">
        <x:v>6</x:v>
      </x:c>
      <x:c r="G928" t="str">
        <x:v>PY42</x:v>
      </x:c>
      <x:c r="H928" t="str">
        <x:v>PR101/PO82/PBk7/PBr7/PBk11/PY42/PR101</x:v>
      </x:c>
      <x:c r="I928" t="str">
        <x:v>https://www.carandache.com/content_files/uploaded_doc/product/10985/Colour_Chart_Pastel_Pencil.pdf</x:v>
      </x:c>
    </x:row>
    <x:row r="929">
      <x:c r="A929" t="str">
        <x:v>CDA-PSTC-745</x:v>
      </x:c>
      <x:c r="B929" t="str">
        <x:v>PSTC</x:v>
      </x:c>
      <x:c r="C929" t="str">
        <x:v>PASTEL CUBES</x:v>
      </x:c>
      <x:c r="D929" t="str">
        <x:v>745</x:v>
      </x:c>
      <x:c r="E929" t="str">
        <x:v>Dark flesh 40%</x:v>
      </x:c>
      <x:c r="F929" t="n">
        <x:v>7</x:v>
      </x:c>
      <x:c r="G929" t="str">
        <x:v>PR101</x:v>
      </x:c>
      <x:c r="H929" t="str">
        <x:v>PR101/PO82/PBk7/PBr7/PBk11/PY42/PR101</x:v>
      </x:c>
      <x:c r="I929" t="str">
        <x:v>https://www.carandache.com/content_files/uploaded_doc/product/10985/Colour_Chart_Pastel_Pencil.pdf</x:v>
      </x:c>
    </x:row>
    <x:row r="930">
      <x:c r="A930" t="str">
        <x:v>CDA-PSTC-541</x:v>
      </x:c>
      <x:c r="B930" t="str">
        <x:v>PSTC</x:v>
      </x:c>
      <x:c r="C930" t="str">
        <x:v>PASTEL CUBES</x:v>
      </x:c>
      <x:c r="D930" t="str">
        <x:v>541</x:v>
      </x:c>
      <x:c r="E930" t="str">
        <x:v>Light flesh 5%</x:v>
      </x:c>
      <x:c r="F930" t="n">
        <x:v>1</x:v>
      </x:c>
      <x:c r="G930" t="str">
        <x:v>PO82</x:v>
      </x:c>
      <x:c r="H930" t="str">
        <x:v>PO82/PR259</x:v>
      </x:c>
      <x:c r="I930" t="str">
        <x:v>https://www.carandache.com/content_files/uploaded_doc/product/10985/Colour_Chart_Pastel_Pencil.pdf</x:v>
      </x:c>
    </x:row>
    <x:row r="931">
      <x:c r="A931" t="str">
        <x:v>CDA-PSTC-541</x:v>
      </x:c>
      <x:c r="B931" t="str">
        <x:v>PSTC</x:v>
      </x:c>
      <x:c r="C931" t="str">
        <x:v>PASTEL CUBES</x:v>
      </x:c>
      <x:c r="D931" t="str">
        <x:v>541</x:v>
      </x:c>
      <x:c r="E931" t="str">
        <x:v>Light flesh 5%</x:v>
      </x:c>
      <x:c r="F931" t="n">
        <x:v>2</x:v>
      </x:c>
      <x:c r="G931" t="str">
        <x:v>PR259</x:v>
      </x:c>
      <x:c r="H931" t="str">
        <x:v>PO82/PR259</x:v>
      </x:c>
      <x:c r="I931" t="str">
        <x:v>https://www.carandache.com/content_files/uploaded_doc/product/10985/Colour_Chart_Pastel_Pencil.pdf</x:v>
      </x:c>
    </x:row>
    <x:row r="932">
      <x:c r="A932" t="str">
        <x:v>CDA-PSTC-542</x:v>
      </x:c>
      <x:c r="B932" t="str">
        <x:v>PSTC</x:v>
      </x:c>
      <x:c r="C932" t="str">
        <x:v>PASTEL CUBES</x:v>
      </x:c>
      <x:c r="D932" t="str">
        <x:v>542</x:v>
      </x:c>
      <x:c r="E932" t="str">
        <x:v>Light flesh 10%</x:v>
      </x:c>
      <x:c r="F932" t="n">
        <x:v>1</x:v>
      </x:c>
      <x:c r="G932" t="str">
        <x:v>PO82</x:v>
      </x:c>
      <x:c r="H932" t="str">
        <x:v>PO82</x:v>
      </x:c>
      <x:c r="I932" t="str">
        <x:v>https://www.carandache.com/content_files/uploaded_doc/product/10985/Colour_Chart_Pastel_Pencil.pdf</x:v>
      </x:c>
    </x:row>
    <x:row r="933">
      <x:c r="A933" t="str">
        <x:v>CDA-PSTC-042</x:v>
      </x:c>
      <x:c r="B933" t="str">
        <x:v>PSTC</x:v>
      </x:c>
      <x:c r="C933" t="str">
        <x:v>PASTEL CUBES</x:v>
      </x:c>
      <x:c r="D933" t="str">
        <x:v>042</x:v>
      </x:c>
      <x:c r="E933" t="str">
        <x:v>Flesh</x:v>
      </x:c>
      <x:c r="F933" t="n">
        <x:v>1</x:v>
      </x:c>
      <x:c r="G933" t="str">
        <x:v>PO82</x:v>
      </x:c>
      <x:c r="H933" t="str">
        <x:v>PO82/PR101</x:v>
      </x:c>
      <x:c r="I933" t="str">
        <x:v>https://www.carandache.com/content_files/uploaded_doc/product/10985/Colour_Chart_Pastel_Pencil.pdf</x:v>
      </x:c>
    </x:row>
    <x:row r="934">
      <x:c r="A934" t="str">
        <x:v>CDA-PSTC-042</x:v>
      </x:c>
      <x:c r="B934" t="str">
        <x:v>PSTC</x:v>
      </x:c>
      <x:c r="C934" t="str">
        <x:v>PASTEL CUBES</x:v>
      </x:c>
      <x:c r="D934" t="str">
        <x:v>042</x:v>
      </x:c>
      <x:c r="E934" t="str">
        <x:v>Flesh</x:v>
      </x:c>
      <x:c r="F934" t="n">
        <x:v>2</x:v>
      </x:c>
      <x:c r="G934" t="str">
        <x:v>PR101</x:v>
      </x:c>
      <x:c r="H934" t="str">
        <x:v>PO82/PR101</x:v>
      </x:c>
      <x:c r="I934" t="str">
        <x:v>https://www.carandache.com/content_files/uploaded_doc/product/10985/Colour_Chart_Pastel_Pencil.pdf</x:v>
      </x:c>
    </x:row>
    <x:row r="935">
      <x:c r="A935" t="str">
        <x:v>CDA-PSTC-052</x:v>
      </x:c>
      <x:c r="B935" t="str">
        <x:v>PSTC</x:v>
      </x:c>
      <x:c r="C935" t="str">
        <x:v>PASTEL CUBES</x:v>
      </x:c>
      <x:c r="D935" t="str">
        <x:v>052</x:v>
      </x:c>
      <x:c r="E935" t="str">
        <x:v>Saffron</x:v>
      </x:c>
      <x:c r="F935" t="n">
        <x:v>1</x:v>
      </x:c>
      <x:c r="G935" t="str">
        <x:v>PY1</x:v>
      </x:c>
      <x:c r="H935" t="str">
        <x:v>PY1/PR4/PR101</x:v>
      </x:c>
      <x:c r="I935" t="str">
        <x:v>https://www.carandache.com/content_files/uploaded_doc/product/10985/Colour_Chart_Pastel_Pencil.pdf</x:v>
      </x:c>
    </x:row>
    <x:row r="936">
      <x:c r="A936" t="str">
        <x:v>CDA-PSTC-052</x:v>
      </x:c>
      <x:c r="B936" t="str">
        <x:v>PSTC</x:v>
      </x:c>
      <x:c r="C936" t="str">
        <x:v>PASTEL CUBES</x:v>
      </x:c>
      <x:c r="D936" t="str">
        <x:v>052</x:v>
      </x:c>
      <x:c r="E936" t="str">
        <x:v>Saffron</x:v>
      </x:c>
      <x:c r="F936" t="n">
        <x:v>2</x:v>
      </x:c>
      <x:c r="G936" t="str">
        <x:v>PR4</x:v>
      </x:c>
      <x:c r="H936" t="str">
        <x:v>PY1/PR4/PR101</x:v>
      </x:c>
      <x:c r="I936" t="str">
        <x:v>https://www.carandache.com/content_files/uploaded_doc/product/10985/Colour_Chart_Pastel_Pencil.pdf</x:v>
      </x:c>
    </x:row>
    <x:row r="937">
      <x:c r="A937" t="str">
        <x:v>CDA-PSTC-052</x:v>
      </x:c>
      <x:c r="B937" t="str">
        <x:v>PSTC</x:v>
      </x:c>
      <x:c r="C937" t="str">
        <x:v>PASTEL CUBES</x:v>
      </x:c>
      <x:c r="D937" t="str">
        <x:v>052</x:v>
      </x:c>
      <x:c r="E937" t="str">
        <x:v>Saffron</x:v>
      </x:c>
      <x:c r="F937" t="n">
        <x:v>3</x:v>
      </x:c>
      <x:c r="G937" t="str">
        <x:v>PR101</x:v>
      </x:c>
      <x:c r="H937" t="str">
        <x:v>PY1/PR4/PR101</x:v>
      </x:c>
      <x:c r="I937" t="str">
        <x:v>https://www.carandache.com/content_files/uploaded_doc/product/10985/Colour_Chart_Pastel_Pencil.pdf</x:v>
      </x:c>
    </x:row>
    <x:row r="938">
      <x:c r="A938" t="str">
        <x:v>CDA-PSTC-068</x:v>
      </x:c>
      <x:c r="B938" t="str">
        <x:v>PSTC</x:v>
      </x:c>
      <x:c r="C938" t="str">
        <x:v>PASTEL CUBES</x:v>
      </x:c>
      <x:c r="D938" t="str">
        <x:v>068</x:v>
      </x:c>
      <x:c r="E938" t="str">
        <x:v>Herculanum red</x:v>
      </x:c>
      <x:c r="F938" t="n">
        <x:v>1</x:v>
      </x:c>
      <x:c r="G938" t="str">
        <x:v>PR101</x:v>
      </x:c>
      <x:c r="H938" t="str">
        <x:v>PR101</x:v>
      </x:c>
      <x:c r="I938" t="str">
        <x:v>https://www.carandache.com/content_files/uploaded_doc/product/10985/Colour_Chart_Pastel_Pencil.pdf</x:v>
      </x:c>
    </x:row>
    <x:row r="939">
      <x:c r="A939" t="str">
        <x:v>CDA-PSTC-741</x:v>
      </x:c>
      <x:c r="B939" t="str">
        <x:v>PSTC</x:v>
      </x:c>
      <x:c r="C939" t="str">
        <x:v>PASTEL CUBES</x:v>
      </x:c>
      <x:c r="D939" t="str">
        <x:v>741</x:v>
      </x:c>
      <x:c r="E939" t="str">
        <x:v>Dark flesh 5%</x:v>
      </x:c>
      <x:c r="F939" t="n">
        <x:v>1</x:v>
      </x:c>
      <x:c r="G939" t="str">
        <x:v>PR101</x:v>
      </x:c>
      <x:c r="H939" t="str">
        <x:v>PR101/PO82/PBk7/PBr7/PBk11/PY42/PR101</x:v>
      </x:c>
      <x:c r="I939" t="str">
        <x:v>https://www.carandache.com/content_files/uploaded_doc/product/10985/Colour_Chart_Pastel_Pencil.pdf</x:v>
      </x:c>
    </x:row>
    <x:row r="940">
      <x:c r="A940" t="str">
        <x:v>CDA-PSTC-741</x:v>
      </x:c>
      <x:c r="B940" t="str">
        <x:v>PSTC</x:v>
      </x:c>
      <x:c r="C940" t="str">
        <x:v>PASTEL CUBES</x:v>
      </x:c>
      <x:c r="D940" t="str">
        <x:v>741</x:v>
      </x:c>
      <x:c r="E940" t="str">
        <x:v>Dark flesh 5%</x:v>
      </x:c>
      <x:c r="F940" t="n">
        <x:v>2</x:v>
      </x:c>
      <x:c r="G940" t="str">
        <x:v>PO82</x:v>
      </x:c>
      <x:c r="H940" t="str">
        <x:v>PR101/PO82/PBk7/PBr7/PBk11/PY42/PR101</x:v>
      </x:c>
      <x:c r="I940" t="str">
        <x:v>https://www.carandache.com/content_files/uploaded_doc/product/10985/Colour_Chart_Pastel_Pencil.pdf</x:v>
      </x:c>
    </x:row>
    <x:row r="941">
      <x:c r="A941" t="str">
        <x:v>CDA-PSTC-741</x:v>
      </x:c>
      <x:c r="B941" t="str">
        <x:v>PSTC</x:v>
      </x:c>
      <x:c r="C941" t="str">
        <x:v>PASTEL CUBES</x:v>
      </x:c>
      <x:c r="D941" t="str">
        <x:v>741</x:v>
      </x:c>
      <x:c r="E941" t="str">
        <x:v>Dark flesh 5%</x:v>
      </x:c>
      <x:c r="F941" t="n">
        <x:v>3</x:v>
      </x:c>
      <x:c r="G941" t="str">
        <x:v>PBk7</x:v>
      </x:c>
      <x:c r="H941" t="str">
        <x:v>PR101/PO82/PBk7/PBr7/PBk11/PY42/PR101</x:v>
      </x:c>
      <x:c r="I941" t="str">
        <x:v>https://www.carandache.com/content_files/uploaded_doc/product/10985/Colour_Chart_Pastel_Pencil.pdf</x:v>
      </x:c>
    </x:row>
    <x:row r="942">
      <x:c r="A942" t="str">
        <x:v>CDA-PSTC-741</x:v>
      </x:c>
      <x:c r="B942" t="str">
        <x:v>PSTC</x:v>
      </x:c>
      <x:c r="C942" t="str">
        <x:v>PASTEL CUBES</x:v>
      </x:c>
      <x:c r="D942" t="str">
        <x:v>741</x:v>
      </x:c>
      <x:c r="E942" t="str">
        <x:v>Dark flesh 5%</x:v>
      </x:c>
      <x:c r="F942" t="n">
        <x:v>4</x:v>
      </x:c>
      <x:c r="G942" t="str">
        <x:v>PBr7</x:v>
      </x:c>
      <x:c r="H942" t="str">
        <x:v>PR101/PO82/PBk7/PBr7/PBk11/PY42/PR101</x:v>
      </x:c>
      <x:c r="I942" t="str">
        <x:v>https://www.carandache.com/content_files/uploaded_doc/product/10985/Colour_Chart_Pastel_Pencil.pdf</x:v>
      </x:c>
    </x:row>
    <x:row r="943">
      <x:c r="A943" t="str">
        <x:v>CDA-PSTC-741</x:v>
      </x:c>
      <x:c r="B943" t="str">
        <x:v>PSTC</x:v>
      </x:c>
      <x:c r="C943" t="str">
        <x:v>PASTEL CUBES</x:v>
      </x:c>
      <x:c r="D943" t="str">
        <x:v>741</x:v>
      </x:c>
      <x:c r="E943" t="str">
        <x:v>Dark flesh 5%</x:v>
      </x:c>
      <x:c r="F943" t="n">
        <x:v>5</x:v>
      </x:c>
      <x:c r="G943" t="str">
        <x:v>PBk11</x:v>
      </x:c>
      <x:c r="H943" t="str">
        <x:v>PR101/PO82/PBk7/PBr7/PBk11/PY42/PR101</x:v>
      </x:c>
      <x:c r="I943" t="str">
        <x:v>https://www.carandache.com/content_files/uploaded_doc/product/10985/Colour_Chart_Pastel_Pencil.pdf</x:v>
      </x:c>
    </x:row>
    <x:row r="944">
      <x:c r="A944" t="str">
        <x:v>CDA-PSTC-741</x:v>
      </x:c>
      <x:c r="B944" t="str">
        <x:v>PSTC</x:v>
      </x:c>
      <x:c r="C944" t="str">
        <x:v>PASTEL CUBES</x:v>
      </x:c>
      <x:c r="D944" t="str">
        <x:v>741</x:v>
      </x:c>
      <x:c r="E944" t="str">
        <x:v>Dark flesh 5%</x:v>
      </x:c>
      <x:c r="F944" t="n">
        <x:v>6</x:v>
      </x:c>
      <x:c r="G944" t="str">
        <x:v>PY42</x:v>
      </x:c>
      <x:c r="H944" t="str">
        <x:v>PR101/PO82/PBk7/PBr7/PBk11/PY42/PR101</x:v>
      </x:c>
      <x:c r="I944" t="str">
        <x:v>https://www.carandache.com/content_files/uploaded_doc/product/10985/Colour_Chart_Pastel_Pencil.pdf</x:v>
      </x:c>
    </x:row>
    <x:row r="945">
      <x:c r="A945" t="str">
        <x:v>CDA-PSTC-741</x:v>
      </x:c>
      <x:c r="B945" t="str">
        <x:v>PSTC</x:v>
      </x:c>
      <x:c r="C945" t="str">
        <x:v>PASTEL CUBES</x:v>
      </x:c>
      <x:c r="D945" t="str">
        <x:v>741</x:v>
      </x:c>
      <x:c r="E945" t="str">
        <x:v>Dark flesh 5%</x:v>
      </x:c>
      <x:c r="F945" t="n">
        <x:v>7</x:v>
      </x:c>
      <x:c r="G945" t="str">
        <x:v>PR101</x:v>
      </x:c>
      <x:c r="H945" t="str">
        <x:v>PR101/PO82/PBk7/PBr7/PBk11/PY42/PR101</x:v>
      </x:c>
      <x:c r="I945" t="str">
        <x:v>https://www.carandache.com/content_files/uploaded_doc/product/10985/Colour_Chart_Pastel_Pencil.pdf</x:v>
      </x:c>
    </x:row>
    <x:row r="946">
      <x:c r="A946" t="str">
        <x:v>CDA-PSTC-044</x:v>
      </x:c>
      <x:c r="B946" t="str">
        <x:v>PSTC</x:v>
      </x:c>
      <x:c r="C946" t="str">
        <x:v>PASTEL CUBES</x:v>
      </x:c>
      <x:c r="D946" t="str">
        <x:v>044</x:v>
      </x:c>
      <x:c r="E946" t="str">
        <x:v>Terracotta</x:v>
      </x:c>
      <x:c r="F946" t="n">
        <x:v>1</x:v>
      </x:c>
      <x:c r="G946" t="str">
        <x:v>PR101</x:v>
      </x:c>
      <x:c r="H946" t="str">
        <x:v>PR101/PO82</x:v>
      </x:c>
      <x:c r="I946" t="str">
        <x:v>https://www.carandache.com/content_files/uploaded_doc/product/10985/Colour_Chart_Pastel_Pencil.pdf</x:v>
      </x:c>
    </x:row>
    <x:row r="947">
      <x:c r="A947" t="str">
        <x:v>CDA-PSTC-044</x:v>
      </x:c>
      <x:c r="B947" t="str">
        <x:v>PSTC</x:v>
      </x:c>
      <x:c r="C947" t="str">
        <x:v>PASTEL CUBES</x:v>
      </x:c>
      <x:c r="D947" t="str">
        <x:v>044</x:v>
      </x:c>
      <x:c r="E947" t="str">
        <x:v>Terracotta</x:v>
      </x:c>
      <x:c r="F947" t="n">
        <x:v>2</x:v>
      </x:c>
      <x:c r="G947" t="str">
        <x:v>PO82</x:v>
      </x:c>
      <x:c r="H947" t="str">
        <x:v>PR101/PO82</x:v>
      </x:c>
      <x:c r="I947" t="str">
        <x:v>https://www.carandache.com/content_files/uploaded_doc/product/10985/Colour_Chart_Pastel_Pencil.pdf</x:v>
      </x:c>
    </x:row>
    <x:row r="948">
      <x:c r="A948" t="str">
        <x:v>CDA-PSTC-066</x:v>
      </x:c>
      <x:c r="B948" t="str">
        <x:v>PSTC</x:v>
      </x:c>
      <x:c r="C948" t="str">
        <x:v>PASTEL CUBES</x:v>
      </x:c>
      <x:c r="D948" t="str">
        <x:v>066</x:v>
      </x:c>
      <x:c r="E948" t="str">
        <x:v>Raw Russet</x:v>
      </x:c>
      <x:c r="F948" t="n">
        <x:v>1</x:v>
      </x:c>
      <x:c r="G948" t="str">
        <x:v>PR101</x:v>
      </x:c>
      <x:c r="H948" t="str">
        <x:v>PR101</x:v>
      </x:c>
      <x:c r="I948" t="str">
        <x:v>https://www.carandache.com/content_files/uploaded_doc/product/10985/Colour_Chart_Pastel_Pencil.pdf</x:v>
      </x:c>
    </x:row>
    <x:row r="949">
      <x:c r="A949" t="str">
        <x:v>CDA-PSTC-064</x:v>
      </x:c>
      <x:c r="B949" t="str">
        <x:v>PSTC</x:v>
      </x:c>
      <x:c r="C949" t="str">
        <x:v>PASTEL CUBES</x:v>
      </x:c>
      <x:c r="D949" t="str">
        <x:v>064</x:v>
      </x:c>
      <x:c r="E949" t="str">
        <x:v>Medium russet</x:v>
      </x:c>
      <x:c r="F949" t="n">
        <x:v>1</x:v>
      </x:c>
      <x:c r="G949" t="str">
        <x:v>PR101</x:v>
      </x:c>
      <x:c r="H949" t="str">
        <x:v>PR101/PBk11</x:v>
      </x:c>
      <x:c r="I949" t="str">
        <x:v>https://www.carandache.com/content_files/uploaded_doc/product/10985/Colour_Chart_Pastel_Pencil.pdf</x:v>
      </x:c>
    </x:row>
    <x:row r="950">
      <x:c r="A950" t="str">
        <x:v>CDA-PSTC-064</x:v>
      </x:c>
      <x:c r="B950" t="str">
        <x:v>PSTC</x:v>
      </x:c>
      <x:c r="C950" t="str">
        <x:v>PASTEL CUBES</x:v>
      </x:c>
      <x:c r="D950" t="str">
        <x:v>064</x:v>
      </x:c>
      <x:c r="E950" t="str">
        <x:v>Medium russet</x:v>
      </x:c>
      <x:c r="F950" t="n">
        <x:v>2</x:v>
      </x:c>
      <x:c r="G950" t="str">
        <x:v>PBk11</x:v>
      </x:c>
      <x:c r="H950" t="str">
        <x:v>PR101/PBk11</x:v>
      </x:c>
      <x:c r="I950" t="str">
        <x:v>https://www.carandache.com/content_files/uploaded_doc/product/10985/Colour_Chart_Pastel_Pencil.pdf</x:v>
      </x:c>
    </x:row>
    <x:row r="951">
      <x:c r="A951" t="str">
        <x:v>CDA-PSTC-069</x:v>
      </x:c>
      <x:c r="B951" t="str">
        <x:v>PSTC</x:v>
      </x:c>
      <x:c r="C951" t="str">
        <x:v>PASTEL CUBES</x:v>
      </x:c>
      <x:c r="D951" t="str">
        <x:v>069</x:v>
      </x:c>
      <x:c r="E951" t="str">
        <x:v>Burnt sienna</x:v>
      </x:c>
      <x:c r="F951" t="n">
        <x:v>1</x:v>
      </x:c>
      <x:c r="G951" t="str">
        <x:v>PBk6</x:v>
      </x:c>
      <x:c r="H951" t="str">
        <x:v>PBk6/PR101</x:v>
      </x:c>
      <x:c r="I951" t="str">
        <x:v>https://www.carandache.com/content_files/uploaded_doc/product/10985/Colour_Chart_Pastel_Pencil.pdf</x:v>
      </x:c>
    </x:row>
    <x:row r="952">
      <x:c r="A952" t="str">
        <x:v>CDA-PSTC-069</x:v>
      </x:c>
      <x:c r="B952" t="str">
        <x:v>PSTC</x:v>
      </x:c>
      <x:c r="C952" t="str">
        <x:v>PASTEL CUBES</x:v>
      </x:c>
      <x:c r="D952" t="str">
        <x:v>069</x:v>
      </x:c>
      <x:c r="E952" t="str">
        <x:v>Burnt sienna</x:v>
      </x:c>
      <x:c r="F952" t="n">
        <x:v>2</x:v>
      </x:c>
      <x:c r="G952" t="str">
        <x:v>PR101</x:v>
      </x:c>
      <x:c r="H952" t="str">
        <x:v>PBk6/PR101</x:v>
      </x:c>
      <x:c r="I952" t="str">
        <x:v>https://www.carandache.com/content_files/uploaded_doc/product/10985/Colour_Chart_Pastel_Pencil.pdf</x:v>
      </x:c>
    </x:row>
    <x:row r="953">
      <x:c r="A953" t="str">
        <x:v>CDA-PSTC-089</x:v>
      </x:c>
      <x:c r="B953" t="str">
        <x:v>PSTC</x:v>
      </x:c>
      <x:c r="C953" t="str">
        <x:v>PASTEL CUBES</x:v>
      </x:c>
      <x:c r="D953" t="str">
        <x:v>089</x:v>
      </x:c>
      <x:c r="E953" t="str">
        <x:v>Dark carmine</x:v>
      </x:c>
      <x:c r="F953" t="n">
        <x:v>1</x:v>
      </x:c>
      <x:c r="G953" t="str">
        <x:v>PR254</x:v>
      </x:c>
      <x:c r="H953" t="str">
        <x:v>PR254/PBK11/PY42/PR101/PBK7/PBr7</x:v>
      </x:c>
      <x:c r="I953" t="str">
        <x:v>https://www.carandache.com/content_files/uploaded_doc/product/10985/Colour_Chart_Pastel_Pencil.pdf</x:v>
      </x:c>
    </x:row>
    <x:row r="954">
      <x:c r="A954" t="str">
        <x:v>CDA-PSTC-089</x:v>
      </x:c>
      <x:c r="B954" t="str">
        <x:v>PSTC</x:v>
      </x:c>
      <x:c r="C954" t="str">
        <x:v>PASTEL CUBES</x:v>
      </x:c>
      <x:c r="D954" t="str">
        <x:v>089</x:v>
      </x:c>
      <x:c r="E954" t="str">
        <x:v>Dark carmine</x:v>
      </x:c>
      <x:c r="F954" t="n">
        <x:v>2</x:v>
      </x:c>
      <x:c r="G954" t="str">
        <x:v>PBK11</x:v>
      </x:c>
      <x:c r="H954" t="str">
        <x:v>PR254/PBK11/PY42/PR101/PBK7/PBr7</x:v>
      </x:c>
      <x:c r="I954" t="str">
        <x:v>https://www.carandache.com/content_files/uploaded_doc/product/10985/Colour_Chart_Pastel_Pencil.pdf</x:v>
      </x:c>
    </x:row>
    <x:row r="955">
      <x:c r="A955" t="str">
        <x:v>CDA-PSTC-089</x:v>
      </x:c>
      <x:c r="B955" t="str">
        <x:v>PSTC</x:v>
      </x:c>
      <x:c r="C955" t="str">
        <x:v>PASTEL CUBES</x:v>
      </x:c>
      <x:c r="D955" t="str">
        <x:v>089</x:v>
      </x:c>
      <x:c r="E955" t="str">
        <x:v>Dark carmine</x:v>
      </x:c>
      <x:c r="F955" t="n">
        <x:v>3</x:v>
      </x:c>
      <x:c r="G955" t="str">
        <x:v>PY42</x:v>
      </x:c>
      <x:c r="H955" t="str">
        <x:v>PR254/PBK11/PY42/PR101/PBK7/PBr7</x:v>
      </x:c>
      <x:c r="I955" t="str">
        <x:v>https://www.carandache.com/content_files/uploaded_doc/product/10985/Colour_Chart_Pastel_Pencil.pdf</x:v>
      </x:c>
    </x:row>
    <x:row r="956">
      <x:c r="A956" t="str">
        <x:v>CDA-PSTC-089</x:v>
      </x:c>
      <x:c r="B956" t="str">
        <x:v>PSTC</x:v>
      </x:c>
      <x:c r="C956" t="str">
        <x:v>PASTEL CUBES</x:v>
      </x:c>
      <x:c r="D956" t="str">
        <x:v>089</x:v>
      </x:c>
      <x:c r="E956" t="str">
        <x:v>Dark carmine</x:v>
      </x:c>
      <x:c r="F956" t="n">
        <x:v>4</x:v>
      </x:c>
      <x:c r="G956" t="str">
        <x:v>PR101</x:v>
      </x:c>
      <x:c r="H956" t="str">
        <x:v>PR254/PBK11/PY42/PR101/PBK7/PBr7</x:v>
      </x:c>
      <x:c r="I956" t="str">
        <x:v>https://www.carandache.com/content_files/uploaded_doc/product/10985/Colour_Chart_Pastel_Pencil.pdf</x:v>
      </x:c>
    </x:row>
    <x:row r="957">
      <x:c r="A957" t="str">
        <x:v>CDA-PSTC-089</x:v>
      </x:c>
      <x:c r="B957" t="str">
        <x:v>PSTC</x:v>
      </x:c>
      <x:c r="C957" t="str">
        <x:v>PASTEL CUBES</x:v>
      </x:c>
      <x:c r="D957" t="str">
        <x:v>089</x:v>
      </x:c>
      <x:c r="E957" t="str">
        <x:v>Dark carmine</x:v>
      </x:c>
      <x:c r="F957" t="n">
        <x:v>5</x:v>
      </x:c>
      <x:c r="G957" t="str">
        <x:v>PBK7</x:v>
      </x:c>
      <x:c r="H957" t="str">
        <x:v>PR254/PBK11/PY42/PR101/PBK7/PBr7</x:v>
      </x:c>
      <x:c r="I957" t="str">
        <x:v>https://www.carandache.com/content_files/uploaded_doc/product/10985/Colour_Chart_Pastel_Pencil.pdf</x:v>
      </x:c>
    </x:row>
    <x:row r="958">
      <x:c r="A958" t="str">
        <x:v>CDA-PSTC-089</x:v>
      </x:c>
      <x:c r="B958" t="str">
        <x:v>PSTC</x:v>
      </x:c>
      <x:c r="C958" t="str">
        <x:v>PASTEL CUBES</x:v>
      </x:c>
      <x:c r="D958" t="str">
        <x:v>089</x:v>
      </x:c>
      <x:c r="E958" t="str">
        <x:v>Dark carmine</x:v>
      </x:c>
      <x:c r="F958" t="n">
        <x:v>6</x:v>
      </x:c>
      <x:c r="G958" t="str">
        <x:v>PBr7</x:v>
      </x:c>
      <x:c r="H958" t="str">
        <x:v>PR254/PBK11/PY42/PR101/PBK7/PBr7</x:v>
      </x:c>
      <x:c r="I958" t="str">
        <x:v>https://www.carandache.com/content_files/uploaded_doc/product/10985/Colour_Chart_Pastel_Pencil.pdf</x:v>
      </x:c>
    </x:row>
    <x:row r="959">
      <x:c r="A959" t="str">
        <x:v>CDA-PSTC-093</x:v>
      </x:c>
      <x:c r="B959" t="str">
        <x:v>PSTC</x:v>
      </x:c>
      <x:c r="C959" t="str">
        <x:v>PASTEL CUBES</x:v>
      </x:c>
      <x:c r="D959" t="str">
        <x:v>093</x:v>
      </x:c>
      <x:c r="E959" t="str">
        <x:v>Violet grey</x:v>
      </x:c>
      <x:c r="F959" t="n">
        <x:v>1</x:v>
      </x:c>
      <x:c r="G959" t="str">
        <x:v>PB15</x:v>
      </x:c>
      <x:c r="H959" t="str">
        <x:v>PB15/PBk11/PV16/PR101</x:v>
      </x:c>
      <x:c r="I959" t="str">
        <x:v>https://www.carandache.com/content_files/uploaded_doc/product/10985/Colour_Chart_Pastel_Pencil.pdf</x:v>
      </x:c>
    </x:row>
    <x:row r="960">
      <x:c r="A960" t="str">
        <x:v>CDA-PSTC-093</x:v>
      </x:c>
      <x:c r="B960" t="str">
        <x:v>PSTC</x:v>
      </x:c>
      <x:c r="C960" t="str">
        <x:v>PASTEL CUBES</x:v>
      </x:c>
      <x:c r="D960" t="str">
        <x:v>093</x:v>
      </x:c>
      <x:c r="E960" t="str">
        <x:v>Violet grey</x:v>
      </x:c>
      <x:c r="F960" t="n">
        <x:v>2</x:v>
      </x:c>
      <x:c r="G960" t="str">
        <x:v>PBk11</x:v>
      </x:c>
      <x:c r="H960" t="str">
        <x:v>PB15/PBk11/PV16/PR101</x:v>
      </x:c>
      <x:c r="I960" t="str">
        <x:v>https://www.carandache.com/content_files/uploaded_doc/product/10985/Colour_Chart_Pastel_Pencil.pdf</x:v>
      </x:c>
    </x:row>
    <x:row r="961">
      <x:c r="A961" t="str">
        <x:v>CDA-PSTC-093</x:v>
      </x:c>
      <x:c r="B961" t="str">
        <x:v>PSTC</x:v>
      </x:c>
      <x:c r="C961" t="str">
        <x:v>PASTEL CUBES</x:v>
      </x:c>
      <x:c r="D961" t="str">
        <x:v>093</x:v>
      </x:c>
      <x:c r="E961" t="str">
        <x:v>Violet grey</x:v>
      </x:c>
      <x:c r="F961" t="n">
        <x:v>3</x:v>
      </x:c>
      <x:c r="G961" t="str">
        <x:v>PV16</x:v>
      </x:c>
      <x:c r="H961" t="str">
        <x:v>PB15/PBk11/PV16/PR101</x:v>
      </x:c>
      <x:c r="I961" t="str">
        <x:v>https://www.carandache.com/content_files/uploaded_doc/product/10985/Colour_Chart_Pastel_Pencil.pdf</x:v>
      </x:c>
    </x:row>
    <x:row r="962">
      <x:c r="A962" t="str">
        <x:v>CDA-PSTC-093</x:v>
      </x:c>
      <x:c r="B962" t="str">
        <x:v>PSTC</x:v>
      </x:c>
      <x:c r="C962" t="str">
        <x:v>PASTEL CUBES</x:v>
      </x:c>
      <x:c r="D962" t="str">
        <x:v>093</x:v>
      </x:c>
      <x:c r="E962" t="str">
        <x:v>Violet grey</x:v>
      </x:c>
      <x:c r="F962" t="n">
        <x:v>4</x:v>
      </x:c>
      <x:c r="G962" t="str">
        <x:v>PR101</x:v>
      </x:c>
      <x:c r="H962" t="str">
        <x:v>PB15/PBk11/PV16/PR101</x:v>
      </x:c>
      <x:c r="I962" t="str">
        <x:v>https://www.carandache.com/content_files/uploaded_doc/product/10985/Colour_Chart_Pastel_Pencil.pdf</x:v>
      </x:c>
    </x:row>
    <x:row r="963">
      <x:c r="A963" t="str">
        <x:v>CDA-PSTC-002</x:v>
      </x:c>
      <x:c r="B963" t="str">
        <x:v>PSTC</x:v>
      </x:c>
      <x:c r="C963" t="str">
        <x:v>PASTEL CUBES</x:v>
      </x:c>
      <x:c r="D963" t="str">
        <x:v>002</x:v>
      </x:c>
      <x:c r="E963" t="str">
        <x:v>Silver grey</x:v>
      </x:c>
      <x:c r="F963" t="n">
        <x:v>1</x:v>
      </x:c>
      <x:c r="G963" t="str">
        <x:v>PB15</x:v>
      </x:c>
      <x:c r="H963" t="str">
        <x:v>PB15/PBk6</x:v>
      </x:c>
      <x:c r="I963" t="str">
        <x:v>https://www.carandache.com/content_files/uploaded_doc/product/10985/Colour_Chart_Pastel_Pencil.pdf</x:v>
      </x:c>
    </x:row>
    <x:row r="964">
      <x:c r="A964" t="str">
        <x:v>CDA-PSTC-002</x:v>
      </x:c>
      <x:c r="B964" t="str">
        <x:v>PSTC</x:v>
      </x:c>
      <x:c r="C964" t="str">
        <x:v>PASTEL CUBES</x:v>
      </x:c>
      <x:c r="D964" t="str">
        <x:v>002</x:v>
      </x:c>
      <x:c r="E964" t="str">
        <x:v>Silver grey</x:v>
      </x:c>
      <x:c r="F964" t="n">
        <x:v>2</x:v>
      </x:c>
      <x:c r="G964" t="str">
        <x:v>PBk6</x:v>
      </x:c>
      <x:c r="H964" t="str">
        <x:v>PB15/PBk6</x:v>
      </x:c>
      <x:c r="I964" t="str">
        <x:v>https://www.carandache.com/content_files/uploaded_doc/product/10985/Colour_Chart_Pastel_Pencil.pdf</x:v>
      </x:c>
    </x:row>
    <x:row r="965">
      <x:c r="A965" t="str">
        <x:v>CDA-PSTC-004</x:v>
      </x:c>
      <x:c r="B965" t="str">
        <x:v>PSTC</x:v>
      </x:c>
      <x:c r="C965" t="str">
        <x:v>PASTEL CUBES</x:v>
      </x:c>
      <x:c r="D965" t="str">
        <x:v>004</x:v>
      </x:c>
      <x:c r="E965" t="str">
        <x:v>Steel grey</x:v>
      </x:c>
      <x:c r="F965" t="n">
        <x:v>1</x:v>
      </x:c>
      <x:c r="G965" t="str">
        <x:v>PB15</x:v>
      </x:c>
      <x:c r="H965" t="str">
        <x:v>PB15/PBk6</x:v>
      </x:c>
      <x:c r="I965" t="str">
        <x:v>https://www.carandache.com/content_files/uploaded_doc/product/10985/Colour_Chart_Pastel_Pencil.pdf</x:v>
      </x:c>
    </x:row>
    <x:row r="966">
      <x:c r="A966" t="str">
        <x:v>CDA-PSTC-004</x:v>
      </x:c>
      <x:c r="B966" t="str">
        <x:v>PSTC</x:v>
      </x:c>
      <x:c r="C966" t="str">
        <x:v>PASTEL CUBES</x:v>
      </x:c>
      <x:c r="D966" t="str">
        <x:v>004</x:v>
      </x:c>
      <x:c r="E966" t="str">
        <x:v>Steel grey</x:v>
      </x:c>
      <x:c r="F966" t="n">
        <x:v>2</x:v>
      </x:c>
      <x:c r="G966" t="str">
        <x:v>PBk6</x:v>
      </x:c>
      <x:c r="H966" t="str">
        <x:v>PB15/PBk6</x:v>
      </x:c>
      <x:c r="I966" t="str">
        <x:v>https://www.carandache.com/content_files/uploaded_doc/product/10985/Colour_Chart_Pastel_Pencil.pdf</x:v>
      </x:c>
    </x:row>
    <x:row r="967">
      <x:c r="A967" t="str">
        <x:v>CDA-PSTC-008</x:v>
      </x:c>
      <x:c r="B967" t="str">
        <x:v>PSTC</x:v>
      </x:c>
      <x:c r="C967" t="str">
        <x:v>PASTEL CUBES</x:v>
      </x:c>
      <x:c r="D967" t="str">
        <x:v>008</x:v>
      </x:c>
      <x:c r="E967" t="str">
        <x:v>Greyish black</x:v>
      </x:c>
      <x:c r="F967" t="n">
        <x:v>1</x:v>
      </x:c>
      <x:c r="G967" t="str">
        <x:v>PB15</x:v>
      </x:c>
      <x:c r="H967" t="str">
        <x:v>PB15/PBk6</x:v>
      </x:c>
      <x:c r="I967" t="str">
        <x:v>https://www.carandache.com/content_files/uploaded_doc/product/10985/Colour_Chart_Pastel_Pencil.pdf</x:v>
      </x:c>
    </x:row>
    <x:row r="968">
      <x:c r="A968" t="str">
        <x:v>CDA-PSTC-008</x:v>
      </x:c>
      <x:c r="B968" t="str">
        <x:v>PSTC</x:v>
      </x:c>
      <x:c r="C968" t="str">
        <x:v>PASTEL CUBES</x:v>
      </x:c>
      <x:c r="D968" t="str">
        <x:v>008</x:v>
      </x:c>
      <x:c r="E968" t="str">
        <x:v>Greyish black</x:v>
      </x:c>
      <x:c r="F968" t="n">
        <x:v>2</x:v>
      </x:c>
      <x:c r="G968" t="str">
        <x:v>PBk6</x:v>
      </x:c>
      <x:c r="H968" t="str">
        <x:v>PB15/PBk6</x:v>
      </x:c>
      <x:c r="I968" t="str">
        <x:v>https://www.carandache.com/content_files/uploaded_doc/product/10985/Colour_Chart_Pastel_Pencil.pdf</x:v>
      </x:c>
    </x:row>
    <x:row r="969">
      <x:c r="A969" t="str">
        <x:v>CDA-PSTC-495</x:v>
      </x:c>
      <x:c r="B969" t="str">
        <x:v>PSTC</x:v>
      </x:c>
      <x:c r="C969" t="str">
        <x:v>PASTEL CUBES</x:v>
      </x:c>
      <x:c r="D969" t="str">
        <x:v>495</x:v>
      </x:c>
      <x:c r="E969" t="str">
        <x:v>Slate grey</x:v>
      </x:c>
      <x:c r="F969" t="n">
        <x:v>1</x:v>
      </x:c>
      <x:c r="G969" t="str">
        <x:v>PBk9</x:v>
      </x:c>
      <x:c r="H969" t="str">
        <x:v>PBk9</x:v>
      </x:c>
      <x:c r="I969" t="str">
        <x:v>https://www.carandache.com/content_files/uploaded_doc/product/10985/Colour_Chart_Pastel_Pencil.pdf</x:v>
      </x:c>
    </x:row>
    <x:row r="970">
      <x:c r="A970" t="str">
        <x:v>CDA-PSTC-748</x:v>
      </x:c>
      <x:c r="B970" t="str">
        <x:v>PSTC</x:v>
      </x:c>
      <x:c r="C970" t="str">
        <x:v>PASTEL CUBES</x:v>
      </x:c>
      <x:c r="D970" t="str">
        <x:v>748</x:v>
      </x:c>
      <x:c r="E970" t="str">
        <x:v>Dark flesh</x:v>
      </x:c>
      <x:c r="F970" t="n">
        <x:v>1</x:v>
      </x:c>
      <x:c r="G970" t="str">
        <x:v>PR179</x:v>
      </x:c>
      <x:c r="H970" t="str">
        <x:v>PR179/PBk7/PBr7/PBk11/PY42/PR101</x:v>
      </x:c>
      <x:c r="I970" t="str">
        <x:v>https://www.carandache.com/content_files/uploaded_doc/product/10985/Colour_Chart_Pastel_Pencil.pdf</x:v>
      </x:c>
    </x:row>
    <x:row r="971">
      <x:c r="A971" t="str">
        <x:v>CDA-PSTC-748</x:v>
      </x:c>
      <x:c r="B971" t="str">
        <x:v>PSTC</x:v>
      </x:c>
      <x:c r="C971" t="str">
        <x:v>PASTEL CUBES</x:v>
      </x:c>
      <x:c r="D971" t="str">
        <x:v>748</x:v>
      </x:c>
      <x:c r="E971" t="str">
        <x:v>Dark flesh</x:v>
      </x:c>
      <x:c r="F971" t="n">
        <x:v>2</x:v>
      </x:c>
      <x:c r="G971" t="str">
        <x:v>PBk7</x:v>
      </x:c>
      <x:c r="H971" t="str">
        <x:v>PR179/PBk7/PBr7/PBk11/PY42/PR101</x:v>
      </x:c>
      <x:c r="I971" t="str">
        <x:v>https://www.carandache.com/content_files/uploaded_doc/product/10985/Colour_Chart_Pastel_Pencil.pdf</x:v>
      </x:c>
    </x:row>
    <x:row r="972">
      <x:c r="A972" t="str">
        <x:v>CDA-PSTC-748</x:v>
      </x:c>
      <x:c r="B972" t="str">
        <x:v>PSTC</x:v>
      </x:c>
      <x:c r="C972" t="str">
        <x:v>PASTEL CUBES</x:v>
      </x:c>
      <x:c r="D972" t="str">
        <x:v>748</x:v>
      </x:c>
      <x:c r="E972" t="str">
        <x:v>Dark flesh</x:v>
      </x:c>
      <x:c r="F972" t="n">
        <x:v>3</x:v>
      </x:c>
      <x:c r="G972" t="str">
        <x:v>PBr7</x:v>
      </x:c>
      <x:c r="H972" t="str">
        <x:v>PR179/PBk7/PBr7/PBk11/PY42/PR101</x:v>
      </x:c>
      <x:c r="I972" t="str">
        <x:v>https://www.carandache.com/content_files/uploaded_doc/product/10985/Colour_Chart_Pastel_Pencil.pdf</x:v>
      </x:c>
    </x:row>
    <x:row r="973">
      <x:c r="A973" t="str">
        <x:v>CDA-PSTC-748</x:v>
      </x:c>
      <x:c r="B973" t="str">
        <x:v>PSTC</x:v>
      </x:c>
      <x:c r="C973" t="str">
        <x:v>PASTEL CUBES</x:v>
      </x:c>
      <x:c r="D973" t="str">
        <x:v>748</x:v>
      </x:c>
      <x:c r="E973" t="str">
        <x:v>Dark flesh</x:v>
      </x:c>
      <x:c r="F973" t="n">
        <x:v>4</x:v>
      </x:c>
      <x:c r="G973" t="str">
        <x:v>PBk11</x:v>
      </x:c>
      <x:c r="H973" t="str">
        <x:v>PR179/PBk7/PBr7/PBk11/PY42/PR101</x:v>
      </x:c>
      <x:c r="I973" t="str">
        <x:v>https://www.carandache.com/content_files/uploaded_doc/product/10985/Colour_Chart_Pastel_Pencil.pdf</x:v>
      </x:c>
    </x:row>
    <x:row r="974">
      <x:c r="A974" t="str">
        <x:v>CDA-PSTC-748</x:v>
      </x:c>
      <x:c r="B974" t="str">
        <x:v>PSTC</x:v>
      </x:c>
      <x:c r="C974" t="str">
        <x:v>PASTEL CUBES</x:v>
      </x:c>
      <x:c r="D974" t="str">
        <x:v>748</x:v>
      </x:c>
      <x:c r="E974" t="str">
        <x:v>Dark flesh</x:v>
      </x:c>
      <x:c r="F974" t="n">
        <x:v>5</x:v>
      </x:c>
      <x:c r="G974" t="str">
        <x:v>PY42</x:v>
      </x:c>
      <x:c r="H974" t="str">
        <x:v>PR179/PBk7/PBr7/PBk11/PY42/PR101</x:v>
      </x:c>
      <x:c r="I974" t="str">
        <x:v>https://www.carandache.com/content_files/uploaded_doc/product/10985/Colour_Chart_Pastel_Pencil.pdf</x:v>
      </x:c>
    </x:row>
    <x:row r="975">
      <x:c r="A975" t="str">
        <x:v>CDA-PSTC-748</x:v>
      </x:c>
      <x:c r="B975" t="str">
        <x:v>PSTC</x:v>
      </x:c>
      <x:c r="C975" t="str">
        <x:v>PASTEL CUBES</x:v>
      </x:c>
      <x:c r="D975" t="str">
        <x:v>748</x:v>
      </x:c>
      <x:c r="E975" t="str">
        <x:v>Dark flesh</x:v>
      </x:c>
      <x:c r="F975" t="n">
        <x:v>6</x:v>
      </x:c>
      <x:c r="G975" t="str">
        <x:v>PR101</x:v>
      </x:c>
      <x:c r="H975" t="str">
        <x:v>PR179/PBk7/PBr7/PBk11/PY42/PR101</x:v>
      </x:c>
      <x:c r="I975" t="str">
        <x:v>https://www.carandache.com/content_files/uploaded_doc/product/10985/Colour_Chart_Pastel_Pencil.pdf</x:v>
      </x:c>
    </x:row>
    <x:row r="976">
      <x:c r="A976" t="str">
        <x:v>CDA-PSTC-009</x:v>
      </x:c>
      <x:c r="B976" t="str">
        <x:v>PSTC</x:v>
      </x:c>
      <x:c r="C976" t="str">
        <x:v>PASTEL CUBES</x:v>
      </x:c>
      <x:c r="D976" t="str">
        <x:v>009</x:v>
      </x:c>
      <x:c r="E976" t="str">
        <x:v>Black</x:v>
      </x:c>
      <x:c r="F976" t="n">
        <x:v>1</x:v>
      </x:c>
      <x:c r="G976" t="str">
        <x:v>PBk7</x:v>
      </x:c>
      <x:c r="H976" t="str">
        <x:v>PBk7</x:v>
      </x:c>
      <x:c r="I976" t="str">
        <x:v>https://www.carandache.com/content_files/uploaded_doc/product/10985/Colour_Chart_Pastel_Pencil.pdf</x:v>
      </x:c>
    </x:row>
    <x:row r="977">
      <x:c r="A977" t="str">
        <x:v>CDA-NART-001</x:v>
      </x:c>
      <x:c r="B977" t="str">
        <x:v>NART</x:v>
      </x:c>
      <x:c r="C977" t="str">
        <x:v>NEOART 6901</x:v>
      </x:c>
      <x:c r="D977" t="str">
        <x:v>001</x:v>
      </x:c>
      <x:c r="E977" t="str">
        <x:v>White</x:v>
      </x:c>
      <x:c r="F977" t="n">
        <x:v>1</x:v>
      </x:c>
      <x:c r="G977" t="str">
        <x:v>PW6</x:v>
      </x:c>
      <x:c r="H977" t="str">
        <x:v>PW6</x:v>
      </x:c>
      <x:c r="I977" t="str">
        <x:v>https://www.carandache.com/</x:v>
      </x:c>
    </x:row>
    <x:row r="978">
      <x:c r="A978" t="str">
        <x:v>CDA-NART-002</x:v>
      </x:c>
      <x:c r="B978" t="str">
        <x:v>NART</x:v>
      </x:c>
      <x:c r="C978" t="str">
        <x:v>NEOART 6901</x:v>
      </x:c>
      <x:c r="D978" t="str">
        <x:v>002</x:v>
      </x:c>
      <x:c r="E978" t="str">
        <x:v>Silver grey</x:v>
      </x:c>
      <x:c r="F978" t="n">
        <x:v>1</x:v>
      </x:c>
      <x:c r="G978" t="str">
        <x:v>PW6</x:v>
      </x:c>
      <x:c r="H978" t="str">
        <x:v>PW6/PBk6/PB15</x:v>
      </x:c>
      <x:c r="I978" t="str">
        <x:v>https://www.carandache.com/</x:v>
      </x:c>
    </x:row>
    <x:row r="979">
      <x:c r="A979" t="str">
        <x:v>CDA-NART-002</x:v>
      </x:c>
      <x:c r="B979" t="str">
        <x:v>NART</x:v>
      </x:c>
      <x:c r="C979" t="str">
        <x:v>NEOART 6901</x:v>
      </x:c>
      <x:c r="D979" t="str">
        <x:v>002</x:v>
      </x:c>
      <x:c r="E979" t="str">
        <x:v>Silver grey</x:v>
      </x:c>
      <x:c r="F979" t="n">
        <x:v>2</x:v>
      </x:c>
      <x:c r="G979" t="str">
        <x:v>PBk6</x:v>
      </x:c>
      <x:c r="H979" t="str">
        <x:v>PW6/PBk6/PB15</x:v>
      </x:c>
      <x:c r="I979" t="str">
        <x:v>https://www.carandache.com/</x:v>
      </x:c>
    </x:row>
    <x:row r="980">
      <x:c r="A980" t="str">
        <x:v>CDA-NART-002</x:v>
      </x:c>
      <x:c r="B980" t="str">
        <x:v>NART</x:v>
      </x:c>
      <x:c r="C980" t="str">
        <x:v>NEOART 6901</x:v>
      </x:c>
      <x:c r="D980" t="str">
        <x:v>002</x:v>
      </x:c>
      <x:c r="E980" t="str">
        <x:v>Silver grey</x:v>
      </x:c>
      <x:c r="F980" t="n">
        <x:v>3</x:v>
      </x:c>
      <x:c r="G980" t="str">
        <x:v>PB15</x:v>
      </x:c>
      <x:c r="H980" t="str">
        <x:v>PW6/PBk6/PB15</x:v>
      </x:c>
      <x:c r="I980" t="str">
        <x:v>https://www.carandache.com/</x:v>
      </x:c>
    </x:row>
    <x:row r="981">
      <x:c r="A981" t="str">
        <x:v>CDA-NART-009</x:v>
      </x:c>
      <x:c r="B981" t="str">
        <x:v>NART</x:v>
      </x:c>
      <x:c r="C981" t="str">
        <x:v>NEOART 6901</x:v>
      </x:c>
      <x:c r="D981" t="str">
        <x:v>009</x:v>
      </x:c>
      <x:c r="E981" t="str">
        <x:v>Black</x:v>
      </x:c>
      <x:c r="F981" t="n">
        <x:v>1</x:v>
      </x:c>
      <x:c r="G981" t="str">
        <x:v>PBk6</x:v>
      </x:c>
      <x:c r="H981" t="str">
        <x:v>PBk6</x:v>
      </x:c>
      <x:c r="I981" t="str">
        <x:v>https://www.carandache.com/</x:v>
      </x:c>
    </x:row>
    <x:row r="982">
      <x:c r="A982" t="str">
        <x:v>CDA-NART-010</x:v>
      </x:c>
      <x:c r="B982" t="str">
        <x:v>NART</x:v>
      </x:c>
      <x:c r="C982" t="str">
        <x:v>NEOART 6901</x:v>
      </x:c>
      <x:c r="D982" t="str">
        <x:v>010</x:v>
      </x:c>
      <x:c r="E982" t="str">
        <x:v>Yellow</x:v>
      </x:c>
      <x:c r="F982" t="n">
        <x:v>1</x:v>
      </x:c>
      <x:c r="G982" t="str">
        <x:v>PY154</x:v>
      </x:c>
      <x:c r="H982" t="str">
        <x:v>PY154</x:v>
      </x:c>
      <x:c r="I982" t="str">
        <x:v>https://www.carandache.com/</x:v>
      </x:c>
    </x:row>
    <x:row r="983">
      <x:c r="A983" t="str">
        <x:v>CDA-NART-030</x:v>
      </x:c>
      <x:c r="B983" t="str">
        <x:v>NART</x:v>
      </x:c>
      <x:c r="C983" t="str">
        <x:v>NEOART 6901</x:v>
      </x:c>
      <x:c r="D983" t="str">
        <x:v>030</x:v>
      </x:c>
      <x:c r="E983" t="str">
        <x:v>Orange</x:v>
      </x:c>
      <x:c r="F983" t="n">
        <x:v>1</x:v>
      </x:c>
      <x:c r="G983" t="str">
        <x:v>PO62</x:v>
      </x:c>
      <x:c r="H983" t="str">
        <x:v>PO62</x:v>
      </x:c>
      <x:c r="I983" t="str">
        <x:v>https://www.carandache.com/</x:v>
      </x:c>
    </x:row>
    <x:row r="984">
      <x:c r="A984" t="str">
        <x:v>CDA-NART-035</x:v>
      </x:c>
      <x:c r="B984" t="str">
        <x:v>NART</x:v>
      </x:c>
      <x:c r="C984" t="str">
        <x:v>NEOART 6901</x:v>
      </x:c>
      <x:c r="D984" t="str">
        <x:v>035</x:v>
      </x:c>
      <x:c r="E984" t="str">
        <x:v>Ochre</x:v>
      </x:c>
      <x:c r="F984" t="n">
        <x:v>1</x:v>
      </x:c>
      <x:c r="G984" t="str">
        <x:v>PY42</x:v>
      </x:c>
      <x:c r="H984" t="str">
        <x:v>PY42</x:v>
      </x:c>
      <x:c r="I984" t="str">
        <x:v>https://www.carandache.com/</x:v>
      </x:c>
    </x:row>
    <x:row r="985">
      <x:c r="A985" t="str">
        <x:v>CDA-NART-037</x:v>
      </x:c>
      <x:c r="B985" t="str">
        <x:v>NART</x:v>
      </x:c>
      <x:c r="C985" t="str">
        <x:v>NEOART 6901</x:v>
      </x:c>
      <x:c r="D985" t="str">
        <x:v>037</x:v>
      </x:c>
      <x:c r="E985" t="str">
        <x:v>Brown ochre</x:v>
      </x:c>
      <x:c r="F985" t="n">
        <x:v>1</x:v>
      </x:c>
      <x:c r="G985" t="str">
        <x:v>PBk9</x:v>
      </x:c>
      <x:c r="H985" t="str">
        <x:v>PBk9/PR101/PY42</x:v>
      </x:c>
      <x:c r="I985" t="str">
        <x:v>https://www.carandache.com/</x:v>
      </x:c>
    </x:row>
    <x:row r="986">
      <x:c r="A986" t="str">
        <x:v>CDA-NART-037</x:v>
      </x:c>
      <x:c r="B986" t="str">
        <x:v>NART</x:v>
      </x:c>
      <x:c r="C986" t="str">
        <x:v>NEOART 6901</x:v>
      </x:c>
      <x:c r="D986" t="str">
        <x:v>037</x:v>
      </x:c>
      <x:c r="E986" t="str">
        <x:v>Brown ochre</x:v>
      </x:c>
      <x:c r="F986" t="n">
        <x:v>2</x:v>
      </x:c>
      <x:c r="G986" t="str">
        <x:v>PR101</x:v>
      </x:c>
      <x:c r="H986" t="str">
        <x:v>PBk9/PR101/PY42</x:v>
      </x:c>
      <x:c r="I986" t="str">
        <x:v>https://www.carandache.com/</x:v>
      </x:c>
    </x:row>
    <x:row r="987">
      <x:c r="A987" t="str">
        <x:v>CDA-NART-037</x:v>
      </x:c>
      <x:c r="B987" t="str">
        <x:v>NART</x:v>
      </x:c>
      <x:c r="C987" t="str">
        <x:v>NEOART 6901</x:v>
      </x:c>
      <x:c r="D987" t="str">
        <x:v>037</x:v>
      </x:c>
      <x:c r="E987" t="str">
        <x:v>Brown ochre</x:v>
      </x:c>
      <x:c r="F987" t="n">
        <x:v>3</x:v>
      </x:c>
      <x:c r="G987" t="str">
        <x:v>PY42</x:v>
      </x:c>
      <x:c r="H987" t="str">
        <x:v>PBk9/PR101/PY42</x:v>
      </x:c>
      <x:c r="I987" t="str">
        <x:v>https://www.carandache.com/</x:v>
      </x:c>
    </x:row>
    <x:row r="988">
      <x:c r="A988" t="str">
        <x:v>CDA-NART-044</x:v>
      </x:c>
      <x:c r="B988" t="str">
        <x:v>NART</x:v>
      </x:c>
      <x:c r="C988" t="str">
        <x:v>NEOART 6901</x:v>
      </x:c>
      <x:c r="D988" t="str">
        <x:v>044</x:v>
      </x:c>
      <x:c r="E988" t="str">
        <x:v>Terracotta</x:v>
      </x:c>
      <x:c r="F988" t="n">
        <x:v>1</x:v>
      </x:c>
      <x:c r="G988" t="str">
        <x:v>PR101</x:v>
      </x:c>
      <x:c r="H988" t="str">
        <x:v>PR101/PO82</x:v>
      </x:c>
      <x:c r="I988" t="str">
        <x:v>https://www.carandache.com/</x:v>
      </x:c>
    </x:row>
    <x:row r="989">
      <x:c r="A989" t="str">
        <x:v>CDA-NART-044</x:v>
      </x:c>
      <x:c r="B989" t="str">
        <x:v>NART</x:v>
      </x:c>
      <x:c r="C989" t="str">
        <x:v>NEOART 6901</x:v>
      </x:c>
      <x:c r="D989" t="str">
        <x:v>044</x:v>
      </x:c>
      <x:c r="E989" t="str">
        <x:v>Terracotta</x:v>
      </x:c>
      <x:c r="F989" t="n">
        <x:v>2</x:v>
      </x:c>
      <x:c r="G989" t="str">
        <x:v>PO82</x:v>
      </x:c>
      <x:c r="H989" t="str">
        <x:v>PR101/PO82</x:v>
      </x:c>
      <x:c r="I989" t="str">
        <x:v>https://www.carandache.com/</x:v>
      </x:c>
    </x:row>
    <x:row r="990">
      <x:c r="A990" t="str">
        <x:v>CDA-NART-052</x:v>
      </x:c>
      <x:c r="B990" t="str">
        <x:v>NART</x:v>
      </x:c>
      <x:c r="C990" t="str">
        <x:v>NEOART 6901</x:v>
      </x:c>
      <x:c r="D990" t="str">
        <x:v>052</x:v>
      </x:c>
      <x:c r="E990" t="str">
        <x:v>Saffron</x:v>
      </x:c>
      <x:c r="F990" t="n">
        <x:v>1</x:v>
      </x:c>
      <x:c r="G990" t="str">
        <x:v>PR101</x:v>
      </x:c>
      <x:c r="H990" t="str">
        <x:v>PR101/PO82</x:v>
      </x:c>
      <x:c r="I990" t="str">
        <x:v>https://www.carandache.com/</x:v>
      </x:c>
    </x:row>
    <x:row r="991">
      <x:c r="A991" t="str">
        <x:v>CDA-NART-052</x:v>
      </x:c>
      <x:c r="B991" t="str">
        <x:v>NART</x:v>
      </x:c>
      <x:c r="C991" t="str">
        <x:v>NEOART 6901</x:v>
      </x:c>
      <x:c r="D991" t="str">
        <x:v>052</x:v>
      </x:c>
      <x:c r="E991" t="str">
        <x:v>Saffron</x:v>
      </x:c>
      <x:c r="F991" t="n">
        <x:v>2</x:v>
      </x:c>
      <x:c r="G991" t="str">
        <x:v>PO82</x:v>
      </x:c>
      <x:c r="H991" t="str">
        <x:v>PR101/PO82</x:v>
      </x:c>
      <x:c r="I991" t="str">
        <x:v>https://www.carandache.com/</x:v>
      </x:c>
    </x:row>
    <x:row r="992">
      <x:c r="A992" t="str">
        <x:v>CDA-NART-061</x:v>
      </x:c>
      <x:c r="B992" t="str">
        <x:v>NART</x:v>
      </x:c>
      <x:c r="C992" t="str">
        <x:v>NEOART 6901</x:v>
      </x:c>
      <x:c r="D992" t="str">
        <x:v>061</x:v>
      </x:c>
      <x:c r="E992" t="str">
        <x:v>Permanent red</x:v>
      </x:c>
      <x:c r="F992" t="n">
        <x:v>1</x:v>
      </x:c>
      <x:c r="G992" t="str">
        <x:v>PR242</x:v>
      </x:c>
      <x:c r="H992" t="str">
        <x:v>PR242</x:v>
      </x:c>
      <x:c r="I992" t="str">
        <x:v>https://www.carandache.com/</x:v>
      </x:c>
    </x:row>
    <x:row r="993">
      <x:c r="A993" t="str">
        <x:v>CDA-NART-065</x:v>
      </x:c>
      <x:c r="B993" t="str">
        <x:v>NART</x:v>
      </x:c>
      <x:c r="C993" t="str">
        <x:v>NEOART 6901</x:v>
      </x:c>
      <x:c r="D993" t="str">
        <x:v>065</x:v>
      </x:c>
      <x:c r="E993" t="str">
        <x:v>Russet</x:v>
      </x:c>
      <x:c r="F993" t="n">
        <x:v>1</x:v>
      </x:c>
      <x:c r="G993" t="str">
        <x:v>PR188</x:v>
      </x:c>
      <x:c r="H993" t="str">
        <x:v>PR188/PR101/PY42</x:v>
      </x:c>
      <x:c r="I993" t="str">
        <x:v>https://www.carandache.com/</x:v>
      </x:c>
    </x:row>
    <x:row r="994">
      <x:c r="A994" t="str">
        <x:v>CDA-NART-065</x:v>
      </x:c>
      <x:c r="B994" t="str">
        <x:v>NART</x:v>
      </x:c>
      <x:c r="C994" t="str">
        <x:v>NEOART 6901</x:v>
      </x:c>
      <x:c r="D994" t="str">
        <x:v>065</x:v>
      </x:c>
      <x:c r="E994" t="str">
        <x:v>Russet</x:v>
      </x:c>
      <x:c r="F994" t="n">
        <x:v>2</x:v>
      </x:c>
      <x:c r="G994" t="str">
        <x:v>PR101</x:v>
      </x:c>
      <x:c r="H994" t="str">
        <x:v>PR188/PR101/PY42</x:v>
      </x:c>
      <x:c r="I994" t="str">
        <x:v>https://www.carandache.com/</x:v>
      </x:c>
    </x:row>
    <x:row r="995">
      <x:c r="A995" t="str">
        <x:v>CDA-NART-065</x:v>
      </x:c>
      <x:c r="B995" t="str">
        <x:v>NART</x:v>
      </x:c>
      <x:c r="C995" t="str">
        <x:v>NEOART 6901</x:v>
      </x:c>
      <x:c r="D995" t="str">
        <x:v>065</x:v>
      </x:c>
      <x:c r="E995" t="str">
        <x:v>Russet</x:v>
      </x:c>
      <x:c r="F995" t="n">
        <x:v>3</x:v>
      </x:c>
      <x:c r="G995" t="str">
        <x:v>PY42</x:v>
      </x:c>
      <x:c r="H995" t="str">
        <x:v>PR188/PR101/PY42</x:v>
      </x:c>
      <x:c r="I995" t="str">
        <x:v>https://www.carandache.com/</x:v>
      </x:c>
    </x:row>
    <x:row r="996">
      <x:c r="A996" t="str">
        <x:v>CDA-NART-068</x:v>
      </x:c>
      <x:c r="B996" t="str">
        <x:v>NART</x:v>
      </x:c>
      <x:c r="C996" t="str">
        <x:v>NEOART 6901</x:v>
      </x:c>
      <x:c r="D996" t="str">
        <x:v>068</x:v>
      </x:c>
      <x:c r="E996" t="str">
        <x:v>Herculanum red</x:v>
      </x:c>
      <x:c r="F996" t="n">
        <x:v>1</x:v>
      </x:c>
      <x:c r="G996" t="str">
        <x:v>PR179</x:v>
      </x:c>
      <x:c r="H996" t="str">
        <x:v>PR179/PR168/PR112/PY42</x:v>
      </x:c>
      <x:c r="I996" t="str">
        <x:v>https://www.carandache.com/</x:v>
      </x:c>
    </x:row>
    <x:row r="997">
      <x:c r="A997" t="str">
        <x:v>CDA-NART-068</x:v>
      </x:c>
      <x:c r="B997" t="str">
        <x:v>NART</x:v>
      </x:c>
      <x:c r="C997" t="str">
        <x:v>NEOART 6901</x:v>
      </x:c>
      <x:c r="D997" t="str">
        <x:v>068</x:v>
      </x:c>
      <x:c r="E997" t="str">
        <x:v>Herculanum red</x:v>
      </x:c>
      <x:c r="F997" t="n">
        <x:v>2</x:v>
      </x:c>
      <x:c r="G997" t="str">
        <x:v>PR168</x:v>
      </x:c>
      <x:c r="H997" t="str">
        <x:v>PR179/PR168/PR112/PY42</x:v>
      </x:c>
      <x:c r="I997" t="str">
        <x:v>https://www.carandache.com/</x:v>
      </x:c>
    </x:row>
    <x:row r="998">
      <x:c r="A998" t="str">
        <x:v>CDA-NART-068</x:v>
      </x:c>
      <x:c r="B998" t="str">
        <x:v>NART</x:v>
      </x:c>
      <x:c r="C998" t="str">
        <x:v>NEOART 6901</x:v>
      </x:c>
      <x:c r="D998" t="str">
        <x:v>068</x:v>
      </x:c>
      <x:c r="E998" t="str">
        <x:v>Herculanum red</x:v>
      </x:c>
      <x:c r="F998" t="n">
        <x:v>3</x:v>
      </x:c>
      <x:c r="G998" t="str">
        <x:v>PR112</x:v>
      </x:c>
      <x:c r="H998" t="str">
        <x:v>PR179/PR168/PR112/PY42</x:v>
      </x:c>
      <x:c r="I998" t="str">
        <x:v>https://www.carandache.com/</x:v>
      </x:c>
    </x:row>
    <x:row r="999">
      <x:c r="A999" t="str">
        <x:v>CDA-NART-068</x:v>
      </x:c>
      <x:c r="B999" t="str">
        <x:v>NART</x:v>
      </x:c>
      <x:c r="C999" t="str">
        <x:v>NEOART 6901</x:v>
      </x:c>
      <x:c r="D999" t="str">
        <x:v>068</x:v>
      </x:c>
      <x:c r="E999" t="str">
        <x:v>Herculanum red</x:v>
      </x:c>
      <x:c r="F999" t="n">
        <x:v>4</x:v>
      </x:c>
      <x:c r="G999" t="str">
        <x:v>PY42</x:v>
      </x:c>
      <x:c r="H999" t="str">
        <x:v>PR179/PR168/PR112/PY42</x:v>
      </x:c>
      <x:c r="I999" t="str">
        <x:v>https://www.carandache.com/</x:v>
      </x:c>
    </x:row>
    <x:row r="1000">
      <x:c r="A1000" t="str">
        <x:v>CDA-NART-069</x:v>
      </x:c>
      <x:c r="B1000" t="str">
        <x:v>NART</x:v>
      </x:c>
      <x:c r="C1000" t="str">
        <x:v>NEOART 6901</x:v>
      </x:c>
      <x:c r="D1000" t="str">
        <x:v>069</x:v>
      </x:c>
      <x:c r="E1000" t="str">
        <x:v>Burnt Sienna</x:v>
      </x:c>
      <x:c r="F1000" t="n">
        <x:v>1</x:v>
      </x:c>
      <x:c r="G1000" t="str">
        <x:v>PR101</x:v>
      </x:c>
      <x:c r="H1000" t="str">
        <x:v>PR101/PBk6</x:v>
      </x:c>
      <x:c r="I1000" t="str">
        <x:v>https://www.carandache.com/</x:v>
      </x:c>
    </x:row>
    <x:row r="1001">
      <x:c r="A1001" t="str">
        <x:v>CDA-NART-069</x:v>
      </x:c>
      <x:c r="B1001" t="str">
        <x:v>NART</x:v>
      </x:c>
      <x:c r="C1001" t="str">
        <x:v>NEOART 6901</x:v>
      </x:c>
      <x:c r="D1001" t="str">
        <x:v>069</x:v>
      </x:c>
      <x:c r="E1001" t="str">
        <x:v>Burnt Sienna</x:v>
      </x:c>
      <x:c r="F1001" t="n">
        <x:v>2</x:v>
      </x:c>
      <x:c r="G1001" t="str">
        <x:v>PBk6</x:v>
      </x:c>
      <x:c r="H1001" t="str">
        <x:v>PR101/PBk6</x:v>
      </x:c>
      <x:c r="I1001" t="str">
        <x:v>https://www.carandache.com/</x:v>
      </x:c>
    </x:row>
    <x:row r="1002">
      <x:c r="A1002" t="str">
        <x:v>CDA-NART-070</x:v>
      </x:c>
      <x:c r="B1002" t="str">
        <x:v>NART</x:v>
      </x:c>
      <x:c r="C1002" t="str">
        <x:v>NEOART 6901</x:v>
      </x:c>
      <x:c r="D1002" t="str">
        <x:v>070</x:v>
      </x:c>
      <x:c r="E1002" t="str">
        <x:v>Scarlet</x:v>
      </x:c>
      <x:c r="F1002" t="n">
        <x:v>1</x:v>
      </x:c>
      <x:c r="G1002" t="str">
        <x:v>PR254</x:v>
      </x:c>
      <x:c r="H1002" t="str">
        <x:v>PR254</x:v>
      </x:c>
      <x:c r="I1002" t="str">
        <x:v>https://www.carandache.com/</x:v>
      </x:c>
    </x:row>
    <x:row r="1003">
      <x:c r="A1003" t="str">
        <x:v>CDA-NART-077</x:v>
      </x:c>
      <x:c r="B1003" t="str">
        <x:v>NART</x:v>
      </x:c>
      <x:c r="C1003" t="str">
        <x:v>NEOART 6901</x:v>
      </x:c>
      <x:c r="D1003" t="str">
        <x:v>077</x:v>
      </x:c>
      <x:c r="E1003" t="str">
        <x:v>Burnt ochre</x:v>
      </x:c>
      <x:c r="F1003" t="n">
        <x:v>1</x:v>
      </x:c>
      <x:c r="G1003" t="str">
        <x:v>PR101</x:v>
      </x:c>
      <x:c r="H1003" t="str">
        <x:v>PR101/PY42</x:v>
      </x:c>
      <x:c r="I1003" t="str">
        <x:v>https://www.carandache.com/</x:v>
      </x:c>
    </x:row>
    <x:row r="1004">
      <x:c r="A1004" t="str">
        <x:v>CDA-NART-077</x:v>
      </x:c>
      <x:c r="B1004" t="str">
        <x:v>NART</x:v>
      </x:c>
      <x:c r="C1004" t="str">
        <x:v>NEOART 6901</x:v>
      </x:c>
      <x:c r="D1004" t="str">
        <x:v>077</x:v>
      </x:c>
      <x:c r="E1004" t="str">
        <x:v>Burnt ochre</x:v>
      </x:c>
      <x:c r="F1004" t="n">
        <x:v>2</x:v>
      </x:c>
      <x:c r="G1004" t="str">
        <x:v>PY42</x:v>
      </x:c>
      <x:c r="H1004" t="str">
        <x:v>PR101/PY42</x:v>
      </x:c>
      <x:c r="I1004" t="str">
        <x:v>https://www.carandache.com/</x:v>
      </x:c>
    </x:row>
    <x:row r="1005">
      <x:c r="A1005" t="str">
        <x:v>CDA-NART-093</x:v>
      </x:c>
      <x:c r="B1005" t="str">
        <x:v>NART</x:v>
      </x:c>
      <x:c r="C1005" t="str">
        <x:v>NEOART 6901</x:v>
      </x:c>
      <x:c r="D1005" t="str">
        <x:v>093</x:v>
      </x:c>
      <x:c r="E1005" t="str">
        <x:v>Violet grey</x:v>
      </x:c>
      <x:c r="F1005" t="n">
        <x:v>1</x:v>
      </x:c>
      <x:c r="G1005" t="str">
        <x:v>PR101</x:v>
      </x:c>
      <x:c r="H1005" t="str">
        <x:v>PR101/PV23/PY42/PBk6/PBk11</x:v>
      </x:c>
      <x:c r="I1005" t="str">
        <x:v>https://www.carandache.com/</x:v>
      </x:c>
    </x:row>
    <x:row r="1006">
      <x:c r="A1006" t="str">
        <x:v>CDA-NART-093</x:v>
      </x:c>
      <x:c r="B1006" t="str">
        <x:v>NART</x:v>
      </x:c>
      <x:c r="C1006" t="str">
        <x:v>NEOART 6901</x:v>
      </x:c>
      <x:c r="D1006" t="str">
        <x:v>093</x:v>
      </x:c>
      <x:c r="E1006" t="str">
        <x:v>Violet grey</x:v>
      </x:c>
      <x:c r="F1006" t="n">
        <x:v>2</x:v>
      </x:c>
      <x:c r="G1006" t="str">
        <x:v>PV23</x:v>
      </x:c>
      <x:c r="H1006" t="str">
        <x:v>PR101/PV23/PY42/PBk6/PBk11</x:v>
      </x:c>
      <x:c r="I1006" t="str">
        <x:v>https://www.carandache.com/</x:v>
      </x:c>
    </x:row>
    <x:row r="1007">
      <x:c r="A1007" t="str">
        <x:v>CDA-NART-093</x:v>
      </x:c>
      <x:c r="B1007" t="str">
        <x:v>NART</x:v>
      </x:c>
      <x:c r="C1007" t="str">
        <x:v>NEOART 6901</x:v>
      </x:c>
      <x:c r="D1007" t="str">
        <x:v>093</x:v>
      </x:c>
      <x:c r="E1007" t="str">
        <x:v>Violet grey</x:v>
      </x:c>
      <x:c r="F1007" t="n">
        <x:v>3</x:v>
      </x:c>
      <x:c r="G1007" t="str">
        <x:v>PY42</x:v>
      </x:c>
      <x:c r="H1007" t="str">
        <x:v>PR101/PV23/PY42/PBk6/PBk11</x:v>
      </x:c>
      <x:c r="I1007" t="str">
        <x:v>https://www.carandache.com/</x:v>
      </x:c>
    </x:row>
    <x:row r="1008">
      <x:c r="A1008" t="str">
        <x:v>CDA-NART-093</x:v>
      </x:c>
      <x:c r="B1008" t="str">
        <x:v>NART</x:v>
      </x:c>
      <x:c r="C1008" t="str">
        <x:v>NEOART 6901</x:v>
      </x:c>
      <x:c r="D1008" t="str">
        <x:v>093</x:v>
      </x:c>
      <x:c r="E1008" t="str">
        <x:v>Violet grey</x:v>
      </x:c>
      <x:c r="F1008" t="n">
        <x:v>4</x:v>
      </x:c>
      <x:c r="G1008" t="str">
        <x:v>PBk6</x:v>
      </x:c>
      <x:c r="H1008" t="str">
        <x:v>PR101/PV23/PY42/PBk6/PBk11</x:v>
      </x:c>
      <x:c r="I1008" t="str">
        <x:v>https://www.carandache.com/</x:v>
      </x:c>
    </x:row>
    <x:row r="1009">
      <x:c r="A1009" t="str">
        <x:v>CDA-NART-093</x:v>
      </x:c>
      <x:c r="B1009" t="str">
        <x:v>NART</x:v>
      </x:c>
      <x:c r="C1009" t="str">
        <x:v>NEOART 6901</x:v>
      </x:c>
      <x:c r="D1009" t="str">
        <x:v>093</x:v>
      </x:c>
      <x:c r="E1009" t="str">
        <x:v>Violet grey</x:v>
      </x:c>
      <x:c r="F1009" t="n">
        <x:v>5</x:v>
      </x:c>
      <x:c r="G1009" t="str">
        <x:v>PBk11</x:v>
      </x:c>
      <x:c r="H1009" t="str">
        <x:v>PR101/PV23/PY42/PBk6/PBk11</x:v>
      </x:c>
      <x:c r="I1009" t="str">
        <x:v>https://www.carandache.com/</x:v>
      </x:c>
    </x:row>
    <x:row r="1010">
      <x:c r="A1010" t="str">
        <x:v>CDA-NART-112</x:v>
      </x:c>
      <x:c r="B1010" t="str">
        <x:v>NART</x:v>
      </x:c>
      <x:c r="C1010" t="str">
        <x:v>NEOART 6901</x:v>
      </x:c>
      <x:c r="D1010" t="str">
        <x:v>112</x:v>
      </x:c>
      <x:c r="E1010" t="str">
        <x:v>Manganese violet</x:v>
      </x:c>
      <x:c r="F1010" t="n">
        <x:v>1</x:v>
      </x:c>
      <x:c r="G1010" t="str">
        <x:v>PV16</x:v>
      </x:c>
      <x:c r="H1010" t="str">
        <x:v>PV16</x:v>
      </x:c>
      <x:c r="I1010" t="str">
        <x:v>https://www.carandache.com/</x:v>
      </x:c>
    </x:row>
    <x:row r="1011">
      <x:c r="A1011" t="str">
        <x:v>CDA-NART-120</x:v>
      </x:c>
      <x:c r="B1011" t="str">
        <x:v>NART</x:v>
      </x:c>
      <x:c r="C1011" t="str">
        <x:v>NEOART 6901</x:v>
      </x:c>
      <x:c r="D1011" t="str">
        <x:v>120</x:v>
      </x:c>
      <x:c r="E1011" t="str">
        <x:v>Violet</x:v>
      </x:c>
      <x:c r="F1011" t="n">
        <x:v>1</x:v>
      </x:c>
      <x:c r="G1011" t="str">
        <x:v>PB15</x:v>
      </x:c>
      <x:c r="H1011" t="str">
        <x:v>PB15/PR122</x:v>
      </x:c>
      <x:c r="I1011" t="str">
        <x:v>https://www.carandache.com/</x:v>
      </x:c>
    </x:row>
    <x:row r="1012">
      <x:c r="A1012" t="str">
        <x:v>CDA-NART-120</x:v>
      </x:c>
      <x:c r="B1012" t="str">
        <x:v>NART</x:v>
      </x:c>
      <x:c r="C1012" t="str">
        <x:v>NEOART 6901</x:v>
      </x:c>
      <x:c r="D1012" t="str">
        <x:v>120</x:v>
      </x:c>
      <x:c r="E1012" t="str">
        <x:v>Violet</x:v>
      </x:c>
      <x:c r="F1012" t="n">
        <x:v>2</x:v>
      </x:c>
      <x:c r="G1012" t="str">
        <x:v>PR122</x:v>
      </x:c>
      <x:c r="H1012" t="str">
        <x:v>PB15/PR122</x:v>
      </x:c>
      <x:c r="I1012" t="str">
        <x:v>https://www.carandache.com/</x:v>
      </x:c>
    </x:row>
    <x:row r="1013">
      <x:c r="A1013" t="str">
        <x:v>CDA-NART-140</x:v>
      </x:c>
      <x:c r="B1013" t="str">
        <x:v>NART</x:v>
      </x:c>
      <x:c r="C1013" t="str">
        <x:v>NEOART 6901</x:v>
      </x:c>
      <x:c r="D1013" t="str">
        <x:v>140</x:v>
      </x:c>
      <x:c r="E1013" t="str">
        <x:v>Ultramarine</x:v>
      </x:c>
      <x:c r="F1013" t="n">
        <x:v>1</x:v>
      </x:c>
      <x:c r="G1013" t="str">
        <x:v>PB29</x:v>
      </x:c>
      <x:c r="H1013" t="str">
        <x:v>PB29/PB28</x:v>
      </x:c>
      <x:c r="I1013" t="str">
        <x:v>https://www.carandache.com/</x:v>
      </x:c>
    </x:row>
    <x:row r="1014">
      <x:c r="A1014" t="str">
        <x:v>CDA-NART-140</x:v>
      </x:c>
      <x:c r="B1014" t="str">
        <x:v>NART</x:v>
      </x:c>
      <x:c r="C1014" t="str">
        <x:v>NEOART 6901</x:v>
      </x:c>
      <x:c r="D1014" t="str">
        <x:v>140</x:v>
      </x:c>
      <x:c r="E1014" t="str">
        <x:v>Ultramarine</x:v>
      </x:c>
      <x:c r="F1014" t="n">
        <x:v>2</x:v>
      </x:c>
      <x:c r="G1014" t="str">
        <x:v>PB28</x:v>
      </x:c>
      <x:c r="H1014" t="str">
        <x:v>PB29/PB28</x:v>
      </x:c>
      <x:c r="I1014" t="str">
        <x:v>https://www.carandache.com/</x:v>
      </x:c>
    </x:row>
    <x:row r="1015">
      <x:c r="A1015" t="str">
        <x:v>CDA-NART-149</x:v>
      </x:c>
      <x:c r="B1015" t="str">
        <x:v>NART</x:v>
      </x:c>
      <x:c r="C1015" t="str">
        <x:v>NEOART 6901</x:v>
      </x:c>
      <x:c r="D1015" t="str">
        <x:v>149</x:v>
      </x:c>
      <x:c r="E1015" t="str">
        <x:v>Night blue</x:v>
      </x:c>
      <x:c r="F1015" t="n">
        <x:v>1</x:v>
      </x:c>
      <x:c r="G1015" t="str">
        <x:v>PB15</x:v>
      </x:c>
      <x:c r="H1015" t="str">
        <x:v>PB15/PBk6/PB60/PB27</x:v>
      </x:c>
      <x:c r="I1015" t="str">
        <x:v>https://www.carandache.com/</x:v>
      </x:c>
    </x:row>
    <x:row r="1016">
      <x:c r="A1016" t="str">
        <x:v>CDA-NART-149</x:v>
      </x:c>
      <x:c r="B1016" t="str">
        <x:v>NART</x:v>
      </x:c>
      <x:c r="C1016" t="str">
        <x:v>NEOART 6901</x:v>
      </x:c>
      <x:c r="D1016" t="str">
        <x:v>149</x:v>
      </x:c>
      <x:c r="E1016" t="str">
        <x:v>Night blue</x:v>
      </x:c>
      <x:c r="F1016" t="n">
        <x:v>2</x:v>
      </x:c>
      <x:c r="G1016" t="str">
        <x:v>PBk6</x:v>
      </x:c>
      <x:c r="H1016" t="str">
        <x:v>PB15/PBk6/PB60/PB27</x:v>
      </x:c>
      <x:c r="I1016" t="str">
        <x:v>https://www.carandache.com/</x:v>
      </x:c>
    </x:row>
    <x:row r="1017">
      <x:c r="A1017" t="str">
        <x:v>CDA-NART-149</x:v>
      </x:c>
      <x:c r="B1017" t="str">
        <x:v>NART</x:v>
      </x:c>
      <x:c r="C1017" t="str">
        <x:v>NEOART 6901</x:v>
      </x:c>
      <x:c r="D1017" t="str">
        <x:v>149</x:v>
      </x:c>
      <x:c r="E1017" t="str">
        <x:v>Night blue</x:v>
      </x:c>
      <x:c r="F1017" t="n">
        <x:v>3</x:v>
      </x:c>
      <x:c r="G1017" t="str">
        <x:v>PB60</x:v>
      </x:c>
      <x:c r="H1017" t="str">
        <x:v>PB15/PBk6/PB60/PB27</x:v>
      </x:c>
      <x:c r="I1017" t="str">
        <x:v>https://www.carandache.com/</x:v>
      </x:c>
    </x:row>
    <x:row r="1018">
      <x:c r="A1018" t="str">
        <x:v>CDA-NART-149</x:v>
      </x:c>
      <x:c r="B1018" t="str">
        <x:v>NART</x:v>
      </x:c>
      <x:c r="C1018" t="str">
        <x:v>NEOART 6901</x:v>
      </x:c>
      <x:c r="D1018" t="str">
        <x:v>149</x:v>
      </x:c>
      <x:c r="E1018" t="str">
        <x:v>Night blue</x:v>
      </x:c>
      <x:c r="F1018" t="n">
        <x:v>4</x:v>
      </x:c>
      <x:c r="G1018" t="str">
        <x:v>PB27</x:v>
      </x:c>
      <x:c r="H1018" t="str">
        <x:v>PB15/PBk6/PB60/PB27</x:v>
      </x:c>
      <x:c r="I1018" t="str">
        <x:v>https://www.carandache.com/</x:v>
      </x:c>
    </x:row>
    <x:row r="1019">
      <x:c r="A1019" t="str">
        <x:v>CDA-NART-181</x:v>
      </x:c>
      <x:c r="B1019" t="str">
        <x:v>NART</x:v>
      </x:c>
      <x:c r="C1019" t="str">
        <x:v>NEOART 6901</x:v>
      </x:c>
      <x:c r="D1019" t="str">
        <x:v>181</x:v>
      </x:c>
      <x:c r="E1019" t="str">
        <x:v>Light malachite green</x:v>
      </x:c>
      <x:c r="F1019" t="n">
        <x:v>1</x:v>
      </x:c>
      <x:c r="G1019" t="str">
        <x:v>PBk9</x:v>
      </x:c>
      <x:c r="H1019" t="str">
        <x:v>PBk9/PG7</x:v>
      </x:c>
      <x:c r="I1019" t="str">
        <x:v>https://www.carandache.com/</x:v>
      </x:c>
    </x:row>
    <x:row r="1020">
      <x:c r="A1020" t="str">
        <x:v>CDA-NART-181</x:v>
      </x:c>
      <x:c r="B1020" t="str">
        <x:v>NART</x:v>
      </x:c>
      <x:c r="C1020" t="str">
        <x:v>NEOART 6901</x:v>
      </x:c>
      <x:c r="D1020" t="str">
        <x:v>181</x:v>
      </x:c>
      <x:c r="E1020" t="str">
        <x:v>Light malachite green</x:v>
      </x:c>
      <x:c r="F1020" t="n">
        <x:v>2</x:v>
      </x:c>
      <x:c r="G1020" t="str">
        <x:v>PG7</x:v>
      </x:c>
      <x:c r="H1020" t="str">
        <x:v>PBk9/PG7</x:v>
      </x:c>
      <x:c r="I1020" t="str">
        <x:v>https://www.carandache.com/</x:v>
      </x:c>
    </x:row>
    <x:row r="1021">
      <x:c r="A1021" t="str">
        <x:v>CDA-NART-182</x:v>
      </x:c>
      <x:c r="B1021" t="str">
        <x:v>NART</x:v>
      </x:c>
      <x:c r="C1021" t="str">
        <x:v>NEOART 6901</x:v>
      </x:c>
      <x:c r="D1021" t="str">
        <x:v>182</x:v>
      </x:c>
      <x:c r="E1021" t="str">
        <x:v>Cobalt green</x:v>
      </x:c>
      <x:c r="F1021" t="n">
        <x:v>1</x:v>
      </x:c>
      <x:c r="G1021" t="str">
        <x:v>PG50</x:v>
      </x:c>
      <x:c r="H1021" t="str">
        <x:v>PG50</x:v>
      </x:c>
      <x:c r="I1021" t="str">
        <x:v>https://www.carandache.com/</x:v>
      </x:c>
    </x:row>
    <x:row r="1022">
      <x:c r="A1022" t="str">
        <x:v>CDA-NART-185</x:v>
      </x:c>
      <x:c r="B1022" t="str">
        <x:v>NART</x:v>
      </x:c>
      <x:c r="C1022" t="str">
        <x:v>NEOART 6901</x:v>
      </x:c>
      <x:c r="D1022" t="str">
        <x:v>185</x:v>
      </x:c>
      <x:c r="E1022" t="str">
        <x:v>Ice blue</x:v>
      </x:c>
      <x:c r="F1022" t="n">
        <x:v>1</x:v>
      </x:c>
      <x:c r="G1022" t="str">
        <x:v>PB16</x:v>
      </x:c>
      <x:c r="H1022" t="str">
        <x:v>PB16</x:v>
      </x:c>
      <x:c r="I1022" t="str">
        <x:v>https://www.carandache.com/</x:v>
      </x:c>
    </x:row>
    <x:row r="1023">
      <x:c r="A1023" t="str">
        <x:v>CDA-NART-220</x:v>
      </x:c>
      <x:c r="B1023" t="str">
        <x:v>NART</x:v>
      </x:c>
      <x:c r="C1023" t="str">
        <x:v>NEOART 6901</x:v>
      </x:c>
      <x:c r="D1023" t="str">
        <x:v>220</x:v>
      </x:c>
      <x:c r="E1023" t="str">
        <x:v>Grass green</x:v>
      </x:c>
      <x:c r="F1023" t="n">
        <x:v>1</x:v>
      </x:c>
      <x:c r="G1023" t="str">
        <x:v>PG7</x:v>
      </x:c>
      <x:c r="H1023" t="str">
        <x:v>PG7/PY3/PY1</x:v>
      </x:c>
      <x:c r="I1023" t="str">
        <x:v>https://www.carandache.com/</x:v>
      </x:c>
    </x:row>
    <x:row r="1024">
      <x:c r="A1024" t="str">
        <x:v>CDA-NART-220</x:v>
      </x:c>
      <x:c r="B1024" t="str">
        <x:v>NART</x:v>
      </x:c>
      <x:c r="C1024" t="str">
        <x:v>NEOART 6901</x:v>
      </x:c>
      <x:c r="D1024" t="str">
        <x:v>220</x:v>
      </x:c>
      <x:c r="E1024" t="str">
        <x:v>Grass green</x:v>
      </x:c>
      <x:c r="F1024" t="n">
        <x:v>2</x:v>
      </x:c>
      <x:c r="G1024" t="str">
        <x:v>PY3</x:v>
      </x:c>
      <x:c r="H1024" t="str">
        <x:v>PG7/PY3/PY1</x:v>
      </x:c>
      <x:c r="I1024" t="str">
        <x:v>https://www.carandache.com/</x:v>
      </x:c>
    </x:row>
    <x:row r="1025">
      <x:c r="A1025" t="str">
        <x:v>CDA-NART-220</x:v>
      </x:c>
      <x:c r="B1025" t="str">
        <x:v>NART</x:v>
      </x:c>
      <x:c r="C1025" t="str">
        <x:v>NEOART 6901</x:v>
      </x:c>
      <x:c r="D1025" t="str">
        <x:v>220</x:v>
      </x:c>
      <x:c r="E1025" t="str">
        <x:v>Grass green</x:v>
      </x:c>
      <x:c r="F1025" t="n">
        <x:v>3</x:v>
      </x:c>
      <x:c r="G1025" t="str">
        <x:v>PY1</x:v>
      </x:c>
      <x:c r="H1025" t="str">
        <x:v>PG7/PY3/PY1</x:v>
      </x:c>
      <x:c r="I1025" t="str">
        <x:v>https://www.carandache.com/</x:v>
      </x:c>
    </x:row>
    <x:row r="1026">
      <x:c r="A1026" t="str">
        <x:v>CDA-NART-225</x:v>
      </x:c>
      <x:c r="B1026" t="str">
        <x:v>NART</x:v>
      </x:c>
      <x:c r="C1026" t="str">
        <x:v>NEOART 6901</x:v>
      </x:c>
      <x:c r="D1026" t="str">
        <x:v>225</x:v>
      </x:c>
      <x:c r="E1026" t="str">
        <x:v>Moss green</x:v>
      </x:c>
      <x:c r="F1026" t="n">
        <x:v>1</x:v>
      </x:c>
      <x:c r="G1026" t="str">
        <x:v>PBk6</x:v>
      </x:c>
      <x:c r="H1026" t="str">
        <x:v>PBk6/PB60/PY3</x:v>
      </x:c>
      <x:c r="I1026" t="str">
        <x:v>https://www.carandache.com/</x:v>
      </x:c>
    </x:row>
    <x:row r="1027">
      <x:c r="A1027" t="str">
        <x:v>CDA-NART-225</x:v>
      </x:c>
      <x:c r="B1027" t="str">
        <x:v>NART</x:v>
      </x:c>
      <x:c r="C1027" t="str">
        <x:v>NEOART 6901</x:v>
      </x:c>
      <x:c r="D1027" t="str">
        <x:v>225</x:v>
      </x:c>
      <x:c r="E1027" t="str">
        <x:v>Moss green</x:v>
      </x:c>
      <x:c r="F1027" t="n">
        <x:v>2</x:v>
      </x:c>
      <x:c r="G1027" t="str">
        <x:v>PB60</x:v>
      </x:c>
      <x:c r="H1027" t="str">
        <x:v>PBk6/PB60/PY3</x:v>
      </x:c>
      <x:c r="I1027" t="str">
        <x:v>https://www.carandache.com/</x:v>
      </x:c>
    </x:row>
    <x:row r="1028">
      <x:c r="A1028" t="str">
        <x:v>CDA-NART-225</x:v>
      </x:c>
      <x:c r="B1028" t="str">
        <x:v>NART</x:v>
      </x:c>
      <x:c r="C1028" t="str">
        <x:v>NEOART 6901</x:v>
      </x:c>
      <x:c r="D1028" t="str">
        <x:v>225</x:v>
      </x:c>
      <x:c r="E1028" t="str">
        <x:v>Moss green</x:v>
      </x:c>
      <x:c r="F1028" t="n">
        <x:v>3</x:v>
      </x:c>
      <x:c r="G1028" t="str">
        <x:v>PY3</x:v>
      </x:c>
      <x:c r="H1028" t="str">
        <x:v>PBk6/PB60/PY3</x:v>
      </x:c>
      <x:c r="I1028" t="str">
        <x:v>https://www.carandache.com/</x:v>
      </x:c>
    </x:row>
    <x:row r="1029">
      <x:c r="A1029" t="str">
        <x:v>CDA-NART-240</x:v>
      </x:c>
      <x:c r="B1029" t="str">
        <x:v>NART</x:v>
      </x:c>
      <x:c r="C1029" t="str">
        <x:v>NEOART 6901</x:v>
      </x:c>
      <x:c r="D1029" t="str">
        <x:v>240</x:v>
      </x:c>
      <x:c r="E1029" t="str">
        <x:v>Lemon yellow</x:v>
      </x:c>
      <x:c r="F1029" t="n">
        <x:v>1</x:v>
      </x:c>
      <x:c r="G1029" t="str">
        <x:v>PY3</x:v>
      </x:c>
      <x:c r="H1029" t="str">
        <x:v>PY3</x:v>
      </x:c>
      <x:c r="I1029" t="str">
        <x:v>https://www.carandache.com/</x:v>
      </x:c>
    </x:row>
    <x:row r="1030">
      <x:c r="A1030" t="str">
        <x:v>CDA-NART-242</x:v>
      </x:c>
      <x:c r="B1030" t="str">
        <x:v>NART</x:v>
      </x:c>
      <x:c r="C1030" t="str">
        <x:v>NEOART 6901</x:v>
      </x:c>
      <x:c r="D1030" t="str">
        <x:v>242</x:v>
      </x:c>
      <x:c r="E1030" t="str">
        <x:v>Primerose</x:v>
      </x:c>
      <x:c r="F1030" t="n">
        <x:v>1</x:v>
      </x:c>
      <x:c r="G1030" t="str">
        <x:v>PY53</x:v>
      </x:c>
      <x:c r="H1030" t="str">
        <x:v>PY53/PY42</x:v>
      </x:c>
      <x:c r="I1030" t="str">
        <x:v>https://www.carandache.com/</x:v>
      </x:c>
    </x:row>
    <x:row r="1031">
      <x:c r="A1031" t="str">
        <x:v>CDA-NART-242</x:v>
      </x:c>
      <x:c r="B1031" t="str">
        <x:v>NART</x:v>
      </x:c>
      <x:c r="C1031" t="str">
        <x:v>NEOART 6901</x:v>
      </x:c>
      <x:c r="D1031" t="str">
        <x:v>242</x:v>
      </x:c>
      <x:c r="E1031" t="str">
        <x:v>Primerose</x:v>
      </x:c>
      <x:c r="F1031" t="n">
        <x:v>2</x:v>
      </x:c>
      <x:c r="G1031" t="str">
        <x:v>PY42</x:v>
      </x:c>
      <x:c r="H1031" t="str">
        <x:v>PY53/PY42</x:v>
      </x:c>
      <x:c r="I1031" t="str">
        <x:v>https://www.carandache.com/</x:v>
      </x:c>
    </x:row>
    <x:row r="1032">
      <x:c r="A1032" t="str">
        <x:v>CDA-NART-350</x:v>
      </x:c>
      <x:c r="B1032" t="str">
        <x:v>NART</x:v>
      </x:c>
      <x:c r="C1032" t="str">
        <x:v>NEOART 6901</x:v>
      </x:c>
      <x:c r="D1032" t="str">
        <x:v>350</x:v>
      </x:c>
      <x:c r="E1032" t="str">
        <x:v>Purplish red</x:v>
      </x:c>
      <x:c r="F1032" t="n">
        <x:v>1</x:v>
      </x:c>
      <x:c r="G1032" t="str">
        <x:v>PR122</x:v>
      </x:c>
      <x:c r="H1032" t="str">
        <x:v>PR122/PR179</x:v>
      </x:c>
      <x:c r="I1032" t="str">
        <x:v>https://www.carandache.com/</x:v>
      </x:c>
    </x:row>
    <x:row r="1033">
      <x:c r="A1033" t="str">
        <x:v>CDA-NART-350</x:v>
      </x:c>
      <x:c r="B1033" t="str">
        <x:v>NART</x:v>
      </x:c>
      <x:c r="C1033" t="str">
        <x:v>NEOART 6901</x:v>
      </x:c>
      <x:c r="D1033" t="str">
        <x:v>350</x:v>
      </x:c>
      <x:c r="E1033" t="str">
        <x:v>Purplish red</x:v>
      </x:c>
      <x:c r="F1033" t="n">
        <x:v>2</x:v>
      </x:c>
      <x:c r="G1033" t="str">
        <x:v>PR179</x:v>
      </x:c>
      <x:c r="H1033" t="str">
        <x:v>PR122/PR179</x:v>
      </x:c>
      <x:c r="I1033" t="str">
        <x:v>https://www.carandache.com/</x:v>
      </x:c>
    </x:row>
    <x:row r="1034">
      <x:c r="A1034" t="str">
        <x:v>CDA-NART-407</x:v>
      </x:c>
      <x:c r="B1034" t="str">
        <x:v>NART</x:v>
      </x:c>
      <x:c r="C1034" t="str">
        <x:v>NEOART 6901</x:v>
      </x:c>
      <x:c r="D1034" t="str">
        <x:v>407</x:v>
      </x:c>
      <x:c r="E1034" t="str">
        <x:v>Sepia</x:v>
      </x:c>
      <x:c r="F1034" t="n">
        <x:v>1</x:v>
      </x:c>
      <x:c r="G1034" t="str">
        <x:v>PBk6</x:v>
      </x:c>
      <x:c r="H1034" t="str">
        <x:v>PBk6/PR101/PY42/PBk11</x:v>
      </x:c>
      <x:c r="I1034" t="str">
        <x:v>https://www.carandache.com/</x:v>
      </x:c>
    </x:row>
    <x:row r="1035">
      <x:c r="A1035" t="str">
        <x:v>CDA-NART-407</x:v>
      </x:c>
      <x:c r="B1035" t="str">
        <x:v>NART</x:v>
      </x:c>
      <x:c r="C1035" t="str">
        <x:v>NEOART 6901</x:v>
      </x:c>
      <x:c r="D1035" t="str">
        <x:v>407</x:v>
      </x:c>
      <x:c r="E1035" t="str">
        <x:v>Sepia</x:v>
      </x:c>
      <x:c r="F1035" t="n">
        <x:v>2</x:v>
      </x:c>
      <x:c r="G1035" t="str">
        <x:v>PR101</x:v>
      </x:c>
      <x:c r="H1035" t="str">
        <x:v>PBk6/PR101/PY42/PBk11</x:v>
      </x:c>
      <x:c r="I1035" t="str">
        <x:v>https://www.carandache.com/</x:v>
      </x:c>
    </x:row>
    <x:row r="1036">
      <x:c r="A1036" t="str">
        <x:v>CDA-NART-407</x:v>
      </x:c>
      <x:c r="B1036" t="str">
        <x:v>NART</x:v>
      </x:c>
      <x:c r="C1036" t="str">
        <x:v>NEOART 6901</x:v>
      </x:c>
      <x:c r="D1036" t="str">
        <x:v>407</x:v>
      </x:c>
      <x:c r="E1036" t="str">
        <x:v>Sepia</x:v>
      </x:c>
      <x:c r="F1036" t="n">
        <x:v>3</x:v>
      </x:c>
      <x:c r="G1036" t="str">
        <x:v>PY42</x:v>
      </x:c>
      <x:c r="H1036" t="str">
        <x:v>PBk6/PR101/PY42/PBk11</x:v>
      </x:c>
      <x:c r="I1036" t="str">
        <x:v>https://www.carandache.com/</x:v>
      </x:c>
    </x:row>
    <x:row r="1037">
      <x:c r="A1037" t="str">
        <x:v>CDA-NART-407</x:v>
      </x:c>
      <x:c r="B1037" t="str">
        <x:v>NART</x:v>
      </x:c>
      <x:c r="C1037" t="str">
        <x:v>NEOART 6901</x:v>
      </x:c>
      <x:c r="D1037" t="str">
        <x:v>407</x:v>
      </x:c>
      <x:c r="E1037" t="str">
        <x:v>Sepia</x:v>
      </x:c>
      <x:c r="F1037" t="n">
        <x:v>4</x:v>
      </x:c>
      <x:c r="G1037" t="str">
        <x:v>PBk11</x:v>
      </x:c>
      <x:c r="H1037" t="str">
        <x:v>PBk6/PR101/PY42/PBk11</x:v>
      </x:c>
      <x:c r="I1037" t="str">
        <x:v>https://www.carandache.com/</x:v>
      </x:c>
    </x:row>
    <x:row r="1038">
      <x:c r="A1038" t="str">
        <x:v>CDA-NART-470</x:v>
      </x:c>
      <x:c r="B1038" t="str">
        <x:v>NART</x:v>
      </x:c>
      <x:c r="C1038" t="str">
        <x:v>NEOART 6901</x:v>
      </x:c>
      <x:c r="D1038" t="str">
        <x:v>470</x:v>
      </x:c>
      <x:c r="E1038" t="str">
        <x:v>Spring green</x:v>
      </x:c>
      <x:c r="F1038" t="n">
        <x:v>1</x:v>
      </x:c>
      <x:c r="G1038" t="str">
        <x:v>PG7</x:v>
      </x:c>
      <x:c r="H1038" t="str">
        <x:v>PG7/PY3</x:v>
      </x:c>
      <x:c r="I1038" t="str">
        <x:v>https://www.carandache.com/</x:v>
      </x:c>
    </x:row>
    <x:row r="1039">
      <x:c r="A1039" t="str">
        <x:v>CDA-NART-470</x:v>
      </x:c>
      <x:c r="B1039" t="str">
        <x:v>NART</x:v>
      </x:c>
      <x:c r="C1039" t="str">
        <x:v>NEOART 6901</x:v>
      </x:c>
      <x:c r="D1039" t="str">
        <x:v>470</x:v>
      </x:c>
      <x:c r="E1039" t="str">
        <x:v>Spring green</x:v>
      </x:c>
      <x:c r="F1039" t="n">
        <x:v>2</x:v>
      </x:c>
      <x:c r="G1039" t="str">
        <x:v>PY3</x:v>
      </x:c>
      <x:c r="H1039" t="str">
        <x:v>PG7/PY3</x:v>
      </x:c>
      <x:c r="I1039" t="str">
        <x:v>https://www.carandache.com/</x:v>
      </x:c>
    </x:row>
    <x:row r="1040">
      <x:c r="A1040" t="str">
        <x:v>CDA-NART-495</x:v>
      </x:c>
      <x:c r="B1040" t="str">
        <x:v>NART</x:v>
      </x:c>
      <x:c r="C1040" t="str">
        <x:v>NEOART 6901</x:v>
      </x:c>
      <x:c r="D1040" t="str">
        <x:v>495</x:v>
      </x:c>
      <x:c r="E1040" t="str">
        <x:v>Slate grey</x:v>
      </x:c>
      <x:c r="F1040" t="n">
        <x:v>1</x:v>
      </x:c>
      <x:c r="G1040" t="str">
        <x:v>Graphite</x:v>
      </x:c>
      <x:c r="H1040" t="str">
        <x:v>Graphite</x:v>
      </x:c>
      <x:c r="I1040" t="str">
        <x:v>https://www.carandache.com/</x:v>
      </x:c>
    </x:row>
    <x:row r="1041">
      <x:c r="A1041" t="str">
        <x:v>CDA-NART-504</x:v>
      </x:c>
      <x:c r="B1041" t="str">
        <x:v>NART</x:v>
      </x:c>
      <x:c r="C1041" t="str">
        <x:v>NEOART 6901</x:v>
      </x:c>
      <x:c r="D1041" t="str">
        <x:v>504</x:v>
      </x:c>
      <x:c r="E1041" t="str">
        <x:v>Payne's grey 30%</x:v>
      </x:c>
      <x:c r="F1041" t="n">
        <x:v>1</x:v>
      </x:c>
      <x:c r="G1041" t="str">
        <x:v>PB29</x:v>
      </x:c>
      <x:c r="H1041" t="str">
        <x:v>PB29/PBk6</x:v>
      </x:c>
      <x:c r="I1041" t="str">
        <x:v>https://www.carandache.com/</x:v>
      </x:c>
    </x:row>
    <x:row r="1042">
      <x:c r="A1042" t="str">
        <x:v>CDA-NART-504</x:v>
      </x:c>
      <x:c r="B1042" t="str">
        <x:v>NART</x:v>
      </x:c>
      <x:c r="C1042" t="str">
        <x:v>NEOART 6901</x:v>
      </x:c>
      <x:c r="D1042" t="str">
        <x:v>504</x:v>
      </x:c>
      <x:c r="E1042" t="str">
        <x:v>Payne's grey 30%</x:v>
      </x:c>
      <x:c r="F1042" t="n">
        <x:v>2</x:v>
      </x:c>
      <x:c r="G1042" t="str">
        <x:v>PBk6</x:v>
      </x:c>
      <x:c r="H1042" t="str">
        <x:v>PB29/PBk6</x:v>
      </x:c>
      <x:c r="I1042" t="str">
        <x:v>https://www.carandache.com/</x:v>
      </x:c>
    </x:row>
    <x:row r="1043">
      <x:c r="A1043" t="str">
        <x:v>CDA-NART-530</x:v>
      </x:c>
      <x:c r="B1043" t="str">
        <x:v>NART</x:v>
      </x:c>
      <x:c r="C1043" t="str">
        <x:v>NEOART 6901</x:v>
      </x:c>
      <x:c r="D1043" t="str">
        <x:v>530</x:v>
      </x:c>
      <x:c r="E1043" t="str">
        <x:v>Gold cadmium yellow (hue)</x:v>
      </x:c>
      <x:c r="F1043" t="n">
        <x:v>1</x:v>
      </x:c>
      <x:c r="G1043" t="str">
        <x:v>PY184</x:v>
      </x:c>
      <x:c r="H1043" t="str">
        <x:v>PY184</x:v>
      </x:c>
      <x:c r="I1043" t="str">
        <x:v>https://www.carandache.com/</x:v>
      </x:c>
    </x:row>
    <x:row r="1044">
      <x:c r="A1044" t="str">
        <x:v>CDA-NART-542</x:v>
      </x:c>
      <x:c r="B1044" t="str">
        <x:v>NART</x:v>
      </x:c>
      <x:c r="C1044" t="str">
        <x:v>NEOART 6901</x:v>
      </x:c>
      <x:c r="D1044" t="str">
        <x:v>542</x:v>
      </x:c>
      <x:c r="E1044" t="str">
        <x:v>Butternut</x:v>
      </x:c>
      <x:c r="F1044" t="n">
        <x:v>1</x:v>
      </x:c>
      <x:c r="G1044" t="str">
        <x:v>PO82</x:v>
      </x:c>
      <x:c r="H1044" t="str">
        <x:v>PO82</x:v>
      </x:c>
      <x:c r="I1044" t="str">
        <x:v>https://www.carandache.com/</x:v>
      </x:c>
    </x:row>
    <x:row r="1045">
      <x:c r="A1045" t="str">
        <x:v>CDA-NART-548</x:v>
      </x:c>
      <x:c r="B1045" t="str">
        <x:v>NART</x:v>
      </x:c>
      <x:c r="C1045" t="str">
        <x:v>NEOART 6901</x:v>
      </x:c>
      <x:c r="D1045" t="str">
        <x:v>548</x:v>
      </x:c>
      <x:c r="E1045" t="str">
        <x:v>Raw umber</x:v>
      </x:c>
      <x:c r="F1045" t="n">
        <x:v>1</x:v>
      </x:c>
      <x:c r="G1045" t="str">
        <x:v>PBk11</x:v>
      </x:c>
      <x:c r="H1045" t="str">
        <x:v>PBk11/PY42/PR101</x:v>
      </x:c>
      <x:c r="I1045" t="str">
        <x:v>https://www.carandache.com/</x:v>
      </x:c>
    </x:row>
    <x:row r="1046">
      <x:c r="A1046" t="str">
        <x:v>CDA-NART-548</x:v>
      </x:c>
      <x:c r="B1046" t="str">
        <x:v>NART</x:v>
      </x:c>
      <x:c r="C1046" t="str">
        <x:v>NEOART 6901</x:v>
      </x:c>
      <x:c r="D1046" t="str">
        <x:v>548</x:v>
      </x:c>
      <x:c r="E1046" t="str">
        <x:v>Raw umber</x:v>
      </x:c>
      <x:c r="F1046" t="n">
        <x:v>2</x:v>
      </x:c>
      <x:c r="G1046" t="str">
        <x:v>PY42</x:v>
      </x:c>
      <x:c r="H1046" t="str">
        <x:v>PBk11/PY42/PR101</x:v>
      </x:c>
      <x:c r="I1046" t="str">
        <x:v>https://www.carandache.com/</x:v>
      </x:c>
    </x:row>
    <x:row r="1047">
      <x:c r="A1047" t="str">
        <x:v>CDA-NART-548</x:v>
      </x:c>
      <x:c r="B1047" t="str">
        <x:v>NART</x:v>
      </x:c>
      <x:c r="C1047" t="str">
        <x:v>NEOART 6901</x:v>
      </x:c>
      <x:c r="D1047" t="str">
        <x:v>548</x:v>
      </x:c>
      <x:c r="E1047" t="str">
        <x:v>Raw umber</x:v>
      </x:c>
      <x:c r="F1047" t="n">
        <x:v>3</x:v>
      </x:c>
      <x:c r="G1047" t="str">
        <x:v>PR101</x:v>
      </x:c>
      <x:c r="H1047" t="str">
        <x:v>PBk11/PY42/PR101</x:v>
      </x:c>
      <x:c r="I1047" t="str">
        <x:v>https://www.carandache.com/</x:v>
      </x:c>
    </x:row>
    <x:row r="1048">
      <x:c r="A1048" t="str">
        <x:v>CDA-NART-580</x:v>
      </x:c>
      <x:c r="B1048" t="str">
        <x:v>NART</x:v>
      </x:c>
      <x:c r="C1048" t="str">
        <x:v>NEOART 6901</x:v>
      </x:c>
      <x:c r="D1048" t="str">
        <x:v>580</x:v>
      </x:c>
      <x:c r="E1048" t="str">
        <x:v>Anthraquinone carmine</x:v>
      </x:c>
      <x:c r="F1048" t="n">
        <x:v>1</x:v>
      </x:c>
      <x:c r="G1048" t="str">
        <x:v>PR177</x:v>
      </x:c>
      <x:c r="H1048" t="str">
        <x:v>PR177</x:v>
      </x:c>
      <x:c r="I1048" t="str">
        <x:v>https://www.carandache.com/</x:v>
      </x:c>
    </x:row>
    <x:row r="1049">
      <x:c r="A1049" t="str">
        <x:v>CDA-NART-583</x:v>
      </x:c>
      <x:c r="B1049" t="str">
        <x:v>NART</x:v>
      </x:c>
      <x:c r="C1049" t="str">
        <x:v>NEOART 6901</x:v>
      </x:c>
      <x:c r="D1049" t="str">
        <x:v>583</x:v>
      </x:c>
      <x:c r="E1049" t="str">
        <x:v>Violet pink</x:v>
      </x:c>
      <x:c r="F1049" t="n">
        <x:v>1</x:v>
      </x:c>
      <x:c r="G1049" t="str">
        <x:v>PR101</x:v>
      </x:c>
      <x:c r="H1049" t="str">
        <x:v>PR101/PR168/PO82/PR122/PY42/PBr7/PBk7/PBk11</x:v>
      </x:c>
      <x:c r="I1049" t="str">
        <x:v>https://www.carandache.com/</x:v>
      </x:c>
    </x:row>
    <x:row r="1050">
      <x:c r="A1050" t="str">
        <x:v>CDA-NART-583</x:v>
      </x:c>
      <x:c r="B1050" t="str">
        <x:v>NART</x:v>
      </x:c>
      <x:c r="C1050" t="str">
        <x:v>NEOART 6901</x:v>
      </x:c>
      <x:c r="D1050" t="str">
        <x:v>583</x:v>
      </x:c>
      <x:c r="E1050" t="str">
        <x:v>Violet pink</x:v>
      </x:c>
      <x:c r="F1050" t="n">
        <x:v>2</x:v>
      </x:c>
      <x:c r="G1050" t="str">
        <x:v>PR168</x:v>
      </x:c>
      <x:c r="H1050" t="str">
        <x:v>PR101/PR168/PO82/PR122/PY42/PBr7/PBk7/PBk11</x:v>
      </x:c>
      <x:c r="I1050" t="str">
        <x:v>https://www.carandache.com/</x:v>
      </x:c>
    </x:row>
    <x:row r="1051">
      <x:c r="A1051" t="str">
        <x:v>CDA-NART-583</x:v>
      </x:c>
      <x:c r="B1051" t="str">
        <x:v>NART</x:v>
      </x:c>
      <x:c r="C1051" t="str">
        <x:v>NEOART 6901</x:v>
      </x:c>
      <x:c r="D1051" t="str">
        <x:v>583</x:v>
      </x:c>
      <x:c r="E1051" t="str">
        <x:v>Violet pink</x:v>
      </x:c>
      <x:c r="F1051" t="n">
        <x:v>3</x:v>
      </x:c>
      <x:c r="G1051" t="str">
        <x:v>PO82</x:v>
      </x:c>
      <x:c r="H1051" t="str">
        <x:v>PR101/PR168/PO82/PR122/PY42/PBr7/PBk7/PBk11</x:v>
      </x:c>
      <x:c r="I1051" t="str">
        <x:v>https://www.carandache.com/</x:v>
      </x:c>
    </x:row>
    <x:row r="1052">
      <x:c r="A1052" t="str">
        <x:v>CDA-NART-583</x:v>
      </x:c>
      <x:c r="B1052" t="str">
        <x:v>NART</x:v>
      </x:c>
      <x:c r="C1052" t="str">
        <x:v>NEOART 6901</x:v>
      </x:c>
      <x:c r="D1052" t="str">
        <x:v>583</x:v>
      </x:c>
      <x:c r="E1052" t="str">
        <x:v>Violet pink</x:v>
      </x:c>
      <x:c r="F1052" t="n">
        <x:v>4</x:v>
      </x:c>
      <x:c r="G1052" t="str">
        <x:v>PR122</x:v>
      </x:c>
      <x:c r="H1052" t="str">
        <x:v>PR101/PR168/PO82/PR122/PY42/PBr7/PBk7/PBk11</x:v>
      </x:c>
      <x:c r="I1052" t="str">
        <x:v>https://www.carandache.com/</x:v>
      </x:c>
    </x:row>
    <x:row r="1053">
      <x:c r="A1053" t="str">
        <x:v>CDA-NART-583</x:v>
      </x:c>
      <x:c r="B1053" t="str">
        <x:v>NART</x:v>
      </x:c>
      <x:c r="C1053" t="str">
        <x:v>NEOART 6901</x:v>
      </x:c>
      <x:c r="D1053" t="str">
        <x:v>583</x:v>
      </x:c>
      <x:c r="E1053" t="str">
        <x:v>Violet pink</x:v>
      </x:c>
      <x:c r="F1053" t="n">
        <x:v>5</x:v>
      </x:c>
      <x:c r="G1053" t="str">
        <x:v>PY42</x:v>
      </x:c>
      <x:c r="H1053" t="str">
        <x:v>PR101/PR168/PO82/PR122/PY42/PBr7/PBk7/PBk11</x:v>
      </x:c>
      <x:c r="I1053" t="str">
        <x:v>https://www.carandache.com/</x:v>
      </x:c>
    </x:row>
    <x:row r="1054">
      <x:c r="A1054" t="str">
        <x:v>CDA-NART-583</x:v>
      </x:c>
      <x:c r="B1054" t="str">
        <x:v>NART</x:v>
      </x:c>
      <x:c r="C1054" t="str">
        <x:v>NEOART 6901</x:v>
      </x:c>
      <x:c r="D1054" t="str">
        <x:v>583</x:v>
      </x:c>
      <x:c r="E1054" t="str">
        <x:v>Violet pink</x:v>
      </x:c>
      <x:c r="F1054" t="n">
        <x:v>6</x:v>
      </x:c>
      <x:c r="G1054" t="str">
        <x:v>PBr7</x:v>
      </x:c>
      <x:c r="H1054" t="str">
        <x:v>PR101/PR168/PO82/PR122/PY42/PBr7/PBk7/PBk11</x:v>
      </x:c>
      <x:c r="I1054" t="str">
        <x:v>https://www.carandache.com/</x:v>
      </x:c>
    </x:row>
    <x:row r="1055">
      <x:c r="A1055" t="str">
        <x:v>CDA-NART-583</x:v>
      </x:c>
      <x:c r="B1055" t="str">
        <x:v>NART</x:v>
      </x:c>
      <x:c r="C1055" t="str">
        <x:v>NEOART 6901</x:v>
      </x:c>
      <x:c r="D1055" t="str">
        <x:v>583</x:v>
      </x:c>
      <x:c r="E1055" t="str">
        <x:v>Violet pink</x:v>
      </x:c>
      <x:c r="F1055" t="n">
        <x:v>7</x:v>
      </x:c>
      <x:c r="G1055" t="str">
        <x:v>PBk7</x:v>
      </x:c>
      <x:c r="H1055" t="str">
        <x:v>PR101/PR168/PO82/PR122/PY42/PBr7/PBk7/PBk11</x:v>
      </x:c>
      <x:c r="I1055" t="str">
        <x:v>https://www.carandache.com/</x:v>
      </x:c>
    </x:row>
    <x:row r="1056">
      <x:c r="A1056" t="str">
        <x:v>CDA-NART-583</x:v>
      </x:c>
      <x:c r="B1056" t="str">
        <x:v>NART</x:v>
      </x:c>
      <x:c r="C1056" t="str">
        <x:v>NEOART 6901</x:v>
      </x:c>
      <x:c r="D1056" t="str">
        <x:v>583</x:v>
      </x:c>
      <x:c r="E1056" t="str">
        <x:v>Violet pink</x:v>
      </x:c>
      <x:c r="F1056" t="n">
        <x:v>8</x:v>
      </x:c>
      <x:c r="G1056" t="str">
        <x:v>PBk11</x:v>
      </x:c>
      <x:c r="H1056" t="str">
        <x:v>PR101/PR168/PO82/PR122/PY42/PBr7/PBk7/PBk11</x:v>
      </x:c>
      <x:c r="I1056" t="str">
        <x:v>https://www.carandache.com/</x:v>
      </x:c>
    </x:row>
    <x:row r="1057">
      <x:c r="A1057" t="str">
        <x:v>CDA-NART-585</x:v>
      </x:c>
      <x:c r="B1057" t="str">
        <x:v>NART</x:v>
      </x:c>
      <x:c r="C1057" t="str">
        <x:v>NEOART 6901</x:v>
      </x:c>
      <x:c r="D1057" t="str">
        <x:v>585</x:v>
      </x:c>
      <x:c r="E1057" t="str">
        <x:v>Perylene brown</x:v>
      </x:c>
      <x:c r="F1057" t="n">
        <x:v>1</x:v>
      </x:c>
      <x:c r="G1057" t="str">
        <x:v>PR179</x:v>
      </x:c>
      <x:c r="H1057" t="str">
        <x:v>PR179</x:v>
      </x:c>
      <x:c r="I1057" t="str">
        <x:v>https://www.carandache.com/</x:v>
      </x:c>
    </x:row>
    <x:row r="1058">
      <x:c r="A1058" t="str">
        <x:v>CDA-NART-639</x:v>
      </x:c>
      <x:c r="B1058" t="str">
        <x:v>NART</x:v>
      </x:c>
      <x:c r="C1058" t="str">
        <x:v>NEOART 6901</x:v>
      </x:c>
      <x:c r="D1058" t="str">
        <x:v>639</x:v>
      </x:c>
      <x:c r="E1058" t="str">
        <x:v>Dark indigo</x:v>
      </x:c>
      <x:c r="F1058" t="n">
        <x:v>1</x:v>
      </x:c>
      <x:c r="G1058" t="str">
        <x:v>PB60</x:v>
      </x:c>
      <x:c r="H1058" t="str">
        <x:v>PB60/PR254</x:v>
      </x:c>
      <x:c r="I1058" t="str">
        <x:v>https://www.carandache.com/</x:v>
      </x:c>
    </x:row>
    <x:row r="1059">
      <x:c r="A1059" t="str">
        <x:v>CDA-NART-639</x:v>
      </x:c>
      <x:c r="B1059" t="str">
        <x:v>NART</x:v>
      </x:c>
      <x:c r="C1059" t="str">
        <x:v>NEOART 6901</x:v>
      </x:c>
      <x:c r="D1059" t="str">
        <x:v>639</x:v>
      </x:c>
      <x:c r="E1059" t="str">
        <x:v>Dark indigo</x:v>
      </x:c>
      <x:c r="F1059" t="n">
        <x:v>2</x:v>
      </x:c>
      <x:c r="G1059" t="str">
        <x:v>PR254</x:v>
      </x:c>
      <x:c r="H1059" t="str">
        <x:v>PB60/PR254</x:v>
      </x:c>
      <x:c r="I1059" t="str">
        <x:v>https://www.carandache.com/</x:v>
      </x:c>
    </x:row>
    <x:row r="1060">
      <x:c r="A1060" t="str">
        <x:v>CDA-NART-661</x:v>
      </x:c>
      <x:c r="B1060" t="str">
        <x:v>NART</x:v>
      </x:c>
      <x:c r="C1060" t="str">
        <x:v>NEOART 6901</x:v>
      </x:c>
      <x:c r="D1060" t="str">
        <x:v>661</x:v>
      </x:c>
      <x:c r="E1060" t="str">
        <x:v>Cobalt blue 5%</x:v>
      </x:c>
      <x:c r="F1060" t="n">
        <x:v>1</x:v>
      </x:c>
      <x:c r="G1060" t="str">
        <x:v>PB28</x:v>
      </x:c>
      <x:c r="H1060" t="str">
        <x:v>PB28</x:v>
      </x:c>
      <x:c r="I1060" t="str">
        <x:v>https://www.carandache.com/</x:v>
      </x:c>
    </x:row>
    <x:row r="1061">
      <x:c r="A1061" t="str">
        <x:v>CDA-NART-662</x:v>
      </x:c>
      <x:c r="B1061" t="str">
        <x:v>NART</x:v>
      </x:c>
      <x:c r="C1061" t="str">
        <x:v>NEOART 6901</x:v>
      </x:c>
      <x:c r="D1061" t="str">
        <x:v>662</x:v>
      </x:c>
      <x:c r="E1061" t="str">
        <x:v>Cobalt blue 10%</x:v>
      </x:c>
      <x:c r="F1061" t="n">
        <x:v>1</x:v>
      </x:c>
      <x:c r="G1061" t="str">
        <x:v>PB28</x:v>
      </x:c>
      <x:c r="H1061" t="str">
        <x:v>PB28</x:v>
      </x:c>
      <x:c r="I1061" t="str">
        <x:v>https://www.carandache.com/</x:v>
      </x:c>
    </x:row>
    <x:row r="1062">
      <x:c r="A1062" t="str">
        <x:v>CDA-NART-671</x:v>
      </x:c>
      <x:c r="B1062" t="str">
        <x:v>NART</x:v>
      </x:c>
      <x:c r="C1062" t="str">
        <x:v>NEOART 6901</x:v>
      </x:c>
      <x:c r="D1062" t="str">
        <x:v>671</x:v>
      </x:c>
      <x:c r="E1062" t="str">
        <x:v>Chrysocolla blue</x:v>
      </x:c>
      <x:c r="F1062" t="n">
        <x:v>1</x:v>
      </x:c>
      <x:c r="G1062" t="str">
        <x:v>PB28</x:v>
      </x:c>
      <x:c r="H1062" t="str">
        <x:v>PB28</x:v>
      </x:c>
      <x:c r="I1062" t="str">
        <x:v>https://www.carandache.com/</x:v>
      </x:c>
    </x:row>
    <x:row r="1063">
      <x:c r="A1063" t="str">
        <x:v>CDA-NART-719</x:v>
      </x:c>
      <x:c r="B1063" t="str">
        <x:v>NART</x:v>
      </x:c>
      <x:c r="C1063" t="str">
        <x:v>NEOART 6901</x:v>
      </x:c>
      <x:c r="D1063" t="str">
        <x:v>719</x:v>
      </x:c>
      <x:c r="E1063" t="str">
        <x:v>Dark phthalocyanine green</x:v>
      </x:c>
      <x:c r="F1063" t="n">
        <x:v>1</x:v>
      </x:c>
      <x:c r="G1063" t="str">
        <x:v>PBk6</x:v>
      </x:c>
      <x:c r="H1063" t="str">
        <x:v>PBk6/PB15/PY3/PY74</x:v>
      </x:c>
      <x:c r="I1063" t="str">
        <x:v>https://www.carandache.com/</x:v>
      </x:c>
    </x:row>
    <x:row r="1064">
      <x:c r="A1064" t="str">
        <x:v>CDA-NART-719</x:v>
      </x:c>
      <x:c r="B1064" t="str">
        <x:v>NART</x:v>
      </x:c>
      <x:c r="C1064" t="str">
        <x:v>NEOART 6901</x:v>
      </x:c>
      <x:c r="D1064" t="str">
        <x:v>719</x:v>
      </x:c>
      <x:c r="E1064" t="str">
        <x:v>Dark phthalocyanine green</x:v>
      </x:c>
      <x:c r="F1064" t="n">
        <x:v>2</x:v>
      </x:c>
      <x:c r="G1064" t="str">
        <x:v>PB15</x:v>
      </x:c>
      <x:c r="H1064" t="str">
        <x:v>PBk6/PB15/PY3/PY74</x:v>
      </x:c>
      <x:c r="I1064" t="str">
        <x:v>https://www.carandache.com/</x:v>
      </x:c>
    </x:row>
    <x:row r="1065">
      <x:c r="A1065" t="str">
        <x:v>CDA-NART-719</x:v>
      </x:c>
      <x:c r="B1065" t="str">
        <x:v>NART</x:v>
      </x:c>
      <x:c r="C1065" t="str">
        <x:v>NEOART 6901</x:v>
      </x:c>
      <x:c r="D1065" t="str">
        <x:v>719</x:v>
      </x:c>
      <x:c r="E1065" t="str">
        <x:v>Dark phthalocyanine green</x:v>
      </x:c>
      <x:c r="F1065" t="n">
        <x:v>3</x:v>
      </x:c>
      <x:c r="G1065" t="str">
        <x:v>PY3</x:v>
      </x:c>
      <x:c r="H1065" t="str">
        <x:v>PBk6/PB15/PY3/PY74</x:v>
      </x:c>
      <x:c r="I1065" t="str">
        <x:v>https://www.carandache.com/</x:v>
      </x:c>
    </x:row>
    <x:row r="1066">
      <x:c r="A1066" t="str">
        <x:v>CDA-NART-719</x:v>
      </x:c>
      <x:c r="B1066" t="str">
        <x:v>NART</x:v>
      </x:c>
      <x:c r="C1066" t="str">
        <x:v>NEOART 6901</x:v>
      </x:c>
      <x:c r="D1066" t="str">
        <x:v>719</x:v>
      </x:c>
      <x:c r="E1066" t="str">
        <x:v>Dark phthalocyanine green</x:v>
      </x:c>
      <x:c r="F1066" t="n">
        <x:v>4</x:v>
      </x:c>
      <x:c r="G1066" t="str">
        <x:v>PY74</x:v>
      </x:c>
      <x:c r="H1066" t="str">
        <x:v>PBk6/PB15/PY3/PY74</x:v>
      </x:c>
      <x:c r="I1066" t="str">
        <x:v>https://www.carandache.com/</x:v>
      </x:c>
    </x:row>
    <x:row r="1067">
      <x:c r="A1067" t="str">
        <x:v>CDA-NART-729</x:v>
      </x:c>
      <x:c r="B1067" t="str">
        <x:v>NART</x:v>
      </x:c>
      <x:c r="C1067" t="str">
        <x:v>NEOART 6901</x:v>
      </x:c>
      <x:c r="D1067" t="str">
        <x:v>729</x:v>
      </x:c>
      <x:c r="E1067" t="str">
        <x:v>Dark english green</x:v>
      </x:c>
      <x:c r="F1067" t="n">
        <x:v>1</x:v>
      </x:c>
      <x:c r="G1067" t="str">
        <x:v>PBk9</x:v>
      </x:c>
      <x:c r="H1067" t="str">
        <x:v>PBk9/PG7</x:v>
      </x:c>
      <x:c r="I1067" t="str">
        <x:v>https://www.carandache.com/</x:v>
      </x:c>
    </x:row>
    <x:row r="1068">
      <x:c r="A1068" t="str">
        <x:v>CDA-NART-729</x:v>
      </x:c>
      <x:c r="B1068" t="str">
        <x:v>NART</x:v>
      </x:c>
      <x:c r="C1068" t="str">
        <x:v>NEOART 6901</x:v>
      </x:c>
      <x:c r="D1068" t="str">
        <x:v>729</x:v>
      </x:c>
      <x:c r="E1068" t="str">
        <x:v>Dark english green</x:v>
      </x:c>
      <x:c r="F1068" t="n">
        <x:v>2</x:v>
      </x:c>
      <x:c r="G1068" t="str">
        <x:v>PG7</x:v>
      </x:c>
      <x:c r="H1068" t="str">
        <x:v>PBk9/PG7</x:v>
      </x:c>
      <x:c r="I1068" t="str">
        <x:v>https://www.carandache.com/</x:v>
      </x:c>
    </x:row>
    <x:row r="1069">
      <x:c r="A1069" t="str">
        <x:v>CDA-NART-736</x:v>
      </x:c>
      <x:c r="B1069" t="str">
        <x:v>NART</x:v>
      </x:c>
      <x:c r="C1069" t="str">
        <x:v>NEOART 6901</x:v>
      </x:c>
      <x:c r="D1069" t="str">
        <x:v>736</x:v>
      </x:c>
      <x:c r="E1069" t="str">
        <x:v>Brown olive 50%</x:v>
      </x:c>
      <x:c r="F1069" t="n">
        <x:v>1</x:v>
      </x:c>
      <x:c r="G1069" t="str">
        <x:v>PBk6</x:v>
      </x:c>
      <x:c r="H1069" t="str">
        <x:v>PBk6/PY42</x:v>
      </x:c>
      <x:c r="I1069" t="str">
        <x:v>https://www.carandache.com/</x:v>
      </x:c>
    </x:row>
    <x:row r="1070">
      <x:c r="A1070" t="str">
        <x:v>CDA-NART-736</x:v>
      </x:c>
      <x:c r="B1070" t="str">
        <x:v>NART</x:v>
      </x:c>
      <x:c r="C1070" t="str">
        <x:v>NEOART 6901</x:v>
      </x:c>
      <x:c r="D1070" t="str">
        <x:v>736</x:v>
      </x:c>
      <x:c r="E1070" t="str">
        <x:v>Brown olive 50%</x:v>
      </x:c>
      <x:c r="F1070" t="n">
        <x:v>2</x:v>
      </x:c>
      <x:c r="G1070" t="str">
        <x:v>PY42</x:v>
      </x:c>
      <x:c r="H1070" t="str">
        <x:v>PBk6/PY42</x:v>
      </x:c>
      <x:c r="I1070" t="str">
        <x:v>https://www.carandache.com/</x:v>
      </x:c>
    </x:row>
    <x:row r="1071">
      <x:c r="A1071" t="str">
        <x:v>CDA-NART-811</x:v>
      </x:c>
      <x:c r="B1071" t="str">
        <x:v>NART</x:v>
      </x:c>
      <x:c r="C1071" t="str">
        <x:v>NEOART 6901</x:v>
      </x:c>
      <x:c r="D1071" t="str">
        <x:v>811</x:v>
      </x:c>
      <x:c r="E1071" t="str">
        <x:v>Bismuth white</x:v>
      </x:c>
      <x:c r="F1071" t="n">
        <x:v>1</x:v>
      </x:c>
      <x:c r="G1071" t="str">
        <x:v>PY184</x:v>
      </x:c>
      <x:c r="H1071" t="str">
        <x:v>PY184</x:v>
      </x:c>
      <x:c r="I1071" t="str">
        <x:v>https://www.carandache.com/</x:v>
      </x:c>
    </x:row>
    <x:row r="1072">
      <x:c r="A1072" t="str">
        <x:v>CDA-NART-850</x:v>
      </x:c>
      <x:c r="B1072" t="str">
        <x:v>NART</x:v>
      </x:c>
      <x:c r="C1072" t="str">
        <x:v>NEOART 6901</x:v>
      </x:c>
      <x:c r="D1072" t="str">
        <x:v>850</x:v>
      </x:c>
      <x:c r="E1072" t="str">
        <x:v>Cornelian</x:v>
      </x:c>
      <x:c r="F1072" t="n">
        <x:v>1</x:v>
      </x:c>
      <x:c r="G1072" t="str">
        <x:v>PO61</x:v>
      </x:c>
      <x:c r="H1072" t="str">
        <x:v>PO61</x:v>
      </x:c>
      <x:c r="I1072" t="str">
        <x:v>https://www.carandache.com/</x:v>
      </x:c>
    </x:row>
    <x:row r="1073">
      <x:c r="A1073" t="str">
        <x:v>CDA-NART-872</x:v>
      </x:c>
      <x:c r="B1073" t="str">
        <x:v>NART</x:v>
      </x:c>
      <x:c r="C1073" t="str">
        <x:v>NEOART 6901</x:v>
      </x:c>
      <x:c r="D1073" t="str">
        <x:v>872</x:v>
      </x:c>
      <x:c r="E1073" t="str">
        <x:v>Burnt ochre 10%</x:v>
      </x:c>
      <x:c r="F1073" t="n">
        <x:v>1</x:v>
      </x:c>
      <x:c r="G1073" t="str">
        <x:v>PR101</x:v>
      </x:c>
      <x:c r="H1073" t="str">
        <x:v>PR101/PY42</x:v>
      </x:c>
      <x:c r="I1073" t="str">
        <x:v>https://www.carandache.com/</x:v>
      </x:c>
    </x:row>
    <x:row r="1074">
      <x:c r="A1074" t="str">
        <x:v>CDA-NART-872</x:v>
      </x:c>
      <x:c r="B1074" t="str">
        <x:v>NART</x:v>
      </x:c>
      <x:c r="C1074" t="str">
        <x:v>NEOART 6901</x:v>
      </x:c>
      <x:c r="D1074" t="str">
        <x:v>872</x:v>
      </x:c>
      <x:c r="E1074" t="str">
        <x:v>Burnt ochre 10%</x:v>
      </x:c>
      <x:c r="F1074" t="n">
        <x:v>2</x:v>
      </x:c>
      <x:c r="G1074" t="str">
        <x:v>PY42</x:v>
      </x:c>
      <x:c r="H1074" t="str">
        <x:v>PR101/PY42</x:v>
      </x:c>
      <x:c r="I1074" t="str">
        <x:v>https://www.carandache.com/</x:v>
      </x:c>
    </x:row>
  </x:sheetData>
  <x:pageMargins left="0.7" right="0.7" top="0.75" bottom="0.75" header="0.3" footer="0.3"/>
  <x:tableParts count="1">
    <x:tablePart xmlns:r="http://schemas.openxmlformats.org/officeDocument/2006/relationships" r:id="R702e5e63985d48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</x:cols>
  <x:sheetData>
    <x:row r="1">
      <x:c r="A1" s="24" t="str">
        <x:v>color_code</x:v>
      </x:c>
      <x:c r="B1" s="24" t="str">
        <x:v>canonical_name_en</x:v>
      </x:c>
      <x:c r="C1" s="24" t="str">
        <x:v>canonical_name_zh_tw</x:v>
      </x:c>
      <x:c r="D1" s="24" t="str">
        <x:v>canonical_name_ja</x:v>
      </x:c>
      <x:c r="E1" s="24" t="str">
        <x:v>series_count</x:v>
      </x:c>
      <x:c r="F1" s="24" t="str">
        <x:v>LUM</x:v>
      </x:c>
      <x:c r="G1" s="24" t="str">
        <x:v>PAB</x:v>
      </x:c>
      <x:c r="H1" s="24" t="str">
        <x:v>SUP</x:v>
      </x:c>
      <x:c r="I1" s="24" t="str">
        <x:v>MUS</x:v>
      </x:c>
      <x:c r="J1" s="24" t="str">
        <x:v>NC2</x:v>
      </x:c>
      <x:c r="K1" s="24" t="str">
        <x:v>NEO</x:v>
      </x:c>
      <x:c r="L1" s="24" t="str">
        <x:v>PSTP</x:v>
      </x:c>
      <x:c r="M1" s="24" t="str">
        <x:v>PSTC</x:v>
      </x:c>
      <x:c r="N1" s="171" t="str">
        <x:v>NART</x:v>
      </x:c>
    </x:row>
    <x:row r="2">
      <x:c r="A2" t="str">
        <x:v>001</x:v>
      </x:c>
      <x:c r="B2" t="str">
        <x:v>White</x:v>
      </x:c>
      <x:c r="C2" t="str">
        <x:v>白色</x:v>
      </x:c>
      <x:c r="D2" t="str">
        <x:v>ホワイト</x:v>
      </x:c>
      <x:c r="E2" t="n">
        <x:v>7</x:v>
      </x:c>
      <x:c r="F2" s="36" t="str">
        <x:v>#F4F4F5</x:v>
      </x:c>
      <x:c r="G2" s="36" t="str">
        <x:v>#FEF2E7</x:v>
      </x:c>
      <x:c r="H2" s="36" t="str">
        <x:v>#FBF8F6</x:v>
      </x:c>
      <x:c r="I2" s="36" t="str">
        <x:v>#EAE5E2</x:v>
      </x:c>
      <x:c r="J2" s="36" t="str">
        <x:v>#FFF8EF</x:v>
      </x:c>
      <x:c r="K2" s="36" t="str">
        <x:v>#F0ECED</x:v>
      </x:c>
      <x:c r="L2" s="36" t="str">
        <x:v>—</x:v>
      </x:c>
      <x:c r="M2" s="36" t="str">
        <x:v>—</x:v>
      </x:c>
      <x:c r="N2" s="173" t="str">
        <x:v>#FFFFFF</x:v>
      </x:c>
    </x:row>
    <x:row r="3">
      <x:c r="A3" t="str">
        <x:v>002</x:v>
      </x:c>
      <x:c r="B3" t="str">
        <x:v>Silver grey</x:v>
      </x:c>
      <x:c r="C3" t="str">
        <x:v>銀灰色</x:v>
      </x:c>
      <x:c r="D3" t="str">
        <x:v>シルバーグレー</x:v>
      </x:c>
      <x:c r="E3" t="n">
        <x:v>8</x:v>
      </x:c>
      <x:c r="F3" s="36" t="str">
        <x:v>#DCEAF7</x:v>
      </x:c>
      <x:c r="G3" s="36" t="str">
        <x:v>#E6E2DA</x:v>
      </x:c>
      <x:c r="H3" s="36" t="str">
        <x:v>#F5F0EC</x:v>
      </x:c>
      <x:c r="I3" s="36" t="str">
        <x:v>—</x:v>
      </x:c>
      <x:c r="J3" s="36" t="str">
        <x:v>#F4ECE3</x:v>
      </x:c>
      <x:c r="K3" s="36" t="str">
        <x:v>#BFD3DA</x:v>
      </x:c>
      <x:c r="L3" s="36" t="str">
        <x:v>#C6D1D7</x:v>
      </x:c>
      <x:c r="M3" s="36" t="str">
        <x:v>#C6D1D7</x:v>
      </x:c>
      <x:c r="N3" s="175" t="str">
        <x:v>#D6DBDD</x:v>
      </x:c>
    </x:row>
    <x:row r="4">
      <x:c r="A4" t="str">
        <x:v>003</x:v>
      </x:c>
      <x:c r="B4" t="str">
        <x:v>Light grey</x:v>
      </x:c>
      <x:c r="C4" t="str">
        <x:v>淺灰色</x:v>
      </x:c>
      <x:c r="D4" t="str">
        <x:v>ライトグレー</x:v>
      </x:c>
      <x:c r="E4" t="n">
        <x:v>6</x:v>
      </x:c>
      <x:c r="F4" s="36" t="str">
        <x:v>—</x:v>
      </x:c>
      <x:c r="G4" s="36" t="str">
        <x:v>#DCDDD8</x:v>
      </x:c>
      <x:c r="H4" s="36" t="str">
        <x:v>#E5E3DD</x:v>
      </x:c>
      <x:c r="I4" s="36" t="str">
        <x:v>—</x:v>
      </x:c>
      <x:c r="J4" s="36" t="str">
        <x:v>#EFEAE2</x:v>
      </x:c>
      <x:c r="K4" s="36" t="str">
        <x:v>#94A8B1</x:v>
      </x:c>
      <x:c r="L4" s="36" t="str">
        <x:v>#9DAFBA</x:v>
      </x:c>
      <x:c r="M4" s="36" t="str">
        <x:v>#9DAFBA</x:v>
      </x:c>
      <x:c r="N4" s="177" t="str">
        <x:v>—</x:v>
      </x:c>
    </x:row>
    <x:row r="5">
      <x:c r="A5" t="str">
        <x:v>004</x:v>
      </x:c>
      <x:c r="B5" t="str">
        <x:v>Steel grey</x:v>
      </x:c>
      <x:c r="C5" t="str">
        <x:v>鋼灰色</x:v>
      </x:c>
      <x:c r="D5" t="str">
        <x:v>スチールグレー</x:v>
      </x:c>
      <x:c r="E5" t="n">
        <x:v>7</x:v>
      </x:c>
      <x:c r="F5" s="36" t="str">
        <x:v>#99A9B6</x:v>
      </x:c>
      <x:c r="G5" s="36" t="str">
        <x:v>#C3C9C4</x:v>
      </x:c>
      <x:c r="H5" s="36" t="str">
        <x:v>#E1DCD9</x:v>
      </x:c>
      <x:c r="I5" s="36" t="str">
        <x:v>#CFD0D4</x:v>
      </x:c>
      <x:c r="J5" s="36" t="str">
        <x:v>—</x:v>
      </x:c>
      <x:c r="K5" s="36" t="str">
        <x:v>#778D9A</x:v>
      </x:c>
      <x:c r="L5" s="36" t="str">
        <x:v>#909BA7</x:v>
      </x:c>
      <x:c r="M5" s="36" t="str">
        <x:v>#909BA7</x:v>
      </x:c>
      <x:c r="N5" s="177" t="str">
        <x:v>—</x:v>
      </x:c>
    </x:row>
    <x:row r="6">
      <x:c r="A6" t="str">
        <x:v>005</x:v>
      </x:c>
      <x:c r="B6" t="str">
        <x:v>Grey</x:v>
      </x:c>
      <x:c r="C6" t="str">
        <x:v>灰色</x:v>
      </x:c>
      <x:c r="D6" t="str">
        <x:v>グレー</x:v>
      </x:c>
      <x:c r="E6" t="n">
        <x:v>4</x:v>
      </x:c>
      <x:c r="F6" s="36" t="str">
        <x:v>—</x:v>
      </x:c>
      <x:c r="G6" s="36" t="str">
        <x:v>#83969C</x:v>
      </x:c>
      <x:c r="H6" s="36" t="str">
        <x:v>#CBCFCC</x:v>
      </x:c>
      <x:c r="I6" s="36" t="str">
        <x:v>—</x:v>
      </x:c>
      <x:c r="J6" s="36" t="str">
        <x:v>#BEC5BD</x:v>
      </x:c>
      <x:c r="K6" s="36" t="str">
        <x:v>#6C7989</x:v>
      </x:c>
      <x:c r="L6" s="36" t="str">
        <x:v>—</x:v>
      </x:c>
      <x:c r="M6" s="36" t="str">
        <x:v>—</x:v>
      </x:c>
      <x:c r="N6" s="177" t="str">
        <x:v>—</x:v>
      </x:c>
    </x:row>
    <x:row r="7">
      <x:c r="A7" t="str">
        <x:v>006</x:v>
      </x:c>
      <x:c r="B7" t="str">
        <x:v>Mouse grey</x:v>
      </x:c>
      <x:c r="C7" t="str">
        <x:v>鼠灰色</x:v>
      </x:c>
      <x:c r="D7" t="str">
        <x:v>マウスグレー</x:v>
      </x:c>
      <x:c r="E7" t="n">
        <x:v>3</x:v>
      </x:c>
      <x:c r="F7" s="36" t="str">
        <x:v>—</x:v>
      </x:c>
      <x:c r="G7" s="36" t="str">
        <x:v>#707C7E</x:v>
      </x:c>
      <x:c r="H7" s="36" t="str">
        <x:v>#C0C6C2</x:v>
      </x:c>
      <x:c r="I7" s="36" t="str">
        <x:v>—</x:v>
      </x:c>
      <x:c r="J7" s="36" t="str">
        <x:v>—</x:v>
      </x:c>
      <x:c r="K7" s="36" t="str">
        <x:v>#547B8F</x:v>
      </x:c>
      <x:c r="L7" s="36" t="str">
        <x:v>—</x:v>
      </x:c>
      <x:c r="M7" s="36" t="str">
        <x:v>—</x:v>
      </x:c>
      <x:c r="N7" s="177" t="str">
        <x:v>—</x:v>
      </x:c>
    </x:row>
    <x:row r="8">
      <x:c r="A8" t="str">
        <x:v>007</x:v>
      </x:c>
      <x:c r="B8" t="str">
        <x:v>Dark grey</x:v>
      </x:c>
      <x:c r="C8" t="str">
        <x:v>深灰色</x:v>
      </x:c>
      <x:c r="D8" t="str">
        <x:v>ダークグレー</x:v>
      </x:c>
      <x:c r="E8" t="n">
        <x:v>4</x:v>
      </x:c>
      <x:c r="F8" s="36" t="str">
        <x:v>—</x:v>
      </x:c>
      <x:c r="G8" s="36" t="str">
        <x:v>#687173</x:v>
      </x:c>
      <x:c r="H8" s="36" t="str">
        <x:v>#C7C8C1</x:v>
      </x:c>
      <x:c r="I8" s="36" t="str">
        <x:v>—</x:v>
      </x:c>
      <x:c r="J8" s="36" t="str">
        <x:v>#C4C1B7</x:v>
      </x:c>
      <x:c r="K8" s="36" t="str">
        <x:v>#666F83</x:v>
      </x:c>
      <x:c r="L8" s="36" t="str">
        <x:v>—</x:v>
      </x:c>
      <x:c r="M8" s="36" t="str">
        <x:v>—</x:v>
      </x:c>
      <x:c r="N8" s="177" t="str">
        <x:v>—</x:v>
      </x:c>
    </x:row>
    <x:row r="9">
      <x:c r="A9" t="str">
        <x:v>008</x:v>
      </x:c>
      <x:c r="B9" t="str">
        <x:v>Greyish black</x:v>
      </x:c>
      <x:c r="C9" t="str">
        <x:v>灰黑色</x:v>
      </x:c>
      <x:c r="D9" t="str">
        <x:v>グレイッシュブラック</x:v>
      </x:c>
      <x:c r="E9" t="n">
        <x:v>6</x:v>
      </x:c>
      <x:c r="F9" s="36" t="str">
        <x:v>—</x:v>
      </x:c>
      <x:c r="G9" s="36" t="str">
        <x:v>#4E565D</x:v>
      </x:c>
      <x:c r="H9" s="36" t="str">
        <x:v>#9CA2A2</x:v>
      </x:c>
      <x:c r="I9" s="36" t="str">
        <x:v>—</x:v>
      </x:c>
      <x:c r="J9" s="65" t="str">
        <x:v>#474C51</x:v>
      </x:c>
      <x:c r="K9" s="36" t="str">
        <x:v>#354650</x:v>
      </x:c>
      <x:c r="L9" s="36" t="str">
        <x:v>#3B4752</x:v>
      </x:c>
      <x:c r="M9" s="36" t="str">
        <x:v>#3B4752</x:v>
      </x:c>
      <x:c r="N9" s="177" t="str">
        <x:v>—</x:v>
      </x:c>
    </x:row>
    <x:row r="10">
      <x:c r="A10" t="str">
        <x:v>009</x:v>
      </x:c>
      <x:c r="B10" t="str">
        <x:v>Black</x:v>
      </x:c>
      <x:c r="C10" t="str">
        <x:v>黑色</x:v>
      </x:c>
      <x:c r="D10" t="str">
        <x:v>ブラック</x:v>
      </x:c>
      <x:c r="E10" t="n">
        <x:v>9</x:v>
      </x:c>
      <x:c r="F10" s="36" t="str">
        <x:v>#202021</x:v>
      </x:c>
      <x:c r="G10" s="36" t="str">
        <x:v>#50514F</x:v>
      </x:c>
      <x:c r="H10" s="61" t="str">
        <x:v>#323333</x:v>
      </x:c>
      <x:c r="I10" s="36" t="str">
        <x:v>#696969</x:v>
      </x:c>
      <x:c r="J10" s="63" t="str">
        <x:v>#393937</x:v>
      </x:c>
      <x:c r="K10" s="36" t="str">
        <x:v>#323437</x:v>
      </x:c>
      <x:c r="L10" s="36" t="str">
        <x:v>#363538</x:v>
      </x:c>
      <x:c r="M10" s="36" t="str">
        <x:v>#363538</x:v>
      </x:c>
      <x:c r="N10" s="179" t="str">
        <x:v>#191F2A</x:v>
      </x:c>
    </x:row>
    <x:row r="11">
      <x:c r="A11" t="str">
        <x:v>010</x:v>
      </x:c>
      <x:c r="B11" t="str">
        <x:v>Yellow</x:v>
      </x:c>
      <x:c r="C11" t="str">
        <x:v>黃色</x:v>
      </x:c>
      <x:c r="D11" t="str">
        <x:v>イエロー</x:v>
      </x:c>
      <x:c r="E11" t="n">
        <x:v>6</x:v>
      </x:c>
      <x:c r="F11" s="36" t="str">
        <x:v>—</x:v>
      </x:c>
      <x:c r="G11" s="36" t="str">
        <x:v>#FFE212</x:v>
      </x:c>
      <x:c r="H11" s="36" t="str">
        <x:v>#FFF167</x:v>
      </x:c>
      <x:c r="I11" s="36" t="str">
        <x:v>#F2E76C</x:v>
      </x:c>
      <x:c r="J11" s="36" t="str">
        <x:v>#FFEF57</x:v>
      </x:c>
      <x:c r="K11" s="36" t="str">
        <x:v>#F6D707</x:v>
      </x:c>
      <x:c r="L11" s="36" t="str">
        <x:v>—</x:v>
      </x:c>
      <x:c r="M11" s="36" t="str">
        <x:v>—</x:v>
      </x:c>
      <x:c r="N11" s="181" t="str">
        <x:v>#FFD556</x:v>
      </x:c>
    </x:row>
    <x:row r="12">
      <x:c r="A12" t="str">
        <x:v>011</x:v>
      </x:c>
      <x:c r="B12" t="str">
        <x:v>Pale yellow</x:v>
      </x:c>
      <x:c r="C12" t="str">
        <x:v>淡黃色</x:v>
      </x:c>
      <x:c r="D12" t="str">
        <x:v>ペールイエロー</x:v>
      </x:c>
      <x:c r="E12" t="n">
        <x:v>6</x:v>
      </x:c>
      <x:c r="F12" s="36" t="str">
        <x:v>—</x:v>
      </x:c>
      <x:c r="G12" s="36" t="str">
        <x:v>#FAF090</x:v>
      </x:c>
      <x:c r="H12" s="36" t="str">
        <x:v>#FAF4AF</x:v>
      </x:c>
      <x:c r="I12" s="36" t="str">
        <x:v>—</x:v>
      </x:c>
      <x:c r="J12" s="36" t="str">
        <x:v>#FFF7CA</x:v>
      </x:c>
      <x:c r="K12" s="36" t="str">
        <x:v>#EFEAAF</x:v>
      </x:c>
      <x:c r="L12" s="36" t="str">
        <x:v>#F4ECC7</x:v>
      </x:c>
      <x:c r="M12" s="36" t="str">
        <x:v>#F4ECC7</x:v>
      </x:c>
      <x:c r="N12" s="177" t="str">
        <x:v>—</x:v>
      </x:c>
    </x:row>
    <x:row r="13">
      <x:c r="A13" t="str">
        <x:v>015</x:v>
      </x:c>
      <x:c r="B13" t="str">
        <x:v>Olive yellow</x:v>
      </x:c>
      <x:c r="C13" t="str">
        <x:v>橄欖黃</x:v>
      </x:c>
      <x:c r="D13" t="str">
        <x:v>オリーブイエロー</x:v>
      </x:c>
      <x:c r="E13" t="n">
        <x:v>5</x:v>
      </x:c>
      <x:c r="F13" s="36" t="str">
        <x:v>#BBB654</x:v>
      </x:c>
      <x:c r="G13" s="36" t="str">
        <x:v>#D3CB3D</x:v>
      </x:c>
      <x:c r="H13" s="36" t="str">
        <x:v>#E9EA89</x:v>
      </x:c>
      <x:c r="I13" s="36" t="str">
        <x:v>#DEDA68</x:v>
      </x:c>
      <x:c r="J13" s="36" t="str">
        <x:v>—</x:v>
      </x:c>
      <x:c r="K13" s="36" t="str">
        <x:v>#ACAC2B</x:v>
      </x:c>
      <x:c r="L13" s="36" t="str">
        <x:v>—</x:v>
      </x:c>
      <x:c r="M13" s="36" t="str">
        <x:v>—</x:v>
      </x:c>
      <x:c r="N13" s="177" t="str">
        <x:v>—</x:v>
      </x:c>
    </x:row>
    <x:row r="14">
      <x:c r="A14" t="str">
        <x:v>016</x:v>
      </x:c>
      <x:c r="B14" t="str">
        <x:v>Khaki green</x:v>
      </x:c>
      <x:c r="C14" t="str">
        <x:v>卡其綠</x:v>
      </x:c>
      <x:c r="D14" t="str">
        <x:v>カーキグリーン</x:v>
      </x:c>
      <x:c r="E14" t="n">
        <x:v>3</x:v>
      </x:c>
      <x:c r="F14" s="36" t="str">
        <x:v>—</x:v>
      </x:c>
      <x:c r="G14" s="36" t="str">
        <x:v>#B7AF3A</x:v>
      </x:c>
      <x:c r="H14" s="36" t="str">
        <x:v>#EDE889</x:v>
      </x:c>
      <x:c r="I14" s="36" t="str">
        <x:v>—</x:v>
      </x:c>
      <x:c r="J14" s="36" t="str">
        <x:v>—</x:v>
      </x:c>
      <x:c r="K14" s="36" t="str">
        <x:v>#768547</x:v>
      </x:c>
      <x:c r="L14" s="36" t="str">
        <x:v>—</x:v>
      </x:c>
      <x:c r="M14" s="36" t="str">
        <x:v>—</x:v>
      </x:c>
      <x:c r="N14" s="177" t="str">
        <x:v>—</x:v>
      </x:c>
    </x:row>
    <x:row r="15">
      <x:c r="A15" t="str">
        <x:v>017</x:v>
      </x:c>
      <x:c r="B15" t="str">
        <x:v>Light reseda</x:v>
      </x:c>
      <x:c r="C15" t="str">
        <x:v>淺木犀草綠</x:v>
      </x:c>
      <x:c r="D15" t="str">
        <x:v>ライトレセダ</x:v>
      </x:c>
      <x:c r="E15" t="n">
        <x:v>2</x:v>
      </x:c>
      <x:c r="F15" s="36" t="str">
        <x:v>—</x:v>
      </x:c>
      <x:c r="G15" s="36" t="str">
        <x:v>—</x:v>
      </x:c>
      <x:c r="H15" s="36" t="str">
        <x:v>—</x:v>
      </x:c>
      <x:c r="I15" s="36" t="str">
        <x:v>—</x:v>
      </x:c>
      <x:c r="J15" s="36" t="str">
        <x:v>—</x:v>
      </x:c>
      <x:c r="K15" s="36" t="str">
        <x:v>—</x:v>
      </x:c>
      <x:c r="L15" s="36" t="str">
        <x:v>#7E7447</x:v>
      </x:c>
      <x:c r="M15" s="36" t="str">
        <x:v>#7E7447</x:v>
      </x:c>
      <x:c r="N15" s="177" t="str">
        <x:v>—</x:v>
      </x:c>
    </x:row>
    <x:row r="16">
      <x:c r="A16" t="str">
        <x:v>018</x:v>
      </x:c>
      <x:c r="B16" t="str">
        <x:v>Olive grey</x:v>
      </x:c>
      <x:c r="C16" t="str">
        <x:v>橄欖灰</x:v>
      </x:c>
      <x:c r="D16" t="str">
        <x:v>オリーブグレー</x:v>
      </x:c>
      <x:c r="E16" t="n">
        <x:v>3</x:v>
      </x:c>
      <x:c r="F16" s="36" t="str">
        <x:v>—</x:v>
      </x:c>
      <x:c r="G16" s="36" t="str">
        <x:v>#807E2A</x:v>
      </x:c>
      <x:c r="H16" s="36" t="str">
        <x:v>#D4CC81</x:v>
      </x:c>
      <x:c r="I16" s="36" t="str">
        <x:v>—</x:v>
      </x:c>
      <x:c r="J16" s="36" t="str">
        <x:v>—</x:v>
      </x:c>
      <x:c r="K16" s="36" t="str">
        <x:v>#4F6549</x:v>
      </x:c>
      <x:c r="L16" s="36" t="str">
        <x:v>—</x:v>
      </x:c>
      <x:c r="M16" s="36" t="str">
        <x:v>—</x:v>
      </x:c>
      <x:c r="N16" s="177" t="str">
        <x:v>—</x:v>
      </x:c>
    </x:row>
    <x:row r="17">
      <x:c r="A17" t="str">
        <x:v>019</x:v>
      </x:c>
      <x:c r="B17" t="str">
        <x:v>Olive black</x:v>
      </x:c>
      <x:c r="C17" t="str">
        <x:v>橄欖黑</x:v>
      </x:c>
      <x:c r="D17" t="str">
        <x:v>オリーブブラック</x:v>
      </x:c>
      <x:c r="E17" t="n">
        <x:v>3</x:v>
      </x:c>
      <x:c r="F17" s="36" t="str">
        <x:v>—</x:v>
      </x:c>
      <x:c r="G17" s="36" t="str">
        <x:v>#656236</x:v>
      </x:c>
      <x:c r="H17" s="36" t="str">
        <x:v>#B6B06E</x:v>
      </x:c>
      <x:c r="I17" s="36" t="str">
        <x:v>—</x:v>
      </x:c>
      <x:c r="J17" s="36" t="str">
        <x:v>—</x:v>
      </x:c>
      <x:c r="K17" s="36" t="str">
        <x:v>#333836</x:v>
      </x:c>
      <x:c r="L17" s="36" t="str">
        <x:v>—</x:v>
      </x:c>
      <x:c r="M17" s="36" t="str">
        <x:v>—</x:v>
      </x:c>
      <x:c r="N17" s="177" t="str">
        <x:v>—</x:v>
      </x:c>
    </x:row>
    <x:row r="18">
      <x:c r="A18" t="str">
        <x:v>020</x:v>
      </x:c>
      <x:c r="B18" t="str">
        <x:v>Golden yellow</x:v>
      </x:c>
      <x:c r="C18" t="str">
        <x:v>金黃色</x:v>
      </x:c>
      <x:c r="D18" t="str">
        <x:v>紙の</x:v>
      </x:c>
      <x:c r="E18" t="n">
        <x:v>5</x:v>
      </x:c>
      <x:c r="F18" s="36" t="str">
        <x:v>—</x:v>
      </x:c>
      <x:c r="G18" s="36" t="str">
        <x:v>#FFC80C</x:v>
      </x:c>
      <x:c r="H18" s="36" t="str">
        <x:v>#FFF172</x:v>
      </x:c>
      <x:c r="I18" s="36" t="str">
        <x:v>#F8D259</x:v>
      </x:c>
      <x:c r="J18" s="36" t="str">
        <x:v>#FFEA49</x:v>
      </x:c>
      <x:c r="K18" s="36" t="str">
        <x:v>#EEB209</x:v>
      </x:c>
      <x:c r="L18" s="36" t="str">
        <x:v>—</x:v>
      </x:c>
      <x:c r="M18" s="36" t="str">
        <x:v>—</x:v>
      </x:c>
      <x:c r="N18" s="177" t="str">
        <x:v>—</x:v>
      </x:c>
    </x:row>
    <x:row r="19">
      <x:c r="A19" t="str">
        <x:v>021</x:v>
      </x:c>
      <x:c r="B19" t="str">
        <x:v>Naples yellow</x:v>
      </x:c>
      <x:c r="C19" t="str">
        <x:v>那不勒斯黃</x:v>
      </x:c>
      <x:c r="D19" t="str">
        <x:v>ネープルスイエロー</x:v>
      </x:c>
      <x:c r="E19" t="n">
        <x:v>2</x:v>
      </x:c>
      <x:c r="F19" s="36" t="str">
        <x:v>—</x:v>
      </x:c>
      <x:c r="G19" s="36" t="str">
        <x:v>#FFE865</x:v>
      </x:c>
      <x:c r="H19" s="36" t="str">
        <x:v>#FFF491</x:v>
      </x:c>
      <x:c r="I19" s="36" t="str">
        <x:v>—</x:v>
      </x:c>
      <x:c r="J19" s="36" t="str">
        <x:v>—</x:v>
      </x:c>
      <x:c r="K19" s="36" t="str">
        <x:v>—</x:v>
      </x:c>
      <x:c r="L19" s="36" t="str">
        <x:v>—</x:v>
      </x:c>
      <x:c r="M19" s="36" t="str">
        <x:v>—</x:v>
      </x:c>
      <x:c r="N19" s="177" t="str">
        <x:v>—</x:v>
      </x:c>
    </x:row>
    <x:row r="20">
      <x:c r="A20" t="str">
        <x:v>025</x:v>
      </x:c>
      <x:c r="B20" t="str">
        <x:v>Green ochre</x:v>
      </x:c>
      <x:c r="C20" t="str">
        <x:v>綠赭色</x:v>
      </x:c>
      <x:c r="D20" t="str">
        <x:v>グリーンオーカー</x:v>
      </x:c>
      <x:c r="E20" t="n">
        <x:v>4</x:v>
      </x:c>
      <x:c r="F20" s="36" t="str">
        <x:v>#B9A35F</x:v>
      </x:c>
      <x:c r="G20" s="36" t="str">
        <x:v>#D7A629</x:v>
      </x:c>
      <x:c r="H20" s="36" t="str">
        <x:v>#FDD574</x:v>
      </x:c>
      <x:c r="I20" s="36" t="str">
        <x:v>#F0C84A</x:v>
      </x:c>
      <x:c r="J20" s="36" t="str">
        <x:v>—</x:v>
      </x:c>
      <x:c r="K20" s="36" t="str">
        <x:v>—</x:v>
      </x:c>
      <x:c r="L20" s="36" t="str">
        <x:v>—</x:v>
      </x:c>
      <x:c r="M20" s="36" t="str">
        <x:v>—</x:v>
      </x:c>
      <x:c r="N20" s="177" t="str">
        <x:v>—</x:v>
      </x:c>
    </x:row>
    <x:row r="21">
      <x:c r="A21" t="str">
        <x:v>028</x:v>
      </x:c>
      <x:c r="B21" t="str">
        <x:v>Toledo brown</x:v>
      </x:c>
      <x:c r="C21" t="str">
        <x:v>托雷多棕</x:v>
      </x:c>
      <x:c r="D21" t="str">
        <x:v>トレドブラウン</x:v>
      </x:c>
      <x:c r="E21" t="n">
        <x:v>1</x:v>
      </x:c>
      <x:c r="F21" s="36" t="str">
        <x:v>—</x:v>
      </x:c>
      <x:c r="G21" s="36" t="str">
        <x:v>—</x:v>
      </x:c>
      <x:c r="H21" s="36" t="str">
        <x:v>—</x:v>
      </x:c>
      <x:c r="I21" s="36" t="str">
        <x:v>—</x:v>
      </x:c>
      <x:c r="J21" s="36" t="str">
        <x:v>#E9B596</x:v>
      </x:c>
      <x:c r="K21" s="36" t="str">
        <x:v>—</x:v>
      </x:c>
      <x:c r="L21" s="36" t="str">
        <x:v>—</x:v>
      </x:c>
      <x:c r="M21" s="36" t="str">
        <x:v>—</x:v>
      </x:c>
      <x:c r="N21" s="177" t="str">
        <x:v>—</x:v>
      </x:c>
    </x:row>
    <x:row r="22">
      <x:c r="A22" t="str">
        <x:v>030</x:v>
      </x:c>
      <x:c r="B22" t="str">
        <x:v>Orange</x:v>
      </x:c>
      <x:c r="C22" t="str">
        <x:v>橙色</x:v>
      </x:c>
      <x:c r="D22" t="str">
        <x:v>オレンジ</x:v>
      </x:c>
      <x:c r="E22" t="n">
        <x:v>7</x:v>
      </x:c>
      <x:c r="F22" s="36" t="str">
        <x:v>#F5A50F</x:v>
      </x:c>
      <x:c r="G22" s="36" t="str">
        <x:v>#F88E42</x:v>
      </x:c>
      <x:c r="H22" s="36" t="str">
        <x:v>#FECA4F</x:v>
      </x:c>
      <x:c r="I22" s="36" t="str">
        <x:v>#F6C278</x:v>
      </x:c>
      <x:c r="J22" s="36" t="str">
        <x:v>#FFE757</x:v>
      </x:c>
      <x:c r="K22" s="36" t="str">
        <x:v>#EE8C22</x:v>
      </x:c>
      <x:c r="L22" s="36" t="str">
        <x:v>—</x:v>
      </x:c>
      <x:c r="M22" s="36" t="str">
        <x:v>—</x:v>
      </x:c>
      <x:c r="N22" s="183" t="str">
        <x:v>#F5A746</x:v>
      </x:c>
    </x:row>
    <x:row r="23">
      <x:c r="A23" t="str">
        <x:v>031</x:v>
      </x:c>
      <x:c r="B23" t="str">
        <x:v>Orangish yellow</x:v>
      </x:c>
      <x:c r="C23" t="str">
        <x:v>橙黃色</x:v>
      </x:c>
      <x:c r="D23" t="str">
        <x:v>オレンジイエロー</x:v>
      </x:c>
      <x:c r="E23" t="n">
        <x:v>4</x:v>
      </x:c>
      <x:c r="F23" s="36" t="str">
        <x:v>—</x:v>
      </x:c>
      <x:c r="G23" s="36" t="str">
        <x:v>#FEC35E</x:v>
      </x:c>
      <x:c r="H23" s="36" t="str">
        <x:v>#FFDE7B</x:v>
      </x:c>
      <x:c r="I23" s="36" t="str">
        <x:v>—</x:v>
      </x:c>
      <x:c r="J23" s="36" t="str">
        <x:v>#FFE791</x:v>
      </x:c>
      <x:c r="K23" s="36" t="str">
        <x:v>#F2B740</x:v>
      </x:c>
      <x:c r="L23" s="36" t="str">
        <x:v>—</x:v>
      </x:c>
      <x:c r="M23" s="36" t="str">
        <x:v>—</x:v>
      </x:c>
      <x:c r="N23" s="177" t="str">
        <x:v>—</x:v>
      </x:c>
    </x:row>
    <x:row r="24">
      <x:c r="A24" t="str">
        <x:v>032</x:v>
      </x:c>
      <x:c r="B24" t="str">
        <x:v>Light ochre</x:v>
      </x:c>
      <x:c r="C24" t="str">
        <x:v>淺赭色</x:v>
      </x:c>
      <x:c r="D24" t="str">
        <x:v>ライトオーカー</x:v>
      </x:c>
      <x:c r="E24" t="n">
        <x:v>2</x:v>
      </x:c>
      <x:c r="F24" s="36" t="str">
        <x:v>—</x:v>
      </x:c>
      <x:c r="G24" s="36" t="str">
        <x:v>#F3B666</x:v>
      </x:c>
      <x:c r="H24" s="36" t="str">
        <x:v>#FFDF89</x:v>
      </x:c>
      <x:c r="I24" s="36" t="str">
        <x:v>—</x:v>
      </x:c>
      <x:c r="J24" s="36" t="str">
        <x:v>—</x:v>
      </x:c>
      <x:c r="K24" s="36" t="str">
        <x:v>—</x:v>
      </x:c>
      <x:c r="L24" s="36" t="str">
        <x:v>—</x:v>
      </x:c>
      <x:c r="M24" s="36" t="str">
        <x:v>—</x:v>
      </x:c>
      <x:c r="N24" s="177" t="str">
        <x:v>—</x:v>
      </x:c>
    </x:row>
    <x:row r="25">
      <x:c r="A25" t="str">
        <x:v>033</x:v>
      </x:c>
      <x:c r="B25" t="str">
        <x:v>Golden ochre</x:v>
      </x:c>
      <x:c r="C25" t="str">
        <x:v>金赭色</x:v>
      </x:c>
      <x:c r="D25" t="str">
        <x:v>ゴールデンオーカー</x:v>
      </x:c>
      <x:c r="E25" t="n">
        <x:v>6</x:v>
      </x:c>
      <x:c r="F25" s="36" t="str">
        <x:v>—</x:v>
      </x:c>
      <x:c r="G25" s="36" t="str">
        <x:v>#F2B350</x:v>
      </x:c>
      <x:c r="H25" s="36" t="str">
        <x:v>#FEDE8D</x:v>
      </x:c>
      <x:c r="I25" s="36" t="str">
        <x:v>—</x:v>
      </x:c>
      <x:c r="J25" s="36" t="str">
        <x:v>#FCCE75</x:v>
      </x:c>
      <x:c r="K25" s="36" t="str">
        <x:v>#D09014</x:v>
      </x:c>
      <x:c r="L25" s="36" t="str">
        <x:v>#B07D21</x:v>
      </x:c>
      <x:c r="M25" s="36" t="str">
        <x:v>#B07D21</x:v>
      </x:c>
      <x:c r="N25" s="177" t="str">
        <x:v>—</x:v>
      </x:c>
    </x:row>
    <x:row r="26">
      <x:c r="A26" t="str">
        <x:v>034</x:v>
      </x:c>
      <x:c r="B26" t="str">
        <x:v>Yellow ochre</x:v>
      </x:c>
      <x:c r="C26" t="str">
        <x:v>黃赭色</x:v>
      </x:c>
      <x:c r="D26" t="str">
        <x:v>イエローオーカー</x:v>
      </x:c>
      <x:c r="E26" t="n">
        <x:v>2</x:v>
      </x:c>
      <x:c r="F26" s="36" t="str">
        <x:v>#EFB529</x:v>
      </x:c>
      <x:c r="G26" s="36" t="str">
        <x:v>—</x:v>
      </x:c>
      <x:c r="H26" s="36" t="str">
        <x:v>—</x:v>
      </x:c>
      <x:c r="I26" s="36" t="str">
        <x:v>#FAD996</x:v>
      </x:c>
      <x:c r="J26" s="36" t="str">
        <x:v>—</x:v>
      </x:c>
      <x:c r="K26" s="36" t="str">
        <x:v>—</x:v>
      </x:c>
      <x:c r="L26" s="36" t="str">
        <x:v>—</x:v>
      </x:c>
      <x:c r="M26" s="36" t="str">
        <x:v>—</x:v>
      </x:c>
      <x:c r="N26" s="177" t="str">
        <x:v>—</x:v>
      </x:c>
    </x:row>
    <x:row r="27">
      <x:c r="A27" t="str">
        <x:v>035</x:v>
      </x:c>
      <x:c r="B27" t="str">
        <x:v>Ochre</x:v>
      </x:c>
      <x:c r="C27" t="str">
        <x:v>赭色</x:v>
      </x:c>
      <x:c r="D27" t="str">
        <x:v>オーカー</x:v>
      </x:c>
      <x:c r="E27" t="n">
        <x:v>7</x:v>
      </x:c>
      <x:c r="F27" s="36" t="str">
        <x:v>—</x:v>
      </x:c>
      <x:c r="G27" s="36" t="str">
        <x:v>#E09B51</x:v>
      </x:c>
      <x:c r="H27" s="36" t="str">
        <x:v>#FED48B</x:v>
      </x:c>
      <x:c r="I27" s="36" t="str">
        <x:v>—</x:v>
      </x:c>
      <x:c r="J27" s="36" t="str">
        <x:v>#F8BC65</x:v>
      </x:c>
      <x:c r="K27" s="36" t="str">
        <x:v>#AB7817</x:v>
      </x:c>
      <x:c r="L27" s="36" t="str">
        <x:v>#D6A116</x:v>
      </x:c>
      <x:c r="M27" s="36" t="str">
        <x:v>#D6A116</x:v>
      </x:c>
      <x:c r="N27" s="185" t="str">
        <x:v>#F3BD54</x:v>
      </x:c>
    </x:row>
    <x:row r="28">
      <x:c r="A28" t="str">
        <x:v>036</x:v>
      </x:c>
      <x:c r="B28" t="str">
        <x:v>Raw sienna</x:v>
      </x:c>
      <x:c r="C28" t="str">
        <x:v>生赭色</x:v>
      </x:c>
      <x:c r="D28" t="str">
        <x:v>ローシェンナ</x:v>
      </x:c>
      <x:c r="E28" t="n">
        <x:v>5</x:v>
      </x:c>
      <x:c r="F28" s="36" t="str">
        <x:v>#DBA057</x:v>
      </x:c>
      <x:c r="G28" s="36" t="str">
        <x:v>—</x:v>
      </x:c>
      <x:c r="H28" s="36" t="str">
        <x:v>—</x:v>
      </x:c>
      <x:c r="I28" s="36" t="str">
        <x:v>#F7CC8E</x:v>
      </x:c>
      <x:c r="J28" s="36" t="str">
        <x:v>#F7CD96</x:v>
      </x:c>
      <x:c r="K28" s="36" t="str">
        <x:v>—</x:v>
      </x:c>
      <x:c r="L28" s="36" t="str">
        <x:v>#AD7D32</x:v>
      </x:c>
      <x:c r="M28" s="36" t="str">
        <x:v>#AD7D32</x:v>
      </x:c>
      <x:c r="N28" s="177" t="str">
        <x:v>—</x:v>
      </x:c>
    </x:row>
    <x:row r="29">
      <x:c r="A29" t="str">
        <x:v>037</x:v>
      </x:c>
      <x:c r="B29" t="str">
        <x:v>Brown ochre</x:v>
      </x:c>
      <x:c r="C29" t="str">
        <x:v>棕赭色</x:v>
      </x:c>
      <x:c r="D29" t="str">
        <x:v>ブラウンオーカー</x:v>
      </x:c>
      <x:c r="E29" t="n">
        <x:v>6</x:v>
      </x:c>
      <x:c r="F29" s="36" t="str">
        <x:v>#B07444</x:v>
      </x:c>
      <x:c r="G29" s="36" t="str">
        <x:v>#AF7449</x:v>
      </x:c>
      <x:c r="H29" s="36" t="str">
        <x:v>#E8AA74</x:v>
      </x:c>
      <x:c r="I29" s="36" t="str">
        <x:v>#D87D46</x:v>
      </x:c>
      <x:c r="J29" s="36" t="str">
        <x:v>—</x:v>
      </x:c>
      <x:c r="K29" s="36" t="str">
        <x:v>#876538</x:v>
      </x:c>
      <x:c r="L29" s="36" t="str">
        <x:v>—</x:v>
      </x:c>
      <x:c r="M29" s="36" t="str">
        <x:v>—</x:v>
      </x:c>
      <x:c r="N29" s="187" t="str">
        <x:v>#B7804D</x:v>
      </x:c>
    </x:row>
    <x:row r="30">
      <x:c r="A30" t="str">
        <x:v>039</x:v>
      </x:c>
      <x:c r="B30" t="str">
        <x:v>Olive brown</x:v>
      </x:c>
      <x:c r="C30" t="str">
        <x:v>橄欖棕</x:v>
      </x:c>
      <x:c r="D30" t="str">
        <x:v>オリーブブラウン</x:v>
      </x:c>
      <x:c r="E30" t="n">
        <x:v>8</x:v>
      </x:c>
      <x:c r="F30" s="36" t="str">
        <x:v>#9E9078</x:v>
      </x:c>
      <x:c r="G30" s="36" t="str">
        <x:v>#8B662A</x:v>
      </x:c>
      <x:c r="H30" s="36" t="str">
        <x:v>#EAB967</x:v>
      </x:c>
      <x:c r="I30" s="36" t="str">
        <x:v>#967A4E</x:v>
      </x:c>
      <x:c r="J30" s="36" t="str">
        <x:v>#D3A95A</x:v>
      </x:c>
      <x:c r="K30" s="36" t="str">
        <x:v>#746237</x:v>
      </x:c>
      <x:c r="L30" s="36" t="str">
        <x:v>#977D42</x:v>
      </x:c>
      <x:c r="M30" s="36" t="str">
        <x:v>#977D42</x:v>
      </x:c>
      <x:c r="N30" s="177" t="str">
        <x:v>—</x:v>
      </x:c>
    </x:row>
    <x:row r="31">
      <x:c r="A31" t="str">
        <x:v>040</x:v>
      </x:c>
      <x:c r="B31" t="str">
        <x:v>Reddish yellow</x:v>
      </x:c>
      <x:c r="C31" t="str">
        <x:v>紅黃色</x:v>
      </x:c>
      <x:c r="D31" t="str">
        <x:v>レディッシュイエロー</x:v>
      </x:c>
      <x:c r="E31" t="n">
        <x:v>3</x:v>
      </x:c>
      <x:c r="F31" s="36" t="str">
        <x:v>—</x:v>
      </x:c>
      <x:c r="G31" s="36" t="str">
        <x:v>#F6802E</x:v>
      </x:c>
      <x:c r="H31" s="36" t="str">
        <x:v>#FCB662</x:v>
      </x:c>
      <x:c r="I31" s="36" t="str">
        <x:v>—</x:v>
      </x:c>
      <x:c r="J31" s="36" t="str">
        <x:v>—</x:v>
      </x:c>
      <x:c r="K31" s="36" t="str">
        <x:v>#E25C23</x:v>
      </x:c>
      <x:c r="L31" s="36" t="str">
        <x:v>—</x:v>
      </x:c>
      <x:c r="M31" s="36" t="str">
        <x:v>—</x:v>
      </x:c>
      <x:c r="N31" s="177" t="str">
        <x:v>—</x:v>
      </x:c>
    </x:row>
    <x:row r="32">
      <x:c r="A32" t="str">
        <x:v>041</x:v>
      </x:c>
      <x:c r="B32" t="str">
        <x:v>Apricot</x:v>
      </x:c>
      <x:c r="C32" t="str">
        <x:v>杏色</x:v>
      </x:c>
      <x:c r="D32" t="str">
        <x:v>アプリコット</x:v>
      </x:c>
      <x:c r="E32" t="n">
        <x:v>5</x:v>
      </x:c>
      <x:c r="F32" s="36" t="str">
        <x:v>#F1A05D</x:v>
      </x:c>
      <x:c r="G32" s="36" t="str">
        <x:v>#FEC56A</x:v>
      </x:c>
      <x:c r="H32" s="36" t="str">
        <x:v>#FFDE8C</x:v>
      </x:c>
      <x:c r="I32" s="36" t="str">
        <x:v>#F1AE71</x:v>
      </x:c>
      <x:c r="J32" s="36" t="str">
        <x:v>#FCC67B</x:v>
      </x:c>
      <x:c r="K32" s="36" t="str">
        <x:v>—</x:v>
      </x:c>
      <x:c r="L32" s="36" t="str">
        <x:v>—</x:v>
      </x:c>
      <x:c r="M32" s="36" t="str">
        <x:v>—</x:v>
      </x:c>
      <x:c r="N32" s="177" t="str">
        <x:v>—</x:v>
      </x:c>
    </x:row>
    <x:row r="33">
      <x:c r="A33" t="str">
        <x:v>042</x:v>
      </x:c>
      <x:c r="B33" t="str">
        <x:v>Desert rose</x:v>
      </x:c>
      <x:c r="C33" t="str">
        <x:v>沙漠玫瑰色</x:v>
      </x:c>
      <x:c r="D33" t="str">
        <x:v>デザートローズ</x:v>
      </x:c>
      <x:c r="E33" t="n">
        <x:v>3</x:v>
      </x:c>
      <x:c r="F33" s="36" t="str">
        <x:v>—</x:v>
      </x:c>
      <x:c r="G33" s="36" t="str">
        <x:v>—</x:v>
      </x:c>
      <x:c r="H33" s="36" t="str">
        <x:v>—</x:v>
      </x:c>
      <x:c r="I33" s="36" t="str">
        <x:v>—</x:v>
      </x:c>
      <x:c r="J33" s="36" t="str">
        <x:v>#FEE5B9</x:v>
      </x:c>
      <x:c r="K33" s="36" t="str">
        <x:v>—</x:v>
      </x:c>
      <x:c r="L33" s="36" t="str">
        <x:v>#EDBB88</x:v>
      </x:c>
      <x:c r="M33" s="36" t="str">
        <x:v>#EDBB88</x:v>
      </x:c>
      <x:c r="N33" s="177" t="str">
        <x:v>—</x:v>
      </x:c>
    </x:row>
    <x:row r="34">
      <x:c r="A34" t="str">
        <x:v>043</x:v>
      </x:c>
      <x:c r="B34" t="str">
        <x:v>Brownish orange</x:v>
      </x:c>
      <x:c r="C34" t="str">
        <x:v>褐橙色</x:v>
      </x:c>
      <x:c r="D34" t="str">
        <x:v>ブラウニッシュオレンジ</x:v>
      </x:c>
      <x:c r="E34" t="n">
        <x:v>2</x:v>
      </x:c>
      <x:c r="F34" s="36" t="str">
        <x:v>—</x:v>
      </x:c>
      <x:c r="G34" s="36" t="str">
        <x:v>#AE6856</x:v>
      </x:c>
      <x:c r="H34" s="36" t="str">
        <x:v>#E9BBA1</x:v>
      </x:c>
      <x:c r="I34" s="36" t="str">
        <x:v>—</x:v>
      </x:c>
      <x:c r="J34" s="36" t="str">
        <x:v>—</x:v>
      </x:c>
      <x:c r="K34" s="36" t="str">
        <x:v>—</x:v>
      </x:c>
      <x:c r="L34" s="36" t="str">
        <x:v>—</x:v>
      </x:c>
      <x:c r="M34" s="36" t="str">
        <x:v>—</x:v>
      </x:c>
      <x:c r="N34" s="177" t="str">
        <x:v>—</x:v>
      </x:c>
    </x:row>
    <x:row r="35">
      <x:c r="A35" t="str">
        <x:v>044</x:v>
      </x:c>
      <x:c r="B35" t="str">
        <x:v>Terracotta</x:v>
      </x:c>
      <x:c r="C35" t="str">
        <x:v>赤陶色</x:v>
      </x:c>
      <x:c r="D35" t="str">
        <x:v>テラコッタ</x:v>
      </x:c>
      <x:c r="E35" t="n">
        <x:v>5</x:v>
      </x:c>
      <x:c r="F35" s="36" t="str">
        <x:v>#BA5C3F</x:v>
      </x:c>
      <x:c r="G35" s="36" t="str">
        <x:v>—</x:v>
      </x:c>
      <x:c r="H35" s="36" t="str">
        <x:v>—</x:v>
      </x:c>
      <x:c r="I35" s="36" t="str">
        <x:v>#E78C7C</x:v>
      </x:c>
      <x:c r="J35" s="36" t="str">
        <x:v>—</x:v>
      </x:c>
      <x:c r="K35" s="36" t="str">
        <x:v>—</x:v>
      </x:c>
      <x:c r="L35" s="36" t="str">
        <x:v>#C56C52</x:v>
      </x:c>
      <x:c r="M35" s="36" t="str">
        <x:v>#C56C52</x:v>
      </x:c>
      <x:c r="N35" s="189" t="str">
        <x:v>#D3856E</x:v>
      </x:c>
    </x:row>
    <x:row r="36">
      <x:c r="A36" t="str">
        <x:v>045</x:v>
      </x:c>
      <x:c r="B36" t="str">
        <x:v>Vandycke brown</x:v>
      </x:c>
      <x:c r="C36" t="str">
        <x:v>凡戴克棕</x:v>
      </x:c>
      <x:c r="D36" t="str">
        <x:v>ヴァンダイクブラウン</x:v>
      </x:c>
      <x:c r="E36" t="n">
        <x:v>4</x:v>
      </x:c>
      <x:c r="F36" s="36" t="str">
        <x:v>—</x:v>
      </x:c>
      <x:c r="G36" s="36" t="str">
        <x:v>#755549</x:v>
      </x:c>
      <x:c r="H36" s="36" t="str">
        <x:v>#A77A64</x:v>
      </x:c>
      <x:c r="I36" s="36" t="str">
        <x:v>—</x:v>
      </x:c>
      <x:c r="J36" s="36" t="str">
        <x:v>#CCA789</x:v>
      </x:c>
      <x:c r="K36" s="36" t="str">
        <x:v>#635650</x:v>
      </x:c>
      <x:c r="L36" s="36" t="str">
        <x:v>—</x:v>
      </x:c>
      <x:c r="M36" s="36" t="str">
        <x:v>—</x:v>
      </x:c>
      <x:c r="N36" s="177" t="str">
        <x:v>—</x:v>
      </x:c>
    </x:row>
    <x:row r="37">
      <x:c r="A37" t="str">
        <x:v>046</x:v>
      </x:c>
      <x:c r="B37" t="str">
        <x:v>Cassel earth</x:v>
      </x:c>
      <x:c r="C37" t="str">
        <x:v>卡塞爾土色</x:v>
      </x:c>
      <x:c r="D37" t="str">
        <x:v>カッセルアース</x:v>
      </x:c>
      <x:c r="E37" t="n">
        <x:v>4</x:v>
      </x:c>
      <x:c r="F37" s="36" t="str">
        <x:v>#646150</x:v>
      </x:c>
      <x:c r="G37" s="36" t="str">
        <x:v>—</x:v>
      </x:c>
      <x:c r="H37" s="36" t="str">
        <x:v>—</x:v>
      </x:c>
      <x:c r="I37" s="36" t="str">
        <x:v>#8F6F58</x:v>
      </x:c>
      <x:c r="J37" s="36" t="str">
        <x:v>—</x:v>
      </x:c>
      <x:c r="K37" s="36" t="str">
        <x:v>—</x:v>
      </x:c>
      <x:c r="L37" s="36" t="str">
        <x:v>#584439</x:v>
      </x:c>
      <x:c r="M37" s="36" t="str">
        <x:v>#584439</x:v>
      </x:c>
      <x:c r="N37" s="177" t="str">
        <x:v>—</x:v>
      </x:c>
    </x:row>
    <x:row r="38">
      <x:c r="A38" t="str">
        <x:v>047</x:v>
      </x:c>
      <x:c r="B38" t="str">
        <x:v>Bistre</x:v>
      </x:c>
      <x:c r="C38" t="str">
        <x:v>煙褐色</x:v>
      </x:c>
      <x:c r="D38" t="str">
        <x:v>ビスター</x:v>
      </x:c>
      <x:c r="E38" t="n">
        <x:v>5</x:v>
      </x:c>
      <x:c r="F38" s="36" t="str">
        <x:v>—</x:v>
      </x:c>
      <x:c r="G38" s="36" t="str">
        <x:v>#674B44</x:v>
      </x:c>
      <x:c r="H38" s="36" t="str">
        <x:v>#8B6755</x:v>
      </x:c>
      <x:c r="I38" s="36" t="str">
        <x:v>—</x:v>
      </x:c>
      <x:c r="J38" s="36" t="str">
        <x:v>—</x:v>
      </x:c>
      <x:c r="K38" s="36" t="str">
        <x:v>#755337</x:v>
      </x:c>
      <x:c r="L38" s="36" t="str">
        <x:v>#896039</x:v>
      </x:c>
      <x:c r="M38" s="36" t="str">
        <x:v>#896039</x:v>
      </x:c>
      <x:c r="N38" s="177" t="str">
        <x:v>—</x:v>
      </x:c>
    </x:row>
    <x:row r="39">
      <x:c r="A39" t="str">
        <x:v>049</x:v>
      </x:c>
      <x:c r="B39" t="str">
        <x:v>Umber</x:v>
      </x:c>
      <x:c r="C39" t="str">
        <x:v>褐土色</x:v>
      </x:c>
      <x:c r="D39" t="str">
        <x:v>アンバー</x:v>
      </x:c>
      <x:c r="E39" t="n">
        <x:v>5</x:v>
      </x:c>
      <x:c r="F39" s="36" t="str">
        <x:v>—</x:v>
      </x:c>
      <x:c r="G39" s="36" t="str">
        <x:v>#534334</x:v>
      </x:c>
      <x:c r="H39" s="36" t="str">
        <x:v>#856349</x:v>
      </x:c>
      <x:c r="I39" s="36" t="str">
        <x:v>#7B5048</x:v>
      </x:c>
      <x:c r="J39" s="36" t="str">
        <x:v>#BCA581</x:v>
      </x:c>
      <x:c r="K39" s="36" t="str">
        <x:v>#554841</x:v>
      </x:c>
      <x:c r="L39" s="36" t="str">
        <x:v>—</x:v>
      </x:c>
      <x:c r="M39" s="36" t="str">
        <x:v>—</x:v>
      </x:c>
      <x:c r="N39" s="177" t="str">
        <x:v>—</x:v>
      </x:c>
    </x:row>
    <x:row r="40">
      <x:c r="A40" t="str">
        <x:v>050</x:v>
      </x:c>
      <x:c r="B40" t="str">
        <x:v>Flame red</x:v>
      </x:c>
      <x:c r="C40" t="str">
        <x:v>火焰紅</x:v>
      </x:c>
      <x:c r="D40" t="str">
        <x:v>フレームレッド</x:v>
      </x:c>
      <x:c r="E40" t="n">
        <x:v>6</x:v>
      </x:c>
      <x:c r="F40" s="36" t="str">
        <x:v>—</x:v>
      </x:c>
      <x:c r="G40" s="36" t="str">
        <x:v>#F68023</x:v>
      </x:c>
      <x:c r="H40" s="36" t="str">
        <x:v>#FDC57A</x:v>
      </x:c>
      <x:c r="I40" s="36" t="str">
        <x:v>—</x:v>
      </x:c>
      <x:c r="J40" s="36" t="str">
        <x:v>#FBC97D</x:v>
      </x:c>
      <x:c r="K40" s="36" t="str">
        <x:v>#EB8028</x:v>
      </x:c>
      <x:c r="L40" s="36" t="str">
        <x:v>#D36234</x:v>
      </x:c>
      <x:c r="M40" s="36" t="str">
        <x:v>#D36234</x:v>
      </x:c>
      <x:c r="N40" s="177" t="str">
        <x:v>—</x:v>
      </x:c>
    </x:row>
    <x:row r="41">
      <x:c r="A41" t="str">
        <x:v>051</x:v>
      </x:c>
      <x:c r="B41" t="str">
        <x:v>Salmon</x:v>
      </x:c>
      <x:c r="C41" t="str">
        <x:v>鮭魚色</x:v>
      </x:c>
      <x:c r="D41" t="str">
        <x:v>サーモン</x:v>
      </x:c>
      <x:c r="E41" t="n">
        <x:v>4</x:v>
      </x:c>
      <x:c r="F41" s="36" t="str">
        <x:v>—</x:v>
      </x:c>
      <x:c r="G41" s="36" t="str">
        <x:v>#F9986E</x:v>
      </x:c>
      <x:c r="H41" s="36" t="str">
        <x:v>#FBCDB5</x:v>
      </x:c>
      <x:c r="I41" s="36" t="str">
        <x:v>—</x:v>
      </x:c>
      <x:c r="J41" s="36" t="str">
        <x:v>#FDE9D2</x:v>
      </x:c>
      <x:c r="K41" s="36" t="str">
        <x:v>#ECAB82</x:v>
      </x:c>
      <x:c r="L41" s="36" t="str">
        <x:v>—</x:v>
      </x:c>
      <x:c r="M41" s="36" t="str">
        <x:v>—</x:v>
      </x:c>
      <x:c r="N41" s="177" t="str">
        <x:v>—</x:v>
      </x:c>
    </x:row>
    <x:row r="42">
      <x:c r="A42" t="str">
        <x:v>052</x:v>
      </x:c>
      <x:c r="B42" t="str">
        <x:v>Saffron</x:v>
      </x:c>
      <x:c r="C42" t="str">
        <x:v>藏紅花黃</x:v>
      </x:c>
      <x:c r="D42" t="str">
        <x:v>サフラン</x:v>
      </x:c>
      <x:c r="E42" t="n">
        <x:v>5</x:v>
      </x:c>
      <x:c r="F42" s="36" t="str">
        <x:v>—</x:v>
      </x:c>
      <x:c r="G42" s="36" t="str">
        <x:v>—</x:v>
      </x:c>
      <x:c r="H42" s="36" t="str">
        <x:v>—</x:v>
      </x:c>
      <x:c r="I42" s="36" t="str">
        <x:v>#F3B96D</x:v>
      </x:c>
      <x:c r="J42" s="36" t="str">
        <x:v>#F29C54</x:v>
      </x:c>
      <x:c r="K42" s="36" t="str">
        <x:v>—</x:v>
      </x:c>
      <x:c r="L42" s="36" t="str">
        <x:v>#CD8543</x:v>
      </x:c>
      <x:c r="M42" s="36" t="str">
        <x:v>#CD8543</x:v>
      </x:c>
      <x:c r="N42" s="191" t="str">
        <x:v>#CD5549</x:v>
      </x:c>
    </x:row>
    <x:row r="43">
      <x:c r="A43" t="str">
        <x:v>053</x:v>
      </x:c>
      <x:c r="B43" t="str">
        <x:v>Hazel</x:v>
      </x:c>
      <x:c r="C43" t="str">
        <x:v>榛果棕</x:v>
      </x:c>
      <x:c r="D43" t="str">
        <x:v>ヘーゼル</x:v>
      </x:c>
      <x:c r="E43" t="n">
        <x:v>2</x:v>
      </x:c>
      <x:c r="F43" s="36" t="str">
        <x:v>—</x:v>
      </x:c>
      <x:c r="G43" s="36" t="str">
        <x:v>#D97F4C</x:v>
      </x:c>
      <x:c r="H43" s="36" t="str">
        <x:v>#EFA66C</x:v>
      </x:c>
      <x:c r="I43" s="36" t="str">
        <x:v>—</x:v>
      </x:c>
      <x:c r="J43" s="36" t="str">
        <x:v>—</x:v>
      </x:c>
      <x:c r="K43" s="36" t="str">
        <x:v>—</x:v>
      </x:c>
      <x:c r="L43" s="36" t="str">
        <x:v>—</x:v>
      </x:c>
      <x:c r="M43" s="36" t="str">
        <x:v>—</x:v>
      </x:c>
      <x:c r="N43" s="177" t="str">
        <x:v>—</x:v>
      </x:c>
    </x:row>
    <x:row r="44">
      <x:c r="A44" t="str">
        <x:v>055</x:v>
      </x:c>
      <x:c r="B44" t="str">
        <x:v>Cinnamon</x:v>
      </x:c>
      <x:c r="C44" t="str">
        <x:v>肉桂色</x:v>
      </x:c>
      <x:c r="D44" t="str">
        <x:v>シナモン</x:v>
      </x:c>
      <x:c r="E44" t="n">
        <x:v>5</x:v>
      </x:c>
      <x:c r="F44" s="36" t="str">
        <x:v>—</x:v>
      </x:c>
      <x:c r="G44" s="36" t="str">
        <x:v>#AA5A33</x:v>
      </x:c>
      <x:c r="H44" s="36" t="str">
        <x:v>#F7AF81</x:v>
      </x:c>
      <x:c r="I44" s="36" t="str">
        <x:v>#BD6549</x:v>
      </x:c>
      <x:c r="J44" s="36" t="str">
        <x:v>#EFB184</x:v>
      </x:c>
      <x:c r="K44" s="36" t="str">
        <x:v>#83583C</x:v>
      </x:c>
      <x:c r="L44" s="36" t="str">
        <x:v>—</x:v>
      </x:c>
      <x:c r="M44" s="36" t="str">
        <x:v>—</x:v>
      </x:c>
      <x:c r="N44" s="177" t="str">
        <x:v>—</x:v>
      </x:c>
    </x:row>
    <x:row r="45">
      <x:c r="A45" t="str">
        <x:v>057</x:v>
      </x:c>
      <x:c r="B45" t="str">
        <x:v>Chestnut</x:v>
      </x:c>
      <x:c r="C45" t="str">
        <x:v>栗棕色</x:v>
      </x:c>
      <x:c r="D45" t="str">
        <x:v>チェストナット</x:v>
      </x:c>
      <x:c r="E45" t="n">
        <x:v>4</x:v>
      </x:c>
      <x:c r="F45" s="36" t="str">
        <x:v>—</x:v>
      </x:c>
      <x:c r="G45" s="36" t="str">
        <x:v>#864937</x:v>
      </x:c>
      <x:c r="H45" s="36" t="str">
        <x:v>#F5AC87</x:v>
      </x:c>
      <x:c r="I45" s="36" t="str">
        <x:v>#813437</x:v>
      </x:c>
      <x:c r="J45" s="36" t="str">
        <x:v>—</x:v>
      </x:c>
      <x:c r="K45" s="36" t="str">
        <x:v>#5E3633</x:v>
      </x:c>
      <x:c r="L45" s="36" t="str">
        <x:v>—</x:v>
      </x:c>
      <x:c r="M45" s="36" t="str">
        <x:v>—</x:v>
      </x:c>
      <x:c r="N45" s="177" t="str">
        <x:v>—</x:v>
      </x:c>
    </x:row>
    <x:row r="46">
      <x:c r="A46" t="str">
        <x:v>059</x:v>
      </x:c>
      <x:c r="B46" t="str">
        <x:v>Brown</x:v>
      </x:c>
      <x:c r="C46" t="str">
        <x:v>棕色</x:v>
      </x:c>
      <x:c r="D46" t="str">
        <x:v>ブラウン</x:v>
      </x:c>
      <x:c r="E46" t="n">
        <x:v>5</x:v>
      </x:c>
      <x:c r="F46" s="36" t="str">
        <x:v>—</x:v>
      </x:c>
      <x:c r="G46" s="36" t="str">
        <x:v>#903C2C</x:v>
      </x:c>
      <x:c r="H46" s="36" t="str">
        <x:v>#F49D81</x:v>
      </x:c>
      <x:c r="I46" s="36" t="str">
        <x:v>#863F38</x:v>
      </x:c>
      <x:c r="J46" s="36" t="str">
        <x:v>#DB9366</x:v>
      </x:c>
      <x:c r="K46" s="36" t="str">
        <x:v>#634537</x:v>
      </x:c>
      <x:c r="L46" s="36" t="str">
        <x:v>—</x:v>
      </x:c>
      <x:c r="M46" s="36" t="str">
        <x:v>—</x:v>
      </x:c>
      <x:c r="N46" s="177" t="str">
        <x:v>—</x:v>
      </x:c>
    </x:row>
    <x:row r="47">
      <x:c r="A47" t="str">
        <x:v>060</x:v>
      </x:c>
      <x:c r="B47" t="str">
        <x:v>Vermilion</x:v>
      </x:c>
      <x:c r="C47" t="str">
        <x:v>朱紅</x:v>
      </x:c>
      <x:c r="D47" t="str">
        <x:v>バーミリオン</x:v>
      </x:c>
      <x:c r="E47" t="n">
        <x:v>7</x:v>
      </x:c>
      <x:c r="F47" s="36" t="str">
        <x:v>—</x:v>
      </x:c>
      <x:c r="G47" s="36" t="str">
        <x:v>#EF5935</x:v>
      </x:c>
      <x:c r="H47" s="36" t="str">
        <x:v>#F89F76</x:v>
      </x:c>
      <x:c r="I47" s="36" t="str">
        <x:v>#DF5037</x:v>
      </x:c>
      <x:c r="J47" s="36" t="str">
        <x:v>#F9D0C4</x:v>
      </x:c>
      <x:c r="K47" s="36" t="str">
        <x:v>#DE5724</x:v>
      </x:c>
      <x:c r="L47" s="36" t="str">
        <x:v>#D34733</x:v>
      </x:c>
      <x:c r="M47" s="36" t="str">
        <x:v>#D34733</x:v>
      </x:c>
      <x:c r="N47" s="177" t="str">
        <x:v>—</x:v>
      </x:c>
    </x:row>
    <x:row r="48">
      <x:c r="A48" t="str">
        <x:v>061</x:v>
      </x:c>
      <x:c r="B48" t="str">
        <x:v>Permanent red</x:v>
      </x:c>
      <x:c r="C48" t="str">
        <x:v>永固紅</x:v>
      </x:c>
      <x:c r="D48" t="str">
        <x:v>パーマネントレッド</x:v>
      </x:c>
      <x:c r="E48" t="n">
        <x:v>2</x:v>
      </x:c>
      <x:c r="F48" s="36" t="str">
        <x:v>#EB6658</x:v>
      </x:c>
      <x:c r="G48" s="36" t="str">
        <x:v>—</x:v>
      </x:c>
      <x:c r="H48" s="36" t="str">
        <x:v>—</x:v>
      </x:c>
      <x:c r="I48" s="36" t="str">
        <x:v>—</x:v>
      </x:c>
      <x:c r="J48" s="36" t="str">
        <x:v>—</x:v>
      </x:c>
      <x:c r="K48" s="36" t="str">
        <x:v>—</x:v>
      </x:c>
      <x:c r="L48" s="36" t="str">
        <x:v>—</x:v>
      </x:c>
      <x:c r="M48" s="36" t="str">
        <x:v>—</x:v>
      </x:c>
      <x:c r="N48" s="193" t="str">
        <x:v>#E8563B</x:v>
      </x:c>
    </x:row>
    <x:row r="49">
      <x:c r="A49" t="str">
        <x:v>062</x:v>
      </x:c>
      <x:c r="B49" t="str">
        <x:v>Venetian red</x:v>
      </x:c>
      <x:c r="C49" t="str">
        <x:v>威尼斯紅</x:v>
      </x:c>
      <x:c r="D49" t="str">
        <x:v>ベネチアンレッド</x:v>
      </x:c>
      <x:c r="E49" t="n">
        <x:v>2</x:v>
      </x:c>
      <x:c r="F49" s="36" t="str">
        <x:v>—</x:v>
      </x:c>
      <x:c r="G49" s="36" t="str">
        <x:v>#EC8055</x:v>
      </x:c>
      <x:c r="H49" s="36" t="str">
        <x:v>#F9AD85</x:v>
      </x:c>
      <x:c r="I49" s="36" t="str">
        <x:v>—</x:v>
      </x:c>
      <x:c r="J49" s="36" t="str">
        <x:v>—</x:v>
      </x:c>
      <x:c r="K49" s="36" t="str">
        <x:v>—</x:v>
      </x:c>
      <x:c r="L49" s="36" t="str">
        <x:v>—</x:v>
      </x:c>
      <x:c r="M49" s="36" t="str">
        <x:v>—</x:v>
      </x:c>
      <x:c r="N49" s="177" t="str">
        <x:v>—</x:v>
      </x:c>
    </x:row>
    <x:row r="50">
      <x:c r="A50" t="str">
        <x:v>063</x:v>
      </x:c>
      <x:c r="B50" t="str">
        <x:v>English red</x:v>
      </x:c>
      <x:c r="C50" t="str">
        <x:v>英國紅</x:v>
      </x:c>
      <x:c r="D50" t="str">
        <x:v>イングリッシュレッド</x:v>
      </x:c>
      <x:c r="E50" t="n">
        <x:v>4</x:v>
      </x:c>
      <x:c r="F50" s="36" t="str">
        <x:v>—</x:v>
      </x:c>
      <x:c r="G50" s="36" t="str">
        <x:v>#DC6548</x:v>
      </x:c>
      <x:c r="H50" s="36" t="str">
        <x:v>#F79779</x:v>
      </x:c>
      <x:c r="I50" s="36" t="str">
        <x:v>—</x:v>
      </x:c>
      <x:c r="J50" s="36" t="str">
        <x:v>#E68764</x:v>
      </x:c>
      <x:c r="K50" s="36" t="str">
        <x:v>#8F4838</x:v>
      </x:c>
      <x:c r="L50" s="36" t="str">
        <x:v>—</x:v>
      </x:c>
      <x:c r="M50" s="36" t="str">
        <x:v>—</x:v>
      </x:c>
      <x:c r="N50" s="177" t="str">
        <x:v>—</x:v>
      </x:c>
    </x:row>
    <x:row r="51">
      <x:c r="A51" t="str">
        <x:v>064</x:v>
      </x:c>
      <x:c r="B51" t="str">
        <x:v>Medium russet</x:v>
      </x:c>
      <x:c r="C51" t="str">
        <x:v>中度赤褐</x:v>
      </x:c>
      <x:c r="D51" t="str">
        <x:v>ミディアムラセット</x:v>
      </x:c>
      <x:c r="E51" t="n">
        <x:v>2</x:v>
      </x:c>
      <x:c r="F51" s="36" t="str">
        <x:v>—</x:v>
      </x:c>
      <x:c r="G51" s="36" t="str">
        <x:v>—</x:v>
      </x:c>
      <x:c r="H51" s="36" t="str">
        <x:v>—</x:v>
      </x:c>
      <x:c r="I51" s="36" t="str">
        <x:v>—</x:v>
      </x:c>
      <x:c r="J51" s="36" t="str">
        <x:v>—</x:v>
      </x:c>
      <x:c r="K51" s="36" t="str">
        <x:v>—</x:v>
      </x:c>
      <x:c r="L51" s="36" t="str">
        <x:v>#A54820</x:v>
      </x:c>
      <x:c r="M51" s="36" t="str">
        <x:v>#A54820</x:v>
      </x:c>
      <x:c r="N51" s="177" t="str">
        <x:v>—</x:v>
      </x:c>
    </x:row>
    <x:row r="52">
      <x:c r="A52" t="str">
        <x:v>065</x:v>
      </x:c>
      <x:c r="B52" t="str">
        <x:v>Russet</x:v>
      </x:c>
      <x:c r="C52" t="str">
        <x:v>赤褐色</x:v>
      </x:c>
      <x:c r="D52" t="str">
        <x:v>ラセット</x:v>
      </x:c>
      <x:c r="E52" t="n">
        <x:v>7</x:v>
      </x:c>
      <x:c r="F52" s="36" t="str">
        <x:v>#BF4E45</x:v>
      </x:c>
      <x:c r="G52" s="36" t="str">
        <x:v>#D05F35</x:v>
      </x:c>
      <x:c r="H52" s="36" t="str">
        <x:v>#F7A576</x:v>
      </x:c>
      <x:c r="I52" s="36" t="str">
        <x:v>#E14A44</x:v>
      </x:c>
      <x:c r="J52" s="36" t="str">
        <x:v>#E78C55</x:v>
      </x:c>
      <x:c r="K52" s="36" t="str">
        <x:v>#893D1A</x:v>
      </x:c>
      <x:c r="L52" s="36" t="str">
        <x:v>—</x:v>
      </x:c>
      <x:c r="M52" s="36" t="str">
        <x:v>—</x:v>
      </x:c>
      <x:c r="N52" s="195" t="str">
        <x:v>#C75341</x:v>
      </x:c>
    </x:row>
    <x:row r="53">
      <x:c r="A53" t="str">
        <x:v>066</x:v>
      </x:c>
      <x:c r="B53" t="str">
        <x:v>Natural russet</x:v>
      </x:c>
      <x:c r="C53" t="str">
        <x:v>天然赤褐</x:v>
      </x:c>
      <x:c r="D53" t="str">
        <x:v>ナチュラルラセット</x:v>
      </x:c>
      <x:c r="E53" t="n">
        <x:v>3</x:v>
      </x:c>
      <x:c r="F53" s="36" t="str">
        <x:v>#A85845</x:v>
      </x:c>
      <x:c r="G53" s="36" t="str">
        <x:v>—</x:v>
      </x:c>
      <x:c r="H53" s="36" t="str">
        <x:v>—</x:v>
      </x:c>
      <x:c r="I53" s="36" t="str">
        <x:v>—</x:v>
      </x:c>
      <x:c r="J53" s="36" t="str">
        <x:v>—</x:v>
      </x:c>
      <x:c r="K53" s="36" t="str">
        <x:v>—</x:v>
      </x:c>
      <x:c r="L53" s="36" t="str">
        <x:v>#B84523</x:v>
      </x:c>
      <x:c r="M53" s="36" t="str">
        <x:v>#B84523</x:v>
      </x:c>
      <x:c r="N53" s="177" t="str">
        <x:v>—</x:v>
      </x:c>
    </x:row>
    <x:row r="54">
      <x:c r="A54" t="str">
        <x:v>067</x:v>
      </x:c>
      <x:c r="B54" t="str">
        <x:v>Mahogany</x:v>
      </x:c>
      <x:c r="C54" t="str">
        <x:v>桃花心木色</x:v>
      </x:c>
      <x:c r="D54" t="str">
        <x:v>マホガニー</x:v>
      </x:c>
      <x:c r="E54" t="n">
        <x:v>3</x:v>
      </x:c>
      <x:c r="F54" s="36" t="str">
        <x:v>—</x:v>
      </x:c>
      <x:c r="G54" s="36" t="str">
        <x:v>#A55041</x:v>
      </x:c>
      <x:c r="H54" s="36" t="str">
        <x:v>#DE9F8D</x:v>
      </x:c>
      <x:c r="I54" s="36" t="str">
        <x:v>—</x:v>
      </x:c>
      <x:c r="J54" s="36" t="str">
        <x:v>—</x:v>
      </x:c>
      <x:c r="K54" s="36" t="str">
        <x:v>#614B43</x:v>
      </x:c>
      <x:c r="L54" s="36" t="str">
        <x:v>—</x:v>
      </x:c>
      <x:c r="M54" s="36" t="str">
        <x:v>—</x:v>
      </x:c>
      <x:c r="N54" s="177" t="str">
        <x:v>—</x:v>
      </x:c>
    </x:row>
    <x:row r="55">
      <x:c r="A55" t="str">
        <x:v>068</x:v>
      </x:c>
      <x:c r="B55" t="str">
        <x:v>Herculanum red</x:v>
      </x:c>
      <x:c r="C55" t="str">
        <x:v>赫庫蘭尼姆紅</x:v>
      </x:c>
      <x:c r="D55" t="str">
        <x:v>ヘルクラネウムレッド</x:v>
      </x:c>
      <x:c r="E55" t="n">
        <x:v>4</x:v>
      </x:c>
      <x:c r="F55" s="36" t="str">
        <x:v>#ECB09F</x:v>
      </x:c>
      <x:c r="G55" s="36" t="str">
        <x:v>—</x:v>
      </x:c>
      <x:c r="H55" s="36" t="str">
        <x:v>—</x:v>
      </x:c>
      <x:c r="I55" s="36" t="str">
        <x:v>—</x:v>
      </x:c>
      <x:c r="J55" s="36" t="str">
        <x:v>—</x:v>
      </x:c>
      <x:c r="K55" s="36" t="str">
        <x:v>—</x:v>
      </x:c>
      <x:c r="L55" s="36" t="str">
        <x:v>#EDAA95</x:v>
      </x:c>
      <x:c r="M55" s="36" t="str">
        <x:v>#EDAA95</x:v>
      </x:c>
      <x:c r="N55" s="197" t="str">
        <x:v>#F6B89F</x:v>
      </x:c>
    </x:row>
    <x:row r="56">
      <x:c r="A56" t="str">
        <x:v>069</x:v>
      </x:c>
      <x:c r="B56" t="str">
        <x:v>Burnt sienna</x:v>
      </x:c>
      <x:c r="C56" t="str">
        <x:v>熟赭紅</x:v>
      </x:c>
      <x:c r="D56" t="str">
        <x:v>バーントシェンナ</x:v>
      </x:c>
      <x:c r="E56" t="n">
        <x:v>8</x:v>
      </x:c>
      <x:c r="F56" s="36" t="str">
        <x:v>#8A625F</x:v>
      </x:c>
      <x:c r="G56" s="36" t="str">
        <x:v>#954F43</x:v>
      </x:c>
      <x:c r="H56" s="36" t="str">
        <x:v>#D28C7D</x:v>
      </x:c>
      <x:c r="I56" s="36" t="str">
        <x:v>—</x:v>
      </x:c>
      <x:c r="J56" s="36" t="str">
        <x:v>#D28E7B</x:v>
      </x:c>
      <x:c r="K56" s="36" t="str">
        <x:v>#7E4843</x:v>
      </x:c>
      <x:c r="L56" s="36" t="str">
        <x:v>#85413A</x:v>
      </x:c>
      <x:c r="M56" s="36" t="str">
        <x:v>#85413A</x:v>
      </x:c>
      <x:c r="N56" s="199" t="str">
        <x:v>#854C3E</x:v>
      </x:c>
    </x:row>
    <x:row r="57">
      <x:c r="A57" t="str">
        <x:v>070</x:v>
      </x:c>
      <x:c r="B57" t="str">
        <x:v>Scarlet</x:v>
      </x:c>
      <x:c r="C57" t="str">
        <x:v>猩紅</x:v>
      </x:c>
      <x:c r="D57" t="str">
        <x:v>スカーレット</x:v>
      </x:c>
      <x:c r="E57" t="n">
        <x:v>9</x:v>
      </x:c>
      <x:c r="F57" s="36" t="str">
        <x:v>#E0283C</x:v>
      </x:c>
      <x:c r="G57" s="36" t="str">
        <x:v>#DB4637</x:v>
      </x:c>
      <x:c r="H57" s="36" t="str">
        <x:v>#F6947E</x:v>
      </x:c>
      <x:c r="I57" s="36" t="str">
        <x:v>#DA0322</x:v>
      </x:c>
      <x:c r="J57" s="36" t="str">
        <x:v>#F8C6C6</x:v>
      </x:c>
      <x:c r="K57" s="36" t="str">
        <x:v>#D40C30</x:v>
      </x:c>
      <x:c r="L57" s="36" t="str">
        <x:v>#BE1B2F</x:v>
      </x:c>
      <x:c r="M57" s="36" t="str">
        <x:v>#BE1B2F</x:v>
      </x:c>
      <x:c r="N57" s="201" t="str">
        <x:v>#DA4B33</x:v>
      </x:c>
    </x:row>
    <x:row r="58">
      <x:c r="A58" t="str">
        <x:v>071</x:v>
      </x:c>
      <x:c r="B58" t="str">
        <x:v>Salmon pink</x:v>
      </x:c>
      <x:c r="C58" t="str">
        <x:v>鮭魚粉紅</x:v>
      </x:c>
      <x:c r="D58" t="str">
        <x:v>サーモンピンク</x:v>
      </x:c>
      <x:c r="E58" t="n">
        <x:v>4</x:v>
      </x:c>
      <x:c r="F58" s="36" t="str">
        <x:v>—</x:v>
      </x:c>
      <x:c r="G58" s="36" t="str">
        <x:v>#F79D9B</x:v>
      </x:c>
      <x:c r="H58" s="36" t="str">
        <x:v>#F9BFB4</x:v>
      </x:c>
      <x:c r="I58" s="36" t="str">
        <x:v>—</x:v>
      </x:c>
      <x:c r="J58" s="36" t="str">
        <x:v>#FBD8D4</x:v>
      </x:c>
      <x:c r="K58" s="36" t="str">
        <x:v>#E9917A</x:v>
      </x:c>
      <x:c r="L58" s="36" t="str">
        <x:v>—</x:v>
      </x:c>
      <x:c r="M58" s="36" t="str">
        <x:v>—</x:v>
      </x:c>
      <x:c r="N58" s="177" t="str">
        <x:v>—</x:v>
      </x:c>
    </x:row>
    <x:row r="59">
      <x:c r="A59" t="str">
        <x:v>075</x:v>
      </x:c>
      <x:c r="B59" t="str">
        <x:v>Indian red</x:v>
      </x:c>
      <x:c r="C59" t="str">
        <x:v>印度紅</x:v>
      </x:c>
      <x:c r="D59" t="str">
        <x:v>インディアンレッド</x:v>
      </x:c>
      <x:c r="E59" t="n">
        <x:v>3</x:v>
      </x:c>
      <x:c r="F59" s="36" t="str">
        <x:v>—</x:v>
      </x:c>
      <x:c r="G59" s="36" t="str">
        <x:v>#C03840</x:v>
      </x:c>
      <x:c r="H59" s="36" t="str">
        <x:v>#F6B7CB</x:v>
      </x:c>
      <x:c r="I59" s="36" t="str">
        <x:v>—</x:v>
      </x:c>
      <x:c r="J59" s="36" t="str">
        <x:v>—</x:v>
      </x:c>
      <x:c r="K59" s="36" t="str">
        <x:v>#A12E39</x:v>
      </x:c>
      <x:c r="L59" s="36" t="str">
        <x:v>—</x:v>
      </x:c>
      <x:c r="M59" s="36" t="str">
        <x:v>—</x:v>
      </x:c>
      <x:c r="N59" s="177" t="str">
        <x:v>—</x:v>
      </x:c>
    </x:row>
    <x:row r="60">
      <x:c r="A60" t="str">
        <x:v>077</x:v>
      </x:c>
      <x:c r="B60" t="str">
        <x:v>Burnt ochre</x:v>
      </x:c>
      <x:c r="C60" t="str">
        <x:v>熟赭色</x:v>
      </x:c>
      <x:c r="D60" t="str">
        <x:v>バーントオーカー</x:v>
      </x:c>
      <x:c r="E60" t="n">
        <x:v>3</x:v>
      </x:c>
      <x:c r="F60" s="36" t="str">
        <x:v>#BF7A56</x:v>
      </x:c>
      <x:c r="G60" s="36" t="str">
        <x:v>—</x:v>
      </x:c>
      <x:c r="H60" s="36" t="str">
        <x:v>—</x:v>
      </x:c>
      <x:c r="I60" s="36" t="str">
        <x:v>#DA8356</x:v>
      </x:c>
      <x:c r="J60" s="36" t="str">
        <x:v>—</x:v>
      </x:c>
      <x:c r="K60" s="36" t="str">
        <x:v>—</x:v>
      </x:c>
      <x:c r="L60" s="36" t="str">
        <x:v>—</x:v>
      </x:c>
      <x:c r="M60" s="36" t="str">
        <x:v>—</x:v>
      </x:c>
      <x:c r="N60" s="203" t="str">
        <x:v>#BE7A4B</x:v>
      </x:c>
    </x:row>
    <x:row r="61">
      <x:c r="A61" t="str">
        <x:v>080</x:v>
      </x:c>
      <x:c r="B61" t="str">
        <x:v>Carmine Lake</x:v>
      </x:c>
      <x:c r="C61" t="str">
        <x:v>胭脂紅色淀</x:v>
      </x:c>
      <x:c r="D61" t="str">
        <x:v>カーマインレーキ</x:v>
      </x:c>
      <x:c r="E61" t="n">
        <x:v>6</x:v>
      </x:c>
      <x:c r="F61" s="36" t="str">
        <x:v>—</x:v>
      </x:c>
      <x:c r="G61" s="36" t="str">
        <x:v>#BC314C</x:v>
      </x:c>
      <x:c r="H61" s="36" t="str">
        <x:v>#F078AF</x:v>
      </x:c>
      <x:c r="I61" s="36" t="str">
        <x:v>—</x:v>
      </x:c>
      <x:c r="J61" s="36" t="str">
        <x:v>#F6C6D2</x:v>
      </x:c>
      <x:c r="K61" s="36" t="str">
        <x:v>#AE0537</x:v>
      </x:c>
      <x:c r="L61" s="36" t="str">
        <x:v>#B81D33</x:v>
      </x:c>
      <x:c r="M61" s="36" t="str">
        <x:v>#B81D33</x:v>
      </x:c>
      <x:c r="N61" s="177" t="str">
        <x:v>—</x:v>
      </x:c>
    </x:row>
    <x:row r="62">
      <x:c r="A62" t="str">
        <x:v>081</x:v>
      </x:c>
      <x:c r="B62" t="str">
        <x:v>Pink</x:v>
      </x:c>
      <x:c r="C62" t="str">
        <x:v>粉紅色</x:v>
      </x:c>
      <x:c r="D62" t="str">
        <x:v>ピンク</x:v>
      </x:c>
      <x:c r="E62" t="n">
        <x:v>4</x:v>
      </x:c>
      <x:c r="F62" s="36" t="str">
        <x:v>—</x:v>
      </x:c>
      <x:c r="G62" s="36" t="str">
        <x:v>#F58CB3</x:v>
      </x:c>
      <x:c r="H62" s="36" t="str">
        <x:v>#F6CBDF</x:v>
      </x:c>
      <x:c r="I62" s="36" t="str">
        <x:v>—</x:v>
      </x:c>
      <x:c r="J62" s="36" t="str">
        <x:v>#FADBDB</x:v>
      </x:c>
      <x:c r="K62" s="36" t="str">
        <x:v>#DA808B</x:v>
      </x:c>
      <x:c r="L62" s="36" t="str">
        <x:v>—</x:v>
      </x:c>
      <x:c r="M62" s="36" t="str">
        <x:v>—</x:v>
      </x:c>
      <x:c r="N62" s="177" t="str">
        <x:v>—</x:v>
      </x:c>
    </x:row>
    <x:row r="63">
      <x:c r="A63" t="str">
        <x:v>082</x:v>
      </x:c>
      <x:c r="B63" t="str">
        <x:v>Old pink</x:v>
      </x:c>
      <x:c r="C63" t="str">
        <x:v>復古粉紅</x:v>
      </x:c>
      <x:c r="D63" t="str">
        <x:v>オールドピンク</x:v>
      </x:c>
      <x:c r="E63" t="n">
        <x:v>2</x:v>
      </x:c>
      <x:c r="F63" s="36" t="str">
        <x:v>—</x:v>
      </x:c>
      <x:c r="G63" s="36" t="str">
        <x:v>#EF7476</x:v>
      </x:c>
      <x:c r="H63" s="36" t="str">
        <x:v>#F7B8CF</x:v>
      </x:c>
      <x:c r="I63" s="36" t="str">
        <x:v>—</x:v>
      </x:c>
      <x:c r="J63" s="36" t="str">
        <x:v>—</x:v>
      </x:c>
      <x:c r="K63" s="36" t="str">
        <x:v>—</x:v>
      </x:c>
      <x:c r="L63" s="36" t="str">
        <x:v>—</x:v>
      </x:c>
      <x:c r="M63" s="36" t="str">
        <x:v>—</x:v>
      </x:c>
      <x:c r="N63" s="177" t="str">
        <x:v>—</x:v>
      </x:c>
    </x:row>
    <x:row r="64">
      <x:c r="A64" t="str">
        <x:v>083</x:v>
      </x:c>
      <x:c r="B64" t="str">
        <x:v>Ultramarin pink</x:v>
      </x:c>
      <x:c r="C64" t="str">
        <x:v>群青粉紅</x:v>
      </x:c>
      <x:c r="D64" t="str">
        <x:v>ウルトラマリンピンク</x:v>
      </x:c>
      <x:c r="E64" t="n">
        <x:v>3</x:v>
      </x:c>
      <x:c r="F64" s="36" t="str">
        <x:v>#C796C0</x:v>
      </x:c>
      <x:c r="G64" s="36" t="str">
        <x:v>—</x:v>
      </x:c>
      <x:c r="H64" s="36" t="str">
        <x:v>—</x:v>
      </x:c>
      <x:c r="I64" s="36" t="str">
        <x:v>—</x:v>
      </x:c>
      <x:c r="J64" s="36" t="str">
        <x:v>—</x:v>
      </x:c>
      <x:c r="K64" s="36" t="str">
        <x:v>—</x:v>
      </x:c>
      <x:c r="L64" s="36" t="str">
        <x:v>#B895B0</x:v>
      </x:c>
      <x:c r="M64" s="36" t="str">
        <x:v>#B895B0</x:v>
      </x:c>
      <x:c r="N64" s="177" t="str">
        <x:v>—</x:v>
      </x:c>
    </x:row>
    <x:row r="65">
      <x:c r="A65" t="str">
        <x:v>085</x:v>
      </x:c>
      <x:c r="B65" t="str">
        <x:v>Bordeaux red</x:v>
      </x:c>
      <x:c r="C65" t="str">
        <x:v>波爾多紅</x:v>
      </x:c>
      <x:c r="D65" t="str">
        <x:v>ボルドーレッド</x:v>
      </x:c>
      <x:c r="E65" t="n">
        <x:v>2</x:v>
      </x:c>
      <x:c r="F65" s="36" t="str">
        <x:v>—</x:v>
      </x:c>
      <x:c r="G65" s="36" t="str">
        <x:v>#B24448</x:v>
      </x:c>
      <x:c r="H65" s="36" t="str">
        <x:v>#F494AF</x:v>
      </x:c>
      <x:c r="I65" s="36" t="str">
        <x:v>—</x:v>
      </x:c>
      <x:c r="J65" s="36" t="str">
        <x:v>—</x:v>
      </x:c>
      <x:c r="K65" s="36" t="str">
        <x:v>—</x:v>
      </x:c>
      <x:c r="L65" s="36" t="str">
        <x:v>—</x:v>
      </x:c>
      <x:c r="M65" s="36" t="str">
        <x:v>—</x:v>
      </x:c>
      <x:c r="N65" s="177" t="str">
        <x:v>—</x:v>
      </x:c>
    </x:row>
    <x:row r="66">
      <x:c r="A66" t="str">
        <x:v>089</x:v>
      </x:c>
      <x:c r="B66" t="str">
        <x:v>Dark carmine</x:v>
      </x:c>
      <x:c r="C66" t="str">
        <x:v>深胭脂紅</x:v>
      </x:c>
      <x:c r="D66" t="str">
        <x:v>ダークカーマイン</x:v>
      </x:c>
      <x:c r="E66" t="n">
        <x:v>4</x:v>
      </x:c>
      <x:c r="F66" s="36" t="str">
        <x:v>—</x:v>
      </x:c>
      <x:c r="G66" s="36" t="str">
        <x:v>#AB4755</x:v>
      </x:c>
      <x:c r="H66" s="36" t="str">
        <x:v>#F27899</x:v>
      </x:c>
      <x:c r="I66" s="36" t="str">
        <x:v>—</x:v>
      </x:c>
      <x:c r="J66" s="36" t="str">
        <x:v>—</x:v>
      </x:c>
      <x:c r="K66" s="36" t="str">
        <x:v>—</x:v>
      </x:c>
      <x:c r="L66" s="36" t="str">
        <x:v>#6E303A</x:v>
      </x:c>
      <x:c r="M66" s="36" t="str">
        <x:v>#6E303A</x:v>
      </x:c>
      <x:c r="N66" s="177" t="str">
        <x:v>—</x:v>
      </x:c>
    </x:row>
    <x:row r="67">
      <x:c r="A67" t="str">
        <x:v>090</x:v>
      </x:c>
      <x:c r="B67" t="str">
        <x:v>Purple</x:v>
      </x:c>
      <x:c r="C67" t="str">
        <x:v>紫色</x:v>
      </x:c>
      <x:c r="D67" t="str">
        <x:v>パープル</x:v>
      </x:c>
      <x:c r="E67" t="n">
        <x:v>4</x:v>
      </x:c>
      <x:c r="F67" s="36" t="str">
        <x:v>—</x:v>
      </x:c>
      <x:c r="G67" s="36" t="str">
        <x:v>#B46394</x:v>
      </x:c>
      <x:c r="H67" s="36" t="str">
        <x:v>#E6A6CA</x:v>
      </x:c>
      <x:c r="I67" s="36" t="str">
        <x:v>—</x:v>
      </x:c>
      <x:c r="J67" s="36" t="str">
        <x:v>#EB9BC0</x:v>
      </x:c>
      <x:c r="K67" s="36" t="str">
        <x:v>#B90E60</x:v>
      </x:c>
      <x:c r="L67" s="36" t="str">
        <x:v>—</x:v>
      </x:c>
      <x:c r="M67" s="36" t="str">
        <x:v>—</x:v>
      </x:c>
      <x:c r="N67" s="177" t="str">
        <x:v>—</x:v>
      </x:c>
    </x:row>
    <x:row r="68">
      <x:c r="A68" t="str">
        <x:v>091</x:v>
      </x:c>
      <x:c r="B68" t="str">
        <x:v>Light purple</x:v>
      </x:c>
      <x:c r="C68" t="str">
        <x:v>淺紫色</x:v>
      </x:c>
      <x:c r="D68" t="str">
        <x:v>ライトパープル</x:v>
      </x:c>
      <x:c r="E68" t="n">
        <x:v>2</x:v>
      </x:c>
      <x:c r="F68" s="36" t="str">
        <x:v>—</x:v>
      </x:c>
      <x:c r="G68" s="36" t="str">
        <x:v>#E485AB</x:v>
      </x:c>
      <x:c r="H68" s="36" t="str">
        <x:v>#F7BAD3</x:v>
      </x:c>
      <x:c r="I68" s="36" t="str">
        <x:v>—</x:v>
      </x:c>
      <x:c r="J68" s="36" t="str">
        <x:v>—</x:v>
      </x:c>
      <x:c r="K68" s="36" t="str">
        <x:v>—</x:v>
      </x:c>
      <x:c r="L68" s="36" t="str">
        <x:v>—</x:v>
      </x:c>
      <x:c r="M68" s="36" t="str">
        <x:v>—</x:v>
      </x:c>
      <x:c r="N68" s="177" t="str">
        <x:v>—</x:v>
      </x:c>
    </x:row>
    <x:row r="69">
      <x:c r="A69" t="str">
        <x:v>093</x:v>
      </x:c>
      <x:c r="B69" t="str">
        <x:v>Violet grey</x:v>
      </x:c>
      <x:c r="C69" t="str">
        <x:v>紫灰色</x:v>
      </x:c>
      <x:c r="D69" t="str">
        <x:v>バイオレットグレー</x:v>
      </x:c>
      <x:c r="E69" t="n">
        <x:v>4</x:v>
      </x:c>
      <x:c r="F69" s="36" t="str">
        <x:v>#B5ABB0</x:v>
      </x:c>
      <x:c r="G69" s="36" t="str">
        <x:v>—</x:v>
      </x:c>
      <x:c r="H69" s="36" t="str">
        <x:v>—</x:v>
      </x:c>
      <x:c r="I69" s="36" t="str">
        <x:v>—</x:v>
      </x:c>
      <x:c r="J69" s="36" t="str">
        <x:v>—</x:v>
      </x:c>
      <x:c r="K69" s="36" t="str">
        <x:v>—</x:v>
      </x:c>
      <x:c r="L69" s="36" t="str">
        <x:v>#635556</x:v>
      </x:c>
      <x:c r="M69" s="36" t="str">
        <x:v>#635556</x:v>
      </x:c>
      <x:c r="N69" s="205" t="str">
        <x:v>#BFAEBB</x:v>
      </x:c>
    </x:row>
    <x:row r="70">
      <x:c r="A70" t="str">
        <x:v>094</x:v>
      </x:c>
      <x:c r="B70" t="str">
        <x:v>Hibiscus pink</x:v>
      </x:c>
      <x:c r="C70" t="str">
        <x:v>木槿粉紅</x:v>
      </x:c>
      <x:c r="D70" t="str">
        <x:v>ハイビスカスピンク</x:v>
      </x:c>
      <x:c r="E70" t="n">
        <x:v>1</x:v>
      </x:c>
      <x:c r="F70" s="36" t="str">
        <x:v>#C88281</x:v>
      </x:c>
      <x:c r="G70" s="36" t="str">
        <x:v>—</x:v>
      </x:c>
      <x:c r="H70" s="36" t="str">
        <x:v>—</x:v>
      </x:c>
      <x:c r="I70" s="36" t="str">
        <x:v>—</x:v>
      </x:c>
      <x:c r="J70" s="36" t="str">
        <x:v>—</x:v>
      </x:c>
      <x:c r="K70" s="36" t="str">
        <x:v>—</x:v>
      </x:c>
      <x:c r="L70" s="36" t="str">
        <x:v>—</x:v>
      </x:c>
      <x:c r="M70" s="36" t="str">
        <x:v>—</x:v>
      </x:c>
      <x:c r="N70" s="177" t="str">
        <x:v>—</x:v>
      </x:c>
    </x:row>
    <x:row r="71">
      <x:c r="A71" t="str">
        <x:v>095</x:v>
      </x:c>
      <x:c r="B71" t="str">
        <x:v>Light aubergine</x:v>
      </x:c>
      <x:c r="C71" t="str">
        <x:v>淺茄紫</x:v>
      </x:c>
      <x:c r="D71" t="str">
        <x:v>ライトオーベルジーヌ</x:v>
      </x:c>
      <x:c r="E71" t="n">
        <x:v>1</x:v>
      </x:c>
      <x:c r="F71" s="36" t="str">
        <x:v>#704F65</x:v>
      </x:c>
      <x:c r="G71" s="36" t="str">
        <x:v>—</x:v>
      </x:c>
      <x:c r="H71" s="36" t="str">
        <x:v>—</x:v>
      </x:c>
      <x:c r="I71" s="36" t="str">
        <x:v>—</x:v>
      </x:c>
      <x:c r="J71" s="36" t="str">
        <x:v>—</x:v>
      </x:c>
      <x:c r="K71" s="36" t="str">
        <x:v>—</x:v>
      </x:c>
      <x:c r="L71" s="36" t="str">
        <x:v>—</x:v>
      </x:c>
      <x:c r="M71" s="36" t="str">
        <x:v>—</x:v>
      </x:c>
      <x:c r="N71" s="177" t="str">
        <x:v>—</x:v>
      </x:c>
    </x:row>
    <x:row r="72">
      <x:c r="A72" t="str">
        <x:v>099</x:v>
      </x:c>
      <x:c r="B72" t="str">
        <x:v>Aubergine</x:v>
      </x:c>
      <x:c r="C72" t="str">
        <x:v>茄紫色</x:v>
      </x:c>
      <x:c r="D72" t="str">
        <x:v>オーベルジーヌ</x:v>
      </x:c>
      <x:c r="E72" t="n">
        <x:v>6</x:v>
      </x:c>
      <x:c r="F72" s="36" t="str">
        <x:v>—</x:v>
      </x:c>
      <x:c r="G72" s="36" t="str">
        <x:v>#63485F</x:v>
      </x:c>
      <x:c r="H72" s="36" t="str">
        <x:v>#D8B6C0</x:v>
      </x:c>
      <x:c r="I72" s="36" t="str">
        <x:v>—</x:v>
      </x:c>
      <x:c r="J72" s="36" t="str">
        <x:v>#F0DFE3</x:v>
      </x:c>
      <x:c r="K72" s="36" t="str">
        <x:v>#8F508C</x:v>
      </x:c>
      <x:c r="L72" s="36" t="str">
        <x:v>#99538F</x:v>
      </x:c>
      <x:c r="M72" s="36" t="str">
        <x:v>#99538F</x:v>
      </x:c>
      <x:c r="N72" s="177" t="str">
        <x:v>—</x:v>
      </x:c>
    </x:row>
    <x:row r="73">
      <x:c r="A73" t="str">
        <x:v>100</x:v>
      </x:c>
      <x:c r="B73" t="str">
        <x:v>Purple violet</x:v>
      </x:c>
      <x:c r="C73" t="str">
        <x:v>紫羅蘭</x:v>
      </x:c>
      <x:c r="D73" t="str">
        <x:v>パープルバイオレット</x:v>
      </x:c>
      <x:c r="E73" t="n">
        <x:v>3</x:v>
      </x:c>
      <x:c r="F73" s="36" t="str">
        <x:v>—</x:v>
      </x:c>
      <x:c r="G73" s="36" t="str">
        <x:v>#9F4E83</x:v>
      </x:c>
      <x:c r="H73" s="36" t="str">
        <x:v>#ECC7DC</x:v>
      </x:c>
      <x:c r="I73" s="36" t="str">
        <x:v>—</x:v>
      </x:c>
      <x:c r="J73" s="36" t="str">
        <x:v>#F8D4E2</x:v>
      </x:c>
      <x:c r="K73" s="36" t="str">
        <x:v>—</x:v>
      </x:c>
      <x:c r="L73" s="36" t="str">
        <x:v>—</x:v>
      </x:c>
      <x:c r="M73" s="36" t="str">
        <x:v>—</x:v>
      </x:c>
      <x:c r="N73" s="177" t="str">
        <x:v>—</x:v>
      </x:c>
    </x:row>
    <x:row r="74">
      <x:c r="A74" t="str">
        <x:v>101</x:v>
      </x:c>
      <x:c r="B74" t="str">
        <x:v>Light purple violet</x:v>
      </x:c>
      <x:c r="C74" t="str">
        <x:v>淺紫羅蘭</x:v>
      </x:c>
      <x:c r="D74" t="str">
        <x:v>ライトパープルバイオレット</x:v>
      </x:c>
      <x:c r="E74" t="n">
        <x:v>1</x:v>
      </x:c>
      <x:c r="F74" s="36" t="str">
        <x:v>—</x:v>
      </x:c>
      <x:c r="G74" s="36" t="str">
        <x:v>—</x:v>
      </x:c>
      <x:c r="H74" s="36" t="str">
        <x:v>—</x:v>
      </x:c>
      <x:c r="I74" s="36" t="str">
        <x:v>—</x:v>
      </x:c>
      <x:c r="J74" s="36" t="str">
        <x:v>—</x:v>
      </x:c>
      <x:c r="K74" s="36" t="str">
        <x:v>#BC7EB0</x:v>
      </x:c>
      <x:c r="L74" s="36" t="str">
        <x:v>—</x:v>
      </x:c>
      <x:c r="M74" s="36" t="str">
        <x:v>—</x:v>
      </x:c>
      <x:c r="N74" s="177" t="str">
        <x:v>—</x:v>
      </x:c>
    </x:row>
    <x:row r="75">
      <x:c r="A75" t="str">
        <x:v>105</x:v>
      </x:c>
      <x:c r="B75" t="str">
        <x:v>Plum</x:v>
      </x:c>
      <x:c r="C75" t="str">
        <x:v>梅紫色</x:v>
      </x:c>
      <x:c r="D75" t="str">
        <x:v>プラム</x:v>
      </x:c>
      <x:c r="E75" t="n">
        <x:v>2</x:v>
      </x:c>
      <x:c r="F75" s="36" t="str">
        <x:v>—</x:v>
      </x:c>
      <x:c r="G75" s="36" t="str">
        <x:v>—</x:v>
      </x:c>
      <x:c r="H75" s="36" t="str">
        <x:v>—</x:v>
      </x:c>
      <x:c r="I75" s="36" t="str">
        <x:v>—</x:v>
      </x:c>
      <x:c r="J75" s="36" t="str">
        <x:v>—</x:v>
      </x:c>
      <x:c r="K75" s="36" t="str">
        <x:v>—</x:v>
      </x:c>
      <x:c r="L75" s="36" t="str">
        <x:v>#5E374E</x:v>
      </x:c>
      <x:c r="M75" s="36" t="str">
        <x:v>#5E374E</x:v>
      </x:c>
      <x:c r="N75" s="177" t="str">
        <x:v>—</x:v>
      </x:c>
    </x:row>
    <x:row r="76">
      <x:c r="A76" t="str">
        <x:v>106</x:v>
      </x:c>
      <x:c r="B76" t="str">
        <x:v>Dark plum</x:v>
      </x:c>
      <x:c r="C76" t="str">
        <x:v>深梅紫</x:v>
      </x:c>
      <x:c r="D76" t="str">
        <x:v>ダークプラム</x:v>
      </x:c>
      <x:c r="E76" t="n">
        <x:v>1</x:v>
      </x:c>
      <x:c r="F76" s="36" t="str">
        <x:v>—</x:v>
      </x:c>
      <x:c r="G76" s="36" t="str">
        <x:v>—</x:v>
      </x:c>
      <x:c r="H76" s="36" t="str">
        <x:v>—</x:v>
      </x:c>
      <x:c r="I76" s="36" t="str">
        <x:v>#A1587B</x:v>
      </x:c>
      <x:c r="J76" s="36" t="str">
        <x:v>—</x:v>
      </x:c>
      <x:c r="K76" s="36" t="str">
        <x:v>—</x:v>
      </x:c>
      <x:c r="L76" s="36" t="str">
        <x:v>—</x:v>
      </x:c>
      <x:c r="M76" s="36" t="str">
        <x:v>—</x:v>
      </x:c>
      <x:c r="N76" s="177" t="str">
        <x:v>—</x:v>
      </x:c>
    </x:row>
    <x:row r="77">
      <x:c r="A77" t="str">
        <x:v>110</x:v>
      </x:c>
      <x:c r="B77" t="str">
        <x:v>Lilac</x:v>
      </x:c>
      <x:c r="C77" t="str">
        <x:v>丁香紫</x:v>
      </x:c>
      <x:c r="D77" t="str">
        <x:v>ライラック</x:v>
      </x:c>
      <x:c r="E77" t="n">
        <x:v>4</x:v>
      </x:c>
      <x:c r="F77" s="36" t="str">
        <x:v>—</x:v>
      </x:c>
      <x:c r="G77" s="36" t="str">
        <x:v>#774078</x:v>
      </x:c>
      <x:c r="H77" s="36" t="str">
        <x:v>#E5A1C6</x:v>
      </x:c>
      <x:c r="I77" s="36" t="str">
        <x:v>—</x:v>
      </x:c>
      <x:c r="J77" s="36" t="str">
        <x:v>#F8DFE5</x:v>
      </x:c>
      <x:c r="K77" s="36" t="str">
        <x:v>#442C4A</x:v>
      </x:c>
      <x:c r="L77" s="36" t="str">
        <x:v>—</x:v>
      </x:c>
      <x:c r="M77" s="36" t="str">
        <x:v>—</x:v>
      </x:c>
      <x:c r="N77" s="177" t="str">
        <x:v>—</x:v>
      </x:c>
    </x:row>
    <x:row r="78">
      <x:c r="A78" t="str">
        <x:v>111</x:v>
      </x:c>
      <x:c r="B78" t="str">
        <x:v>Mauve</x:v>
      </x:c>
      <x:c r="C78" t="str">
        <x:v>淡紫色</x:v>
      </x:c>
      <x:c r="D78" t="str">
        <x:v>モーブ</x:v>
      </x:c>
      <x:c r="E78" t="n">
        <x:v>4</x:v>
      </x:c>
      <x:c r="F78" s="36" t="str">
        <x:v>—</x:v>
      </x:c>
      <x:c r="G78" s="36" t="str">
        <x:v>#B874AE</x:v>
      </x:c>
      <x:c r="H78" s="36" t="str">
        <x:v>#F3BED7</x:v>
      </x:c>
      <x:c r="I78" s="36" t="str">
        <x:v>—</x:v>
      </x:c>
      <x:c r="J78" s="36" t="str">
        <x:v>#FBE3E9</x:v>
      </x:c>
      <x:c r="K78" s="36" t="str">
        <x:v>#8D448F</x:v>
      </x:c>
      <x:c r="L78" s="36" t="str">
        <x:v>—</x:v>
      </x:c>
      <x:c r="M78" s="36" t="str">
        <x:v>—</x:v>
      </x:c>
      <x:c r="N78" s="177" t="str">
        <x:v>—</x:v>
      </x:c>
    </x:row>
    <x:row r="79">
      <x:c r="A79" t="str">
        <x:v>112</x:v>
      </x:c>
      <x:c r="B79" t="str">
        <x:v>Manganese violet</x:v>
      </x:c>
      <x:c r="C79" t="str">
        <x:v>錳紫</x:v>
      </x:c>
      <x:c r="D79" t="str">
        <x:v>マンガニーズバイオレット</x:v>
      </x:c>
      <x:c r="E79" t="n">
        <x:v>3</x:v>
      </x:c>
      <x:c r="F79" s="36" t="str">
        <x:v>#C08FBC</x:v>
      </x:c>
      <x:c r="G79" s="36" t="str">
        <x:v>—</x:v>
      </x:c>
      <x:c r="H79" s="36" t="str">
        <x:v>—</x:v>
      </x:c>
      <x:c r="I79" s="36" t="str">
        <x:v>#C0A0C8</x:v>
      </x:c>
      <x:c r="J79" s="36" t="str">
        <x:v>—</x:v>
      </x:c>
      <x:c r="K79" s="36" t="str">
        <x:v>—</x:v>
      </x:c>
      <x:c r="L79" s="36" t="str">
        <x:v>—</x:v>
      </x:c>
      <x:c r="M79" s="36" t="str">
        <x:v>—</x:v>
      </x:c>
      <x:c r="N79" s="207" t="str">
        <x:v>#B59EBD</x:v>
      </x:c>
    </x:row>
    <x:row r="80">
      <x:c r="A80" t="str">
        <x:v>115</x:v>
      </x:c>
      <x:c r="B80" t="str">
        <x:v>Quinacridone purple</x:v>
      </x:c>
      <x:c r="C80" t="str">
        <x:v>喹吖啶酮紫</x:v>
      </x:c>
      <x:c r="D80" t="str">
        <x:v>キナクリドンパープル</x:v>
      </x:c>
      <x:c r="E80" t="n">
        <x:v>1</x:v>
      </x:c>
      <x:c r="F80" s="36" t="str">
        <x:v>#642664</x:v>
      </x:c>
      <x:c r="G80" s="36" t="str">
        <x:v>—</x:v>
      </x:c>
      <x:c r="H80" s="36" t="str">
        <x:v>—</x:v>
      </x:c>
      <x:c r="I80" s="36" t="str">
        <x:v>—</x:v>
      </x:c>
      <x:c r="J80" s="36" t="str">
        <x:v>—</x:v>
      </x:c>
      <x:c r="K80" s="36" t="str">
        <x:v>—</x:v>
      </x:c>
      <x:c r="L80" s="36" t="str">
        <x:v>—</x:v>
      </x:c>
      <x:c r="M80" s="36" t="str">
        <x:v>—</x:v>
      </x:c>
      <x:c r="N80" s="177" t="str">
        <x:v>—</x:v>
      </x:c>
    </x:row>
    <x:row r="81">
      <x:c r="A81" t="str">
        <x:v>120</x:v>
      </x:c>
      <x:c r="B81" t="str">
        <x:v>Violet</x:v>
      </x:c>
      <x:c r="C81" t="str">
        <x:v>紫羅蘭色</x:v>
      </x:c>
      <x:c r="D81" t="str">
        <x:v>バイオレット</x:v>
      </x:c>
      <x:c r="E81" t="n">
        <x:v>9</x:v>
      </x:c>
      <x:c r="F81" s="36" t="str">
        <x:v>#815EA0</x:v>
      </x:c>
      <x:c r="G81" s="36" t="str">
        <x:v>#625390</x:v>
      </x:c>
      <x:c r="H81" s="36" t="str">
        <x:v>#9679B7</x:v>
      </x:c>
      <x:c r="I81" s="36" t="str">
        <x:v>#433473</x:v>
      </x:c>
      <x:c r="J81" s="36" t="str">
        <x:v>#F2D1E3</x:v>
      </x:c>
      <x:c r="K81" s="36" t="str">
        <x:v>#2D1955</x:v>
      </x:c>
      <x:c r="L81" s="36" t="str">
        <x:v>#533274</x:v>
      </x:c>
      <x:c r="M81" s="36" t="str">
        <x:v>#533274</x:v>
      </x:c>
      <x:c r="N81" s="209" t="str">
        <x:v>#5F4390</x:v>
      </x:c>
    </x:row>
    <x:row r="82">
      <x:c r="A82" t="str">
        <x:v>129</x:v>
      </x:c>
      <x:c r="B82" t="str">
        <x:v>Violet brown</x:v>
      </x:c>
      <x:c r="C82" t="str">
        <x:v>紫棕</x:v>
      </x:c>
      <x:c r="D82" t="str">
        <x:v>バイオレットブラウン</x:v>
      </x:c>
      <x:c r="E82" t="n">
        <x:v>1</x:v>
      </x:c>
      <x:c r="F82" s="36" t="str">
        <x:v>#6D527B</x:v>
      </x:c>
      <x:c r="G82" s="36" t="str">
        <x:v>—</x:v>
      </x:c>
      <x:c r="H82" s="36" t="str">
        <x:v>—</x:v>
      </x:c>
      <x:c r="I82" s="36" t="str">
        <x:v>—</x:v>
      </x:c>
      <x:c r="J82" s="36" t="str">
        <x:v>—</x:v>
      </x:c>
      <x:c r="K82" s="36" t="str">
        <x:v>—</x:v>
      </x:c>
      <x:c r="L82" s="36" t="str">
        <x:v>—</x:v>
      </x:c>
      <x:c r="M82" s="36" t="str">
        <x:v>—</x:v>
      </x:c>
      <x:c r="N82" s="177" t="str">
        <x:v>—</x:v>
      </x:c>
    </x:row>
    <x:row r="83">
      <x:c r="A83" t="str">
        <x:v>130</x:v>
      </x:c>
      <x:c r="B83" t="str">
        <x:v>Royal blue</x:v>
      </x:c>
      <x:c r="C83" t="str">
        <x:v>皇家藍</x:v>
      </x:c>
      <x:c r="D83" t="str">
        <x:v>ロイヤルブルー</x:v>
      </x:c>
      <x:c r="E83" t="n">
        <x:v>4</x:v>
      </x:c>
      <x:c r="F83" s="36" t="str">
        <x:v>—</x:v>
      </x:c>
      <x:c r="G83" s="36" t="str">
        <x:v>#625D99</x:v>
      </x:c>
      <x:c r="H83" s="36" t="str">
        <x:v>#9C8FC4</x:v>
      </x:c>
      <x:c r="I83" s="36" t="str">
        <x:v>—</x:v>
      </x:c>
      <x:c r="J83" s="36" t="str">
        <x:v>#B9B8D9</x:v>
      </x:c>
      <x:c r="K83" s="36" t="str">
        <x:v>#04356C</x:v>
      </x:c>
      <x:c r="L83" s="36" t="str">
        <x:v>—</x:v>
      </x:c>
      <x:c r="M83" s="36" t="str">
        <x:v>—</x:v>
      </x:c>
      <x:c r="N83" s="177" t="str">
        <x:v>—</x:v>
      </x:c>
    </x:row>
    <x:row r="84">
      <x:c r="A84" t="str">
        <x:v>131</x:v>
      </x:c>
      <x:c r="B84" t="str">
        <x:v>Periwinkle blue</x:v>
      </x:c>
      <x:c r="C84" t="str">
        <x:v>長春花藍</x:v>
      </x:c>
      <x:c r="D84" t="str">
        <x:v>ペリウィンクル ブルー</x:v>
      </x:c>
      <x:c r="E84" t="n">
        <x:v>5</x:v>
      </x:c>
      <x:c r="F84" s="36" t="str">
        <x:v>—</x:v>
      </x:c>
      <x:c r="G84" s="36" t="str">
        <x:v>#9972AD</x:v>
      </x:c>
      <x:c r="H84" s="36" t="str">
        <x:v>#D8AFCE</x:v>
      </x:c>
      <x:c r="I84" s="36" t="str">
        <x:v>#A46CA7</x:v>
      </x:c>
      <x:c r="J84" s="36" t="str">
        <x:v>#DECBE2</x:v>
      </x:c>
      <x:c r="K84" s="36" t="str">
        <x:v>#56438C</x:v>
      </x:c>
      <x:c r="L84" s="36" t="str">
        <x:v>—</x:v>
      </x:c>
      <x:c r="M84" s="36" t="str">
        <x:v>—</x:v>
      </x:c>
      <x:c r="N84" s="177" t="str">
        <x:v>—</x:v>
      </x:c>
    </x:row>
    <x:row r="85">
      <x:c r="A85" t="str">
        <x:v>135</x:v>
      </x:c>
      <x:c r="B85" t="str">
        <x:v>Bleu de Nîmes</x:v>
      </x:c>
      <x:c r="C85" t="str">
        <x:v>尼姆藍</x:v>
      </x:c>
      <x:c r="D85" t="str">
        <x:v>ブルー・ド・ニーム</x:v>
      </x:c>
      <x:c r="E85" t="n">
        <x:v>1</x:v>
      </x:c>
      <x:c r="F85" s="36" t="str">
        <x:v>#183161</x:v>
      </x:c>
      <x:c r="G85" s="36" t="str">
        <x:v>—</x:v>
      </x:c>
      <x:c r="H85" s="36" t="str">
        <x:v>—</x:v>
      </x:c>
      <x:c r="I85" s="36" t="str">
        <x:v>—</x:v>
      </x:c>
      <x:c r="J85" s="36" t="str">
        <x:v>—</x:v>
      </x:c>
      <x:c r="K85" s="36" t="str">
        <x:v>—</x:v>
      </x:c>
      <x:c r="L85" s="36" t="str">
        <x:v>—</x:v>
      </x:c>
      <x:c r="M85" s="36" t="str">
        <x:v>—</x:v>
      </x:c>
      <x:c r="N85" s="177" t="str">
        <x:v>—</x:v>
      </x:c>
    </x:row>
    <x:row r="86">
      <x:c r="A86" t="str">
        <x:v>139</x:v>
      </x:c>
      <x:c r="B86" t="str">
        <x:v>Indigo blue</x:v>
      </x:c>
      <x:c r="C86" t="str">
        <x:v>靛藍</x:v>
      </x:c>
      <x:c r="D86" t="str">
        <x:v>インディゴブルー</x:v>
      </x:c>
      <x:c r="E86" t="n">
        <x:v>4</x:v>
      </x:c>
      <x:c r="F86" s="36" t="str">
        <x:v>—</x:v>
      </x:c>
      <x:c r="G86" s="36" t="str">
        <x:v>#41405F</x:v>
      </x:c>
      <x:c r="H86" s="36" t="str">
        <x:v>#9C95C8</x:v>
      </x:c>
      <x:c r="I86" s="36" t="str">
        <x:v>—</x:v>
      </x:c>
      <x:c r="J86" s="36" t="str">
        <x:v>#BDB7CE</x:v>
      </x:c>
      <x:c r="K86" s="36" t="str">
        <x:v>#313A5C</x:v>
      </x:c>
      <x:c r="L86" s="36" t="str">
        <x:v>—</x:v>
      </x:c>
      <x:c r="M86" s="36" t="str">
        <x:v>—</x:v>
      </x:c>
      <x:c r="N86" s="177" t="str">
        <x:v>—</x:v>
      </x:c>
    </x:row>
    <x:row r="87">
      <x:c r="A87" t="str">
        <x:v>140</x:v>
      </x:c>
      <x:c r="B87" t="str">
        <x:v>Ultramarine</x:v>
      </x:c>
      <x:c r="C87" t="str">
        <x:v>群青</x:v>
      </x:c>
      <x:c r="D87" t="str">
        <x:v>ウルトラマリン</x:v>
      </x:c>
      <x:c r="E87" t="n">
        <x:v>8</x:v>
      </x:c>
      <x:c r="F87" s="36" t="str">
        <x:v>#06549E</x:v>
      </x:c>
      <x:c r="G87" s="36" t="str">
        <x:v>#36479E</x:v>
      </x:c>
      <x:c r="H87" s="36" t="str">
        <x:v>#6C9DD4</x:v>
      </x:c>
      <x:c r="I87" s="36" t="str">
        <x:v>—</x:v>
      </x:c>
      <x:c r="J87" s="36" t="str">
        <x:v>#DFE2EC</x:v>
      </x:c>
      <x:c r="K87" s="36" t="str">
        <x:v>#143387</x:v>
      </x:c>
      <x:c r="L87" s="36" t="str">
        <x:v>#2E79B2</x:v>
      </x:c>
      <x:c r="M87" s="36" t="str">
        <x:v>#2E79B2</x:v>
      </x:c>
      <x:c r="N87" s="211" t="str">
        <x:v>#216CAA</x:v>
      </x:c>
    </x:row>
    <x:row r="88">
      <x:c r="A88" t="str">
        <x:v>141</x:v>
      </x:c>
      <x:c r="B88" t="str">
        <x:v>Sky blue</x:v>
      </x:c>
      <x:c r="C88" t="str">
        <x:v>天空藍</x:v>
      </x:c>
      <x:c r="D88" t="str">
        <x:v>スカイブルー</x:v>
      </x:c>
      <x:c r="E88" t="n">
        <x:v>4</x:v>
      </x:c>
      <x:c r="F88" s="36" t="str">
        <x:v>—</x:v>
      </x:c>
      <x:c r="G88" s="36" t="str">
        <x:v>#6F9FC9</x:v>
      </x:c>
      <x:c r="H88" s="36" t="str">
        <x:v>#B6DFEE</x:v>
      </x:c>
      <x:c r="I88" s="36" t="str">
        <x:v>—</x:v>
      </x:c>
      <x:c r="J88" s="36" t="str">
        <x:v>#CCD4E8</x:v>
      </x:c>
      <x:c r="K88" s="36" t="str">
        <x:v>#4F7CB9</x:v>
      </x:c>
      <x:c r="L88" s="36" t="str">
        <x:v>—</x:v>
      </x:c>
      <x:c r="M88" s="36" t="str">
        <x:v>—</x:v>
      </x:c>
      <x:c r="N88" s="177" t="str">
        <x:v>—</x:v>
      </x:c>
    </x:row>
    <x:row r="89">
      <x:c r="A89" t="str">
        <x:v>145</x:v>
      </x:c>
      <x:c r="B89" t="str">
        <x:v>Bluish grey</x:v>
      </x:c>
      <x:c r="C89" t="str">
        <x:v>藍灰色</x:v>
      </x:c>
      <x:c r="D89" t="str">
        <x:v>ブルーグレー</x:v>
      </x:c>
      <x:c r="E89" t="n">
        <x:v>4</x:v>
      </x:c>
      <x:c r="F89" s="36" t="str">
        <x:v>—</x:v>
      </x:c>
      <x:c r="G89" s="36" t="str">
        <x:v>#486EA1</x:v>
      </x:c>
      <x:c r="H89" s="36" t="str">
        <x:v>#8BC2EA</x:v>
      </x:c>
      <x:c r="I89" s="36" t="str">
        <x:v>—</x:v>
      </x:c>
      <x:c r="J89" s="36" t="str">
        <x:v>—</x:v>
      </x:c>
      <x:c r="K89" s="36" t="str">
        <x:v>—</x:v>
      </x:c>
      <x:c r="L89" s="36" t="str">
        <x:v>#4B5581</x:v>
      </x:c>
      <x:c r="M89" s="36" t="str">
        <x:v>#4B5581</x:v>
      </x:c>
      <x:c r="N89" s="177" t="str">
        <x:v>—</x:v>
      </x:c>
    </x:row>
    <x:row r="90">
      <x:c r="A90" t="str">
        <x:v>149</x:v>
      </x:c>
      <x:c r="B90" t="str">
        <x:v>Night blue</x:v>
      </x:c>
      <x:c r="C90" t="str">
        <x:v>夜藍</x:v>
      </x:c>
      <x:c r="D90" t="str">
        <x:v>ナイト ブルー</x:v>
      </x:c>
      <x:c r="E90" t="n">
        <x:v>8</x:v>
      </x:c>
      <x:c r="F90" s="36" t="str">
        <x:v>—</x:v>
      </x:c>
      <x:c r="G90" s="36" t="str">
        <x:v>#33558A</x:v>
      </x:c>
      <x:c r="H90" s="36" t="str">
        <x:v>#5B9DD4</x:v>
      </x:c>
      <x:c r="I90" s="36" t="str">
        <x:v>#3260A6</x:v>
      </x:c>
      <x:c r="J90" s="36" t="str">
        <x:v>#CDDCEB</x:v>
      </x:c>
      <x:c r="K90" s="36" t="str">
        <x:v>#193F74</x:v>
      </x:c>
      <x:c r="L90" s="36" t="str">
        <x:v>#343C5C</x:v>
      </x:c>
      <x:c r="M90" s="36" t="str">
        <x:v>#343C5C</x:v>
      </x:c>
      <x:c r="N90" s="213" t="str">
        <x:v>#1F416F</x:v>
      </x:c>
    </x:row>
    <x:row r="91">
      <x:c r="A91" t="str">
        <x:v>150</x:v>
      </x:c>
      <x:c r="B91" t="str">
        <x:v>Sapphire blue</x:v>
      </x:c>
      <x:c r="C91" t="str">
        <x:v>藍寶石藍</x:v>
      </x:c>
      <x:c r="D91" t="str">
        <x:v>サファイアブルー</x:v>
      </x:c>
      <x:c r="E91" t="n">
        <x:v>4</x:v>
      </x:c>
      <x:c r="F91" s="36" t="str">
        <x:v>—</x:v>
      </x:c>
      <x:c r="G91" s="36" t="str">
        <x:v>#1E62AA</x:v>
      </x:c>
      <x:c r="H91" s="36" t="str">
        <x:v>#5FC6EA</x:v>
      </x:c>
      <x:c r="I91" s="36" t="str">
        <x:v>—</x:v>
      </x:c>
      <x:c r="J91" s="36" t="str">
        <x:v>#EDF3F6</x:v>
      </x:c>
      <x:c r="K91" s="36" t="str">
        <x:v>#044381</x:v>
      </x:c>
      <x:c r="L91" s="36" t="str">
        <x:v>—</x:v>
      </x:c>
      <x:c r="M91" s="36" t="str">
        <x:v>—</x:v>
      </x:c>
      <x:c r="N91" s="177" t="str">
        <x:v>—</x:v>
      </x:c>
    </x:row>
    <x:row r="92">
      <x:c r="A92" t="str">
        <x:v>151</x:v>
      </x:c>
      <x:c r="B92" t="str">
        <x:v>Pastel blue</x:v>
      </x:c>
      <x:c r="C92" t="str">
        <x:v>粉彩藍</x:v>
      </x:c>
      <x:c r="D92" t="str">
        <x:v>パステルブルー</x:v>
      </x:c>
      <x:c r="E92" t="n">
        <x:v>2</x:v>
      </x:c>
      <x:c r="F92" s="36" t="str">
        <x:v>—</x:v>
      </x:c>
      <x:c r="G92" s="36" t="str">
        <x:v>#68ACD2</x:v>
      </x:c>
      <x:c r="H92" s="36" t="str">
        <x:v>#96D6EE</x:v>
      </x:c>
      <x:c r="I92" s="36" t="str">
        <x:v>—</x:v>
      </x:c>
      <x:c r="J92" s="36" t="str">
        <x:v>—</x:v>
      </x:c>
      <x:c r="K92" s="36" t="str">
        <x:v>—</x:v>
      </x:c>
      <x:c r="L92" s="36" t="str">
        <x:v>—</x:v>
      </x:c>
      <x:c r="M92" s="36" t="str">
        <x:v>—</x:v>
      </x:c>
      <x:c r="N92" s="177" t="str">
        <x:v>—</x:v>
      </x:c>
    </x:row>
    <x:row r="93">
      <x:c r="A93" t="str">
        <x:v>155</x:v>
      </x:c>
      <x:c r="B93" t="str">
        <x:v>Blue jeans</x:v>
      </x:c>
      <x:c r="C93" t="str">
        <x:v>牛仔藍</x:v>
      </x:c>
      <x:c r="D93" t="str">
        <x:v>ブルージーンズ</x:v>
      </x:c>
      <x:c r="E93" t="n">
        <x:v>3</x:v>
      </x:c>
      <x:c r="F93" s="36" t="str">
        <x:v>—</x:v>
      </x:c>
      <x:c r="G93" s="36" t="str">
        <x:v>#6499B6</x:v>
      </x:c>
      <x:c r="H93" s="36" t="str">
        <x:v>#A2DAEC</x:v>
      </x:c>
      <x:c r="I93" s="36" t="str">
        <x:v>—</x:v>
      </x:c>
      <x:c r="J93" s="36" t="str">
        <x:v>—</x:v>
      </x:c>
      <x:c r="K93" s="36" t="str">
        <x:v>#04709F</x:v>
      </x:c>
      <x:c r="L93" s="36" t="str">
        <x:v>—</x:v>
      </x:c>
      <x:c r="M93" s="36" t="str">
        <x:v>—</x:v>
      </x:c>
      <x:c r="N93" s="177" t="str">
        <x:v>—</x:v>
      </x:c>
    </x:row>
    <x:row r="94">
      <x:c r="A94" t="str">
        <x:v>159</x:v>
      </x:c>
      <x:c r="B94" t="str">
        <x:v>Prussian blue</x:v>
      </x:c>
      <x:c r="C94" t="str">
        <x:v>普魯士藍</x:v>
      </x:c>
      <x:c r="D94" t="str">
        <x:v>プルシャンブルー</x:v>
      </x:c>
      <x:c r="E94" t="n">
        <x:v>6</x:v>
      </x:c>
      <x:c r="F94" s="36" t="str">
        <x:v>#0A5586</x:v>
      </x:c>
      <x:c r="G94" s="36" t="str">
        <x:v>#345983</x:v>
      </x:c>
      <x:c r="H94" s="36" t="str">
        <x:v>#5B9DD4</x:v>
      </x:c>
      <x:c r="I94" s="36" t="str">
        <x:v>#507FAC</x:v>
      </x:c>
      <x:c r="J94" s="36" t="str">
        <x:v>#C0DFEF</x:v>
      </x:c>
      <x:c r="K94" s="36" t="str">
        <x:v>#053862</x:v>
      </x:c>
      <x:c r="L94" s="36" t="str">
        <x:v>—</x:v>
      </x:c>
      <x:c r="M94" s="36" t="str">
        <x:v>—</x:v>
      </x:c>
      <x:c r="N94" s="177" t="str">
        <x:v>—</x:v>
      </x:c>
    </x:row>
    <x:row r="95">
      <x:c r="A95" t="str">
        <x:v>160</x:v>
      </x:c>
      <x:c r="B95" t="str">
        <x:v>Cobalt blue (hue)</x:v>
      </x:c>
      <x:c r="C95" t="str">
        <x:v>鈷藍（色相）</x:v>
      </x:c>
      <x:c r="D95" t="str">
        <x:v>コバルトブルー（ヒュー）</x:v>
      </x:c>
      <x:c r="E95" t="n">
        <x:v>4</x:v>
      </x:c>
      <x:c r="F95" s="36" t="str">
        <x:v>—</x:v>
      </x:c>
      <x:c r="G95" s="36" t="str">
        <x:v>#0384B1</x:v>
      </x:c>
      <x:c r="H95" s="36" t="str">
        <x:v>#08BBCF</x:v>
      </x:c>
      <x:c r="I95" s="36" t="str">
        <x:v>—</x:v>
      </x:c>
      <x:c r="J95" s="36" t="str">
        <x:v>#D1E9ED</x:v>
      </x:c>
      <x:c r="K95" s="36" t="str">
        <x:v>#066093</x:v>
      </x:c>
      <x:c r="L95" s="36" t="str">
        <x:v>—</x:v>
      </x:c>
      <x:c r="M95" s="36" t="str">
        <x:v>—</x:v>
      </x:c>
      <x:c r="N95" s="177" t="str">
        <x:v>—</x:v>
      </x:c>
    </x:row>
    <x:row r="96">
      <x:c r="A96" t="str">
        <x:v>161</x:v>
      </x:c>
      <x:c r="B96" t="str">
        <x:v>Light blue</x:v>
      </x:c>
      <x:c r="C96" t="str">
        <x:v>淺藍色</x:v>
      </x:c>
      <x:c r="D96" t="str">
        <x:v>ライトブルー</x:v>
      </x:c>
      <x:c r="E96" t="n">
        <x:v>8</x:v>
      </x:c>
      <x:c r="F96" s="36" t="str">
        <x:v>#17A3C4</x:v>
      </x:c>
      <x:c r="G96" s="36" t="str">
        <x:v>#34AFE0</x:v>
      </x:c>
      <x:c r="H96" s="36" t="str">
        <x:v>#72CCEF</x:v>
      </x:c>
      <x:c r="I96" s="36" t="str">
        <x:v>#74C7E2</x:v>
      </x:c>
      <x:c r="J96" s="36" t="str">
        <x:v>#EEF4F4</x:v>
      </x:c>
      <x:c r="K96" s="36" t="str">
        <x:v>#478CC5</x:v>
      </x:c>
      <x:c r="L96" s="36" t="str">
        <x:v>#67B9D5</x:v>
      </x:c>
      <x:c r="M96" s="36" t="str">
        <x:v>#67B9D5</x:v>
      </x:c>
      <x:c r="N96" s="177" t="str">
        <x:v>—</x:v>
      </x:c>
    </x:row>
    <x:row r="97">
      <x:c r="A97" t="str">
        <x:v>162</x:v>
      </x:c>
      <x:c r="B97" t="str">
        <x:v>Phthalocyanine blue</x:v>
      </x:c>
      <x:c r="C97" t="str">
        <x:v>酞菁藍</x:v>
      </x:c>
      <x:c r="D97" t="str">
        <x:v>フタロシアニンブルー</x:v>
      </x:c>
      <x:c r="E97" t="n">
        <x:v>4</x:v>
      </x:c>
      <x:c r="F97" s="36" t="str">
        <x:v>#088FCD</x:v>
      </x:c>
      <x:c r="G97" s="36" t="str">
        <x:v>—</x:v>
      </x:c>
      <x:c r="H97" s="36" t="str">
        <x:v>—</x:v>
      </x:c>
      <x:c r="I97" s="36" t="str">
        <x:v>#2CA8DD</x:v>
      </x:c>
      <x:c r="J97" s="36" t="str">
        <x:v>—</x:v>
      </x:c>
      <x:c r="K97" s="36" t="str">
        <x:v>—</x:v>
      </x:c>
      <x:c r="L97" s="36" t="str">
        <x:v>#18669D</x:v>
      </x:c>
      <x:c r="M97" s="36" t="str">
        <x:v>#18669D</x:v>
      </x:c>
      <x:c r="N97" s="177" t="str">
        <x:v>—</x:v>
      </x:c>
    </x:row>
    <x:row r="98">
      <x:c r="A98" t="str">
        <x:v>169</x:v>
      </x:c>
      <x:c r="B98" t="str">
        <x:v>Marine blue</x:v>
      </x:c>
      <x:c r="C98" t="str">
        <x:v>海軍藍</x:v>
      </x:c>
      <x:c r="D98" t="str">
        <x:v>マリンブルー</x:v>
      </x:c>
      <x:c r="E98" t="n">
        <x:v>2</x:v>
      </x:c>
      <x:c r="F98" s="36" t="str">
        <x:v>—</x:v>
      </x:c>
      <x:c r="G98" s="36" t="str">
        <x:v>#0F608D</x:v>
      </x:c>
      <x:c r="H98" s="36" t="str">
        <x:v>#57C9EB</x:v>
      </x:c>
      <x:c r="I98" s="36" t="str">
        <x:v>—</x:v>
      </x:c>
      <x:c r="J98" s="36" t="str">
        <x:v>—</x:v>
      </x:c>
      <x:c r="K98" s="36" t="str">
        <x:v>—</x:v>
      </x:c>
      <x:c r="L98" s="36" t="str">
        <x:v>—</x:v>
      </x:c>
      <x:c r="M98" s="36" t="str">
        <x:v>—</x:v>
      </x:c>
      <x:c r="N98" s="177" t="str">
        <x:v>—</x:v>
      </x:c>
    </x:row>
    <x:row r="99">
      <x:c r="A99" t="str">
        <x:v>170</x:v>
      </x:c>
      <x:c r="B99" t="str">
        <x:v>Azurite blue</x:v>
      </x:c>
      <x:c r="C99" t="str">
        <x:v>藍銅礦藍</x:v>
      </x:c>
      <x:c r="D99" t="str">
        <x:v>アズライトブルー</x:v>
      </x:c>
      <x:c r="E99" t="n">
        <x:v>3</x:v>
      </x:c>
      <x:c r="F99" s="36" t="str">
        <x:v>—</x:v>
      </x:c>
      <x:c r="G99" s="36" t="str">
        <x:v>#0390A4</x:v>
      </x:c>
      <x:c r="H99" s="36" t="str">
        <x:v>#2CBDBA</x:v>
      </x:c>
      <x:c r="I99" s="36" t="str">
        <x:v>—</x:v>
      </x:c>
      <x:c r="J99" s="36" t="str">
        <x:v>—</x:v>
      </x:c>
      <x:c r="K99" s="36" t="str">
        <x:v>#046C7B</x:v>
      </x:c>
      <x:c r="L99" s="36" t="str">
        <x:v>—</x:v>
      </x:c>
      <x:c r="M99" s="36" t="str">
        <x:v>—</x:v>
      </x:c>
      <x:c r="N99" s="177" t="str">
        <x:v>—</x:v>
      </x:c>
    </x:row>
    <x:row r="100">
      <x:c r="A100" t="str">
        <x:v>171</x:v>
      </x:c>
      <x:c r="B100" t="str">
        <x:v>Turquoise blue</x:v>
      </x:c>
      <x:c r="C100" t="str">
        <x:v>土耳其藍</x:v>
      </x:c>
      <x:c r="D100" t="str">
        <x:v>ターコイズブルー</x:v>
      </x:c>
      <x:c r="E100" t="n">
        <x:v>6</x:v>
      </x:c>
      <x:c r="F100" s="36" t="str">
        <x:v>#70BECA</x:v>
      </x:c>
      <x:c r="G100" s="36" t="str">
        <x:v>#7FD1E4</x:v>
      </x:c>
      <x:c r="H100" s="36" t="str">
        <x:v>#81CFD5</x:v>
      </x:c>
      <x:c r="I100" s="36" t="str">
        <x:v>#25A6BE</x:v>
      </x:c>
      <x:c r="J100" s="36" t="str">
        <x:v>#D7EBEA</x:v>
      </x:c>
      <x:c r="K100" s="36" t="str">
        <x:v>#29A4B9</x:v>
      </x:c>
      <x:c r="L100" s="36" t="str">
        <x:v>—</x:v>
      </x:c>
      <x:c r="M100" s="36" t="str">
        <x:v>—</x:v>
      </x:c>
      <x:c r="N100" s="177" t="str">
        <x:v>—</x:v>
      </x:c>
    </x:row>
    <x:row r="101">
      <x:c r="A101" t="str">
        <x:v>180</x:v>
      </x:c>
      <x:c r="B101" t="str">
        <x:v>Malachite green</x:v>
      </x:c>
      <x:c r="C101" t="str">
        <x:v>孔雀石綠</x:v>
      </x:c>
      <x:c r="D101" t="str">
        <x:v>マラカイトグリーン</x:v>
      </x:c>
      <x:c r="E101" t="n">
        <x:v>7</x:v>
      </x:c>
      <x:c r="F101" s="36" t="str">
        <x:v>#097E92</x:v>
      </x:c>
      <x:c r="G101" s="36" t="str">
        <x:v>#058B9B</x:v>
      </x:c>
      <x:c r="H101" s="36" t="str">
        <x:v>#05AEB3</x:v>
      </x:c>
      <x:c r="I101" s="36" t="str">
        <x:v>—</x:v>
      </x:c>
      <x:c r="J101" s="36" t="str">
        <x:v>#DEEEEC</x:v>
      </x:c>
      <x:c r="K101" s="36" t="str">
        <x:v>#085F6E</x:v>
      </x:c>
      <x:c r="L101" s="36" t="str">
        <x:v>#0B5E6C</x:v>
      </x:c>
      <x:c r="M101" s="36" t="str">
        <x:v>#0B5E6C</x:v>
      </x:c>
      <x:c r="N101" s="177" t="str">
        <x:v>—</x:v>
      </x:c>
    </x:row>
    <x:row r="102">
      <x:c r="A102" t="str">
        <x:v>181</x:v>
      </x:c>
      <x:c r="B102" t="str">
        <x:v>Light malachite green</x:v>
      </x:c>
      <x:c r="C102" t="str">
        <x:v>淺孔雀石綠</x:v>
      </x:c>
      <x:c r="D102" t="str">
        <x:v>ライトマラカイトグリーン</x:v>
      </x:c>
      <x:c r="E102" t="n">
        <x:v>5</x:v>
      </x:c>
      <x:c r="F102" s="36" t="str">
        <x:v>#74C0B0</x:v>
      </x:c>
      <x:c r="G102" s="36" t="str">
        <x:v>#76CBC1</x:v>
      </x:c>
      <x:c r="H102" s="36" t="str">
        <x:v>#B6DEDB</x:v>
      </x:c>
      <x:c r="I102" s="36" t="str">
        <x:v>#9CCEBD</x:v>
      </x:c>
      <x:c r="J102" s="36" t="str">
        <x:v>—</x:v>
      </x:c>
      <x:c r="K102" s="36" t="str">
        <x:v>—</x:v>
      </x:c>
      <x:c r="L102" s="36" t="str">
        <x:v>—</x:v>
      </x:c>
      <x:c r="M102" s="36" t="str">
        <x:v>—</x:v>
      </x:c>
      <x:c r="N102" s="215" t="str">
        <x:v>#99CFBA</x:v>
      </x:c>
    </x:row>
    <x:row r="103">
      <x:c r="A103" t="str">
        <x:v>182</x:v>
      </x:c>
      <x:c r="B103" t="str">
        <x:v>Cobalt green</x:v>
      </x:c>
      <x:c r="C103" t="str">
        <x:v>鈷綠</x:v>
      </x:c>
      <x:c r="D103" t="str">
        <x:v>コバルトグリーン</x:v>
      </x:c>
      <x:c r="E103" t="n">
        <x:v>3</x:v>
      </x:c>
      <x:c r="F103" s="36" t="str">
        <x:v>#8EC39B</x:v>
      </x:c>
      <x:c r="G103" s="36" t="str">
        <x:v>—</x:v>
      </x:c>
      <x:c r="H103" s="36" t="str">
        <x:v>—</x:v>
      </x:c>
      <x:c r="I103" s="36" t="str">
        <x:v>#D3E6D7</x:v>
      </x:c>
      <x:c r="J103" s="36" t="str">
        <x:v>—</x:v>
      </x:c>
      <x:c r="K103" s="36" t="str">
        <x:v>—</x:v>
      </x:c>
      <x:c r="L103" s="36" t="str">
        <x:v>—</x:v>
      </x:c>
      <x:c r="M103" s="36" t="str">
        <x:v>—</x:v>
      </x:c>
      <x:c r="N103" s="217" t="str">
        <x:v>#79BE8E</x:v>
      </x:c>
    </x:row>
    <x:row r="104">
      <x:c r="A104" t="str">
        <x:v>185</x:v>
      </x:c>
      <x:c r="B104" t="str">
        <x:v>Ice blue</x:v>
      </x:c>
      <x:c r="C104" t="str">
        <x:v>冰藍</x:v>
      </x:c>
      <x:c r="D104" t="str">
        <x:v>アイスブルー</x:v>
      </x:c>
      <x:c r="E104" t="n">
        <x:v>5</x:v>
      </x:c>
      <x:c r="F104" s="36" t="str">
        <x:v>#067191</x:v>
      </x:c>
      <x:c r="G104" s="36" t="str">
        <x:v>—</x:v>
      </x:c>
      <x:c r="H104" s="36" t="str">
        <x:v>—</x:v>
      </x:c>
      <x:c r="I104" s="36" t="str">
        <x:v>#0B98C5</x:v>
      </x:c>
      <x:c r="J104" s="36" t="str">
        <x:v>—</x:v>
      </x:c>
      <x:c r="K104" s="36" t="str">
        <x:v>—</x:v>
      </x:c>
      <x:c r="L104" s="36" t="str">
        <x:v>#296784</x:v>
      </x:c>
      <x:c r="M104" s="36" t="str">
        <x:v>#296784</x:v>
      </x:c>
      <x:c r="N104" s="219" t="str">
        <x:v>#2676A4</x:v>
      </x:c>
    </x:row>
    <x:row r="105">
      <x:c r="A105" t="str">
        <x:v>190</x:v>
      </x:c>
      <x:c r="B105" t="str">
        <x:v>Greenish blue</x:v>
      </x:c>
      <x:c r="C105" t="str">
        <x:v>綠藍色</x:v>
      </x:c>
      <x:c r="D105" t="str">
        <x:v>グリーニッシュブルー</x:v>
      </x:c>
      <x:c r="E105" t="n">
        <x:v>4</x:v>
      </x:c>
      <x:c r="F105" s="36" t="str">
        <x:v>—</x:v>
      </x:c>
      <x:c r="G105" s="36" t="str">
        <x:v>#037F7D</x:v>
      </x:c>
      <x:c r="H105" s="36" t="str">
        <x:v>#28BBAA</x:v>
      </x:c>
      <x:c r="I105" s="36" t="str">
        <x:v>—</x:v>
      </x:c>
      <x:c r="J105" s="36" t="str">
        <x:v>#AAD8D5</x:v>
      </x:c>
      <x:c r="K105" s="36" t="str">
        <x:v>#04675D</x:v>
      </x:c>
      <x:c r="L105" s="36" t="str">
        <x:v>—</x:v>
      </x:c>
      <x:c r="M105" s="36" t="str">
        <x:v>—</x:v>
      </x:c>
      <x:c r="N105" s="177" t="str">
        <x:v>—</x:v>
      </x:c>
    </x:row>
    <x:row r="106">
      <x:c r="A106" t="str">
        <x:v>191</x:v>
      </x:c>
      <x:c r="B106" t="str">
        <x:v>Turquoise</x:v>
      </x:c>
      <x:c r="C106" t="str">
        <x:v>綠松石色</x:v>
      </x:c>
      <x:c r="D106" t="str">
        <x:v>ターコイズ</x:v>
      </x:c>
      <x:c r="E106" t="n">
        <x:v>4</x:v>
      </x:c>
      <x:c r="F106" s="36" t="str">
        <x:v>—</x:v>
      </x:c>
      <x:c r="G106" s="36" t="str">
        <x:v>#62C5BA</x:v>
      </x:c>
      <x:c r="H106" s="36" t="str">
        <x:v>#7BCBC4</x:v>
      </x:c>
      <x:c r="I106" s="36" t="str">
        <x:v>—</x:v>
      </x:c>
      <x:c r="J106" s="36" t="str">
        <x:v>#E0EFEB</x:v>
      </x:c>
      <x:c r="K106" s="36" t="str">
        <x:v>#3DAE9D</x:v>
      </x:c>
      <x:c r="L106" s="36" t="str">
        <x:v>—</x:v>
      </x:c>
      <x:c r="M106" s="36" t="str">
        <x:v>—</x:v>
      </x:c>
      <x:c r="N106" s="177" t="str">
        <x:v>—</x:v>
      </x:c>
    </x:row>
    <x:row r="107">
      <x:c r="A107" t="str">
        <x:v>195</x:v>
      </x:c>
      <x:c r="B107" t="str">
        <x:v>Opaline green</x:v>
      </x:c>
      <x:c r="C107" t="str">
        <x:v>乳白綠</x:v>
      </x:c>
      <x:c r="D107" t="str">
        <x:v>オパリングリーン</x:v>
      </x:c>
      <x:c r="E107" t="n">
        <x:v>3</x:v>
      </x:c>
      <x:c r="F107" s="36" t="str">
        <x:v>—</x:v>
      </x:c>
      <x:c r="G107" s="36" t="str">
        <x:v>#049C99</x:v>
      </x:c>
      <x:c r="H107" s="36" t="str">
        <x:v>#6CC7BD</x:v>
      </x:c>
      <x:c r="I107" s="36" t="str">
        <x:v>—</x:v>
      </x:c>
      <x:c r="J107" s="36" t="str">
        <x:v>—</x:v>
      </x:c>
      <x:c r="K107" s="36" t="str">
        <x:v>#047E73</x:v>
      </x:c>
      <x:c r="L107" s="36" t="str">
        <x:v>—</x:v>
      </x:c>
      <x:c r="M107" s="36" t="str">
        <x:v>—</x:v>
      </x:c>
      <x:c r="N107" s="177" t="str">
        <x:v>—</x:v>
      </x:c>
    </x:row>
    <x:row r="108">
      <x:c r="A108" t="str">
        <x:v>200</x:v>
      </x:c>
      <x:c r="B108" t="str">
        <x:v>Bluish green</x:v>
      </x:c>
      <x:c r="C108" t="str">
        <x:v>藍綠色</x:v>
      </x:c>
      <x:c r="D108" t="str">
        <x:v>ブルーイッシュグリーン</x:v>
      </x:c>
      <x:c r="E108" t="n">
        <x:v>3</x:v>
      </x:c>
      <x:c r="F108" s="36" t="str">
        <x:v>—</x:v>
      </x:c>
      <x:c r="G108" s="36" t="str">
        <x:v>#038C6C</x:v>
      </x:c>
      <x:c r="H108" s="36" t="str">
        <x:v>#6CC49A</x:v>
      </x:c>
      <x:c r="I108" s="36" t="str">
        <x:v>—</x:v>
      </x:c>
      <x:c r="J108" s="36" t="str">
        <x:v>—</x:v>
      </x:c>
      <x:c r="K108" s="36" t="str">
        <x:v>#04675A</x:v>
      </x:c>
      <x:c r="L108" s="36" t="str">
        <x:v>—</x:v>
      </x:c>
      <x:c r="M108" s="36" t="str">
        <x:v>—</x:v>
      </x:c>
      <x:c r="N108" s="177" t="str">
        <x:v>—</x:v>
      </x:c>
    </x:row>
    <x:row r="109">
      <x:c r="A109" t="str">
        <x:v>201</x:v>
      </x:c>
      <x:c r="B109" t="str">
        <x:v>Veronese green</x:v>
      </x:c>
      <x:c r="C109" t="str">
        <x:v>維羅內塞綠</x:v>
      </x:c>
      <x:c r="D109" t="str">
        <x:v>ベロネーゼグリーン</x:v>
      </x:c>
      <x:c r="E109" t="n">
        <x:v>4</x:v>
      </x:c>
      <x:c r="F109" s="36" t="str">
        <x:v>—</x:v>
      </x:c>
      <x:c r="G109" s="36" t="str">
        <x:v>#2FB98E</x:v>
      </x:c>
      <x:c r="H109" s="36" t="str">
        <x:v>#ABD9BA</x:v>
      </x:c>
      <x:c r="I109" s="36" t="str">
        <x:v>—</x:v>
      </x:c>
      <x:c r="J109" s="36" t="str">
        <x:v>#ABD4BB</x:v>
      </x:c>
      <x:c r="K109" s="36" t="str">
        <x:v>#0E8F62</x:v>
      </x:c>
      <x:c r="L109" s="36" t="str">
        <x:v>—</x:v>
      </x:c>
      <x:c r="M109" s="36" t="str">
        <x:v>—</x:v>
      </x:c>
      <x:c r="N109" s="177" t="str">
        <x:v>—</x:v>
      </x:c>
    </x:row>
    <x:row r="110">
      <x:c r="A110" t="str">
        <x:v>210</x:v>
      </x:c>
      <x:c r="B110" t="str">
        <x:v>Emerald green</x:v>
      </x:c>
      <x:c r="C110" t="str">
        <x:v>祖母綠</x:v>
      </x:c>
      <x:c r="D110" t="str">
        <x:v>エメラルド グリーン</x:v>
      </x:c>
      <x:c r="E110" t="n">
        <x:v>5</x:v>
      </x:c>
      <x:c r="F110" s="36" t="str">
        <x:v>—</x:v>
      </x:c>
      <x:c r="G110" s="36" t="str">
        <x:v>#04A279</x:v>
      </x:c>
      <x:c r="H110" s="36" t="str">
        <x:v>#B4DBB1</x:v>
      </x:c>
      <x:c r="I110" s="36" t="str">
        <x:v>#60B163</x:v>
      </x:c>
      <x:c r="J110" s="36" t="str">
        <x:v>#B7DAC9</x:v>
      </x:c>
      <x:c r="K110" s="36" t="str">
        <x:v>#174E3A</x:v>
      </x:c>
      <x:c r="L110" s="36" t="str">
        <x:v>—</x:v>
      </x:c>
      <x:c r="M110" s="36" t="str">
        <x:v>—</x:v>
      </x:c>
      <x:c r="N110" s="177" t="str">
        <x:v>—</x:v>
      </x:c>
    </x:row>
    <x:row r="111">
      <x:c r="A111" t="str">
        <x:v>211</x:v>
      </x:c>
      <x:c r="B111" t="str">
        <x:v>Jade green</x:v>
      </x:c>
      <x:c r="C111" t="str">
        <x:v>玉綠色</x:v>
      </x:c>
      <x:c r="D111" t="str">
        <x:v>ジェードグリーン</x:v>
      </x:c>
      <x:c r="E111" t="n">
        <x:v>4</x:v>
      </x:c>
      <x:c r="F111" s="36" t="str">
        <x:v>—</x:v>
      </x:c>
      <x:c r="G111" s="36" t="str">
        <x:v>#9AD3B1</x:v>
      </x:c>
      <x:c r="H111" s="36" t="str">
        <x:v>#B3DCC6</x:v>
      </x:c>
      <x:c r="I111" s="36" t="str">
        <x:v>—</x:v>
      </x:c>
      <x:c r="J111" s="36" t="str">
        <x:v>#EAF2E3</x:v>
      </x:c>
      <x:c r="K111" s="36" t="str">
        <x:v>#5BB7A4</x:v>
      </x:c>
      <x:c r="L111" s="36" t="str">
        <x:v>—</x:v>
      </x:c>
      <x:c r="M111" s="36" t="str">
        <x:v>—</x:v>
      </x:c>
      <x:c r="N111" s="177" t="str">
        <x:v>—</x:v>
      </x:c>
    </x:row>
    <x:row r="112">
      <x:c r="A112" t="str">
        <x:v>212</x:v>
      </x:c>
      <x:c r="B112" t="str">
        <x:v>Chromium oxyde green</x:v>
      </x:c>
      <x:c r="C112" t="str">
        <x:v>氧化鉻綠</x:v>
      </x:c>
      <x:c r="D112" t="str">
        <x:v>クロムオキサイドグリーン</x:v>
      </x:c>
      <x:c r="E112" t="n">
        <x:v>5</x:v>
      </x:c>
      <x:c r="F112" s="36" t="str">
        <x:v>#588454</x:v>
      </x:c>
      <x:c r="G112" s="36" t="str">
        <x:v>—</x:v>
      </x:c>
      <x:c r="H112" s="36" t="str">
        <x:v>—</x:v>
      </x:c>
      <x:c r="I112" s="36" t="str">
        <x:v>#9AC592</x:v>
      </x:c>
      <x:c r="J112" s="36" t="str">
        <x:v>#CDD9A8</x:v>
      </x:c>
      <x:c r="K112" s="36" t="str">
        <x:v>—</x:v>
      </x:c>
      <x:c r="L112" s="36" t="str">
        <x:v>#859F7C</x:v>
      </x:c>
      <x:c r="M112" s="36" t="str">
        <x:v>#859F7C</x:v>
      </x:c>
      <x:c r="N112" s="177" t="str">
        <x:v>—</x:v>
      </x:c>
    </x:row>
    <x:row r="113">
      <x:c r="A113" t="str">
        <x:v>214</x:v>
      </x:c>
      <x:c r="B113" t="str">
        <x:v>Beryl green</x:v>
      </x:c>
      <x:c r="C113" t="str">
        <x:v>綠柱石綠</x:v>
      </x:c>
      <x:c r="D113" t="str">
        <x:v>ベリルグリーン</x:v>
      </x:c>
      <x:c r="E113" t="n">
        <x:v>4</x:v>
      </x:c>
      <x:c r="F113" s="36" t="str">
        <x:v>#06A192</x:v>
      </x:c>
      <x:c r="G113" s="36" t="str">
        <x:v>—</x:v>
      </x:c>
      <x:c r="H113" s="36" t="str">
        <x:v>—</x:v>
      </x:c>
      <x:c r="I113" s="36" t="str">
        <x:v>#62B4A3</x:v>
      </x:c>
      <x:c r="J113" s="36" t="str">
        <x:v>—</x:v>
      </x:c>
      <x:c r="K113" s="36" t="str">
        <x:v>—</x:v>
      </x:c>
      <x:c r="L113" s="36" t="str">
        <x:v>#15928A</x:v>
      </x:c>
      <x:c r="M113" s="36" t="str">
        <x:v>#15928A</x:v>
      </x:c>
      <x:c r="N113" s="177" t="str">
        <x:v>—</x:v>
      </x:c>
    </x:row>
    <x:row r="114">
      <x:c r="A114" t="str">
        <x:v>215</x:v>
      </x:c>
      <x:c r="B114" t="str">
        <x:v>Greyish green</x:v>
      </x:c>
      <x:c r="C114" t="str">
        <x:v>灰綠色</x:v>
      </x:c>
      <x:c r="D114" t="str">
        <x:v>グレイッシュグリーン</x:v>
      </x:c>
      <x:c r="E114" t="n">
        <x:v>3</x:v>
      </x:c>
      <x:c r="F114" s="36" t="str">
        <x:v>—</x:v>
      </x:c>
      <x:c r="G114" s="36" t="str">
        <x:v>#02AC82</x:v>
      </x:c>
      <x:c r="H114" s="36" t="str">
        <x:v>#93CCA5</x:v>
      </x:c>
      <x:c r="I114" s="36" t="str">
        <x:v>—</x:v>
      </x:c>
      <x:c r="J114" s="36" t="str">
        <x:v>—</x:v>
      </x:c>
      <x:c r="K114" s="36" t="str">
        <x:v>#048969</x:v>
      </x:c>
      <x:c r="L114" s="36" t="str">
        <x:v>—</x:v>
      </x:c>
      <x:c r="M114" s="36" t="str">
        <x:v>—</x:v>
      </x:c>
      <x:c r="N114" s="177" t="str">
        <x:v>—</x:v>
      </x:c>
    </x:row>
    <x:row r="115">
      <x:c r="A115" t="str">
        <x:v>220</x:v>
      </x:c>
      <x:c r="B115" t="str">
        <x:v>Grass green</x:v>
      </x:c>
      <x:c r="C115" t="str">
        <x:v>草綠色</x:v>
      </x:c>
      <x:c r="D115" t="str">
        <x:v>グラスグリーン</x:v>
      </x:c>
      <x:c r="E115" t="n">
        <x:v>7</x:v>
      </x:c>
      <x:c r="F115" s="36" t="str">
        <x:v>#549D34</x:v>
      </x:c>
      <x:c r="G115" s="36" t="str">
        <x:v>#11B169</x:v>
      </x:c>
      <x:c r="H115" s="36" t="str">
        <x:v>#A2D396</x:v>
      </x:c>
      <x:c r="I115" s="36" t="str">
        <x:v>#7DB73E</x:v>
      </x:c>
      <x:c r="J115" s="36" t="str">
        <x:v>#D5E6CA</x:v>
      </x:c>
      <x:c r="K115" s="36" t="str">
        <x:v>#2A973C</x:v>
      </x:c>
      <x:c r="L115" s="36" t="str">
        <x:v>—</x:v>
      </x:c>
      <x:c r="M115" s="36" t="str">
        <x:v>—</x:v>
      </x:c>
      <x:c r="N115" s="221" t="str">
        <x:v>#1FA55B</x:v>
      </x:c>
    </x:row>
    <x:row r="116">
      <x:c r="A116" t="str">
        <x:v>221</x:v>
      </x:c>
      <x:c r="B116" t="str">
        <x:v>Light green</x:v>
      </x:c>
      <x:c r="C116" t="str">
        <x:v>淺綠色</x:v>
      </x:c>
      <x:c r="D116" t="str">
        <x:v>ライトグリーン</x:v>
      </x:c>
      <x:c r="E116" t="n">
        <x:v>2</x:v>
      </x:c>
      <x:c r="F116" s="36" t="str">
        <x:v>—</x:v>
      </x:c>
      <x:c r="G116" s="36" t="str">
        <x:v>#C0DC8E</x:v>
      </x:c>
      <x:c r="H116" s="36" t="str">
        <x:v>#D5E49D</x:v>
      </x:c>
      <x:c r="I116" s="36" t="str">
        <x:v>—</x:v>
      </x:c>
      <x:c r="J116" s="36" t="str">
        <x:v>—</x:v>
      </x:c>
      <x:c r="K116" s="36" t="str">
        <x:v>—</x:v>
      </x:c>
      <x:c r="L116" s="36" t="str">
        <x:v>—</x:v>
      </x:c>
      <x:c r="M116" s="36" t="str">
        <x:v>—</x:v>
      </x:c>
      <x:c r="N116" s="177" t="str">
        <x:v>—</x:v>
      </x:c>
    </x:row>
    <x:row r="117">
      <x:c r="A117" t="str">
        <x:v>225</x:v>
      </x:c>
      <x:c r="B117" t="str">
        <x:v>Moss green</x:v>
      </x:c>
      <x:c r="C117" t="str">
        <x:v>苔綠色</x:v>
      </x:c>
      <x:c r="D117" t="str">
        <x:v>モスグリーン</x:v>
      </x:c>
      <x:c r="E117" t="n">
        <x:v>9</x:v>
      </x:c>
      <x:c r="F117" s="36" t="str">
        <x:v>#65794E</x:v>
      </x:c>
      <x:c r="G117" s="36" t="str">
        <x:v>#7F9D4C</x:v>
      </x:c>
      <x:c r="H117" s="36" t="str">
        <x:v>#CBDB94</x:v>
      </x:c>
      <x:c r="I117" s="36" t="str">
        <x:v>#39854E</x:v>
      </x:c>
      <x:c r="J117" s="36" t="str">
        <x:v>#C9D088</x:v>
      </x:c>
      <x:c r="K117" s="36" t="str">
        <x:v>#306530</x:v>
      </x:c>
      <x:c r="L117" s="36" t="str">
        <x:v>#23653B</x:v>
      </x:c>
      <x:c r="M117" s="36" t="str">
        <x:v>#23653B</x:v>
      </x:c>
      <x:c r="N117" s="223" t="str">
        <x:v>#618540</x:v>
      </x:c>
    </x:row>
    <x:row r="118">
      <x:c r="A118" t="str">
        <x:v>229</x:v>
      </x:c>
      <x:c r="B118" t="str">
        <x:v>Dark green</x:v>
      </x:c>
      <x:c r="C118" t="str">
        <x:v>深綠色</x:v>
      </x:c>
      <x:c r="D118" t="str">
        <x:v>ダークグリーン</x:v>
      </x:c>
      <x:c r="E118" t="n">
        <x:v>6</x:v>
      </x:c>
      <x:c r="F118" s="36" t="str">
        <x:v>—</x:v>
      </x:c>
      <x:c r="G118" s="36" t="str">
        <x:v>#046E53</x:v>
      </x:c>
      <x:c r="H118" s="36" t="str">
        <x:v>#79CAAA</x:v>
      </x:c>
      <x:c r="I118" s="36" t="str">
        <x:v>—</x:v>
      </x:c>
      <x:c r="J118" s="36" t="str">
        <x:v>#BBDDCC</x:v>
      </x:c>
      <x:c r="K118" s="36" t="str">
        <x:v>#06433A</x:v>
      </x:c>
      <x:c r="L118" s="36" t="str">
        <x:v>#435734</x:v>
      </x:c>
      <x:c r="M118" s="36" t="str">
        <x:v>#435734</x:v>
      </x:c>
      <x:c r="N118" s="177" t="str">
        <x:v>—</x:v>
      </x:c>
    </x:row>
    <x:row r="119">
      <x:c r="A119" t="str">
        <x:v>230</x:v>
      </x:c>
      <x:c r="B119" t="str">
        <x:v>Yellow green</x:v>
      </x:c>
      <x:c r="C119" t="str">
        <x:v>黃綠色</x:v>
      </x:c>
      <x:c r="D119" t="str">
        <x:v>イエローグリーン</x:v>
      </x:c>
      <x:c r="E119" t="n">
        <x:v>4</x:v>
      </x:c>
      <x:c r="F119" s="36" t="str">
        <x:v>—</x:v>
      </x:c>
      <x:c r="G119" s="36" t="str">
        <x:v>#89C96A</x:v>
      </x:c>
      <x:c r="H119" s="36" t="str">
        <x:v>#CBE08F</x:v>
      </x:c>
      <x:c r="I119" s="36" t="str">
        <x:v>—</x:v>
      </x:c>
      <x:c r="J119" s="36" t="str">
        <x:v>#E5EAB8</x:v>
      </x:c>
      <x:c r="K119" s="36" t="str">
        <x:v>#ADC01E</x:v>
      </x:c>
      <x:c r="L119" s="36" t="str">
        <x:v>—</x:v>
      </x:c>
      <x:c r="M119" s="36" t="str">
        <x:v>—</x:v>
      </x:c>
      <x:c r="N119" s="177" t="str">
        <x:v>—</x:v>
      </x:c>
    </x:row>
    <x:row r="120">
      <x:c r="A120" t="str">
        <x:v>231</x:v>
      </x:c>
      <x:c r="B120" t="str">
        <x:v>Lime green</x:v>
      </x:c>
      <x:c r="C120" t="str">
        <x:v>萊姆綠</x:v>
      </x:c>
      <x:c r="D120" t="str">
        <x:v>ライムグリーン</x:v>
      </x:c>
      <x:c r="E120" t="n">
        <x:v>4</x:v>
      </x:c>
      <x:c r="F120" s="36" t="str">
        <x:v>—</x:v>
      </x:c>
      <x:c r="G120" s="36" t="str">
        <x:v>#E6EB97</x:v>
      </x:c>
      <x:c r="H120" s="36" t="str">
        <x:v>#F1F2BA</x:v>
      </x:c>
      <x:c r="I120" s="36" t="str">
        <x:v>—</x:v>
      </x:c>
      <x:c r="J120" s="36" t="str">
        <x:v>#F3F1C6</x:v>
      </x:c>
      <x:c r="K120" s="36" t="str">
        <x:v>#B5CD67</x:v>
      </x:c>
      <x:c r="L120" s="36" t="str">
        <x:v>—</x:v>
      </x:c>
      <x:c r="M120" s="36" t="str">
        <x:v>—</x:v>
      </x:c>
      <x:c r="N120" s="177" t="str">
        <x:v>—</x:v>
      </x:c>
    </x:row>
    <x:row r="121">
      <x:c r="A121" t="str">
        <x:v>232</x:v>
      </x:c>
      <x:c r="B121" t="str">
        <x:v>Middle moss green 10%</x:v>
      </x:c>
      <x:c r="C121" t="str">
        <x:v>中苔綠 10%</x:v>
      </x:c>
      <x:c r="D121" t="str">
        <x:v>ミドルモスグリーン 10%</x:v>
      </x:c>
      <x:c r="E121" t="n">
        <x:v>2</x:v>
      </x:c>
      <x:c r="F121" s="36" t="str">
        <x:v>—</x:v>
      </x:c>
      <x:c r="G121" s="36" t="str">
        <x:v>—</x:v>
      </x:c>
      <x:c r="H121" s="36" t="str">
        <x:v>—</x:v>
      </x:c>
      <x:c r="I121" s="36" t="str">
        <x:v>—</x:v>
      </x:c>
      <x:c r="J121" s="36" t="str">
        <x:v>—</x:v>
      </x:c>
      <x:c r="K121" s="36" t="str">
        <x:v>—</x:v>
      </x:c>
      <x:c r="L121" s="36" t="str">
        <x:v>#AFB22A</x:v>
      </x:c>
      <x:c r="M121" s="36" t="str">
        <x:v>#AFB22A</x:v>
      </x:c>
      <x:c r="N121" s="177" t="str">
        <x:v>—</x:v>
      </x:c>
    </x:row>
    <x:row r="122">
      <x:c r="A122" t="str">
        <x:v>234</x:v>
      </x:c>
      <x:c r="B122" t="str">
        <x:v>Middle moss green 30%</x:v>
      </x:c>
      <x:c r="C122" t="str">
        <x:v>中苔綠 30%</x:v>
      </x:c>
      <x:c r="D122" t="str">
        <x:v>ミドルモスグリーン 30%</x:v>
      </x:c>
      <x:c r="E122" t="n">
        <x:v>2</x:v>
      </x:c>
      <x:c r="F122" s="36" t="str">
        <x:v>—</x:v>
      </x:c>
      <x:c r="G122" s="36" t="str">
        <x:v>—</x:v>
      </x:c>
      <x:c r="H122" s="36" t="str">
        <x:v>—</x:v>
      </x:c>
      <x:c r="I122" s="36" t="str">
        <x:v>—</x:v>
      </x:c>
      <x:c r="J122" s="36" t="str">
        <x:v>—</x:v>
      </x:c>
      <x:c r="K122" s="36" t="str">
        <x:v>—</x:v>
      </x:c>
      <x:c r="L122" s="36" t="str">
        <x:v>#498532</x:v>
      </x:c>
      <x:c r="M122" s="36" t="str">
        <x:v>#498532</x:v>
      </x:c>
      <x:c r="N122" s="177" t="str">
        <x:v>—</x:v>
      </x:c>
    </x:row>
    <x:row r="123">
      <x:c r="A123" t="str">
        <x:v>239</x:v>
      </x:c>
      <x:c r="B123" t="str">
        <x:v>Spruce green</x:v>
      </x:c>
      <x:c r="C123" t="str">
        <x:v>雲杉綠</x:v>
      </x:c>
      <x:c r="D123" t="str">
        <x:v>スプルースグリーン</x:v>
      </x:c>
      <x:c r="E123" t="n">
        <x:v>2</x:v>
      </x:c>
      <x:c r="F123" s="36" t="str">
        <x:v>—</x:v>
      </x:c>
      <x:c r="G123" s="36" t="str">
        <x:v>#119158</x:v>
      </x:c>
      <x:c r="H123" s="36" t="str">
        <x:v>#A9D3A4</x:v>
      </x:c>
      <x:c r="I123" s="36" t="str">
        <x:v>—</x:v>
      </x:c>
      <x:c r="J123" s="36" t="str">
        <x:v>—</x:v>
      </x:c>
      <x:c r="K123" s="36" t="str">
        <x:v>—</x:v>
      </x:c>
      <x:c r="L123" s="36" t="str">
        <x:v>—</x:v>
      </x:c>
      <x:c r="M123" s="36" t="str">
        <x:v>—</x:v>
      </x:c>
      <x:c r="N123" s="177" t="str">
        <x:v>—</x:v>
      </x:c>
    </x:row>
    <x:row r="124">
      <x:c r="A124" t="str">
        <x:v>240</x:v>
      </x:c>
      <x:c r="B124" t="str">
        <x:v>Lemon yellow</x:v>
      </x:c>
      <x:c r="C124" t="str">
        <x:v>檸檬黃</x:v>
      </x:c>
      <x:c r="D124" t="str">
        <x:v>レモンイエロー</x:v>
      </x:c>
      <x:c r="E124" t="n">
        <x:v>9</x:v>
      </x:c>
      <x:c r="F124" s="36" t="str">
        <x:v>#FDEC4E</x:v>
      </x:c>
      <x:c r="G124" s="36" t="str">
        <x:v>#EBE958</x:v>
      </x:c>
      <x:c r="H124" s="36" t="str">
        <x:v>#F0EC7E</x:v>
      </x:c>
      <x:c r="I124" s="36" t="str">
        <x:v>#F8EB5E</x:v>
      </x:c>
      <x:c r="J124" s="36" t="str">
        <x:v>#FDF299</x:v>
      </x:c>
      <x:c r="K124" s="36" t="str">
        <x:v>#FBE820</x:v>
      </x:c>
      <x:c r="L124" s="36" t="str">
        <x:v>#E3D35B</x:v>
      </x:c>
      <x:c r="M124" s="36" t="str">
        <x:v>#E3D35B</x:v>
      </x:c>
      <x:c r="N124" s="225" t="str">
        <x:v>#FDEB3F</x:v>
      </x:c>
    </x:row>
    <x:row r="125">
      <x:c r="A125" t="str">
        <x:v>241</x:v>
      </x:c>
      <x:c r="B125" t="str">
        <x:v>Light lemon yellow</x:v>
      </x:c>
      <x:c r="C125" t="str">
        <x:v>淺檸檬黃</x:v>
      </x:c>
      <x:c r="D125" t="str">
        <x:v>ライトレモンイエロー</x:v>
      </x:c>
      <x:c r="E125" t="n">
        <x:v>4</x:v>
      </x:c>
      <x:c r="F125" s="36" t="str">
        <x:v>—</x:v>
      </x:c>
      <x:c r="G125" s="36" t="str">
        <x:v>#F3EEBA</x:v>
      </x:c>
      <x:c r="H125" s="36" t="str">
        <x:v>#FAF5C6</x:v>
      </x:c>
      <x:c r="I125" s="36" t="str">
        <x:v>—</x:v>
      </x:c>
      <x:c r="J125" s="36" t="str">
        <x:v>—</x:v>
      </x:c>
      <x:c r="K125" s="36" t="str">
        <x:v>—</x:v>
      </x:c>
      <x:c r="L125" s="36" t="str">
        <x:v>#E2DF9C</x:v>
      </x:c>
      <x:c r="M125" s="36" t="str">
        <x:v>#E2DF9C</x:v>
      </x:c>
      <x:c r="N125" s="177" t="str">
        <x:v>—</x:v>
      </x:c>
    </x:row>
    <x:row r="126">
      <x:c r="A126" t="str">
        <x:v>242</x:v>
      </x:c>
      <x:c r="B126" t="str">
        <x:v>Primerose</x:v>
      </x:c>
      <x:c r="C126" t="str">
        <x:v>報春花黃</x:v>
      </x:c>
      <x:c r="D126" t="str">
        <x:v>プリムローズ</x:v>
      </x:c>
      <x:c r="E126" t="n">
        <x:v>3</x:v>
      </x:c>
      <x:c r="F126" s="36" t="str">
        <x:v>#FFEDAD</x:v>
      </x:c>
      <x:c r="G126" s="36" t="str">
        <x:v>—</x:v>
      </x:c>
      <x:c r="H126" s="36" t="str">
        <x:v>—</x:v>
      </x:c>
      <x:c r="I126" s="36" t="str">
        <x:v>#F2EABA</x:v>
      </x:c>
      <x:c r="J126" s="36" t="str">
        <x:v>—</x:v>
      </x:c>
      <x:c r="K126" s="36" t="str">
        <x:v>—</x:v>
      </x:c>
      <x:c r="L126" s="36" t="str">
        <x:v>—</x:v>
      </x:c>
      <x:c r="M126" s="36" t="str">
        <x:v>—</x:v>
      </x:c>
      <x:c r="N126" s="227" t="str">
        <x:v>#FFFCDF</x:v>
      </x:c>
    </x:row>
    <x:row r="127">
      <x:c r="A127" t="str">
        <x:v>243</x:v>
      </x:c>
      <x:c r="B127" t="str">
        <x:v>Light olive 20%</x:v>
      </x:c>
      <x:c r="C127" t="str">
        <x:v>淺橄欖色 20%</x:v>
      </x:c>
      <x:c r="D127" t="str">
        <x:v>ライトオリーブ 20%</x:v>
      </x:c>
      <x:c r="E127" t="n">
        <x:v>2</x:v>
      </x:c>
      <x:c r="F127" s="36" t="str">
        <x:v>—</x:v>
      </x:c>
      <x:c r="G127" s="36" t="str">
        <x:v>—</x:v>
      </x:c>
      <x:c r="H127" s="36" t="str">
        <x:v>—</x:v>
      </x:c>
      <x:c r="I127" s="36" t="str">
        <x:v>—</x:v>
      </x:c>
      <x:c r="J127" s="36" t="str">
        <x:v>—</x:v>
      </x:c>
      <x:c r="K127" s="36" t="str">
        <x:v>—</x:v>
      </x:c>
      <x:c r="L127" s="36" t="str">
        <x:v>#ACC160</x:v>
      </x:c>
      <x:c r="M127" s="36" t="str">
        <x:v>#ACC160</x:v>
      </x:c>
      <x:c r="N127" s="177" t="str">
        <x:v>—</x:v>
      </x:c>
    </x:row>
    <x:row r="128">
      <x:c r="A128" t="str">
        <x:v>245</x:v>
      </x:c>
      <x:c r="B128" t="str">
        <x:v>Light olive</x:v>
      </x:c>
      <x:c r="C128" t="str">
        <x:v>淺橄欖色</x:v>
      </x:c>
      <x:c r="D128" t="str">
        <x:v>ライト オリーブ</x:v>
      </x:c>
      <x:c r="E128" t="n">
        <x:v>7</x:v>
      </x:c>
      <x:c r="F128" s="36" t="str">
        <x:v>—</x:v>
      </x:c>
      <x:c r="G128" s="36" t="str">
        <x:v>#CACA49</x:v>
      </x:c>
      <x:c r="H128" s="36" t="str">
        <x:v>#EEED95</x:v>
      </x:c>
      <x:c r="I128" s="36" t="str">
        <x:v>#ACBB25</x:v>
      </x:c>
      <x:c r="J128" s="36" t="str">
        <x:v>#F3EB93</x:v>
      </x:c>
      <x:c r="K128" s="36" t="str">
        <x:v>#94A237</x:v>
      </x:c>
      <x:c r="L128" s="36" t="str">
        <x:v>#7A8834</x:v>
      </x:c>
      <x:c r="M128" s="36" t="str">
        <x:v>#7A8834</x:v>
      </x:c>
      <x:c r="N128" s="177" t="str">
        <x:v>—</x:v>
      </x:c>
    </x:row>
    <x:row r="129">
      <x:c r="A129" t="str">
        <x:v>249</x:v>
      </x:c>
      <x:c r="B129" t="str">
        <x:v>Olive</x:v>
      </x:c>
      <x:c r="C129" t="str">
        <x:v>深橄欖色</x:v>
      </x:c>
      <x:c r="D129" t="str">
        <x:v>オリーブ</x:v>
      </x:c>
      <x:c r="E129" t="n">
        <x:v>5</x:v>
      </x:c>
      <x:c r="F129" s="36" t="str">
        <x:v>—</x:v>
      </x:c>
      <x:c r="G129" s="36" t="str">
        <x:v>#717036</x:v>
      </x:c>
      <x:c r="H129" s="36" t="str">
        <x:v>#DFD992</x:v>
      </x:c>
      <x:c r="I129" s="36" t="str">
        <x:v>#98B737</x:v>
      </x:c>
      <x:c r="J129" s="36" t="str">
        <x:v>#C1AE5C</x:v>
      </x:c>
      <x:c r="K129" s="36" t="str">
        <x:v>#A99126</x:v>
      </x:c>
      <x:c r="L129" s="36" t="str">
        <x:v>—</x:v>
      </x:c>
      <x:c r="M129" s="36" t="str">
        <x:v>—</x:v>
      </x:c>
      <x:c r="N129" s="177" t="str">
        <x:v>—</x:v>
      </x:c>
    </x:row>
    <x:row r="130">
      <x:c r="A130" t="str">
        <x:v>250</x:v>
      </x:c>
      <x:c r="B130" t="str">
        <x:v>Canary yellow</x:v>
      </x:c>
      <x:c r="C130" t="str">
        <x:v>金絲雀黃</x:v>
      </x:c>
      <x:c r="D130" t="str">
        <x:v>カナリアイエロー</x:v>
      </x:c>
      <x:c r="E130" t="n">
        <x:v>3</x:v>
      </x:c>
      <x:c r="F130" s="36" t="str">
        <x:v>—</x:v>
      </x:c>
      <x:c r="G130" s="36" t="str">
        <x:v>#F8E438</x:v>
      </x:c>
      <x:c r="H130" s="36" t="str">
        <x:v>#FDF185</x:v>
      </x:c>
      <x:c r="I130" s="36" t="str">
        <x:v>—</x:v>
      </x:c>
      <x:c r="J130" s="36" t="str">
        <x:v>#FDF39B</x:v>
      </x:c>
      <x:c r="K130" s="36" t="str">
        <x:v>—</x:v>
      </x:c>
      <x:c r="L130" s="36" t="str">
        <x:v>—</x:v>
      </x:c>
      <x:c r="M130" s="36" t="str">
        <x:v>—</x:v>
      </x:c>
      <x:c r="N130" s="177" t="str">
        <x:v>—</x:v>
      </x:c>
    </x:row>
    <x:row r="131">
      <x:c r="A131" t="str">
        <x:v>260</x:v>
      </x:c>
      <x:c r="B131" t="str">
        <x:v>Blue</x:v>
      </x:c>
      <x:c r="C131" t="str">
        <x:v>藍色</x:v>
      </x:c>
      <x:c r="D131" t="str">
        <x:v>ブルー</x:v>
      </x:c>
      <x:c r="E131" t="n">
        <x:v>4</x:v>
      </x:c>
      <x:c r="F131" s="36" t="str">
        <x:v>—</x:v>
      </x:c>
      <x:c r="G131" s="36" t="str">
        <x:v>#355A9B</x:v>
      </x:c>
      <x:c r="H131" s="36" t="str">
        <x:v>#54B1E3</x:v>
      </x:c>
      <x:c r="I131" s="36" t="str">
        <x:v>—</x:v>
      </x:c>
      <x:c r="J131" s="36" t="str">
        <x:v>#DFEDF3</x:v>
      </x:c>
      <x:c r="K131" s="36" t="str">
        <x:v>#034394</x:v>
      </x:c>
      <x:c r="L131" s="36" t="str">
        <x:v>—</x:v>
      </x:c>
      <x:c r="M131" s="36" t="str">
        <x:v>—</x:v>
      </x:c>
      <x:c r="N131" s="177" t="str">
        <x:v>—</x:v>
      </x:c>
    </x:row>
    <x:row r="132">
      <x:c r="A132" t="str">
        <x:v>270</x:v>
      </x:c>
      <x:c r="B132" t="str">
        <x:v>Raspberry red</x:v>
      </x:c>
      <x:c r="C132" t="str">
        <x:v>覆盆子紅</x:v>
      </x:c>
      <x:c r="D132" t="str">
        <x:v>ラズベリーレッド</x:v>
      </x:c>
      <x:c r="E132" t="n">
        <x:v>3</x:v>
      </x:c>
      <x:c r="F132" s="36" t="str">
        <x:v>—</x:v>
      </x:c>
      <x:c r="G132" s="36" t="str">
        <x:v>#F16C82</x:v>
      </x:c>
      <x:c r="H132" s="36" t="str">
        <x:v>#F592AC</x:v>
      </x:c>
      <x:c r="I132" s="36" t="str">
        <x:v>—</x:v>
      </x:c>
      <x:c r="J132" s="36" t="str">
        <x:v>—</x:v>
      </x:c>
      <x:c r="K132" s="36" t="str">
        <x:v>#DF4D67</x:v>
      </x:c>
      <x:c r="L132" s="36" t="str">
        <x:v>—</x:v>
      </x:c>
      <x:c r="M132" s="36" t="str">
        <x:v>—</x:v>
      </x:c>
      <x:c r="N132" s="177" t="str">
        <x:v>—</x:v>
      </x:c>
    </x:row>
    <x:row r="133">
      <x:c r="A133" t="str">
        <x:v>280</x:v>
      </x:c>
      <x:c r="B133" t="str">
        <x:v>Ruby red</x:v>
      </x:c>
      <x:c r="C133" t="str">
        <x:v>紅寶石紅</x:v>
      </x:c>
      <x:c r="D133" t="str">
        <x:v>ルビーレッド</x:v>
      </x:c>
      <x:c r="E133" t="n">
        <x:v>4</x:v>
      </x:c>
      <x:c r="F133" s="36" t="str">
        <x:v>—</x:v>
      </x:c>
      <x:c r="G133" s="36" t="str">
        <x:v>#E04856</x:v>
      </x:c>
      <x:c r="H133" s="36" t="str">
        <x:v>#F38BB4</x:v>
      </x:c>
      <x:c r="I133" s="36" t="str">
        <x:v>—</x:v>
      </x:c>
      <x:c r="J133" s="36" t="str">
        <x:v>#F2A4AA</x:v>
      </x:c>
      <x:c r="K133" s="36" t="str">
        <x:v>#C3112B</x:v>
      </x:c>
      <x:c r="L133" s="36" t="str">
        <x:v>—</x:v>
      </x:c>
      <x:c r="M133" s="36" t="str">
        <x:v>—</x:v>
      </x:c>
      <x:c r="N133" s="177" t="str">
        <x:v>—</x:v>
      </x:c>
    </x:row>
    <x:row r="134">
      <x:c r="A134" t="str">
        <x:v>290</x:v>
      </x:c>
      <x:c r="B134" t="str">
        <x:v>Empire green</x:v>
      </x:c>
      <x:c r="C134" t="str">
        <x:v>帝國綠</x:v>
      </x:c>
      <x:c r="D134" t="str">
        <x:v>エンパイアグリーン</x:v>
      </x:c>
      <x:c r="E134" t="n">
        <x:v>2</x:v>
      </x:c>
      <x:c r="F134" s="36" t="str">
        <x:v>—</x:v>
      </x:c>
      <x:c r="G134" s="36" t="str">
        <x:v>#039F78</x:v>
      </x:c>
      <x:c r="H134" s="36" t="str">
        <x:v>#A8D6AB</x:v>
      </x:c>
      <x:c r="I134" s="36" t="str">
        <x:v>—</x:v>
      </x:c>
      <x:c r="J134" s="36" t="str">
        <x:v>—</x:v>
      </x:c>
      <x:c r="K134" s="36" t="str">
        <x:v>—</x:v>
      </x:c>
      <x:c r="L134" s="36" t="str">
        <x:v>—</x:v>
      </x:c>
      <x:c r="M134" s="36" t="str">
        <x:v>—</x:v>
      </x:c>
      <x:c r="N134" s="177" t="str">
        <x:v>—</x:v>
      </x:c>
    </x:row>
    <x:row r="135">
      <x:c r="A135" t="str">
        <x:v>300</x:v>
      </x:c>
      <x:c r="B135" t="str">
        <x:v>Fast orange</x:v>
      </x:c>
      <x:c r="C135" t="str">
        <x:v>耐久橙</x:v>
      </x:c>
      <x:c r="D135" t="str">
        <x:v>ファストオレンジ</x:v>
      </x:c>
      <x:c r="E135" t="n">
        <x:v>6</x:v>
      </x:c>
      <x:c r="F135" s="36" t="str">
        <x:v>—</x:v>
      </x:c>
      <x:c r="G135" s="36" t="str">
        <x:v>#FBA63A</x:v>
      </x:c>
      <x:c r="H135" s="36" t="str">
        <x:v>#FEDC6A</x:v>
      </x:c>
      <x:c r="I135" s="36" t="str">
        <x:v>—</x:v>
      </x:c>
      <x:c r="J135" s="36" t="str">
        <x:v>#FCC647</x:v>
      </x:c>
      <x:c r="K135" s="36" t="str">
        <x:v>#F19E1F</x:v>
      </x:c>
      <x:c r="L135" s="36" t="str">
        <x:v>#D9951C</x:v>
      </x:c>
      <x:c r="M135" s="36" t="str">
        <x:v>#D9951C</x:v>
      </x:c>
      <x:c r="N135" s="177" t="str">
        <x:v>—</x:v>
      </x:c>
    </x:row>
    <x:row r="136">
      <x:c r="A136" t="str">
        <x:v>350</x:v>
      </x:c>
      <x:c r="B136" t="str">
        <x:v>Purplish red</x:v>
      </x:c>
      <x:c r="C136" t="str">
        <x:v>紫紅色</x:v>
      </x:c>
      <x:c r="D136" t="str">
        <x:v>パープリッシュレッド</x:v>
      </x:c>
      <x:c r="E136" t="n">
        <x:v>8</x:v>
      </x:c>
      <x:c r="F136" s="36" t="str">
        <x:v>#B93876</x:v>
      </x:c>
      <x:c r="G136" s="36" t="str">
        <x:v>#B83678</x:v>
      </x:c>
      <x:c r="H136" s="36" t="str">
        <x:v>#E56BA8</x:v>
      </x:c>
      <x:c r="I136" s="36" t="str">
        <x:v>#E23A82</x:v>
      </x:c>
      <x:c r="J136" s="36" t="str">
        <x:v>—</x:v>
      </x:c>
      <x:c r="K136" s="36" t="str">
        <x:v>#AB4289</x:v>
      </x:c>
      <x:c r="L136" s="36" t="str">
        <x:v>#984778</x:v>
      </x:c>
      <x:c r="M136" s="36" t="str">
        <x:v>#984778</x:v>
      </x:c>
      <x:c r="N136" s="229" t="str">
        <x:v>#BD3C7A</x:v>
      </x:c>
    </x:row>
    <x:row r="137">
      <x:c r="A137" t="str">
        <x:v>370</x:v>
      </x:c>
      <x:c r="B137" t="str">
        <x:v>Gentian blue</x:v>
      </x:c>
      <x:c r="C137" t="str">
        <x:v>龍膽藍</x:v>
      </x:c>
      <x:c r="D137" t="str">
        <x:v>ゲンチアンブルー</x:v>
      </x:c>
      <x:c r="E137" t="n">
        <x:v>3</x:v>
      </x:c>
      <x:c r="F137" s="36" t="str">
        <x:v>—</x:v>
      </x:c>
      <x:c r="G137" s="36" t="str">
        <x:v>#1F89C3</x:v>
      </x:c>
      <x:c r="H137" s="36" t="str">
        <x:v>#9DD8E7</x:v>
      </x:c>
      <x:c r="I137" s="36" t="str">
        <x:v>—</x:v>
      </x:c>
      <x:c r="J137" s="36" t="str">
        <x:v>—</x:v>
      </x:c>
      <x:c r="K137" s="36" t="str">
        <x:v>#0367B1</x:v>
      </x:c>
      <x:c r="L137" s="36" t="str">
        <x:v>—</x:v>
      </x:c>
      <x:c r="M137" s="36" t="str">
        <x:v>—</x:v>
      </x:c>
      <x:c r="N137" s="177" t="str">
        <x:v>—</x:v>
      </x:c>
    </x:row>
    <x:row r="138">
      <x:c r="A138" t="str">
        <x:v>371</x:v>
      </x:c>
      <x:c r="B138" t="str">
        <x:v>Bluish pale</x:v>
      </x:c>
      <x:c r="C138" t="str">
        <x:v>淡藍色</x:v>
      </x:c>
      <x:c r="D138" t="str">
        <x:v>ペールブルー</x:v>
      </x:c>
      <x:c r="E138" t="n">
        <x:v>2</x:v>
      </x:c>
      <x:c r="F138" s="36" t="str">
        <x:v>—</x:v>
      </x:c>
      <x:c r="G138" s="36" t="str">
        <x:v>#BCDCE1</x:v>
      </x:c>
      <x:c r="H138" s="36" t="str">
        <x:v>#C8E6EC</x:v>
      </x:c>
      <x:c r="I138" s="36" t="str">
        <x:v>—</x:v>
      </x:c>
      <x:c r="J138" s="36" t="str">
        <x:v>—</x:v>
      </x:c>
      <x:c r="K138" s="36" t="str">
        <x:v>—</x:v>
      </x:c>
      <x:c r="L138" s="36" t="str">
        <x:v>—</x:v>
      </x:c>
      <x:c r="M138" s="36" t="str">
        <x:v>—</x:v>
      </x:c>
      <x:c r="N138" s="177" t="str">
        <x:v>—</x:v>
      </x:c>
    </x:row>
    <x:row r="139">
      <x:c r="A139" t="str">
        <x:v>401</x:v>
      </x:c>
      <x:c r="B139" t="str">
        <x:v>Ash grey</x:v>
      </x:c>
      <x:c r="C139" t="str">
        <x:v>灰燼灰</x:v>
      </x:c>
      <x:c r="D139" t="str">
        <x:v>アッシュグレー</x:v>
      </x:c>
      <x:c r="E139" t="n">
        <x:v>3</x:v>
      </x:c>
      <x:c r="F139" s="36" t="str">
        <x:v>—</x:v>
      </x:c>
      <x:c r="G139" s="36" t="str">
        <x:v>#E8DCC7</x:v>
      </x:c>
      <x:c r="H139" s="36" t="str">
        <x:v>#FFEEDD</x:v>
      </x:c>
      <x:c r="I139" s="36" t="str">
        <x:v>—</x:v>
      </x:c>
      <x:c r="J139" s="36" t="str">
        <x:v>—</x:v>
      </x:c>
      <x:c r="K139" s="36" t="str">
        <x:v>#C9CFBA</x:v>
      </x:c>
      <x:c r="L139" s="36" t="str">
        <x:v>—</x:v>
      </x:c>
      <x:c r="M139" s="36" t="str">
        <x:v>—</x:v>
      </x:c>
      <x:c r="N139" s="177" t="str">
        <x:v>—</x:v>
      </x:c>
    </x:row>
    <x:row r="140">
      <x:c r="A140" t="str">
        <x:v>402</x:v>
      </x:c>
      <x:c r="B140" t="str">
        <x:v>Light beige</x:v>
      </x:c>
      <x:c r="C140" t="str">
        <x:v>淺米色</x:v>
      </x:c>
      <x:c r="D140" t="str">
        <x:v>ライトベージュ</x:v>
      </x:c>
      <x:c r="E140" t="n">
        <x:v>3</x:v>
      </x:c>
      <x:c r="F140" s="36" t="str">
        <x:v>—</x:v>
      </x:c>
      <x:c r="G140" s="36" t="str">
        <x:v>#CCBFAF</x:v>
      </x:c>
      <x:c r="H140" s="36" t="str">
        <x:v>#F8E5D3</x:v>
      </x:c>
      <x:c r="I140" s="36" t="str">
        <x:v>—</x:v>
      </x:c>
      <x:c r="J140" s="36" t="str">
        <x:v>—</x:v>
      </x:c>
      <x:c r="K140" s="36" t="str">
        <x:v>#C2BABC</x:v>
      </x:c>
      <x:c r="L140" s="36" t="str">
        <x:v>—</x:v>
      </x:c>
      <x:c r="M140" s="36" t="str">
        <x:v>—</x:v>
      </x:c>
      <x:c r="N140" s="177" t="str">
        <x:v>—</x:v>
      </x:c>
    </x:row>
    <x:row r="141">
      <x:c r="A141" t="str">
        <x:v>403</x:v>
      </x:c>
      <x:c r="B141" t="str">
        <x:v>Beige</x:v>
      </x:c>
      <x:c r="C141" t="str">
        <x:v>米色</x:v>
      </x:c>
      <x:c r="D141" t="str">
        <x:v>ベージュ</x:v>
      </x:c>
      <x:c r="E141" t="n">
        <x:v>4</x:v>
      </x:c>
      <x:c r="F141" s="36" t="str">
        <x:v>—</x:v>
      </x:c>
      <x:c r="G141" s="36" t="str">
        <x:v>#AF9C8C</x:v>
      </x:c>
      <x:c r="H141" s="36" t="str">
        <x:v>#EED9C3</x:v>
      </x:c>
      <x:c r="I141" s="36" t="str">
        <x:v>—</x:v>
      </x:c>
      <x:c r="J141" s="36" t="str">
        <x:v>#DFC6AA</x:v>
      </x:c>
      <x:c r="K141" s="36" t="str">
        <x:v>#9C9190</x:v>
      </x:c>
      <x:c r="L141" s="36" t="str">
        <x:v>—</x:v>
      </x:c>
      <x:c r="M141" s="36" t="str">
        <x:v>—</x:v>
      </x:c>
      <x:c r="N141" s="177" t="str">
        <x:v>—</x:v>
      </x:c>
    </x:row>
    <x:row r="142">
      <x:c r="A142" t="str">
        <x:v>404</x:v>
      </x:c>
      <x:c r="B142" t="str">
        <x:v>Brownish beige</x:v>
      </x:c>
      <x:c r="C142" t="str">
        <x:v>褐米色</x:v>
      </x:c>
      <x:c r="D142" t="str">
        <x:v>ブラウニッシュベージュ</x:v>
      </x:c>
      <x:c r="E142" t="n">
        <x:v>2</x:v>
      </x:c>
      <x:c r="F142" s="36" t="str">
        <x:v>—</x:v>
      </x:c>
      <x:c r="G142" s="36" t="str">
        <x:v>#91786A</x:v>
      </x:c>
      <x:c r="H142" s="36" t="str">
        <x:v>#E0C3A8</x:v>
      </x:c>
      <x:c r="I142" s="36" t="str">
        <x:v>—</x:v>
      </x:c>
      <x:c r="J142" s="36" t="str">
        <x:v>—</x:v>
      </x:c>
      <x:c r="K142" s="36" t="str">
        <x:v>—</x:v>
      </x:c>
      <x:c r="L142" s="36" t="str">
        <x:v>—</x:v>
      </x:c>
      <x:c r="M142" s="36" t="str">
        <x:v>—</x:v>
      </x:c>
      <x:c r="N142" s="177" t="str">
        <x:v>—</x:v>
      </x:c>
    </x:row>
    <x:row r="143">
      <x:c r="A143" t="str">
        <x:v>405</x:v>
      </x:c>
      <x:c r="B143" t="str">
        <x:v>Cocoa</x:v>
      </x:c>
      <x:c r="C143" t="str">
        <x:v>可可棕</x:v>
      </x:c>
      <x:c r="D143" t="str">
        <x:v>ココア</x:v>
      </x:c>
      <x:c r="E143" t="n">
        <x:v>3</x:v>
      </x:c>
      <x:c r="F143" s="36" t="str">
        <x:v>—</x:v>
      </x:c>
      <x:c r="G143" s="36" t="str">
        <x:v>#7E695E</x:v>
      </x:c>
      <x:c r="H143" s="36" t="str">
        <x:v>#B89683</x:v>
      </x:c>
      <x:c r="I143" s="36" t="str">
        <x:v>—</x:v>
      </x:c>
      <x:c r="J143" s="36" t="str">
        <x:v>—</x:v>
      </x:c>
      <x:c r="K143" s="36" t="str">
        <x:v>#6B6163</x:v>
      </x:c>
      <x:c r="L143" s="36" t="str">
        <x:v>—</x:v>
      </x:c>
      <x:c r="M143" s="36" t="str">
        <x:v>—</x:v>
      </x:c>
      <x:c r="N143" s="177" t="str">
        <x:v>—</x:v>
      </x:c>
    </x:row>
    <x:row r="144">
      <x:c r="A144" t="str">
        <x:v>407</x:v>
      </x:c>
      <x:c r="B144" t="str">
        <x:v>Sepia</x:v>
      </x:c>
      <x:c r="C144" t="str">
        <x:v>深褐色</x:v>
      </x:c>
      <x:c r="D144" t="str">
        <x:v>セピア</x:v>
      </x:c>
      <x:c r="E144" t="n">
        <x:v>6</x:v>
      </x:c>
      <x:c r="F144" s="36" t="str">
        <x:v>#4C433F</x:v>
      </x:c>
      <x:c r="G144" s="36" t="str">
        <x:v>#63524C</x:v>
      </x:c>
      <x:c r="H144" s="36" t="str">
        <x:v>#938E89</x:v>
      </x:c>
      <x:c r="I144" s="36" t="str">
        <x:v>—</x:v>
      </x:c>
      <x:c r="J144" s="36" t="str">
        <x:v>#B2A48B</x:v>
      </x:c>
      <x:c r="K144" s="36" t="str">
        <x:v>#363737</x:v>
      </x:c>
      <x:c r="L144" s="36" t="str">
        <x:v>—</x:v>
      </x:c>
      <x:c r="M144" s="36" t="str">
        <x:v>—</x:v>
      </x:c>
      <x:c r="N144" s="231" t="str">
        <x:v>#81654C</x:v>
      </x:c>
    </x:row>
    <x:row r="145">
      <x:c r="A145" t="str">
        <x:v>408</x:v>
      </x:c>
      <x:c r="B145" t="str">
        <x:v>Dark Sepia</x:v>
      </x:c>
      <x:c r="C145" t="str">
        <x:v>深褐棕</x:v>
      </x:c>
      <x:c r="D145" t="str">
        <x:v>ダークセピア</x:v>
      </x:c>
      <x:c r="E145" t="n">
        <x:v>2</x:v>
      </x:c>
      <x:c r="F145" s="36" t="str">
        <x:v>—</x:v>
      </x:c>
      <x:c r="G145" s="36" t="str">
        <x:v>—</x:v>
      </x:c>
      <x:c r="H145" s="36" t="str">
        <x:v>—</x:v>
      </x:c>
      <x:c r="I145" s="36" t="str">
        <x:v>—</x:v>
      </x:c>
      <x:c r="J145" s="36" t="str">
        <x:v>—</x:v>
      </x:c>
      <x:c r="K145" s="36" t="str">
        <x:v>—</x:v>
      </x:c>
      <x:c r="L145" s="36" t="str">
        <x:v>#3A2F2B</x:v>
      </x:c>
      <x:c r="M145" s="36" t="str">
        <x:v>#3A2F2B</x:v>
      </x:c>
      <x:c r="N145" s="177" t="str">
        <x:v>—</x:v>
      </x:c>
    </x:row>
    <x:row r="146">
      <x:c r="A146" t="str">
        <x:v>409</x:v>
      </x:c>
      <x:c r="B146" t="str">
        <x:v>Charcoal grey</x:v>
      </x:c>
      <x:c r="C146" t="str">
        <x:v>炭灰色</x:v>
      </x:c>
      <x:c r="D146" t="str">
        <x:v>チャコールグレー</x:v>
      </x:c>
      <x:c r="E146" t="n">
        <x:v>3</x:v>
      </x:c>
      <x:c r="F146" s="36" t="str">
        <x:v>—</x:v>
      </x:c>
      <x:c r="G146" s="36" t="str">
        <x:v>#544B46</x:v>
      </x:c>
      <x:c r="H146" s="36" t="str">
        <x:v>#685E55</x:v>
      </x:c>
      <x:c r="I146" s="36" t="str">
        <x:v>—</x:v>
      </x:c>
      <x:c r="J146" s="36" t="str">
        <x:v>#A19588</x:v>
      </x:c>
      <x:c r="K146" s="36" t="str">
        <x:v>—</x:v>
      </x:c>
      <x:c r="L146" s="36" t="str">
        <x:v>—</x:v>
      </x:c>
      <x:c r="M146" s="36" t="str">
        <x:v>—</x:v>
      </x:c>
      <x:c r="N146" s="177" t="str">
        <x:v>—</x:v>
      </x:c>
    </x:row>
    <x:row r="147">
      <x:c r="A147" t="str">
        <x:v>460</x:v>
      </x:c>
      <x:c r="B147" t="str">
        <x:v>Peacock green</x:v>
      </x:c>
      <x:c r="C147" t="str">
        <x:v>孔雀綠</x:v>
      </x:c>
      <x:c r="D147" t="str">
        <x:v>ピーコックグリーン</x:v>
      </x:c>
      <x:c r="E147" t="n">
        <x:v>2</x:v>
      </x:c>
      <x:c r="F147" s="36" t="str">
        <x:v>—</x:v>
      </x:c>
      <x:c r="G147" s="36" t="str">
        <x:v>#13B480</x:v>
      </x:c>
      <x:c r="H147" s="36" t="str">
        <x:v>#9AD2B0</x:v>
      </x:c>
      <x:c r="I147" s="36" t="str">
        <x:v>—</x:v>
      </x:c>
      <x:c r="J147" s="36" t="str">
        <x:v>—</x:v>
      </x:c>
      <x:c r="K147" s="36" t="str">
        <x:v>—</x:v>
      </x:c>
      <x:c r="L147" s="36" t="str">
        <x:v>—</x:v>
      </x:c>
      <x:c r="M147" s="36" t="str">
        <x:v>—</x:v>
      </x:c>
      <x:c r="N147" s="177" t="str">
        <x:v>—</x:v>
      </x:c>
    </x:row>
    <x:row r="148">
      <x:c r="A148" t="str">
        <x:v>470</x:v>
      </x:c>
      <x:c r="B148" t="str">
        <x:v>Spring green</x:v>
      </x:c>
      <x:c r="C148" t="str">
        <x:v>春綠色</x:v>
      </x:c>
      <x:c r="D148" t="str">
        <x:v>スプリンググリーン</x:v>
      </x:c>
      <x:c r="E148" t="n">
        <x:v>6</x:v>
      </x:c>
      <x:c r="F148" s="36" t="str">
        <x:v>#A4C64E</x:v>
      </x:c>
      <x:c r="G148" s="36" t="str">
        <x:v>#BBD873</x:v>
      </x:c>
      <x:c r="H148" s="36" t="str">
        <x:v>#F0EE9A</x:v>
      </x:c>
      <x:c r="I148" s="36" t="str">
        <x:v>#D7DD72</x:v>
      </x:c>
      <x:c r="J148" s="36" t="str">
        <x:v>—</x:v>
      </x:c>
      <x:c r="K148" s="36" t="str">
        <x:v>#95BF4A</x:v>
      </x:c>
      <x:c r="L148" s="36" t="str">
        <x:v>—</x:v>
      </x:c>
      <x:c r="M148" s="36" t="str">
        <x:v>—</x:v>
      </x:c>
      <x:c r="N148" s="233" t="str">
        <x:v>#BBCE37</x:v>
      </x:c>
    </x:row>
    <x:row r="149">
      <x:c r="A149" t="str">
        <x:v>491</x:v>
      </x:c>
      <x:c r="B149" t="str">
        <x:v>Cream</x:v>
      </x:c>
      <x:c r="C149" t="str">
        <x:v>奶油色</x:v>
      </x:c>
      <x:c r="D149" t="str">
        <x:v>クリーム</x:v>
      </x:c>
      <x:c r="E149" t="n">
        <x:v>3</x:v>
      </x:c>
      <x:c r="F149" s="36" t="str">
        <x:v>—</x:v>
      </x:c>
      <x:c r="G149" s="36" t="str">
        <x:v>#FEEDD2</x:v>
      </x:c>
      <x:c r="H149" s="36" t="str">
        <x:v>#FFF1D5</x:v>
      </x:c>
      <x:c r="I149" s="36" t="str">
        <x:v>—</x:v>
      </x:c>
      <x:c r="J149" s="36" t="str">
        <x:v>—</x:v>
      </x:c>
      <x:c r="K149" s="36" t="str">
        <x:v>#F2DCCC</x:v>
      </x:c>
      <x:c r="L149" s="36" t="str">
        <x:v>—</x:v>
      </x:c>
      <x:c r="M149" s="36" t="str">
        <x:v>—</x:v>
      </x:c>
      <x:c r="N149" s="177" t="str">
        <x:v>—</x:v>
      </x:c>
    </x:row>
    <x:row r="150">
      <x:c r="A150" t="str">
        <x:v>493</x:v>
      </x:c>
      <x:c r="B150" t="str">
        <x:v>Granite rose</x:v>
      </x:c>
      <x:c r="C150" t="str">
        <x:v>花崗岩粉紅</x:v>
      </x:c>
      <x:c r="D150" t="str">
        <x:v>グラナイトローズ</x:v>
      </x:c>
      <x:c r="E150" t="n">
        <x:v>3</x:v>
      </x:c>
      <x:c r="F150" s="36" t="str">
        <x:v>—</x:v>
      </x:c>
      <x:c r="G150" s="36" t="str">
        <x:v>#FED7C5</x:v>
      </x:c>
      <x:c r="H150" s="36" t="str">
        <x:v>#FCDBC7</x:v>
      </x:c>
      <x:c r="I150" s="36" t="str">
        <x:v>—</x:v>
      </x:c>
      <x:c r="J150" s="36" t="str">
        <x:v>—</x:v>
      </x:c>
      <x:c r="K150" s="36" t="str">
        <x:v>#F1C8C1</x:v>
      </x:c>
      <x:c r="L150" s="36" t="str">
        <x:v>—</x:v>
      </x:c>
      <x:c r="M150" s="36" t="str">
        <x:v>—</x:v>
      </x:c>
      <x:c r="N150" s="177" t="str">
        <x:v>—</x:v>
      </x:c>
    </x:row>
    <x:row r="151">
      <x:c r="A151" t="str">
        <x:v>495</x:v>
      </x:c>
      <x:c r="B151" t="str">
        <x:v>Slate grey</x:v>
      </x:c>
      <x:c r="C151" t="str">
        <x:v>板岩灰</x:v>
      </x:c>
      <x:c r="D151" t="str">
        <x:v>スレートグレー</x:v>
      </x:c>
      <x:c r="E151" t="n">
        <x:v>8</x:v>
      </x:c>
      <x:c r="F151" s="36" t="str">
        <x:v>#6F7070</x:v>
      </x:c>
      <x:c r="G151" s="36" t="str">
        <x:v>#474A4B</x:v>
      </x:c>
      <x:c r="H151" s="36" t="str">
        <x:v>#9A9591</x:v>
      </x:c>
      <x:c r="I151" s="36" t="str">
        <x:v>#97948D</x:v>
      </x:c>
      <x:c r="J151" s="36" t="str">
        <x:v>—</x:v>
      </x:c>
      <x:c r="K151" s="36" t="str">
        <x:v>#4D504F</x:v>
      </x:c>
      <x:c r="L151" s="36" t="str">
        <x:v>#524C48</x:v>
      </x:c>
      <x:c r="M151" s="36" t="str">
        <x:v>#524C48</x:v>
      </x:c>
      <x:c r="N151" s="235" t="str">
        <x:v>#4C5155</x:v>
      </x:c>
    </x:row>
    <x:row r="152">
      <x:c r="A152" t="str">
        <x:v>496</x:v>
      </x:c>
      <x:c r="B152" t="str">
        <x:v>Ivory Black</x:v>
      </x:c>
      <x:c r="C152" t="str">
        <x:v>象牙黑</x:v>
      </x:c>
      <x:c r="D152" t="str">
        <x:v>アイボリ ブラック</x:v>
      </x:c>
      <x:c r="E152" t="n">
        <x:v>4</x:v>
      </x:c>
      <x:c r="F152" s="36" t="str">
        <x:v>—</x:v>
      </x:c>
      <x:c r="G152" s="36" t="str">
        <x:v>#3D3C38</x:v>
      </x:c>
      <x:c r="H152" s="36" t="str">
        <x:v>#A19B92</x:v>
      </x:c>
      <x:c r="I152" s="36" t="str">
        <x:v>#423C37</x:v>
      </x:c>
      <x:c r="J152" s="36" t="str">
        <x:v>—</x:v>
      </x:c>
      <x:c r="K152" s="36" t="str">
        <x:v>#323436</x:v>
      </x:c>
      <x:c r="L152" s="36" t="str">
        <x:v>—</x:v>
      </x:c>
      <x:c r="M152" s="36" t="str">
        <x:v>—</x:v>
      </x:c>
      <x:c r="N152" s="177" t="str">
        <x:v>—</x:v>
      </x:c>
    </x:row>
    <x:row r="153">
      <x:c r="A153" t="str">
        <x:v>497</x:v>
      </x:c>
      <x:c r="B153" t="str">
        <x:v>Bronze</x:v>
      </x:c>
      <x:c r="C153" t="str">
        <x:v>青銅色</x:v>
      </x:c>
      <x:c r="D153" t="str">
        <x:v>ブロンズ</x:v>
      </x:c>
      <x:c r="E153" t="n">
        <x:v>4</x:v>
      </x:c>
      <x:c r="F153" s="36" t="str">
        <x:v>—</x:v>
      </x:c>
      <x:c r="G153" s="36" t="str">
        <x:v>#AB7F6F</x:v>
      </x:c>
      <x:c r="H153" s="36" t="str">
        <x:v>#EFA07D</x:v>
      </x:c>
      <x:c r="I153" s="36" t="str">
        <x:v>—</x:v>
      </x:c>
      <x:c r="J153" s="36" t="str">
        <x:v>#D97E51</x:v>
      </x:c>
      <x:c r="K153" s="36" t="str">
        <x:v>#98614C</x:v>
      </x:c>
      <x:c r="L153" s="36" t="str">
        <x:v>—</x:v>
      </x:c>
      <x:c r="M153" s="36" t="str">
        <x:v>—</x:v>
      </x:c>
      <x:c r="N153" s="177" t="str">
        <x:v>—</x:v>
      </x:c>
    </x:row>
    <x:row r="154">
      <x:c r="A154" t="str">
        <x:v>498</x:v>
      </x:c>
      <x:c r="B154" t="str">
        <x:v>Silver</x:v>
      </x:c>
      <x:c r="C154" t="str">
        <x:v>銀色</x:v>
      </x:c>
      <x:c r="D154" t="str">
        <x:v>シルバー</x:v>
      </x:c>
      <x:c r="E154" t="n">
        <x:v>4</x:v>
      </x:c>
      <x:c r="F154" s="36" t="str">
        <x:v>—</x:v>
      </x:c>
      <x:c r="G154" s="36" t="str">
        <x:v>#969793</x:v>
      </x:c>
      <x:c r="H154" s="36" t="str">
        <x:v>#E0D6CF</x:v>
      </x:c>
      <x:c r="I154" s="36" t="str">
        <x:v>—</x:v>
      </x:c>
      <x:c r="J154" s="36" t="str">
        <x:v>#DBD7CE</x:v>
      </x:c>
      <x:c r="K154" s="36" t="str">
        <x:v>#9DA39D</x:v>
      </x:c>
      <x:c r="L154" s="36" t="str">
        <x:v>—</x:v>
      </x:c>
      <x:c r="M154" s="36" t="str">
        <x:v>—</x:v>
      </x:c>
      <x:c r="N154" s="177" t="str">
        <x:v>—</x:v>
      </x:c>
    </x:row>
    <x:row r="155">
      <x:c r="A155" t="str">
        <x:v>499</x:v>
      </x:c>
      <x:c r="B155" t="str">
        <x:v>Gold</x:v>
      </x:c>
      <x:c r="C155" t="str">
        <x:v>金色</x:v>
      </x:c>
      <x:c r="D155" t="str">
        <x:v>ゴールド</x:v>
      </x:c>
      <x:c r="E155" t="n">
        <x:v>4</x:v>
      </x:c>
      <x:c r="F155" s="36" t="str">
        <x:v>—</x:v>
      </x:c>
      <x:c r="G155" s="36" t="str">
        <x:v>#A59771</x:v>
      </x:c>
      <x:c r="H155" s="36" t="str">
        <x:v>#DFCA83</x:v>
      </x:c>
      <x:c r="I155" s="36" t="str">
        <x:v>—</x:v>
      </x:c>
      <x:c r="J155" s="36" t="str">
        <x:v>#DFC668</x:v>
      </x:c>
      <x:c r="K155" s="36" t="str">
        <x:v>#9E9042</x:v>
      </x:c>
      <x:c r="L155" s="36" t="str">
        <x:v>—</x:v>
      </x:c>
      <x:c r="M155" s="36" t="str">
        <x:v>—</x:v>
      </x:c>
      <x:c r="N155" s="177" t="str">
        <x:v>—</x:v>
      </x:c>
    </x:row>
    <x:row r="156">
      <x:c r="A156" t="str">
        <x:v>504</x:v>
      </x:c>
      <x:c r="B156" t="str">
        <x:v>Payne’s grey 30%</x:v>
      </x:c>
      <x:c r="C156" t="str">
        <x:v>佩恩灰 30%</x:v>
      </x:c>
      <x:c r="D156" t="str">
        <x:v>ペインズグレー 30%</x:v>
      </x:c>
      <x:c r="E156" t="n">
        <x:v>2</x:v>
      </x:c>
      <x:c r="F156" s="36" t="str">
        <x:v>#9CA9B9</x:v>
      </x:c>
      <x:c r="G156" s="36" t="str">
        <x:v>—</x:v>
      </x:c>
      <x:c r="H156" s="36" t="str">
        <x:v>—</x:v>
      </x:c>
      <x:c r="I156" s="36" t="str">
        <x:v>—</x:v>
      </x:c>
      <x:c r="J156" s="36" t="str">
        <x:v>—</x:v>
      </x:c>
      <x:c r="K156" s="36" t="str">
        <x:v>—</x:v>
      </x:c>
      <x:c r="L156" s="36" t="str">
        <x:v>—</x:v>
      </x:c>
      <x:c r="M156" s="36" t="str">
        <x:v>—</x:v>
      </x:c>
      <x:c r="N156" s="237" t="str">
        <x:v>#A7A7A8</x:v>
      </x:c>
    </x:row>
    <x:row r="157">
      <x:c r="A157" t="str">
        <x:v>506</x:v>
      </x:c>
      <x:c r="B157" t="str">
        <x:v>Payne’s grey 50%</x:v>
      </x:c>
      <x:c r="C157" t="str">
        <x:v>佩恩灰 50%</x:v>
      </x:c>
      <x:c r="D157" t="str">
        <x:v>ペインズグレー 50%</x:v>
      </x:c>
      <x:c r="E157" t="n">
        <x:v>2</x:v>
      </x:c>
      <x:c r="F157" s="36" t="str">
        <x:v>—</x:v>
      </x:c>
      <x:c r="G157" s="36" t="str">
        <x:v>—</x:v>
      </x:c>
      <x:c r="H157" s="36" t="str">
        <x:v>—</x:v>
      </x:c>
      <x:c r="I157" s="36" t="str">
        <x:v>—</x:v>
      </x:c>
      <x:c r="J157" s="36" t="str">
        <x:v>—</x:v>
      </x:c>
      <x:c r="K157" s="36" t="str">
        <x:v>—</x:v>
      </x:c>
      <x:c r="L157" s="36" t="str">
        <x:v>#536278</x:v>
      </x:c>
      <x:c r="M157" s="36" t="str">
        <x:v>#536278</x:v>
      </x:c>
      <x:c r="N157" s="177" t="str">
        <x:v>—</x:v>
      </x:c>
    </x:row>
    <x:row r="158">
      <x:c r="A158" t="str">
        <x:v>507</x:v>
      </x:c>
      <x:c r="B158" t="str">
        <x:v>Payne’s grey 60%</x:v>
      </x:c>
      <x:c r="C158" t="str">
        <x:v>佩恩灰 60%</x:v>
      </x:c>
      <x:c r="D158" t="str">
        <x:v>ペインズグレー 60%</x:v>
      </x:c>
      <x:c r="E158" t="n">
        <x:v>1</x:v>
      </x:c>
      <x:c r="F158" s="36" t="str">
        <x:v>#6D7A86</x:v>
      </x:c>
      <x:c r="G158" s="36" t="str">
        <x:v>—</x:v>
      </x:c>
      <x:c r="H158" s="36" t="str">
        <x:v>—</x:v>
      </x:c>
      <x:c r="I158" s="36" t="str">
        <x:v>—</x:v>
      </x:c>
      <x:c r="J158" s="36" t="str">
        <x:v>—</x:v>
      </x:c>
      <x:c r="K158" s="36" t="str">
        <x:v>—</x:v>
      </x:c>
      <x:c r="L158" s="36" t="str">
        <x:v>—</x:v>
      </x:c>
      <x:c r="M158" s="36" t="str">
        <x:v>—</x:v>
      </x:c>
      <x:c r="N158" s="177" t="str">
        <x:v>—</x:v>
      </x:c>
    </x:row>
    <x:row r="159">
      <x:c r="A159" t="str">
        <x:v>508</x:v>
      </x:c>
      <x:c r="B159" t="str">
        <x:v>Payne’s grey</x:v>
      </x:c>
      <x:c r="C159" t="str">
        <x:v>佩恩灰</x:v>
      </x:c>
      <x:c r="D159" t="str">
        <x:v>ペインズグレイ</x:v>
      </x:c>
      <x:c r="E159" t="n">
        <x:v>3</x:v>
      </x:c>
      <x:c r="F159" s="36" t="str">
        <x:v>#4C5860</x:v>
      </x:c>
      <x:c r="G159" s="36" t="str">
        <x:v>—</x:v>
      </x:c>
      <x:c r="H159" s="36" t="str">
        <x:v>—</x:v>
      </x:c>
      <x:c r="I159" s="36" t="str">
        <x:v>#6F7487</x:v>
      </x:c>
      <x:c r="J159" s="36" t="str">
        <x:v>#DCD8D2</x:v>
      </x:c>
      <x:c r="K159" s="36" t="str">
        <x:v>—</x:v>
      </x:c>
      <x:c r="L159" s="36" t="str">
        <x:v>—</x:v>
      </x:c>
      <x:c r="M159" s="36" t="str">
        <x:v>—</x:v>
      </x:c>
      <x:c r="N159" s="177" t="str">
        <x:v>—</x:v>
      </x:c>
    </x:row>
    <x:row r="160">
      <x:c r="A160" t="str">
        <x:v>512</x:v>
      </x:c>
      <x:c r="B160" t="str">
        <x:v>Light cadmium yellow</x:v>
      </x:c>
      <x:c r="C160" t="str">
        <x:v>淺鎘黃</x:v>
      </x:c>
      <x:c r="D160" t="str">
        <x:v>ライトカドミウムイエロー</x:v>
      </x:c>
      <x:c r="E160" t="n">
        <x:v>2</x:v>
      </x:c>
      <x:c r="F160" s="36" t="str">
        <x:v>—</x:v>
      </x:c>
      <x:c r="G160" s="36" t="str">
        <x:v>—</x:v>
      </x:c>
      <x:c r="H160" s="36" t="str">
        <x:v>—</x:v>
      </x:c>
      <x:c r="I160" s="36" t="str">
        <x:v>—</x:v>
      </x:c>
      <x:c r="J160" s="36" t="str">
        <x:v>—</x:v>
      </x:c>
      <x:c r="K160" s="36" t="str">
        <x:v>—</x:v>
      </x:c>
      <x:c r="L160" s="36" t="str">
        <x:v>#CFB930</x:v>
      </x:c>
      <x:c r="M160" s="36" t="str">
        <x:v>#CFB930</x:v>
      </x:c>
      <x:c r="N160" s="177" t="str">
        <x:v>—</x:v>
      </x:c>
    </x:row>
    <x:row r="161">
      <x:c r="A161" t="str">
        <x:v>520</x:v>
      </x:c>
      <x:c r="B161" t="str">
        <x:v>Medium cadmium yellow (imit.)</x:v>
      </x:c>
      <x:c r="C161" t="str">
        <x:v>中鎘黃（仿色）</x:v>
      </x:c>
      <x:c r="D161" t="str">
        <x:v>ミディアムカドミウムイエロー（模倣色）</x:v>
      </x:c>
      <x:c r="E161" t="n">
        <x:v>1</x:v>
      </x:c>
      <x:c r="F161" s="36" t="str">
        <x:v>#FFE851</x:v>
      </x:c>
      <x:c r="G161" s="36" t="str">
        <x:v>—</x:v>
      </x:c>
      <x:c r="H161" s="36" t="str">
        <x:v>—</x:v>
      </x:c>
      <x:c r="I161" s="36" t="str">
        <x:v>—</x:v>
      </x:c>
      <x:c r="J161" s="36" t="str">
        <x:v>—</x:v>
      </x:c>
      <x:c r="K161" s="36" t="str">
        <x:v>—</x:v>
      </x:c>
      <x:c r="L161" s="36" t="str">
        <x:v>—</x:v>
      </x:c>
      <x:c r="M161" s="36" t="str">
        <x:v>—</x:v>
      </x:c>
      <x:c r="N161" s="177" t="str">
        <x:v>—</x:v>
      </x:c>
    </x:row>
    <x:row r="162">
      <x:c r="A162" t="str">
        <x:v>521</x:v>
      </x:c>
      <x:c r="B162" t="str">
        <x:v>Sahara yellow</x:v>
      </x:c>
      <x:c r="C162" t="str">
        <x:v>撒哈拉黃</x:v>
      </x:c>
      <x:c r="D162" t="str">
        <x:v>サハライエロー</x:v>
      </x:c>
      <x:c r="E162" t="n">
        <x:v>1</x:v>
      </x:c>
      <x:c r="F162" s="36" t="str">
        <x:v>—</x:v>
      </x:c>
      <x:c r="G162" s="36" t="str">
        <x:v>—</x:v>
      </x:c>
      <x:c r="H162" s="36" t="str">
        <x:v>—</x:v>
      </x:c>
      <x:c r="I162" s="36" t="str">
        <x:v>—</x:v>
      </x:c>
      <x:c r="J162" s="36" t="str">
        <x:v>#FFEF9C</x:v>
      </x:c>
      <x:c r="K162" s="36" t="str">
        <x:v>—</x:v>
      </x:c>
      <x:c r="L162" s="36" t="str">
        <x:v>—</x:v>
      </x:c>
      <x:c r="M162" s="36" t="str">
        <x:v>—</x:v>
      </x:c>
      <x:c r="N162" s="177" t="str">
        <x:v>—</x:v>
      </x:c>
    </x:row>
    <x:row r="163">
      <x:c r="A163" t="str">
        <x:v>523</x:v>
      </x:c>
      <x:c r="B163" t="str">
        <x:v>Indian yellow</x:v>
      </x:c>
      <x:c r="C163" t="str">
        <x:v>印度黃</x:v>
      </x:c>
      <x:c r="D163" t="str">
        <x:v>インディアンイエロー</x:v>
      </x:c>
      <x:c r="E163" t="n">
        <x:v>1</x:v>
      </x:c>
      <x:c r="F163" s="36" t="str">
        <x:v>#E1B748</x:v>
      </x:c>
      <x:c r="G163" s="36" t="str">
        <x:v>—</x:v>
      </x:c>
      <x:c r="H163" s="36" t="str">
        <x:v>—</x:v>
      </x:c>
      <x:c r="I163" s="36" t="str">
        <x:v>—</x:v>
      </x:c>
      <x:c r="J163" s="36" t="str">
        <x:v>—</x:v>
      </x:c>
      <x:c r="K163" s="36" t="str">
        <x:v>—</x:v>
      </x:c>
      <x:c r="L163" s="36" t="str">
        <x:v>—</x:v>
      </x:c>
      <x:c r="M163" s="36" t="str">
        <x:v>—</x:v>
      </x:c>
      <x:c r="N163" s="177" t="str">
        <x:v>—</x:v>
      </x:c>
    </x:row>
    <x:row r="164">
      <x:c r="A164" t="str">
        <x:v>530</x:v>
      </x:c>
      <x:c r="B164" t="str">
        <x:v>Gold Cadmium Yellow</x:v>
      </x:c>
      <x:c r="C164" t="str">
        <x:v>金鎘黃</x:v>
      </x:c>
      <x:c r="D164" t="str">
        <x:v>ゴールドカドミウムイエロー</x:v>
      </x:c>
      <x:c r="E164" t="n">
        <x:v>4</x:v>
      </x:c>
      <x:c r="F164" s="36" t="str">
        <x:v>—</x:v>
      </x:c>
      <x:c r="G164" s="36" t="str">
        <x:v>—</x:v>
      </x:c>
      <x:c r="H164" s="36" t="str">
        <x:v>—</x:v>
      </x:c>
      <x:c r="I164" s="36" t="str">
        <x:v>#FAE226</x:v>
      </x:c>
      <x:c r="J164" s="36" t="str">
        <x:v>—</x:v>
      </x:c>
      <x:c r="K164" s="36" t="str">
        <x:v>—</x:v>
      </x:c>
      <x:c r="L164" s="36" t="str">
        <x:v>#DCB61F</x:v>
      </x:c>
      <x:c r="M164" s="36" t="str">
        <x:v>#DCB61F</x:v>
      </x:c>
      <x:c r="N164" s="239" t="str">
        <x:v>#F8B22A</x:v>
      </x:c>
    </x:row>
    <x:row r="165">
      <x:c r="A165" t="str">
        <x:v>533</x:v>
      </x:c>
      <x:c r="B165" t="str">
        <x:v>Dark cadmium orange (imit.)</x:v>
      </x:c>
      <x:c r="C165" t="str">
        <x:v>深鎘橙（仿色）</x:v>
      </x:c>
      <x:c r="D165" t="str">
        <x:v>ダークカドミウムオレンジ（模倣色）</x:v>
      </x:c>
      <x:c r="E165" t="n">
        <x:v>1</x:v>
      </x:c>
      <x:c r="F165" s="36" t="str">
        <x:v>#EB5F3B</x:v>
      </x:c>
      <x:c r="G165" s="36" t="str">
        <x:v>—</x:v>
      </x:c>
      <x:c r="H165" s="36" t="str">
        <x:v>—</x:v>
      </x:c>
      <x:c r="I165" s="36" t="str">
        <x:v>—</x:v>
      </x:c>
      <x:c r="J165" s="36" t="str">
        <x:v>—</x:v>
      </x:c>
      <x:c r="K165" s="36" t="str">
        <x:v>—</x:v>
      </x:c>
      <x:c r="L165" s="36" t="str">
        <x:v>—</x:v>
      </x:c>
      <x:c r="M165" s="36" t="str">
        <x:v>—</x:v>
      </x:c>
      <x:c r="N165" s="177" t="str">
        <x:v>—</x:v>
      </x:c>
    </x:row>
    <x:row r="166">
      <x:c r="A166" t="str">
        <x:v>541</x:v>
      </x:c>
      <x:c r="B166" t="str">
        <x:v>Light flesh 5%</x:v>
      </x:c>
      <x:c r="C166" t="str">
        <x:v>淺膚色 5%</x:v>
      </x:c>
      <x:c r="D166" t="str">
        <x:v>ライトフレッシュ 5%</x:v>
      </x:c>
      <x:c r="E166" t="n">
        <x:v>2</x:v>
      </x:c>
      <x:c r="F166" s="36" t="str">
        <x:v>—</x:v>
      </x:c>
      <x:c r="G166" s="36" t="str">
        <x:v>—</x:v>
      </x:c>
      <x:c r="H166" s="36" t="str">
        <x:v>—</x:v>
      </x:c>
      <x:c r="I166" s="36" t="str">
        <x:v>—</x:v>
      </x:c>
      <x:c r="J166" s="36" t="str">
        <x:v>—</x:v>
      </x:c>
      <x:c r="K166" s="36" t="str">
        <x:v>—</x:v>
      </x:c>
      <x:c r="L166" s="36" t="str">
        <x:v>#E6DAC5</x:v>
      </x:c>
      <x:c r="M166" s="36" t="str">
        <x:v>#E6DAC5</x:v>
      </x:c>
      <x:c r="N166" s="177" t="str">
        <x:v>—</x:v>
      </x:c>
    </x:row>
    <x:row r="167">
      <x:c r="A167" t="str">
        <x:v>542</x:v>
      </x:c>
      <x:c r="B167" t="str">
        <x:v>Light flesh 10%</x:v>
      </x:c>
      <x:c r="C167" t="str">
        <x:v>淺膚色 10%</x:v>
      </x:c>
      <x:c r="D167" t="str">
        <x:v>ライトフレッシュ10%</x:v>
      </x:c>
      <x:c r="E167" t="n">
        <x:v>5</x:v>
      </x:c>
      <x:c r="F167" s="36" t="str">
        <x:v>#F7D5A6</x:v>
      </x:c>
      <x:c r="G167" s="36" t="str">
        <x:v>—</x:v>
      </x:c>
      <x:c r="H167" s="36" t="str">
        <x:v>—</x:v>
      </x:c>
      <x:c r="I167" s="36" t="str">
        <x:v>#F8E2C5</x:v>
      </x:c>
      <x:c r="J167" s="36" t="str">
        <x:v>—</x:v>
      </x:c>
      <x:c r="K167" s="36" t="str">
        <x:v>—</x:v>
      </x:c>
      <x:c r="L167" s="36" t="str">
        <x:v>#E5CA9F</x:v>
      </x:c>
      <x:c r="M167" s="36" t="str">
        <x:v>#E5CA9F</x:v>
      </x:c>
      <x:c r="N167" s="241" t="str">
        <x:v>#FDDBA9</x:v>
      </x:c>
    </x:row>
    <x:row r="168">
      <x:c r="A168" t="str">
        <x:v>548</x:v>
      </x:c>
      <x:c r="B168" t="str">
        <x:v>Raw umber</x:v>
      </x:c>
      <x:c r="C168" t="str">
        <x:v>生褐色</x:v>
      </x:c>
      <x:c r="D168" t="str">
        <x:v>ローアンバー</x:v>
      </x:c>
      <x:c r="E168" t="n">
        <x:v>3</x:v>
      </x:c>
      <x:c r="F168" s="36" t="str">
        <x:v>#7E6B4F</x:v>
      </x:c>
      <x:c r="G168" s="36" t="str">
        <x:v>—</x:v>
      </x:c>
      <x:c r="H168" s="36" t="str">
        <x:v>—</x:v>
      </x:c>
      <x:c r="I168" s="36" t="str">
        <x:v>#D0A86E</x:v>
      </x:c>
      <x:c r="J168" s="36" t="str">
        <x:v>—</x:v>
      </x:c>
      <x:c r="K168" s="36" t="str">
        <x:v>—</x:v>
      </x:c>
      <x:c r="L168" s="36" t="str">
        <x:v>—</x:v>
      </x:c>
      <x:c r="M168" s="36" t="str">
        <x:v>—</x:v>
      </x:c>
      <x:c r="N168" s="243" t="str">
        <x:v>#947157</x:v>
      </x:c>
    </x:row>
    <x:row r="169">
      <x:c r="A169" t="str">
        <x:v>560</x:v>
      </x:c>
      <x:c r="B169" t="str">
        <x:v>Light Cadmium Red</x:v>
      </x:c>
      <x:c r="C169" t="str">
        <x:v>淺鎘紅</x:v>
      </x:c>
      <x:c r="D169" t="str">
        <x:v>ライトカドミウムレッド</x:v>
      </x:c>
      <x:c r="E169" t="n">
        <x:v>2</x:v>
      </x:c>
      <x:c r="F169" s="36" t="str">
        <x:v>—</x:v>
      </x:c>
      <x:c r="G169" s="36" t="str">
        <x:v>—</x:v>
      </x:c>
      <x:c r="H169" s="36" t="str">
        <x:v>—</x:v>
      </x:c>
      <x:c r="I169" s="36" t="str">
        <x:v>#E44038</x:v>
      </x:c>
      <x:c r="J169" s="36" t="str">
        <x:v>#FCE2DE</x:v>
      </x:c>
      <x:c r="K169" s="36" t="str">
        <x:v>—</x:v>
      </x:c>
      <x:c r="L169" s="36" t="str">
        <x:v>—</x:v>
      </x:c>
      <x:c r="M169" s="36" t="str">
        <x:v>—</x:v>
      </x:c>
      <x:c r="N169" s="177" t="str">
        <x:v>—</x:v>
      </x:c>
    </x:row>
    <x:row r="170">
      <x:c r="A170" t="str">
        <x:v>571</x:v>
      </x:c>
      <x:c r="B170" t="str">
        <x:v>Anthraquinoid pink</x:v>
      </x:c>
      <x:c r="C170" t="str">
        <x:v>蒽醌粉紅</x:v>
      </x:c>
      <x:c r="D170" t="str">
        <x:v>アントラキノイドピンク</x:v>
      </x:c>
      <x:c r="E170" t="n">
        <x:v>4</x:v>
      </x:c>
      <x:c r="F170" s="36" t="str">
        <x:v>#EE7C7C</x:v>
      </x:c>
      <x:c r="G170" s="36" t="str">
        <x:v>—</x:v>
      </x:c>
      <x:c r="H170" s="36" t="str">
        <x:v>—</x:v>
      </x:c>
      <x:c r="I170" s="36" t="str">
        <x:v>#F1ABA6</x:v>
      </x:c>
      <x:c r="J170" s="36" t="str">
        <x:v>—</x:v>
      </x:c>
      <x:c r="K170" s="36" t="str">
        <x:v>—</x:v>
      </x:c>
      <x:c r="L170" s="36" t="str">
        <x:v>#CF5F56</x:v>
      </x:c>
      <x:c r="M170" s="36" t="str">
        <x:v>#CF5F56</x:v>
      </x:c>
      <x:c r="N170" s="177" t="str">
        <x:v>—</x:v>
      </x:c>
    </x:row>
    <x:row r="171">
      <x:c r="A171" t="str">
        <x:v>575</x:v>
      </x:c>
      <x:c r="B171" t="str">
        <x:v>Carmine lake</x:v>
      </x:c>
      <x:c r="C171" t="str">
        <x:v>胭脂紅色淀</x:v>
      </x:c>
      <x:c r="D171" t="str">
        <x:v>カーマインレーキ</x:v>
      </x:c>
      <x:c r="E171" t="n">
        <x:v>2</x:v>
      </x:c>
      <x:c r="F171" s="36" t="str">
        <x:v>#4C2D2D</x:v>
      </x:c>
      <x:c r="G171" s="36" t="str">
        <x:v>—</x:v>
      </x:c>
      <x:c r="H171" s="36" t="str">
        <x:v>—</x:v>
      </x:c>
      <x:c r="I171" s="36" t="str">
        <x:v>#773437</x:v>
      </x:c>
      <x:c r="J171" s="36" t="str">
        <x:v>—</x:v>
      </x:c>
      <x:c r="K171" s="36" t="str">
        <x:v>—</x:v>
      </x:c>
      <x:c r="L171" s="36" t="str">
        <x:v>—</x:v>
      </x:c>
      <x:c r="M171" s="36" t="str">
        <x:v>—</x:v>
      </x:c>
      <x:c r="N171" s="177" t="str">
        <x:v>—</x:v>
      </x:c>
    </x:row>
    <x:row r="172">
      <x:c r="A172" t="str">
        <x:v>580</x:v>
      </x:c>
      <x:c r="B172" t="str">
        <x:v>Anthraquinone carmine</x:v>
      </x:c>
      <x:c r="C172" t="str">
        <x:v>蒽醌胭脂紅</x:v>
      </x:c>
      <x:c r="D172" t="str">
        <x:v>アントラキノンカーマイン</x:v>
      </x:c>
      <x:c r="E172" t="n">
        <x:v>2</x:v>
      </x:c>
      <x:c r="F172" s="36" t="str">
        <x:v>#C11928</x:v>
      </x:c>
      <x:c r="G172" s="36" t="str">
        <x:v>—</x:v>
      </x:c>
      <x:c r="H172" s="36" t="str">
        <x:v>—</x:v>
      </x:c>
      <x:c r="I172" s="36" t="str">
        <x:v>—</x:v>
      </x:c>
      <x:c r="J172" s="36" t="str">
        <x:v>—</x:v>
      </x:c>
      <x:c r="K172" s="36" t="str">
        <x:v>—</x:v>
      </x:c>
      <x:c r="L172" s="36" t="str">
        <x:v>—</x:v>
      </x:c>
      <x:c r="M172" s="36" t="str">
        <x:v>—</x:v>
      </x:c>
      <x:c r="N172" s="245" t="str">
        <x:v>#CB3D5A</x:v>
      </x:c>
    </x:row>
    <x:row r="173">
      <x:c r="A173" t="str">
        <x:v>581</x:v>
      </x:c>
      <x:c r="B173" t="str">
        <x:v>Pink white</x:v>
      </x:c>
      <x:c r="C173" t="str">
        <x:v>粉白色</x:v>
      </x:c>
      <x:c r="D173" t="str">
        <x:v>ピンクホワイト</x:v>
      </x:c>
      <x:c r="E173" t="n">
        <x:v>3</x:v>
      </x:c>
      <x:c r="F173" s="36" t="str">
        <x:v>#F4E5DB</x:v>
      </x:c>
      <x:c r="G173" s="36" t="str">
        <x:v>—</x:v>
      </x:c>
      <x:c r="H173" s="36" t="str">
        <x:v>—</x:v>
      </x:c>
      <x:c r="I173" s="36" t="str">
        <x:v>—</x:v>
      </x:c>
      <x:c r="J173" s="36" t="str">
        <x:v>—</x:v>
      </x:c>
      <x:c r="K173" s="36" t="str">
        <x:v>—</x:v>
      </x:c>
      <x:c r="L173" s="36" t="str">
        <x:v>#C2B9B3</x:v>
      </x:c>
      <x:c r="M173" s="36" t="str">
        <x:v>#C2B9B3</x:v>
      </x:c>
      <x:c r="N173" s="177" t="str">
        <x:v>—</x:v>
      </x:c>
    </x:row>
    <x:row r="174">
      <x:c r="A174" t="str">
        <x:v>582</x:v>
      </x:c>
      <x:c r="B174" t="str">
        <x:v>Portrait pink</x:v>
      </x:c>
      <x:c r="C174" t="str">
        <x:v>肖像粉紅</x:v>
      </x:c>
      <x:c r="D174" t="str">
        <x:v>ポートレートピンク</x:v>
      </x:c>
      <x:c r="E174" t="n">
        <x:v>2</x:v>
      </x:c>
      <x:c r="F174" s="36" t="str">
        <x:v>—</x:v>
      </x:c>
      <x:c r="G174" s="36" t="str">
        <x:v>—</x:v>
      </x:c>
      <x:c r="H174" s="36" t="str">
        <x:v>—</x:v>
      </x:c>
      <x:c r="I174" s="36" t="str">
        <x:v>—</x:v>
      </x:c>
      <x:c r="J174" s="36" t="str">
        <x:v>—</x:v>
      </x:c>
      <x:c r="K174" s="36" t="str">
        <x:v>—</x:v>
      </x:c>
      <x:c r="L174" s="36" t="str">
        <x:v>#C95462</x:v>
      </x:c>
      <x:c r="M174" s="36" t="str">
        <x:v>#C95462</x:v>
      </x:c>
      <x:c r="N174" s="177" t="str">
        <x:v>—</x:v>
      </x:c>
    </x:row>
    <x:row r="175">
      <x:c r="A175" t="str">
        <x:v>583</x:v>
      </x:c>
      <x:c r="B175" t="str">
        <x:v>Violet pink</x:v>
      </x:c>
      <x:c r="C175" t="str">
        <x:v>紫粉紅</x:v>
      </x:c>
      <x:c r="D175" t="str">
        <x:v>バイオレットピンク</x:v>
      </x:c>
      <x:c r="E175" t="n">
        <x:v>5</x:v>
      </x:c>
      <x:c r="F175" s="36" t="str">
        <x:v>#C28F94</x:v>
      </x:c>
      <x:c r="G175" s="36" t="str">
        <x:v>—</x:v>
      </x:c>
      <x:c r="H175" s="36" t="str">
        <x:v>—</x:v>
      </x:c>
      <x:c r="I175" s="36" t="str">
        <x:v>#E4A4AF</x:v>
      </x:c>
      <x:c r="J175" s="36" t="str">
        <x:v>—</x:v>
      </x:c>
      <x:c r="K175" s="36" t="str">
        <x:v>—</x:v>
      </x:c>
      <x:c r="L175" s="36" t="str">
        <x:v>#A56769</x:v>
      </x:c>
      <x:c r="M175" s="36" t="str">
        <x:v>#A56769</x:v>
      </x:c>
      <x:c r="N175" s="247" t="str">
        <x:v>#D89299</x:v>
      </x:c>
    </x:row>
    <x:row r="176">
      <x:c r="A176" t="str">
        <x:v>585</x:v>
      </x:c>
      <x:c r="B176" t="str">
        <x:v>Perylene brown</x:v>
      </x:c>
      <x:c r="C176" t="str">
        <x:v>苝棕</x:v>
      </x:c>
      <x:c r="D176" t="str">
        <x:v>ペリレンブラウン</x:v>
      </x:c>
      <x:c r="E176" t="n">
        <x:v>4</x:v>
      </x:c>
      <x:c r="F176" s="36" t="str">
        <x:v>#995254</x:v>
      </x:c>
      <x:c r="G176" s="36" t="str">
        <x:v>—</x:v>
      </x:c>
      <x:c r="H176" s="36" t="str">
        <x:v>—</x:v>
      </x:c>
      <x:c r="I176" s="36" t="str">
        <x:v>—</x:v>
      </x:c>
      <x:c r="J176" s="36" t="str">
        <x:v>—</x:v>
      </x:c>
      <x:c r="K176" s="36" t="str">
        <x:v>—</x:v>
      </x:c>
      <x:c r="L176" s="36" t="str">
        <x:v>#A1353D</x:v>
      </x:c>
      <x:c r="M176" s="36" t="str">
        <x:v>#A1353D</x:v>
      </x:c>
      <x:c r="N176" s="249" t="str">
        <x:v>#A34737</x:v>
      </x:c>
    </x:row>
    <x:row r="177">
      <x:c r="A177" t="str">
        <x:v>589</x:v>
      </x:c>
      <x:c r="B177" t="str">
        <x:v>Crimson alizarin (hue)</x:v>
      </x:c>
      <x:c r="C177" t="str">
        <x:v>茜素深紅（色相）</x:v>
      </x:c>
      <x:c r="D177" t="str">
        <x:v>アリザリンクリムゾン（ヒュー）</x:v>
      </x:c>
      <x:c r="E177" t="n">
        <x:v>2</x:v>
      </x:c>
      <x:c r="F177" s="36" t="str">
        <x:v>#99364D</x:v>
      </x:c>
      <x:c r="G177" s="36" t="str">
        <x:v>—</x:v>
      </x:c>
      <x:c r="H177" s="36" t="str">
        <x:v>—</x:v>
      </x:c>
      <x:c r="I177" s="36" t="str">
        <x:v>—</x:v>
      </x:c>
      <x:c r="J177" s="36" t="str">
        <x:v>#E9907F</x:v>
      </x:c>
      <x:c r="K177" s="36" t="str">
        <x:v>—</x:v>
      </x:c>
      <x:c r="L177" s="36" t="str">
        <x:v>—</x:v>
      </x:c>
      <x:c r="M177" s="36" t="str">
        <x:v>—</x:v>
      </x:c>
      <x:c r="N177" s="177" t="str">
        <x:v>—</x:v>
      </x:c>
    </x:row>
    <x:row r="178">
      <x:c r="A178" t="str">
        <x:v>599</x:v>
      </x:c>
      <x:c r="B178" t="str">
        <x:v>Crimson aubergine</x:v>
      </x:c>
      <x:c r="C178" t="str">
        <x:v>深紅茄紫</x:v>
      </x:c>
      <x:c r="D178" t="str">
        <x:v>クリムゾンオーベルジーヌ</x:v>
      </x:c>
      <x:c r="E178" t="n">
        <x:v>2</x:v>
      </x:c>
      <x:c r="F178" s="36" t="str">
        <x:v>#8E4A50</x:v>
      </x:c>
      <x:c r="G178" s="36" t="str">
        <x:v>—</x:v>
      </x:c>
      <x:c r="H178" s="36" t="str">
        <x:v>—</x:v>
      </x:c>
      <x:c r="I178" s="36" t="str">
        <x:v>#B83B51</x:v>
      </x:c>
      <x:c r="J178" s="36" t="str">
        <x:v>—</x:v>
      </x:c>
      <x:c r="K178" s="36" t="str">
        <x:v>—</x:v>
      </x:c>
      <x:c r="L178" s="36" t="str">
        <x:v>—</x:v>
      </x:c>
      <x:c r="M178" s="36" t="str">
        <x:v>—</x:v>
      </x:c>
      <x:c r="N178" s="177" t="str">
        <x:v>—</x:v>
      </x:c>
    </x:row>
    <x:row r="179">
      <x:c r="A179" t="str">
        <x:v>620</x:v>
      </x:c>
      <x:c r="B179" t="str">
        <x:v>Cobalt Violet</x:v>
      </x:c>
      <x:c r="C179" t="str">
        <x:v>鈷紫</x:v>
      </x:c>
      <x:c r="D179" t="str">
        <x:v>コバルトバイオレット</x:v>
      </x:c>
      <x:c r="E179" t="n">
        <x:v>2</x:v>
      </x:c>
      <x:c r="F179" s="36" t="str">
        <x:v>—</x:v>
      </x:c>
      <x:c r="G179" s="36" t="str">
        <x:v>—</x:v>
      </x:c>
      <x:c r="H179" s="36" t="str">
        <x:v>—</x:v>
      </x:c>
      <x:c r="I179" s="36" t="str">
        <x:v>—</x:v>
      </x:c>
      <x:c r="J179" s="36" t="str">
        <x:v>—</x:v>
      </x:c>
      <x:c r="K179" s="36" t="str">
        <x:v>—</x:v>
      </x:c>
      <x:c r="L179" s="36" t="str">
        <x:v>#46377E</x:v>
      </x:c>
      <x:c r="M179" s="36" t="str">
        <x:v>#46377E</x:v>
      </x:c>
      <x:c r="N179" s="177" t="str">
        <x:v>—</x:v>
      </x:c>
    </x:row>
    <x:row r="180">
      <x:c r="A180" t="str">
        <x:v>630</x:v>
      </x:c>
      <x:c r="B180" t="str">
        <x:v>Ultramarine violet</x:v>
      </x:c>
      <x:c r="C180" t="str">
        <x:v>群青紫</x:v>
      </x:c>
      <x:c r="D180" t="str">
        <x:v>ウルトラマリンバイオレット</x:v>
      </x:c>
      <x:c r="E180" t="n">
        <x:v>2</x:v>
      </x:c>
      <x:c r="F180" s="36" t="str">
        <x:v>#9998C5</x:v>
      </x:c>
      <x:c r="G180" s="36" t="str">
        <x:v>—</x:v>
      </x:c>
      <x:c r="H180" s="36" t="str">
        <x:v>—</x:v>
      </x:c>
      <x:c r="I180" s="36" t="str">
        <x:v>#AFACCC</x:v>
      </x:c>
      <x:c r="J180" s="36" t="str">
        <x:v>—</x:v>
      </x:c>
      <x:c r="K180" s="36" t="str">
        <x:v>—</x:v>
      </x:c>
      <x:c r="L180" s="36" t="str">
        <x:v>—</x:v>
      </x:c>
      <x:c r="M180" s="36" t="str">
        <x:v>—</x:v>
      </x:c>
      <x:c r="N180" s="177" t="str">
        <x:v>—</x:v>
      </x:c>
    </x:row>
    <x:row r="181">
      <x:c r="A181" t="str">
        <x:v>631</x:v>
      </x:c>
      <x:c r="B181" t="str">
        <x:v>Light ultramarine violet</x:v>
      </x:c>
      <x:c r="C181" t="str">
        <x:v>淺群青紫</x:v>
      </x:c>
      <x:c r="D181" t="str">
        <x:v>ライトウルトラマリンバイオレット</x:v>
      </x:c>
      <x:c r="E181" t="n">
        <x:v>2</x:v>
      </x:c>
      <x:c r="F181" s="36" t="str">
        <x:v>—</x:v>
      </x:c>
      <x:c r="G181" s="36" t="str">
        <x:v>—</x:v>
      </x:c>
      <x:c r="H181" s="36" t="str">
        <x:v>—</x:v>
      </x:c>
      <x:c r="I181" s="36" t="str">
        <x:v>—</x:v>
      </x:c>
      <x:c r="J181" s="36" t="str">
        <x:v>—</x:v>
      </x:c>
      <x:c r="K181" s="36" t="str">
        <x:v>—</x:v>
      </x:c>
      <x:c r="L181" s="36" t="str">
        <x:v>#A095A7</x:v>
      </x:c>
      <x:c r="M181" s="36" t="str">
        <x:v>#A095A7</x:v>
      </x:c>
      <x:c r="N181" s="177" t="str">
        <x:v>—</x:v>
      </x:c>
    </x:row>
    <x:row r="182">
      <x:c r="A182" t="str">
        <x:v>639</x:v>
      </x:c>
      <x:c r="B182" t="str">
        <x:v>Dark indigo</x:v>
      </x:c>
      <x:c r="C182" t="str">
        <x:v>深靛藍</x:v>
      </x:c>
      <x:c r="D182" t="str">
        <x:v>ダークインディゴ</x:v>
      </x:c>
      <x:c r="E182" t="n">
        <x:v>2</x:v>
      </x:c>
      <x:c r="F182" s="36" t="str">
        <x:v>#222427</x:v>
      </x:c>
      <x:c r="G182" s="36" t="str">
        <x:v>—</x:v>
      </x:c>
      <x:c r="H182" s="36" t="str">
        <x:v>—</x:v>
      </x:c>
      <x:c r="I182" s="36" t="str">
        <x:v>—</x:v>
      </x:c>
      <x:c r="J182" s="36" t="str">
        <x:v>—</x:v>
      </x:c>
      <x:c r="K182" s="36" t="str">
        <x:v>—</x:v>
      </x:c>
      <x:c r="L182" s="36" t="str">
        <x:v>—</x:v>
      </x:c>
      <x:c r="M182" s="36" t="str">
        <x:v>—</x:v>
      </x:c>
      <x:c r="N182" s="251" t="str">
        <x:v>#4D4350</x:v>
      </x:c>
    </x:row>
    <x:row r="183">
      <x:c r="A183" t="str">
        <x:v>640</x:v>
      </x:c>
      <x:c r="B183" t="str">
        <x:v>Dark Ultramarine</x:v>
      </x:c>
      <x:c r="C183" t="str">
        <x:v>深群青</x:v>
      </x:c>
      <x:c r="D183" t="str">
        <x:v>ダークウルトラマリン</x:v>
      </x:c>
      <x:c r="E183" t="n">
        <x:v>1</x:v>
      </x:c>
      <x:c r="F183" s="36" t="str">
        <x:v>—</x:v>
      </x:c>
      <x:c r="G183" s="36" t="str">
        <x:v>—</x:v>
      </x:c>
      <x:c r="H183" s="36" t="str">
        <x:v>—</x:v>
      </x:c>
      <x:c r="I183" s="36" t="str">
        <x:v>#0B6CB1</x:v>
      </x:c>
      <x:c r="J183" s="36" t="str">
        <x:v>—</x:v>
      </x:c>
      <x:c r="K183" s="36" t="str">
        <x:v>—</x:v>
      </x:c>
      <x:c r="L183" s="36" t="str">
        <x:v>—</x:v>
      </x:c>
      <x:c r="M183" s="36" t="str">
        <x:v>—</x:v>
      </x:c>
      <x:c r="N183" s="177" t="str">
        <x:v>—</x:v>
      </x:c>
    </x:row>
    <x:row r="184">
      <x:c r="A184" t="str">
        <x:v>649</x:v>
      </x:c>
      <x:c r="B184" t="str">
        <x:v>Indanthrone blue</x:v>
      </x:c>
      <x:c r="C184" t="str">
        <x:v>陰丹酮藍</x:v>
      </x:c>
      <x:c r="D184" t="str">
        <x:v>インダンスロンブルー</x:v>
      </x:c>
      <x:c r="E184" t="n">
        <x:v>1</x:v>
      </x:c>
      <x:c r="F184" s="36" t="str">
        <x:v>#1B233B</x:v>
      </x:c>
      <x:c r="G184" s="36" t="str">
        <x:v>—</x:v>
      </x:c>
      <x:c r="H184" s="36" t="str">
        <x:v>—</x:v>
      </x:c>
      <x:c r="I184" s="36" t="str">
        <x:v>—</x:v>
      </x:c>
      <x:c r="J184" s="36" t="str">
        <x:v>—</x:v>
      </x:c>
      <x:c r="K184" s="36" t="str">
        <x:v>—</x:v>
      </x:c>
      <x:c r="L184" s="36" t="str">
        <x:v>—</x:v>
      </x:c>
      <x:c r="M184" s="36" t="str">
        <x:v>—</x:v>
      </x:c>
      <x:c r="N184" s="177" t="str">
        <x:v>—</x:v>
      </x:c>
    </x:row>
    <x:row r="185">
      <x:c r="A185" t="str">
        <x:v>660</x:v>
      </x:c>
      <x:c r="B185" t="str">
        <x:v>Cobalt blue</x:v>
      </x:c>
      <x:c r="C185" t="str">
        <x:v>鈷藍</x:v>
      </x:c>
      <x:c r="D185" t="str">
        <x:v>コバルトブルー</x:v>
      </x:c>
      <x:c r="E185" t="n">
        <x:v>2</x:v>
      </x:c>
      <x:c r="F185" s="36" t="str">
        <x:v>#1478B9</x:v>
      </x:c>
      <x:c r="G185" s="36" t="str">
        <x:v>—</x:v>
      </x:c>
      <x:c r="H185" s="36" t="str">
        <x:v>—</x:v>
      </x:c>
      <x:c r="I185" s="36" t="str">
        <x:v>#3DAADA</x:v>
      </x:c>
      <x:c r="J185" s="36" t="str">
        <x:v>—</x:v>
      </x:c>
      <x:c r="K185" s="36" t="str">
        <x:v>—</x:v>
      </x:c>
      <x:c r="L185" s="36" t="str">
        <x:v>—</x:v>
      </x:c>
      <x:c r="M185" s="36" t="str">
        <x:v>—</x:v>
      </x:c>
      <x:c r="N185" s="177" t="str">
        <x:v>—</x:v>
      </x:c>
    </x:row>
    <x:row r="186">
      <x:c r="A186" t="str">
        <x:v>661</x:v>
      </x:c>
      <x:c r="B186" t="str">
        <x:v>Cobalt blue 5%</x:v>
      </x:c>
      <x:c r="C186" t="str">
        <x:v>鈷藍 5%</x:v>
      </x:c>
      <x:c r="D186" t="str">
        <x:v>コバルトブルー 5%</x:v>
      </x:c>
      <x:c r="E186" t="n">
        <x:v>6</x:v>
      </x:c>
      <x:c r="F186" s="36" t="str">
        <x:v>#A9D6EF</x:v>
      </x:c>
      <x:c r="G186" s="36" t="str">
        <x:v>—</x:v>
      </x:c>
      <x:c r="H186" s="36" t="str">
        <x:v>—</x:v>
      </x:c>
      <x:c r="I186" s="36" t="str">
        <x:v>#9EC8E5</x:v>
      </x:c>
      <x:c r="J186" s="36" t="str">
        <x:v>#F1F5F5</x:v>
      </x:c>
      <x:c r="K186" s="36" t="str">
        <x:v>—</x:v>
      </x:c>
      <x:c r="L186" s="36" t="str">
        <x:v>#A8C4D8</x:v>
      </x:c>
      <x:c r="M186" s="36" t="str">
        <x:v>#A8C4D8</x:v>
      </x:c>
      <x:c r="N186" s="253" t="str">
        <x:v>#BCD7EE</x:v>
      </x:c>
    </x:row>
    <x:row r="187">
      <x:c r="A187" t="str">
        <x:v>662</x:v>
      </x:c>
      <x:c r="B187" t="str">
        <x:v>Cobalt blue 10%</x:v>
      </x:c>
      <x:c r="C187" t="str">
        <x:v>鈷藍 10%</x:v>
      </x:c>
      <x:c r="D187" t="str">
        <x:v>コバルトブルー 10%</x:v>
      </x:c>
      <x:c r="E187" t="n">
        <x:v>5</x:v>
      </x:c>
      <x:c r="F187" s="36" t="str">
        <x:v>#7AA4D0</x:v>
      </x:c>
      <x:c r="G187" s="36" t="str">
        <x:v>—</x:v>
      </x:c>
      <x:c r="H187" s="36" t="str">
        <x:v>—</x:v>
      </x:c>
      <x:c r="I187" s="36" t="str">
        <x:v>#6FA7D5</x:v>
      </x:c>
      <x:c r="J187" s="36" t="str">
        <x:v>—</x:v>
      </x:c>
      <x:c r="K187" s="36" t="str">
        <x:v>—</x:v>
      </x:c>
      <x:c r="L187" s="36" t="str">
        <x:v>#A7C4DC</x:v>
      </x:c>
      <x:c r="M187" s="36" t="str">
        <x:v>#A7C4DC</x:v>
      </x:c>
      <x:c r="N187" s="255" t="str">
        <x:v>#86B1DA</x:v>
      </x:c>
    </x:row>
    <x:row r="188">
      <x:c r="A188" t="str">
        <x:v>664</x:v>
      </x:c>
      <x:c r="B188" t="str">
        <x:v>Cobalt blue 30%</x:v>
      </x:c>
      <x:c r="C188" t="str">
        <x:v>鈷藍 30%</x:v>
      </x:c>
      <x:c r="D188" t="str">
        <x:v>コバルトブルー 30%</x:v>
      </x:c>
      <x:c r="E188" t="n">
        <x:v>2</x:v>
      </x:c>
      <x:c r="F188" s="36" t="str">
        <x:v>—</x:v>
      </x:c>
      <x:c r="G188" s="36" t="str">
        <x:v>—</x:v>
      </x:c>
      <x:c r="H188" s="36" t="str">
        <x:v>—</x:v>
      </x:c>
      <x:c r="I188" s="36" t="str">
        <x:v>—</x:v>
      </x:c>
      <x:c r="J188" s="36" t="str">
        <x:v>—</x:v>
      </x:c>
      <x:c r="K188" s="36" t="str">
        <x:v>—</x:v>
      </x:c>
      <x:c r="L188" s="36" t="str">
        <x:v>#74A7D3</x:v>
      </x:c>
      <x:c r="M188" s="36" t="str">
        <x:v>#74A7D3</x:v>
      </x:c>
      <x:c r="N188" s="177" t="str">
        <x:v>—</x:v>
      </x:c>
    </x:row>
    <x:row r="189">
      <x:c r="A189" t="str">
        <x:v>670</x:v>
      </x:c>
      <x:c r="B189" t="str">
        <x:v>Permanent Blue</x:v>
      </x:c>
      <x:c r="C189" t="str">
        <x:v>永固藍</x:v>
      </x:c>
      <x:c r="D189" t="str">
        <x:v>パーマネントブルー</x:v>
      </x:c>
      <x:c r="E189" t="n">
        <x:v>1</x:v>
      </x:c>
      <x:c r="F189" s="36" t="str">
        <x:v>—</x:v>
      </x:c>
      <x:c r="G189" s="36" t="str">
        <x:v>—</x:v>
      </x:c>
      <x:c r="H189" s="36" t="str">
        <x:v>—</x:v>
      </x:c>
      <x:c r="I189" s="36" t="str">
        <x:v>#1170A1</x:v>
      </x:c>
      <x:c r="J189" s="36" t="str">
        <x:v>—</x:v>
      </x:c>
      <x:c r="K189" s="36" t="str">
        <x:v>—</x:v>
      </x:c>
      <x:c r="L189" s="36" t="str">
        <x:v>—</x:v>
      </x:c>
      <x:c r="M189" s="36" t="str">
        <x:v>—</x:v>
      </x:c>
      <x:c r="N189" s="177" t="str">
        <x:v>—</x:v>
      </x:c>
    </x:row>
    <x:row r="190">
      <x:c r="A190" t="str">
        <x:v>671</x:v>
      </x:c>
      <x:c r="B190" t="str">
        <x:v>Chrysocolla blue</x:v>
      </x:c>
      <x:c r="C190" t="str">
        <x:v>矽孔雀石藍</x:v>
      </x:c>
      <x:c r="D190" t="str">
        <x:v>クリソコラブルー</x:v>
      </x:c>
      <x:c r="E190" t="n">
        <x:v>2</x:v>
      </x:c>
      <x:c r="F190" s="36" t="str">
        <x:v>#6CC1BE</x:v>
      </x:c>
      <x:c r="G190" s="36" t="str">
        <x:v>—</x:v>
      </x:c>
      <x:c r="H190" s="36" t="str">
        <x:v>—</x:v>
      </x:c>
      <x:c r="I190" s="36" t="str">
        <x:v>—</x:v>
      </x:c>
      <x:c r="J190" s="36" t="str">
        <x:v>—</x:v>
      </x:c>
      <x:c r="K190" s="36" t="str">
        <x:v>—</x:v>
      </x:c>
      <x:c r="L190" s="36" t="str">
        <x:v>—</x:v>
      </x:c>
      <x:c r="M190" s="36" t="str">
        <x:v>—</x:v>
      </x:c>
      <x:c r="N190" s="257" t="str">
        <x:v>#44BAC5</x:v>
      </x:c>
    </x:row>
    <x:row r="191">
      <x:c r="A191" t="str">
        <x:v>710</x:v>
      </x:c>
      <x:c r="B191" t="str">
        <x:v>Phthalocyanine Green</x:v>
      </x:c>
      <x:c r="C191" t="str">
        <x:v>酞菁綠</x:v>
      </x:c>
      <x:c r="D191" t="str">
        <x:v>フタロシアニングリーン</x:v>
      </x:c>
      <x:c r="E191" t="n">
        <x:v>2</x:v>
      </x:c>
      <x:c r="F191" s="36" t="str">
        <x:v>—</x:v>
      </x:c>
      <x:c r="G191" s="36" t="str">
        <x:v>—</x:v>
      </x:c>
      <x:c r="H191" s="36" t="str">
        <x:v>—</x:v>
      </x:c>
      <x:c r="I191" s="36" t="str">
        <x:v>#299273</x:v>
      </x:c>
      <x:c r="J191" s="36" t="str">
        <x:v>#84C8B7</x:v>
      </x:c>
      <x:c r="K191" s="36" t="str">
        <x:v>—</x:v>
      </x:c>
      <x:c r="L191" s="36" t="str">
        <x:v>—</x:v>
      </x:c>
      <x:c r="M191" s="36" t="str">
        <x:v>—</x:v>
      </x:c>
      <x:c r="N191" s="177" t="str">
        <x:v>—</x:v>
      </x:c>
    </x:row>
    <x:row r="192">
      <x:c r="A192" t="str">
        <x:v>711</x:v>
      </x:c>
      <x:c r="B192" t="str">
        <x:v>Earth green</x:v>
      </x:c>
      <x:c r="C192" t="str">
        <x:v>土綠色</x:v>
      </x:c>
      <x:c r="D192" t="str">
        <x:v>アースグリーン</x:v>
      </x:c>
      <x:c r="E192" t="n">
        <x:v>2</x:v>
      </x:c>
      <x:c r="F192" s="36" t="str">
        <x:v>—</x:v>
      </x:c>
      <x:c r="G192" s="36" t="str">
        <x:v>—</x:v>
      </x:c>
      <x:c r="H192" s="36" t="str">
        <x:v>—</x:v>
      </x:c>
      <x:c r="I192" s="36" t="str">
        <x:v>—</x:v>
      </x:c>
      <x:c r="J192" s="36" t="str">
        <x:v>—</x:v>
      </x:c>
      <x:c r="K192" s="36" t="str">
        <x:v>—</x:v>
      </x:c>
      <x:c r="L192" s="36" t="str">
        <x:v>#B8C4B5</x:v>
      </x:c>
      <x:c r="M192" s="36" t="str">
        <x:v>#B8C4B5</x:v>
      </x:c>
      <x:c r="N192" s="177" t="str">
        <x:v>—</x:v>
      </x:c>
    </x:row>
    <x:row r="193">
      <x:c r="A193" t="str">
        <x:v>712</x:v>
      </x:c>
      <x:c r="B193" t="str">
        <x:v>Verdigris</x:v>
      </x:c>
      <x:c r="C193" t="str">
        <x:v>銅綠</x:v>
      </x:c>
      <x:c r="D193" t="str">
        <x:v>バーディグリス</x:v>
      </x:c>
      <x:c r="E193" t="n">
        <x:v>2</x:v>
      </x:c>
      <x:c r="F193" s="36" t="str">
        <x:v>—</x:v>
      </x:c>
      <x:c r="G193" s="36" t="str">
        <x:v>—</x:v>
      </x:c>
      <x:c r="H193" s="36" t="str">
        <x:v>—</x:v>
      </x:c>
      <x:c r="I193" s="36" t="str">
        <x:v>—</x:v>
      </x:c>
      <x:c r="J193" s="36" t="str">
        <x:v>—</x:v>
      </x:c>
      <x:c r="K193" s="36" t="str">
        <x:v>—</x:v>
      </x:c>
      <x:c r="L193" s="36" t="str">
        <x:v>#C0C9BF</x:v>
      </x:c>
      <x:c r="M193" s="36" t="str">
        <x:v>#C0C9BF</x:v>
      </x:c>
      <x:c r="N193" s="177" t="str">
        <x:v>—</x:v>
      </x:c>
    </x:row>
    <x:row r="194">
      <x:c r="A194" t="str">
        <x:v>713</x:v>
      </x:c>
      <x:c r="B194" t="str">
        <x:v>Middle verdigris</x:v>
      </x:c>
      <x:c r="C194" t="str">
        <x:v>中銅綠</x:v>
      </x:c>
      <x:c r="D194" t="str">
        <x:v>ミドルバーディグリス</x:v>
      </x:c>
      <x:c r="E194" t="n">
        <x:v>1</x:v>
      </x:c>
      <x:c r="F194" s="36" t="str">
        <x:v>#A0CA9E</x:v>
      </x:c>
      <x:c r="G194" s="36" t="str">
        <x:v>—</x:v>
      </x:c>
      <x:c r="H194" s="36" t="str">
        <x:v>—</x:v>
      </x:c>
      <x:c r="I194" s="36" t="str">
        <x:v>—</x:v>
      </x:c>
      <x:c r="J194" s="36" t="str">
        <x:v>—</x:v>
      </x:c>
      <x:c r="K194" s="36" t="str">
        <x:v>—</x:v>
      </x:c>
      <x:c r="L194" s="36" t="str">
        <x:v>—</x:v>
      </x:c>
      <x:c r="M194" s="36" t="str">
        <x:v>—</x:v>
      </x:c>
      <x:c r="N194" s="177" t="str">
        <x:v>—</x:v>
      </x:c>
    </x:row>
    <x:row r="195">
      <x:c r="A195" t="str">
        <x:v>718</x:v>
      </x:c>
      <x:c r="B195" t="str">
        <x:v>Middle phthalocyanine green</x:v>
      </x:c>
      <x:c r="C195" t="str">
        <x:v>中酞菁綠</x:v>
      </x:c>
      <x:c r="D195" t="str">
        <x:v>ミドルフタロシアニングリーン</x:v>
      </x:c>
      <x:c r="E195" t="n">
        <x:v>2</x:v>
      </x:c>
      <x:c r="F195" s="36" t="str">
        <x:v>—</x:v>
      </x:c>
      <x:c r="G195" s="36" t="str">
        <x:v>—</x:v>
      </x:c>
      <x:c r="H195" s="36" t="str">
        <x:v>—</x:v>
      </x:c>
      <x:c r="I195" s="36" t="str">
        <x:v>—</x:v>
      </x:c>
      <x:c r="J195" s="36" t="str">
        <x:v>—</x:v>
      </x:c>
      <x:c r="K195" s="36" t="str">
        <x:v>—</x:v>
      </x:c>
      <x:c r="L195" s="36" t="str">
        <x:v>#35503D</x:v>
      </x:c>
      <x:c r="M195" s="36" t="str">
        <x:v>#35503D</x:v>
      </x:c>
      <x:c r="N195" s="177" t="str">
        <x:v>—</x:v>
      </x:c>
    </x:row>
    <x:row r="196">
      <x:c r="A196" t="str">
        <x:v>719</x:v>
      </x:c>
      <x:c r="B196" t="str">
        <x:v>Dark phthalocyanine green</x:v>
      </x:c>
      <x:c r="C196" t="str">
        <x:v>深酞菁綠</x:v>
      </x:c>
      <x:c r="D196" t="str">
        <x:v>ダークフタロシアニングリーン</x:v>
      </x:c>
      <x:c r="E196" t="n">
        <x:v>5</x:v>
      </x:c>
      <x:c r="F196" s="36" t="str">
        <x:v>#405649</x:v>
      </x:c>
      <x:c r="G196" s="36" t="str">
        <x:v>—</x:v>
      </x:c>
      <x:c r="H196" s="36" t="str">
        <x:v>—</x:v>
      </x:c>
      <x:c r="I196" s="36" t="str">
        <x:v>#457450</x:v>
      </x:c>
      <x:c r="J196" s="36" t="str">
        <x:v>—</x:v>
      </x:c>
      <x:c r="K196" s="36" t="str">
        <x:v>—</x:v>
      </x:c>
      <x:c r="L196" s="36" t="str">
        <x:v>#38463B</x:v>
      </x:c>
      <x:c r="M196" s="36" t="str">
        <x:v>#38463B</x:v>
      </x:c>
      <x:c r="N196" s="259" t="str">
        <x:v>#546153</x:v>
      </x:c>
    </x:row>
    <x:row r="197">
      <x:c r="A197" t="str">
        <x:v>720</x:v>
      </x:c>
      <x:c r="B197" t="str">
        <x:v>Bright Green</x:v>
      </x:c>
      <x:c r="C197" t="str">
        <x:v>亮綠色</x:v>
      </x:c>
      <x:c r="D197" t="str">
        <x:v>ブライトグリーン</x:v>
      </x:c>
      <x:c r="E197" t="n">
        <x:v>2</x:v>
      </x:c>
      <x:c r="F197" s="36" t="str">
        <x:v>—</x:v>
      </x:c>
      <x:c r="G197" s="36" t="str">
        <x:v>—</x:v>
      </x:c>
      <x:c r="H197" s="36" t="str">
        <x:v>—</x:v>
      </x:c>
      <x:c r="I197" s="36" t="str">
        <x:v>#64AF37</x:v>
      </x:c>
      <x:c r="J197" s="36" t="str">
        <x:v>#D7E6BC</x:v>
      </x:c>
      <x:c r="K197" s="36" t="str">
        <x:v>—</x:v>
      </x:c>
      <x:c r="L197" s="36" t="str">
        <x:v>—</x:v>
      </x:c>
      <x:c r="M197" s="36" t="str">
        <x:v>—</x:v>
      </x:c>
      <x:c r="N197" s="177" t="str">
        <x:v>—</x:v>
      </x:c>
    </x:row>
    <x:row r="198">
      <x:c r="A198" t="str">
        <x:v>729</x:v>
      </x:c>
      <x:c r="B198" t="str">
        <x:v>Dark english green</x:v>
      </x:c>
      <x:c r="C198" t="str">
        <x:v>深英國綠</x:v>
      </x:c>
      <x:c r="D198" t="str">
        <x:v>ダークイングリッシュグリーン</x:v>
      </x:c>
      <x:c r="E198" t="n">
        <x:v>2</x:v>
      </x:c>
      <x:c r="F198" s="36" t="str">
        <x:v>#096A61</x:v>
      </x:c>
      <x:c r="G198" s="36" t="str">
        <x:v>—</x:v>
      </x:c>
      <x:c r="H198" s="36" t="str">
        <x:v>—</x:v>
      </x:c>
      <x:c r="I198" s="36" t="str">
        <x:v>—</x:v>
      </x:c>
      <x:c r="J198" s="36" t="str">
        <x:v>—</x:v>
      </x:c>
      <x:c r="K198" s="36" t="str">
        <x:v>—</x:v>
      </x:c>
      <x:c r="L198" s="36" t="str">
        <x:v>—</x:v>
      </x:c>
      <x:c r="M198" s="36" t="str">
        <x:v>—</x:v>
      </x:c>
      <x:c r="N198" s="261" t="str">
        <x:v>#00A38E</x:v>
      </x:c>
    </x:row>
    <x:row r="199">
      <x:c r="A199" t="str">
        <x:v>730</x:v>
      </x:c>
      <x:c r="B199" t="str">
        <x:v>Chinese green</x:v>
      </x:c>
      <x:c r="C199" t="str">
        <x:v>中國綠</x:v>
      </x:c>
      <x:c r="D199" t="str">
        <x:v>チャイニーズグリーン</x:v>
      </x:c>
      <x:c r="E199" t="n">
        <x:v>3</x:v>
      </x:c>
      <x:c r="F199" s="36" t="str">
        <x:v>—</x:v>
      </x:c>
      <x:c r="G199" s="36" t="str">
        <x:v>—</x:v>
      </x:c>
      <x:c r="H199" s="36" t="str">
        <x:v>—</x:v>
      </x:c>
      <x:c r="I199" s="36" t="str">
        <x:v>—</x:v>
      </x:c>
      <x:c r="J199" s="36" t="str">
        <x:v>#FAED8D</x:v>
      </x:c>
      <x:c r="K199" s="36" t="str">
        <x:v>—</x:v>
      </x:c>
      <x:c r="L199" s="36" t="str">
        <x:v>#DFD765</x:v>
      </x:c>
      <x:c r="M199" s="36" t="str">
        <x:v>#DFD765</x:v>
      </x:c>
      <x:c r="N199" s="177" t="str">
        <x:v>—</x:v>
      </x:c>
    </x:row>
    <x:row r="200">
      <x:c r="A200" t="str">
        <x:v>732</x:v>
      </x:c>
      <x:c r="B200" t="str">
        <x:v>Brown olive 10%</x:v>
      </x:c>
      <x:c r="C200" t="str">
        <x:v>棕橄欖色 10%</x:v>
      </x:c>
      <x:c r="D200" t="str">
        <x:v>ブラウンオリーブ 10%</x:v>
      </x:c>
      <x:c r="E200" t="n">
        <x:v>3</x:v>
      </x:c>
      <x:c r="F200" s="36" t="str">
        <x:v>#E3CFA0</x:v>
      </x:c>
      <x:c r="G200" s="36" t="str">
        <x:v>—</x:v>
      </x:c>
      <x:c r="H200" s="36" t="str">
        <x:v>—</x:v>
      </x:c>
      <x:c r="I200" s="36" t="str">
        <x:v>—</x:v>
      </x:c>
      <x:c r="J200" s="36" t="str">
        <x:v>—</x:v>
      </x:c>
      <x:c r="K200" s="36" t="str">
        <x:v>—</x:v>
      </x:c>
      <x:c r="L200" s="36" t="str">
        <x:v>#C7C0A4</x:v>
      </x:c>
      <x:c r="M200" s="36" t="str">
        <x:v>#C7C0A4</x:v>
      </x:c>
      <x:c r="N200" s="177" t="str">
        <x:v>—</x:v>
      </x:c>
    </x:row>
    <x:row r="201">
      <x:c r="A201" t="str">
        <x:v>736</x:v>
      </x:c>
      <x:c r="B201" t="str">
        <x:v>Brown olive 50%</x:v>
      </x:c>
      <x:c r="C201" t="str">
        <x:v>棕橄欖色 50%</x:v>
      </x:c>
      <x:c r="D201" t="str">
        <x:v>ブラウンオリーブ 50%</x:v>
      </x:c>
      <x:c r="E201" t="n">
        <x:v>5</x:v>
      </x:c>
      <x:c r="F201" s="36" t="str">
        <x:v>#B9A78A</x:v>
      </x:c>
      <x:c r="G201" s="36" t="str">
        <x:v>—</x:v>
      </x:c>
      <x:c r="H201" s="36" t="str">
        <x:v>—</x:v>
      </x:c>
      <x:c r="I201" s="36" t="str">
        <x:v>#C6AA57</x:v>
      </x:c>
      <x:c r="J201" s="36" t="str">
        <x:v>—</x:v>
      </x:c>
      <x:c r="K201" s="36" t="str">
        <x:v>—</x:v>
      </x:c>
      <x:c r="L201" s="36" t="str">
        <x:v>#AD9461</x:v>
      </x:c>
      <x:c r="M201" s="36" t="str">
        <x:v>#AD9461</x:v>
      </x:c>
      <x:c r="N201" s="263" t="str">
        <x:v>#C3AC88</x:v>
      </x:c>
    </x:row>
    <x:row r="202">
      <x:c r="A202" t="str">
        <x:v>739</x:v>
      </x:c>
      <x:c r="B202" t="str">
        <x:v>Dark sap green</x:v>
      </x:c>
      <x:c r="C202" t="str">
        <x:v>深樹液綠</x:v>
      </x:c>
      <x:c r="D202" t="str">
        <x:v>ダークサップグリーン</x:v>
      </x:c>
      <x:c r="E202" t="n">
        <x:v>2</x:v>
      </x:c>
      <x:c r="F202" s="36" t="str">
        <x:v>#2B514E</x:v>
      </x:c>
      <x:c r="G202" s="36" t="str">
        <x:v>—</x:v>
      </x:c>
      <x:c r="H202" s="36" t="str">
        <x:v>—</x:v>
      </x:c>
      <x:c r="I202" s="36" t="str">
        <x:v>#36A9A6</x:v>
      </x:c>
      <x:c r="J202" s="36" t="str">
        <x:v>—</x:v>
      </x:c>
      <x:c r="K202" s="36" t="str">
        <x:v>—</x:v>
      </x:c>
      <x:c r="L202" s="36" t="str">
        <x:v>—</x:v>
      </x:c>
      <x:c r="M202" s="36" t="str">
        <x:v>—</x:v>
      </x:c>
      <x:c r="N202" s="177" t="str">
        <x:v>—</x:v>
      </x:c>
    </x:row>
    <x:row r="203">
      <x:c r="A203" t="str">
        <x:v>741</x:v>
      </x:c>
      <x:c r="B203" t="str">
        <x:v>Warm earth 5%</x:v>
      </x:c>
      <x:c r="C203" t="str">
        <x:v>暖土色 5%</x:v>
      </x:c>
      <x:c r="D203" t="str">
        <x:v>ウォームアース 5%</x:v>
      </x:c>
      <x:c r="E203" t="n">
        <x:v>3</x:v>
      </x:c>
      <x:c r="F203" s="36" t="str">
        <x:v>#CF9478</x:v>
      </x:c>
      <x:c r="G203" s="36" t="str">
        <x:v>—</x:v>
      </x:c>
      <x:c r="H203" s="36" t="str">
        <x:v>—</x:v>
      </x:c>
      <x:c r="I203" s="36" t="str">
        <x:v>—</x:v>
      </x:c>
      <x:c r="J203" s="36" t="str">
        <x:v>—</x:v>
      </x:c>
      <x:c r="K203" s="36" t="str">
        <x:v>—</x:v>
      </x:c>
      <x:c r="L203" s="36" t="str">
        <x:v>#CF9E87</x:v>
      </x:c>
      <x:c r="M203" s="36" t="str">
        <x:v>#CF9E87</x:v>
      </x:c>
      <x:c r="N203" s="177" t="str">
        <x:v>—</x:v>
      </x:c>
    </x:row>
    <x:row r="204">
      <x:c r="A204" t="str">
        <x:v>745</x:v>
      </x:c>
      <x:c r="B204" t="str">
        <x:v>Warm earth 40%</x:v>
      </x:c>
      <x:c r="C204" t="str">
        <x:v>暖土色 40%</x:v>
      </x:c>
      <x:c r="D204" t="str">
        <x:v>ウォームアース 40%</x:v>
      </x:c>
      <x:c r="E204" t="n">
        <x:v>3</x:v>
      </x:c>
      <x:c r="F204" s="36" t="str">
        <x:v>#9A6D5C</x:v>
      </x:c>
      <x:c r="G204" s="36" t="str">
        <x:v>—</x:v>
      </x:c>
      <x:c r="H204" s="36" t="str">
        <x:v>—</x:v>
      </x:c>
      <x:c r="I204" s="36" t="str">
        <x:v>—</x:v>
      </x:c>
      <x:c r="J204" s="36" t="str">
        <x:v>—</x:v>
      </x:c>
      <x:c r="K204" s="36" t="str">
        <x:v>—</x:v>
      </x:c>
      <x:c r="L204" s="36" t="str">
        <x:v>#A37F6F</x:v>
      </x:c>
      <x:c r="M204" s="36" t="str">
        <x:v>#A37F6F</x:v>
      </x:c>
      <x:c r="N204" s="177" t="str">
        <x:v>—</x:v>
      </x:c>
    </x:row>
    <x:row r="205">
      <x:c r="A205" t="str">
        <x:v>746</x:v>
      </x:c>
      <x:c r="B205" t="str">
        <x:v>Dark flesh 50%</x:v>
      </x:c>
      <x:c r="C205" t="str">
        <x:v>深膚色 50%</x:v>
      </x:c>
      <x:c r="D205" t="str">
        <x:v>ダークフレッシュ50%</x:v>
      </x:c>
      <x:c r="E205" t="n">
        <x:v>3</x:v>
      </x:c>
      <x:c r="F205" s="36" t="str">
        <x:v>—</x:v>
      </x:c>
      <x:c r="G205" s="36" t="str">
        <x:v>—</x:v>
      </x:c>
      <x:c r="H205" s="36" t="str">
        <x:v>—</x:v>
      </x:c>
      <x:c r="I205" s="36" t="str">
        <x:v>#A88065</x:v>
      </x:c>
      <x:c r="J205" s="36" t="str">
        <x:v>—</x:v>
      </x:c>
      <x:c r="K205" s="36" t="str">
        <x:v>—</x:v>
      </x:c>
      <x:c r="L205" s="36" t="str">
        <x:v>#9A7D72</x:v>
      </x:c>
      <x:c r="M205" s="36" t="str">
        <x:v>#9A7D72</x:v>
      </x:c>
      <x:c r="N205" s="177" t="str">
        <x:v>—</x:v>
      </x:c>
    </x:row>
    <x:row r="206">
      <x:c r="A206" t="str">
        <x:v>748</x:v>
      </x:c>
      <x:c r="B206" t="str">
        <x:v>Dark flesh</x:v>
      </x:c>
      <x:c r="C206" t="str">
        <x:v>深膚色</x:v>
      </x:c>
      <x:c r="D206" t="str">
        <x:v>ダークフレッシュ</x:v>
      </x:c>
      <x:c r="E206" t="n">
        <x:v>3</x:v>
      </x:c>
      <x:c r="F206" s="36" t="str">
        <x:v>#695049</x:v>
      </x:c>
      <x:c r="G206" s="36" t="str">
        <x:v>—</x:v>
      </x:c>
      <x:c r="H206" s="36" t="str">
        <x:v>—</x:v>
      </x:c>
      <x:c r="I206" s="36" t="str">
        <x:v>—</x:v>
      </x:c>
      <x:c r="J206" s="36" t="str">
        <x:v>—</x:v>
      </x:c>
      <x:c r="K206" s="36" t="str">
        <x:v>—</x:v>
      </x:c>
      <x:c r="L206" s="36" t="str">
        <x:v>#43302D</x:v>
      </x:c>
      <x:c r="M206" s="36" t="str">
        <x:v>#43302D</x:v>
      </x:c>
      <x:c r="N206" s="177" t="str">
        <x:v>—</x:v>
      </x:c>
    </x:row>
    <x:row r="207">
      <x:c r="A207" t="str">
        <x:v>755</x:v>
      </x:c>
      <x:c r="B207" t="str">
        <x:v>Grey blue</x:v>
      </x:c>
      <x:c r="C207" t="str">
        <x:v>灰藍色</x:v>
      </x:c>
      <x:c r="D207" t="str">
        <x:v>グレーブルー</x:v>
      </x:c>
      <x:c r="E207" t="n">
        <x:v>1</x:v>
      </x:c>
      <x:c r="F207" s="36" t="str">
        <x:v>#72B8CC</x:v>
      </x:c>
      <x:c r="G207" s="36" t="str">
        <x:v>—</x:v>
      </x:c>
      <x:c r="H207" s="36" t="str">
        <x:v>—</x:v>
      </x:c>
      <x:c r="I207" s="36" t="str">
        <x:v>—</x:v>
      </x:c>
      <x:c r="J207" s="36" t="str">
        <x:v>—</x:v>
      </x:c>
      <x:c r="K207" s="36" t="str">
        <x:v>—</x:v>
      </x:c>
      <x:c r="L207" s="36" t="str">
        <x:v>—</x:v>
      </x:c>
      <x:c r="M207" s="36" t="str">
        <x:v>—</x:v>
      </x:c>
      <x:c r="N207" s="177" t="str">
        <x:v>—</x:v>
      </x:c>
    </x:row>
    <x:row r="208">
      <x:c r="A208" t="str">
        <x:v>801</x:v>
      </x:c>
      <x:c r="B208" t="str">
        <x:v>Buff titanium</x:v>
      </x:c>
      <x:c r="C208" t="str">
        <x:v>鈦米色</x:v>
      </x:c>
      <x:c r="D208" t="str">
        <x:v>バフチタニウム</x:v>
      </x:c>
      <x:c r="E208" t="n">
        <x:v>1</x:v>
      </x:c>
      <x:c r="F208" s="36" t="str">
        <x:v>#FEEEC7</x:v>
      </x:c>
      <x:c r="G208" s="36" t="str">
        <x:v>—</x:v>
      </x:c>
      <x:c r="H208" s="36" t="str">
        <x:v>—</x:v>
      </x:c>
      <x:c r="I208" s="36" t="str">
        <x:v>—</x:v>
      </x:c>
      <x:c r="J208" s="36" t="str">
        <x:v>—</x:v>
      </x:c>
      <x:c r="K208" s="36" t="str">
        <x:v>—</x:v>
      </x:c>
      <x:c r="L208" s="36" t="str">
        <x:v>—</x:v>
      </x:c>
      <x:c r="M208" s="36" t="str">
        <x:v>—</x:v>
      </x:c>
      <x:c r="N208" s="177" t="str">
        <x:v>—</x:v>
      </x:c>
    </x:row>
    <x:row r="209">
      <x:c r="A209" t="str">
        <x:v>802</x:v>
      </x:c>
      <x:c r="B209" t="str">
        <x:v>French grey 10%</x:v>
      </x:c>
      <x:c r="C209" t="str">
        <x:v>法國灰 10%</x:v>
      </x:c>
      <x:c r="D209" t="str">
        <x:v>フレンチグレー 10%</x:v>
      </x:c>
      <x:c r="E209" t="n">
        <x:v>3</x:v>
      </x:c>
      <x:c r="F209" s="36" t="str">
        <x:v>#C2B4AF</x:v>
      </x:c>
      <x:c r="G209" s="36" t="str">
        <x:v>—</x:v>
      </x:c>
      <x:c r="H209" s="36" t="str">
        <x:v>—</x:v>
      </x:c>
      <x:c r="I209" s="36" t="str">
        <x:v>—</x:v>
      </x:c>
      <x:c r="J209" s="36" t="str">
        <x:v>—</x:v>
      </x:c>
      <x:c r="K209" s="36" t="str">
        <x:v>—</x:v>
      </x:c>
      <x:c r="L209" s="36" t="str">
        <x:v>#A19B97</x:v>
      </x:c>
      <x:c r="M209" s="36" t="str">
        <x:v>#A19B97</x:v>
      </x:c>
      <x:c r="N209" s="177" t="str">
        <x:v>—</x:v>
      </x:c>
    </x:row>
    <x:row r="210">
      <x:c r="A210" t="str">
        <x:v>803</x:v>
      </x:c>
      <x:c r="B210" t="str">
        <x:v>French grey 30%</x:v>
      </x:c>
      <x:c r="C210" t="str">
        <x:v>法國灰 30%</x:v>
      </x:c>
      <x:c r="D210" t="str">
        <x:v>フレンチグレー 30%</x:v>
      </x:c>
      <x:c r="E210" t="n">
        <x:v>1</x:v>
      </x:c>
      <x:c r="F210" s="36" t="str">
        <x:v>#A99D97</x:v>
      </x:c>
      <x:c r="G210" s="36" t="str">
        <x:v>—</x:v>
      </x:c>
      <x:c r="H210" s="36" t="str">
        <x:v>—</x:v>
      </x:c>
      <x:c r="I210" s="36" t="str">
        <x:v>—</x:v>
      </x:c>
      <x:c r="J210" s="36" t="str">
        <x:v>—</x:v>
      </x:c>
      <x:c r="K210" s="36" t="str">
        <x:v>—</x:v>
      </x:c>
      <x:c r="L210" s="36" t="str">
        <x:v>—</x:v>
      </x:c>
      <x:c r="M210" s="36" t="str">
        <x:v>—</x:v>
      </x:c>
      <x:c r="N210" s="177" t="str">
        <x:v>—</x:v>
      </x:c>
    </x:row>
    <x:row r="211">
      <x:c r="A211" t="str">
        <x:v>808</x:v>
      </x:c>
      <x:c r="B211" t="str">
        <x:v>French grey</x:v>
      </x:c>
      <x:c r="C211" t="str">
        <x:v>法國灰</x:v>
      </x:c>
      <x:c r="D211" t="str">
        <x:v>フレンチグレイ</x:v>
      </x:c>
      <x:c r="E211" t="n">
        <x:v>4</x:v>
      </x:c>
      <x:c r="F211" s="36" t="str">
        <x:v>#848179</x:v>
      </x:c>
      <x:c r="G211" s="36" t="str">
        <x:v>—</x:v>
      </x:c>
      <x:c r="H211" s="36" t="str">
        <x:v>—</x:v>
      </x:c>
      <x:c r="I211" s="36" t="str">
        <x:v>#725C4F</x:v>
      </x:c>
      <x:c r="J211" s="36" t="str">
        <x:v>—</x:v>
      </x:c>
      <x:c r="K211" s="36" t="str">
        <x:v>—</x:v>
      </x:c>
      <x:c r="L211" s="36" t="str">
        <x:v>#6E665A</x:v>
      </x:c>
      <x:c r="M211" s="36" t="str">
        <x:v>#6E665A</x:v>
      </x:c>
      <x:c r="N211" s="177" t="str">
        <x:v>—</x:v>
      </x:c>
    </x:row>
    <x:row r="212">
      <x:c r="A212" t="str">
        <x:v>810</x:v>
      </x:c>
      <x:c r="B212" t="str">
        <x:v>Bismuth yellow</x:v>
      </x:c>
      <x:c r="C212" t="str">
        <x:v>鉍黃</x:v>
      </x:c>
      <x:c r="D212" t="str">
        <x:v>ビスマスイエロー</x:v>
      </x:c>
      <x:c r="E212" t="n">
        <x:v>1</x:v>
      </x:c>
      <x:c r="F212" s="36" t="str">
        <x:v>#FDDE65</x:v>
      </x:c>
      <x:c r="G212" s="36" t="str">
        <x:v>—</x:v>
      </x:c>
      <x:c r="H212" s="36" t="str">
        <x:v>—</x:v>
      </x:c>
      <x:c r="I212" s="36" t="str">
        <x:v>—</x:v>
      </x:c>
      <x:c r="J212" s="36" t="str">
        <x:v>—</x:v>
      </x:c>
      <x:c r="K212" s="36" t="str">
        <x:v>—</x:v>
      </x:c>
      <x:c r="L212" s="36" t="str">
        <x:v>—</x:v>
      </x:c>
      <x:c r="M212" s="36" t="str">
        <x:v>—</x:v>
      </x:c>
      <x:c r="N212" s="177" t="str">
        <x:v>—</x:v>
      </x:c>
    </x:row>
    <x:row r="213">
      <x:c r="A213" t="str">
        <x:v>811</x:v>
      </x:c>
      <x:c r="B213" t="str">
        <x:v>Bismuth white</x:v>
      </x:c>
      <x:c r="C213" t="str">
        <x:v>鉍白</x:v>
      </x:c>
      <x:c r="D213" t="str">
        <x:v>ビスマスホワイト</x:v>
      </x:c>
      <x:c r="E213" t="n">
        <x:v>3</x:v>
      </x:c>
      <x:c r="F213" s="36" t="str">
        <x:v>—</x:v>
      </x:c>
      <x:c r="G213" s="36" t="str">
        <x:v>—</x:v>
      </x:c>
      <x:c r="H213" s="36" t="str">
        <x:v>—</x:v>
      </x:c>
      <x:c r="I213" s="36" t="str">
        <x:v>—</x:v>
      </x:c>
      <x:c r="J213" s="36" t="str">
        <x:v>—</x:v>
      </x:c>
      <x:c r="K213" s="36" t="str">
        <x:v>—</x:v>
      </x:c>
      <x:c r="L213" s="36" t="str">
        <x:v>#D9D6CB</x:v>
      </x:c>
      <x:c r="M213" s="36" t="str">
        <x:v>#D9D6CB</x:v>
      </x:c>
      <x:c r="N213" s="265" t="str">
        <x:v>#F9FAE9</x:v>
      </x:c>
    </x:row>
    <x:row r="214">
      <x:c r="A214" t="str">
        <x:v>820</x:v>
      </x:c>
      <x:c r="B214" t="str">
        <x:v>Golden bismuth yellow</x:v>
      </x:c>
      <x:c r="C214" t="str">
        <x:v>金鉍黃</x:v>
      </x:c>
      <x:c r="D214" t="str">
        <x:v>ゴールデンビスマスイエロー</x:v>
      </x:c>
      <x:c r="E214" t="n">
        <x:v>3</x:v>
      </x:c>
      <x:c r="F214" s="36" t="str">
        <x:v>#FAC75B</x:v>
      </x:c>
      <x:c r="G214" s="36" t="str">
        <x:v>—</x:v>
      </x:c>
      <x:c r="H214" s="36" t="str">
        <x:v>—</x:v>
      </x:c>
      <x:c r="I214" s="36" t="str">
        <x:v>—</x:v>
      </x:c>
      <x:c r="J214" s="36" t="str">
        <x:v>—</x:v>
      </x:c>
      <x:c r="K214" s="36" t="str">
        <x:v>—</x:v>
      </x:c>
      <x:c r="L214" s="36" t="str">
        <x:v>#DFBE50</x:v>
      </x:c>
      <x:c r="M214" s="36" t="str">
        <x:v>#DFBE50</x:v>
      </x:c>
      <x:c r="N214" s="177" t="str">
        <x:v>—</x:v>
      </x:c>
    </x:row>
    <x:row r="215">
      <x:c r="A215" t="str">
        <x:v>821</x:v>
      </x:c>
      <x:c r="B215" t="str">
        <x:v>Naples ochre</x:v>
      </x:c>
      <x:c r="C215" t="str">
        <x:v>那不勒斯赭黃</x:v>
      </x:c>
      <x:c r="D215" t="str">
        <x:v>ネープルスオーカー</x:v>
      </x:c>
      <x:c r="E215" t="n">
        <x:v>4</x:v>
      </x:c>
      <x:c r="F215" s="36" t="str">
        <x:v>#FDDFB4</x:v>
      </x:c>
      <x:c r="G215" s="36" t="str">
        <x:v>—</x:v>
      </x:c>
      <x:c r="H215" s="36" t="str">
        <x:v>—</x:v>
      </x:c>
      <x:c r="I215" s="36" t="str">
        <x:v>#ECD4A5</x:v>
      </x:c>
      <x:c r="J215" s="36" t="str">
        <x:v>—</x:v>
      </x:c>
      <x:c r="K215" s="36" t="str">
        <x:v>—</x:v>
      </x:c>
      <x:c r="L215" s="36" t="str">
        <x:v>#E9D48F</x:v>
      </x:c>
      <x:c r="M215" s="36" t="str">
        <x:v>#E9D48F</x:v>
      </x:c>
      <x:c r="N215" s="177" t="str">
        <x:v>—</x:v>
      </x:c>
    </x:row>
    <x:row r="216">
      <x:c r="A216" t="str">
        <x:v>832</x:v>
      </x:c>
      <x:c r="B216" t="str">
        <x:v>Brown ochre 10%</x:v>
      </x:c>
      <x:c r="C216" t="str">
        <x:v>棕赭色 10%</x:v>
      </x:c>
      <x:c r="D216" t="str">
        <x:v>ブラウンオーカー 10%</x:v>
      </x:c>
      <x:c r="E216" t="n">
        <x:v>1</x:v>
      </x:c>
      <x:c r="F216" s="36" t="str">
        <x:v>#F7D7BF</x:v>
      </x:c>
      <x:c r="G216" s="36" t="str">
        <x:v>—</x:v>
      </x:c>
      <x:c r="H216" s="36" t="str">
        <x:v>—</x:v>
      </x:c>
      <x:c r="I216" s="36" t="str">
        <x:v>—</x:v>
      </x:c>
      <x:c r="J216" s="36" t="str">
        <x:v>—</x:v>
      </x:c>
      <x:c r="K216" s="36" t="str">
        <x:v>—</x:v>
      </x:c>
      <x:c r="L216" s="36" t="str">
        <x:v>—</x:v>
      </x:c>
      <x:c r="M216" s="36" t="str">
        <x:v>—</x:v>
      </x:c>
      <x:c r="N216" s="177" t="str">
        <x:v>—</x:v>
      </x:c>
    </x:row>
    <x:row r="217">
      <x:c r="A217" t="str">
        <x:v>836</x:v>
      </x:c>
      <x:c r="B217" t="str">
        <x:v>Brown ochre 50%</x:v>
      </x:c>
      <x:c r="C217" t="str">
        <x:v>棕赭色 50%</x:v>
      </x:c>
      <x:c r="D217" t="str">
        <x:v>ブラウンオーカー 50%</x:v>
      </x:c>
      <x:c r="E217" t="n">
        <x:v>1</x:v>
      </x:c>
      <x:c r="F217" s="36" t="str">
        <x:v>#D5A375</x:v>
      </x:c>
      <x:c r="G217" s="36" t="str">
        <x:v>—</x:v>
      </x:c>
      <x:c r="H217" s="36" t="str">
        <x:v>—</x:v>
      </x:c>
      <x:c r="I217" s="36" t="str">
        <x:v>—</x:v>
      </x:c>
      <x:c r="J217" s="36" t="str">
        <x:v>—</x:v>
      </x:c>
      <x:c r="K217" s="36" t="str">
        <x:v>—</x:v>
      </x:c>
      <x:c r="L217" s="36" t="str">
        <x:v>—</x:v>
      </x:c>
      <x:c r="M217" s="36" t="str">
        <x:v>—</x:v>
      </x:c>
      <x:c r="N217" s="177" t="str">
        <x:v>—</x:v>
      </x:c>
    </x:row>
    <x:row r="218">
      <x:c r="A218" t="str">
        <x:v>842</x:v>
      </x:c>
      <x:c r="B218" t="str">
        <x:v>Raw umber 10%</x:v>
      </x:c>
      <x:c r="C218" t="str">
        <x:v>生褐色 10%</x:v>
      </x:c>
      <x:c r="D218" t="str">
        <x:v>ローアンバー 10%</x:v>
      </x:c>
      <x:c r="E218" t="n">
        <x:v>1</x:v>
      </x:c>
      <x:c r="F218" s="36" t="str">
        <x:v>#D6C1A3</x:v>
      </x:c>
      <x:c r="G218" s="36" t="str">
        <x:v>—</x:v>
      </x:c>
      <x:c r="H218" s="36" t="str">
        <x:v>—</x:v>
      </x:c>
      <x:c r="I218" s="36" t="str">
        <x:v>—</x:v>
      </x:c>
      <x:c r="J218" s="36" t="str">
        <x:v>—</x:v>
      </x:c>
      <x:c r="K218" s="36" t="str">
        <x:v>—</x:v>
      </x:c>
      <x:c r="L218" s="36" t="str">
        <x:v>—</x:v>
      </x:c>
      <x:c r="M218" s="36" t="str">
        <x:v>—</x:v>
      </x:c>
      <x:c r="N218" s="177" t="str">
        <x:v>—</x:v>
      </x:c>
    </x:row>
    <x:row r="219">
      <x:c r="A219" t="str">
        <x:v>846</x:v>
      </x:c>
      <x:c r="B219" t="str">
        <x:v>Raw umber 50%</x:v>
      </x:c>
      <x:c r="C219" t="str">
        <x:v>生褐色 50%</x:v>
      </x:c>
      <x:c r="D219" t="str">
        <x:v>ローアンバー 50%</x:v>
      </x:c>
      <x:c r="E219" t="n">
        <x:v>1</x:v>
      </x:c>
      <x:c r="F219" s="36" t="str">
        <x:v>#978469</x:v>
      </x:c>
      <x:c r="G219" s="36" t="str">
        <x:v>—</x:v>
      </x:c>
      <x:c r="H219" s="36" t="str">
        <x:v>—</x:v>
      </x:c>
      <x:c r="I219" s="36" t="str">
        <x:v>—</x:v>
      </x:c>
      <x:c r="J219" s="36" t="str">
        <x:v>—</x:v>
      </x:c>
      <x:c r="K219" s="36" t="str">
        <x:v>—</x:v>
      </x:c>
      <x:c r="L219" s="36" t="str">
        <x:v>—</x:v>
      </x:c>
      <x:c r="M219" s="36" t="str">
        <x:v>—</x:v>
      </x:c>
      <x:c r="N219" s="177" t="str">
        <x:v>—</x:v>
      </x:c>
    </x:row>
    <x:row r="220">
      <x:c r="A220" t="str">
        <x:v>850</x:v>
      </x:c>
      <x:c r="B220" t="str">
        <x:v>Cornelian</x:v>
      </x:c>
      <x:c r="C220" t="str">
        <x:v>紅玉髓色</x:v>
      </x:c>
      <x:c r="D220" t="str">
        <x:v>カーネリアン</x:v>
      </x:c>
      <x:c r="E220" t="n">
        <x:v>3</x:v>
      </x:c>
      <x:c r="F220" s="36" t="str">
        <x:v>#EF8947</x:v>
      </x:c>
      <x:c r="G220" s="36" t="str">
        <x:v>—</x:v>
      </x:c>
      <x:c r="H220" s="36" t="str">
        <x:v>—</x:v>
      </x:c>
      <x:c r="I220" s="36" t="str">
        <x:v>#ED8727</x:v>
      </x:c>
      <x:c r="J220" s="36" t="str">
        <x:v>—</x:v>
      </x:c>
      <x:c r="K220" s="36" t="str">
        <x:v>—</x:v>
      </x:c>
      <x:c r="L220" s="36" t="str">
        <x:v>—</x:v>
      </x:c>
      <x:c r="M220" s="36" t="str">
        <x:v>—</x:v>
      </x:c>
      <x:c r="N220" s="267" t="str">
        <x:v>#ED7936</x:v>
      </x:c>
    </x:row>
    <x:row r="221">
      <x:c r="A221" t="str">
        <x:v>862</x:v>
      </x:c>
      <x:c r="B221" t="str">
        <x:v>Burnt sienna 10%</x:v>
      </x:c>
      <x:c r="C221" t="str">
        <x:v>熟赭紅 10%</x:v>
      </x:c>
      <x:c r="D221" t="str">
        <x:v>バーントシェンナ 10%</x:v>
      </x:c>
      <x:c r="E221" t="n">
        <x:v>1</x:v>
      </x:c>
      <x:c r="F221" s="36" t="str">
        <x:v>#DBBABA</x:v>
      </x:c>
      <x:c r="G221" s="36" t="str">
        <x:v>—</x:v>
      </x:c>
      <x:c r="H221" s="36" t="str">
        <x:v>—</x:v>
      </x:c>
      <x:c r="I221" s="36" t="str">
        <x:v>—</x:v>
      </x:c>
      <x:c r="J221" s="36" t="str">
        <x:v>—</x:v>
      </x:c>
      <x:c r="K221" s="36" t="str">
        <x:v>—</x:v>
      </x:c>
      <x:c r="L221" s="36" t="str">
        <x:v>—</x:v>
      </x:c>
      <x:c r="M221" s="36" t="str">
        <x:v>—</x:v>
      </x:c>
      <x:c r="N221" s="177" t="str">
        <x:v>—</x:v>
      </x:c>
    </x:row>
    <x:row r="222">
      <x:c r="A222" t="str">
        <x:v>866</x:v>
      </x:c>
      <x:c r="B222" t="str">
        <x:v>Burnt sienna 50%</x:v>
      </x:c>
      <x:c r="C222" t="str">
        <x:v>熟赭紅 50%</x:v>
      </x:c>
      <x:c r="D222" t="str">
        <x:v>バーントシェンナ 50%</x:v>
      </x:c>
      <x:c r="E222" t="n">
        <x:v>2</x:v>
      </x:c>
      <x:c r="F222" s="36" t="str">
        <x:v>#995C5D</x:v>
      </x:c>
      <x:c r="G222" s="36" t="str">
        <x:v>—</x:v>
      </x:c>
      <x:c r="H222" s="36" t="str">
        <x:v>—</x:v>
      </x:c>
      <x:c r="I222" s="36" t="str">
        <x:v>#B96F6E</x:v>
      </x:c>
      <x:c r="J222" s="36" t="str">
        <x:v>—</x:v>
      </x:c>
      <x:c r="K222" s="36" t="str">
        <x:v>—</x:v>
      </x:c>
      <x:c r="L222" s="36" t="str">
        <x:v>—</x:v>
      </x:c>
      <x:c r="M222" s="36" t="str">
        <x:v>—</x:v>
      </x:c>
      <x:c r="N222" s="177" t="str">
        <x:v>—</x:v>
      </x:c>
    </x:row>
    <x:row r="223">
      <x:c r="A223" t="str">
        <x:v>871</x:v>
      </x:c>
      <x:c r="B223" t="str">
        <x:v>Azurite white</x:v>
      </x:c>
      <x:c r="C223" t="str">
        <x:v>藍銅礦白</x:v>
      </x:c>
      <x:c r="D223" t="str">
        <x:v>アズライトホワイト</x:v>
      </x:c>
      <x:c r="E223" t="n">
        <x:v>2</x:v>
      </x:c>
      <x:c r="F223" s="36" t="str">
        <x:v>—</x:v>
      </x:c>
      <x:c r="G223" s="36" t="str">
        <x:v>—</x:v>
      </x:c>
      <x:c r="H223" s="36" t="str">
        <x:v>—</x:v>
      </x:c>
      <x:c r="I223" s="36" t="str">
        <x:v>—</x:v>
      </x:c>
      <x:c r="J223" s="36" t="str">
        <x:v>—</x:v>
      </x:c>
      <x:c r="K223" s="36" t="str">
        <x:v>—</x:v>
      </x:c>
      <x:c r="L223" s="36" t="str">
        <x:v>#B8B3B1</x:v>
      </x:c>
      <x:c r="M223" s="36" t="str">
        <x:v>#B8B3B1</x:v>
      </x:c>
      <x:c r="N223" s="177" t="str">
        <x:v>—</x:v>
      </x:c>
    </x:row>
    <x:row r="224">
      <x:c r="A224" t="str">
        <x:v>872</x:v>
      </x:c>
      <x:c r="B224" t="str">
        <x:v>Burnt ochre 10%</x:v>
      </x:c>
      <x:c r="C224" t="str">
        <x:v>熟赭色 10%</x:v>
      </x:c>
      <x:c r="D224" t="str">
        <x:v>バーントオーカー 10%</x:v>
      </x:c>
      <x:c r="E224" t="n">
        <x:v>2</x:v>
      </x:c>
      <x:c r="F224" s="36" t="str">
        <x:v>#E9C1AA</x:v>
      </x:c>
      <x:c r="G224" s="36" t="str">
        <x:v>—</x:v>
      </x:c>
      <x:c r="H224" s="36" t="str">
        <x:v>—</x:v>
      </x:c>
      <x:c r="I224" s="36" t="str">
        <x:v>—</x:v>
      </x:c>
      <x:c r="J224" s="36" t="str">
        <x:v>—</x:v>
      </x:c>
      <x:c r="K224" s="36" t="str">
        <x:v>—</x:v>
      </x:c>
      <x:c r="L224" s="36" t="str">
        <x:v>—</x:v>
      </x:c>
      <x:c r="M224" s="36" t="str">
        <x:v>—</x:v>
      </x:c>
      <x:c r="N224" s="269" t="str">
        <x:v>#F9C9B4</x:v>
      </x:c>
    </x:row>
    <x:row r="225">
      <x:c r="A225" t="str">
        <x:v>876</x:v>
      </x:c>
      <x:c r="B225" t="str">
        <x:v>Burnt ochre 50%</x:v>
      </x:c>
      <x:c r="C225" t="str">
        <x:v>熟赭色 50%</x:v>
      </x:c>
      <x:c r="D225" t="str">
        <x:v>バーントオーカー 50%</x:v>
      </x:c>
      <x:c r="E225" t="n">
        <x:v>1</x:v>
      </x:c>
      <x:c r="F225" s="36" t="str">
        <x:v>#D19777</x:v>
      </x:c>
      <x:c r="G225" s="36" t="str">
        <x:v>—</x:v>
      </x:c>
      <x:c r="H225" s="36" t="str">
        <x:v>—</x:v>
      </x:c>
      <x:c r="I225" s="36" t="str">
        <x:v>—</x:v>
      </x:c>
      <x:c r="J225" s="36" t="str">
        <x:v>—</x:v>
      </x:c>
      <x:c r="K225" s="36" t="str">
        <x:v>—</x:v>
      </x:c>
      <x:c r="L225" s="36" t="str">
        <x:v>—</x:v>
      </x:c>
      <x:c r="M225" s="36" t="str">
        <x:v>—</x:v>
      </x:c>
      <x:c r="N225" s="177" t="str">
        <x:v>—</x:v>
      </x:c>
    </x:row>
    <x:row r="226">
      <x:c r="A226" t="str">
        <x:v>901</x:v>
      </x:c>
      <x:c r="B226" t="str">
        <x:v>Chinese White</x:v>
      </x:c>
      <x:c r="C226" t="str">
        <x:v>中國白</x:v>
      </x:c>
      <x:c r="D226" t="str">
        <x:v>チャイニーズホワイト</x:v>
      </x:c>
      <x:c r="E226" t="n">
        <x:v>2</x:v>
      </x:c>
      <x:c r="F226" s="36" t="str">
        <x:v>—</x:v>
      </x:c>
      <x:c r="G226" s="36" t="str">
        <x:v>—</x:v>
      </x:c>
      <x:c r="H226" s="36" t="str">
        <x:v>—</x:v>
      </x:c>
      <x:c r="I226" s="36" t="str">
        <x:v>—</x:v>
      </x:c>
      <x:c r="J226" s="36" t="str">
        <x:v>—</x:v>
      </x:c>
      <x:c r="K226" s="36" t="str">
        <x:v>—</x:v>
      </x:c>
      <x:c r="L226" s="36" t="str">
        <x:v>#EEEDEE</x:v>
      </x:c>
      <x:c r="M226" s="36" t="str">
        <x:v>#EEEDEE</x:v>
      </x:c>
      <x:c r="N226" s="177" t="str">
        <x:v>—</x:v>
      </x:c>
    </x:row>
    <x:row r="227">
      <x:c r="A227" t="str">
        <x:v>902</x:v>
      </x:c>
      <x:c r="B227" t="str">
        <x:v>Sepia 10%</x:v>
      </x:c>
      <x:c r="C227" t="str">
        <x:v>深褐色 10%</x:v>
      </x:c>
      <x:c r="D227" t="str">
        <x:v>セピア 10%</x:v>
      </x:c>
      <x:c r="E227" t="n">
        <x:v>2</x:v>
      </x:c>
      <x:c r="F227" s="36" t="str">
        <x:v>#A49594</x:v>
      </x:c>
      <x:c r="G227" s="36" t="str">
        <x:v>—</x:v>
      </x:c>
      <x:c r="H227" s="36" t="str">
        <x:v>—</x:v>
      </x:c>
      <x:c r="I227" s="36" t="str">
        <x:v>#B79995</x:v>
      </x:c>
      <x:c r="J227" s="36" t="str">
        <x:v>—</x:v>
      </x:c>
      <x:c r="K227" s="36" t="str">
        <x:v>—</x:v>
      </x:c>
      <x:c r="L227" s="36" t="str">
        <x:v>—</x:v>
      </x:c>
      <x:c r="M227" s="36" t="str">
        <x:v>—</x:v>
      </x:c>
      <x:c r="N227" s="177" t="str">
        <x:v>—</x:v>
      </x:c>
    </x:row>
    <x:row r="228">
      <x:c r="A228" t="str">
        <x:v>906</x:v>
      </x:c>
      <x:c r="B228" t="str">
        <x:v>Sepia 50%</x:v>
      </x:c>
      <x:c r="C228" t="str">
        <x:v>深褐色 50%</x:v>
      </x:c>
      <x:c r="D228" t="str">
        <x:v>セピア 50%</x:v>
      </x:c>
      <x:c r="E228" t="n">
        <x:v>2</x:v>
      </x:c>
      <x:c r="F228" s="36" t="str">
        <x:v>#82787B</x:v>
      </x:c>
      <x:c r="G228" s="36" t="str">
        <x:v>—</x:v>
      </x:c>
      <x:c r="H228" s="36" t="str">
        <x:v>—</x:v>
      </x:c>
      <x:c r="I228" s="36" t="str">
        <x:v>#826063</x:v>
      </x:c>
      <x:c r="J228" s="36" t="str">
        <x:v>—</x:v>
      </x:c>
      <x:c r="K228" s="36" t="str">
        <x:v>—</x:v>
      </x:c>
      <x:c r="L228" s="36" t="str">
        <x:v>—</x:v>
      </x:c>
      <x:c r="M228" s="36" t="str">
        <x:v>—</x:v>
      </x:c>
      <x:c r="N228" s="177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5798f55edcad461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0" hidden="0" customWidth="1"/>
    <x:col min="5" max="5" width="28" hidden="0" customWidth="1"/>
    <x:col min="6" max="6" width="24" hidden="0" customWidth="1"/>
    <x:col min="7" max="7" width="24" hidden="0" customWidth="1"/>
    <x:col min="8" max="8" width="14" hidden="0" customWidth="1"/>
    <x:col min="9" max="9" width="18" hidden="0" customWidth="1"/>
    <x:col min="10" max="10" width="85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palette_order</x:v>
      </x:c>
      <x:c r="D1" s="25" t="str">
        <x:v>color_code</x:v>
      </x:c>
      <x:c r="E1" s="25" t="str">
        <x:v>color_name_en</x:v>
      </x:c>
      <x:c r="F1" s="25" t="str">
        <x:v>color_name_zh_tw</x:v>
      </x:c>
      <x:c r="G1" s="25" t="str">
        <x:v>color_name_ja</x:v>
      </x:c>
      <x:c r="H1" s="25" t="str">
        <x:v>css_hex_approx</x:v>
      </x:c>
      <x:c r="I1" s="25" t="str">
        <x:v>recommended_foreground_hex</x:v>
      </x:c>
      <x:c r="J1" s="25" t="str">
        <x:v>source_url</x:v>
      </x:c>
    </x:row>
    <x:row r="2">
      <x:c r="A2" t="str">
        <x:v>LUM</x:v>
      </x:c>
      <x:c r="B2" t="str">
        <x:v>LUMINANCE 6901</x:v>
      </x:c>
      <x:c r="C2" t="n">
        <x:v>1</x:v>
      </x:c>
      <x:c r="D2" t="str">
        <x:v>001</x:v>
      </x:c>
      <x:c r="E2" t="str">
        <x:v>White</x:v>
      </x:c>
      <x:c r="F2" t="str">
        <x:v>白色</x:v>
      </x:c>
      <x:c r="G2" t="str">
        <x:v>ホワイト</x:v>
      </x:c>
      <x:c r="H2" t="str">
        <x:v>#F4F4F5</x:v>
      </x:c>
      <x:c r="I2" t="str">
        <x:v>#000000</x:v>
      </x:c>
      <x:c r="J2" t="str">
        <x:v>https://www.carandache.com/content_files/uploaded_doc/product/10580/nuancier_luminance_fr.pdf</x:v>
      </x:c>
    </x:row>
    <x:row r="3">
      <x:c r="A3" t="str">
        <x:v>LUM</x:v>
      </x:c>
      <x:c r="B3" t="str">
        <x:v>LUMINANCE 6901</x:v>
      </x:c>
      <x:c r="C3" t="n">
        <x:v>2</x:v>
      </x:c>
      <x:c r="D3" t="str">
        <x:v>581</x:v>
      </x:c>
      <x:c r="E3" t="str">
        <x:v>Pink white</x:v>
      </x:c>
      <x:c r="F3" t="str">
        <x:v>粉白色</x:v>
      </x:c>
      <x:c r="G3" t="str">
        <x:v>ピンクホワイト</x:v>
      </x:c>
      <x:c r="H3" t="str">
        <x:v>#F4E5DB</x:v>
      </x:c>
      <x:c r="I3" t="str">
        <x:v>#000000</x:v>
      </x:c>
      <x:c r="J3" t="str">
        <x:v>https://www.carandache.com/content_files/uploaded_doc/product/10580/nuancier_luminance_fr.pdf</x:v>
      </x:c>
    </x:row>
    <x:row r="4">
      <x:c r="A4" t="str">
        <x:v>LUM</x:v>
      </x:c>
      <x:c r="B4" t="str">
        <x:v>LUMINANCE 6901</x:v>
      </x:c>
      <x:c r="C4" t="n">
        <x:v>3</x:v>
      </x:c>
      <x:c r="D4" t="str">
        <x:v>801</x:v>
      </x:c>
      <x:c r="E4" t="str">
        <x:v>Buff titanium</x:v>
      </x:c>
      <x:c r="F4" t="str">
        <x:v>鈦米色</x:v>
      </x:c>
      <x:c r="G4" t="str">
        <x:v>バフチタニウム</x:v>
      </x:c>
      <x:c r="H4" t="str">
        <x:v>#FEEEC7</x:v>
      </x:c>
      <x:c r="I4" t="str">
        <x:v>#000000</x:v>
      </x:c>
      <x:c r="J4" t="str">
        <x:v>https://www.carandache.com/content_files/uploaded_doc/product/10580/nuancier_luminance_fr.pdf</x:v>
      </x:c>
    </x:row>
    <x:row r="5">
      <x:c r="A5" t="str">
        <x:v>LUM</x:v>
      </x:c>
      <x:c r="B5" t="str">
        <x:v>LUMINANCE 6901</x:v>
      </x:c>
      <x:c r="C5" t="n">
        <x:v>4</x:v>
      </x:c>
      <x:c r="D5" t="str">
        <x:v>242</x:v>
      </x:c>
      <x:c r="E5" t="str">
        <x:v>Primerose</x:v>
      </x:c>
      <x:c r="F5" t="str">
        <x:v>報春花黃</x:v>
      </x:c>
      <x:c r="G5" t="str">
        <x:v>プリムローズ</x:v>
      </x:c>
      <x:c r="H5" t="str">
        <x:v>#FFEDAD</x:v>
      </x:c>
      <x:c r="I5" t="str">
        <x:v>#000000</x:v>
      </x:c>
      <x:c r="J5" t="str">
        <x:v>https://www.carandache.com/content_files/uploaded_doc/product/10580/nuancier_luminance_fr.pdf</x:v>
      </x:c>
    </x:row>
    <x:row r="6">
      <x:c r="A6" t="str">
        <x:v>LUM</x:v>
      </x:c>
      <x:c r="B6" t="str">
        <x:v>LUMINANCE 6901</x:v>
      </x:c>
      <x:c r="C6" t="n">
        <x:v>5</x:v>
      </x:c>
      <x:c r="D6" t="str">
        <x:v>821</x:v>
      </x:c>
      <x:c r="E6" t="str">
        <x:v>Naples ochre</x:v>
      </x:c>
      <x:c r="F6" t="str">
        <x:v>那不勒斯赭黃</x:v>
      </x:c>
      <x:c r="G6" t="str">
        <x:v>ネープルスオーカー</x:v>
      </x:c>
      <x:c r="H6" t="str">
        <x:v>#FDDFB4</x:v>
      </x:c>
      <x:c r="I6" t="str">
        <x:v>#000000</x:v>
      </x:c>
      <x:c r="J6" t="str">
        <x:v>https://www.carandache.com/content_files/uploaded_doc/product/10580/nuancier_luminance_fr.pdf</x:v>
      </x:c>
    </x:row>
    <x:row r="7">
      <x:c r="A7" t="str">
        <x:v>LUM</x:v>
      </x:c>
      <x:c r="B7" t="str">
        <x:v>LUMINANCE 6901</x:v>
      </x:c>
      <x:c r="C7" t="n">
        <x:v>6</x:v>
      </x:c>
      <x:c r="D7" t="str">
        <x:v>240</x:v>
      </x:c>
      <x:c r="E7" t="str">
        <x:v>Lemon yellow</x:v>
      </x:c>
      <x:c r="F7" t="str">
        <x:v>檸檬黃</x:v>
      </x:c>
      <x:c r="G7" t="str">
        <x:v>レモンイエロー</x:v>
      </x:c>
      <x:c r="H7" t="str">
        <x:v>#FDEC4E</x:v>
      </x:c>
      <x:c r="I7" t="str">
        <x:v>#000000</x:v>
      </x:c>
      <x:c r="J7" t="str">
        <x:v>https://www.carandache.com/content_files/uploaded_doc/product/10580/nuancier_luminance_fr.pdf</x:v>
      </x:c>
    </x:row>
    <x:row r="8">
      <x:c r="A8" t="str">
        <x:v>LUM</x:v>
      </x:c>
      <x:c r="B8" t="str">
        <x:v>LUMINANCE 6901</x:v>
      </x:c>
      <x:c r="C8" t="n">
        <x:v>7</x:v>
      </x:c>
      <x:c r="D8" t="str">
        <x:v>520</x:v>
      </x:c>
      <x:c r="E8" t="str">
        <x:v>Medium cadmium yellow (imit.)</x:v>
      </x:c>
      <x:c r="F8" t="str">
        <x:v>中鎘黃（仿色）</x:v>
      </x:c>
      <x:c r="G8" t="str">
        <x:v>ミディアムカドミウムイエロー（模倣色）</x:v>
      </x:c>
      <x:c r="H8" t="str">
        <x:v>#FFE851</x:v>
      </x:c>
      <x:c r="I8" t="str">
        <x:v>#000000</x:v>
      </x:c>
      <x:c r="J8" t="str">
        <x:v>https://www.carandache.com/content_files/uploaded_doc/product/10580/nuancier_luminance_fr.pdf</x:v>
      </x:c>
    </x:row>
    <x:row r="9">
      <x:c r="A9" t="str">
        <x:v>LUM</x:v>
      </x:c>
      <x:c r="B9" t="str">
        <x:v>LUMINANCE 6901</x:v>
      </x:c>
      <x:c r="C9" t="n">
        <x:v>8</x:v>
      </x:c>
      <x:c r="D9" t="str">
        <x:v>810</x:v>
      </x:c>
      <x:c r="E9" t="str">
        <x:v>Bismuth yellow</x:v>
      </x:c>
      <x:c r="F9" t="str">
        <x:v>鉍黃</x:v>
      </x:c>
      <x:c r="G9" t="str">
        <x:v>ビスマスイエロー</x:v>
      </x:c>
      <x:c r="H9" t="str">
        <x:v>#FDDE65</x:v>
      </x:c>
      <x:c r="I9" t="str">
        <x:v>#000000</x:v>
      </x:c>
      <x:c r="J9" t="str">
        <x:v>https://www.carandache.com/content_files/uploaded_doc/product/10580/nuancier_luminance_fr.pdf</x:v>
      </x:c>
    </x:row>
    <x:row r="10">
      <x:c r="A10" t="str">
        <x:v>LUM</x:v>
      </x:c>
      <x:c r="B10" t="str">
        <x:v>LUMINANCE 6901</x:v>
      </x:c>
      <x:c r="C10" t="n">
        <x:v>9</x:v>
      </x:c>
      <x:c r="D10" t="str">
        <x:v>820</x:v>
      </x:c>
      <x:c r="E10" t="str">
        <x:v>Golden bismuth yellow</x:v>
      </x:c>
      <x:c r="F10" t="str">
        <x:v>金鉍黃</x:v>
      </x:c>
      <x:c r="G10" t="str">
        <x:v>ゴールデンビスマスイエロー</x:v>
      </x:c>
      <x:c r="H10" t="str">
        <x:v>#FAC75B</x:v>
      </x:c>
      <x:c r="I10" t="str">
        <x:v>#000000</x:v>
      </x:c>
      <x:c r="J10" t="str">
        <x:v>https://www.carandache.com/content_files/uploaded_doc/product/10580/nuancier_luminance_fr.pdf</x:v>
      </x:c>
    </x:row>
    <x:row r="11">
      <x:c r="A11" t="str">
        <x:v>LUM</x:v>
      </x:c>
      <x:c r="B11" t="str">
        <x:v>LUMINANCE 6901</x:v>
      </x:c>
      <x:c r="C11" t="n">
        <x:v>10</x:v>
      </x:c>
      <x:c r="D11" t="str">
        <x:v>523</x:v>
      </x:c>
      <x:c r="E11" t="str">
        <x:v>Indian yellow</x:v>
      </x:c>
      <x:c r="F11" t="str">
        <x:v>印度黃</x:v>
      </x:c>
      <x:c r="G11" t="str">
        <x:v>インディアンイエロー</x:v>
      </x:c>
      <x:c r="H11" t="str">
        <x:v>#E1B748</x:v>
      </x:c>
      <x:c r="I11" t="str">
        <x:v>#000000</x:v>
      </x:c>
      <x:c r="J11" t="str">
        <x:v>https://www.carandache.com/content_files/uploaded_doc/product/10580/nuancier_luminance_fr.pdf</x:v>
      </x:c>
    </x:row>
    <x:row r="12">
      <x:c r="A12" t="str">
        <x:v>LUM</x:v>
      </x:c>
      <x:c r="B12" t="str">
        <x:v>LUMINANCE 6901</x:v>
      </x:c>
      <x:c r="C12" t="n">
        <x:v>11</x:v>
      </x:c>
      <x:c r="D12" t="str">
        <x:v>030</x:v>
      </x:c>
      <x:c r="E12" t="str">
        <x:v>Orange</x:v>
      </x:c>
      <x:c r="F12" t="str">
        <x:v>橙色</x:v>
      </x:c>
      <x:c r="G12" t="str">
        <x:v>オレンジ</x:v>
      </x:c>
      <x:c r="H12" t="str">
        <x:v>#F5A50F</x:v>
      </x:c>
      <x:c r="I12" t="str">
        <x:v>#000000</x:v>
      </x:c>
      <x:c r="J12" t="str">
        <x:v>https://www.carandache.com/content_files/uploaded_doc/product/10580/nuancier_luminance_fr.pdf</x:v>
      </x:c>
    </x:row>
    <x:row r="13">
      <x:c r="A13" t="str">
        <x:v>LUM</x:v>
      </x:c>
      <x:c r="B13" t="str">
        <x:v>LUMINANCE 6901</x:v>
      </x:c>
      <x:c r="C13" t="n">
        <x:v>12</x:v>
      </x:c>
      <x:c r="D13" t="str">
        <x:v>533</x:v>
      </x:c>
      <x:c r="E13" t="str">
        <x:v>Dark cadmium orange (imit.)</x:v>
      </x:c>
      <x:c r="F13" t="str">
        <x:v>深鎘橙（仿色）</x:v>
      </x:c>
      <x:c r="G13" t="str">
        <x:v>ダークカドミウムオレンジ（模倣色）</x:v>
      </x:c>
      <x:c r="H13" t="str">
        <x:v>#EB5F3B</x:v>
      </x:c>
      <x:c r="I13" t="str">
        <x:v>#000000</x:v>
      </x:c>
      <x:c r="J13" t="str">
        <x:v>https://www.carandache.com/content_files/uploaded_doc/product/10580/nuancier_luminance_fr.pdf</x:v>
      </x:c>
    </x:row>
    <x:row r="14">
      <x:c r="A14" t="str">
        <x:v>LUM</x:v>
      </x:c>
      <x:c r="B14" t="str">
        <x:v>LUMINANCE 6901</x:v>
      </x:c>
      <x:c r="C14" t="n">
        <x:v>13</x:v>
      </x:c>
      <x:c r="D14" t="str">
        <x:v>850</x:v>
      </x:c>
      <x:c r="E14" t="str">
        <x:v>Cornelian</x:v>
      </x:c>
      <x:c r="F14" t="str">
        <x:v>紅玉髓色</x:v>
      </x:c>
      <x:c r="G14" t="str">
        <x:v>カーネリアン</x:v>
      </x:c>
      <x:c r="H14" t="str">
        <x:v>#EF8947</x:v>
      </x:c>
      <x:c r="I14" t="str">
        <x:v>#000000</x:v>
      </x:c>
      <x:c r="J14" t="str">
        <x:v>https://www.carandache.com/content_files/uploaded_doc/product/10580/nuancier_luminance_fr.pdf</x:v>
      </x:c>
    </x:row>
    <x:row r="15">
      <x:c r="A15" t="str">
        <x:v>LUM</x:v>
      </x:c>
      <x:c r="B15" t="str">
        <x:v>LUMINANCE 6901</x:v>
      </x:c>
      <x:c r="C15" t="n">
        <x:v>14</x:v>
      </x:c>
      <x:c r="D15" t="str">
        <x:v>061</x:v>
      </x:c>
      <x:c r="E15" t="str">
        <x:v>Permanent red</x:v>
      </x:c>
      <x:c r="F15" t="str">
        <x:v>永固紅</x:v>
      </x:c>
      <x:c r="G15" t="str">
        <x:v>パーマネントレッド</x:v>
      </x:c>
      <x:c r="H15" t="str">
        <x:v>#EB6658</x:v>
      </x:c>
      <x:c r="I15" t="str">
        <x:v>#000000</x:v>
      </x:c>
      <x:c r="J15" t="str">
        <x:v>https://www.carandache.com/content_files/uploaded_doc/product/10580/nuancier_luminance_fr.pdf</x:v>
      </x:c>
    </x:row>
    <x:row r="16">
      <x:c r="A16" t="str">
        <x:v>LUM</x:v>
      </x:c>
      <x:c r="B16" t="str">
        <x:v>LUMINANCE 6901</x:v>
      </x:c>
      <x:c r="C16" t="n">
        <x:v>15</x:v>
      </x:c>
      <x:c r="D16" t="str">
        <x:v>580</x:v>
      </x:c>
      <x:c r="E16" t="str">
        <x:v>Anthraquinone carmine</x:v>
      </x:c>
      <x:c r="F16" t="str">
        <x:v>蒽醌胭脂紅</x:v>
      </x:c>
      <x:c r="G16" t="str">
        <x:v>アントラキノンカーマイン</x:v>
      </x:c>
      <x:c r="H16" t="str">
        <x:v>#C11928</x:v>
      </x:c>
      <x:c r="I16" t="str">
        <x:v>#FFFFFF</x:v>
      </x:c>
      <x:c r="J16" t="str">
        <x:v>https://www.carandache.com/content_files/uploaded_doc/product/10580/nuancier_luminance_fr.pdf</x:v>
      </x:c>
    </x:row>
    <x:row r="17">
      <x:c r="A17" t="str">
        <x:v>LUM</x:v>
      </x:c>
      <x:c r="B17" t="str">
        <x:v>LUMINANCE 6901</x:v>
      </x:c>
      <x:c r="C17" t="n">
        <x:v>16</x:v>
      </x:c>
      <x:c r="D17" t="str">
        <x:v>070</x:v>
      </x:c>
      <x:c r="E17" t="str">
        <x:v>Scarlet</x:v>
      </x:c>
      <x:c r="F17" t="str">
        <x:v>猩紅</x:v>
      </x:c>
      <x:c r="G17" t="str">
        <x:v>スカーレット</x:v>
      </x:c>
      <x:c r="H17" t="str">
        <x:v>#E0283C</x:v>
      </x:c>
      <x:c r="I17" t="str">
        <x:v>#FFFFFF</x:v>
      </x:c>
      <x:c r="J17" t="str">
        <x:v>https://www.carandache.com/content_files/uploaded_doc/product/10580/nuancier_luminance_fr.pdf</x:v>
      </x:c>
    </x:row>
    <x:row r="18">
      <x:c r="A18" t="str">
        <x:v>LUM</x:v>
      </x:c>
      <x:c r="B18" t="str">
        <x:v>LUMINANCE 6901</x:v>
      </x:c>
      <x:c r="C18" t="n">
        <x:v>17</x:v>
      </x:c>
      <x:c r="D18" t="str">
        <x:v>350</x:v>
      </x:c>
      <x:c r="E18" t="str">
        <x:v>Purplish red</x:v>
      </x:c>
      <x:c r="F18" t="str">
        <x:v>紫紅色</x:v>
      </x:c>
      <x:c r="G18" t="str">
        <x:v>パープリッシュレッド</x:v>
      </x:c>
      <x:c r="H18" t="str">
        <x:v>#B93876</x:v>
      </x:c>
      <x:c r="I18" t="str">
        <x:v>#FFFFFF</x:v>
      </x:c>
      <x:c r="J18" t="str">
        <x:v>https://www.carandache.com/content_files/uploaded_doc/product/10580/nuancier_luminance_fr.pdf</x:v>
      </x:c>
    </x:row>
    <x:row r="19">
      <x:c r="A19" t="str">
        <x:v>LUM</x:v>
      </x:c>
      <x:c r="B19" t="str">
        <x:v>LUMINANCE 6901</x:v>
      </x:c>
      <x:c r="C19" t="n">
        <x:v>18</x:v>
      </x:c>
      <x:c r="D19" t="str">
        <x:v>589</x:v>
      </x:c>
      <x:c r="E19" t="str">
        <x:v>Crimson alizarin (hue)</x:v>
      </x:c>
      <x:c r="F19" t="str">
        <x:v>茜素深紅（色相）</x:v>
      </x:c>
      <x:c r="G19" t="str">
        <x:v>アリザリンクリムゾン（ヒュー）</x:v>
      </x:c>
      <x:c r="H19" t="str">
        <x:v>#99364D</x:v>
      </x:c>
      <x:c r="I19" t="str">
        <x:v>#FFFFFF</x:v>
      </x:c>
      <x:c r="J19" t="str">
        <x:v>https://www.carandache.com/content_files/uploaded_doc/product/10580/nuancier_luminance_fr.pdf</x:v>
      </x:c>
    </x:row>
    <x:row r="20">
      <x:c r="A20" t="str">
        <x:v>LUM</x:v>
      </x:c>
      <x:c r="B20" t="str">
        <x:v>LUMINANCE 6901</x:v>
      </x:c>
      <x:c r="C20" t="n">
        <x:v>19</x:v>
      </x:c>
      <x:c r="D20" t="str">
        <x:v>585</x:v>
      </x:c>
      <x:c r="E20" t="str">
        <x:v>Perylene brown</x:v>
      </x:c>
      <x:c r="F20" t="str">
        <x:v>苝棕</x:v>
      </x:c>
      <x:c r="G20" t="str">
        <x:v>ペリレンブラウン</x:v>
      </x:c>
      <x:c r="H20" t="str">
        <x:v>#995254</x:v>
      </x:c>
      <x:c r="I20" t="str">
        <x:v>#FFFFFF</x:v>
      </x:c>
      <x:c r="J20" t="str">
        <x:v>https://www.carandache.com/content_files/uploaded_doc/product/10580/nuancier_luminance_fr.pdf</x:v>
      </x:c>
    </x:row>
    <x:row r="21">
      <x:c r="A21" t="str">
        <x:v>LUM</x:v>
      </x:c>
      <x:c r="B21" t="str">
        <x:v>LUMINANCE 6901</x:v>
      </x:c>
      <x:c r="C21" t="n">
        <x:v>20</x:v>
      </x:c>
      <x:c r="D21" t="str">
        <x:v>599</x:v>
      </x:c>
      <x:c r="E21" t="str">
        <x:v>Crimson aubergine</x:v>
      </x:c>
      <x:c r="F21" t="str">
        <x:v>深紅茄紫</x:v>
      </x:c>
      <x:c r="G21" t="str">
        <x:v>クリムゾンオーベルジーヌ</x:v>
      </x:c>
      <x:c r="H21" t="str">
        <x:v>#8E4A50</x:v>
      </x:c>
      <x:c r="I21" t="str">
        <x:v>#FFFFFF</x:v>
      </x:c>
      <x:c r="J21" t="str">
        <x:v>https://www.carandache.com/content_files/uploaded_doc/product/10580/nuancier_luminance_fr.pdf</x:v>
      </x:c>
    </x:row>
    <x:row r="22">
      <x:c r="A22" t="str">
        <x:v>LUM</x:v>
      </x:c>
      <x:c r="B22" t="str">
        <x:v>LUMINANCE 6901</x:v>
      </x:c>
      <x:c r="C22" t="n">
        <x:v>21</x:v>
      </x:c>
      <x:c r="D22" t="str">
        <x:v>120</x:v>
      </x:c>
      <x:c r="E22" t="str">
        <x:v>Violet</x:v>
      </x:c>
      <x:c r="F22" t="str">
        <x:v>紫羅蘭色</x:v>
      </x:c>
      <x:c r="G22" t="str">
        <x:v>バイオレット</x:v>
      </x:c>
      <x:c r="H22" t="str">
        <x:v>#815EA0</x:v>
      </x:c>
      <x:c r="I22" t="str">
        <x:v>#FFFFFF</x:v>
      </x:c>
      <x:c r="J22" t="str">
        <x:v>https://www.carandache.com/content_files/uploaded_doc/product/10580/nuancier_luminance_fr.pdf</x:v>
      </x:c>
    </x:row>
    <x:row r="23">
      <x:c r="A23" t="str">
        <x:v>LUM</x:v>
      </x:c>
      <x:c r="B23" t="str">
        <x:v>LUMINANCE 6901</x:v>
      </x:c>
      <x:c r="C23" t="n">
        <x:v>22</x:v>
      </x:c>
      <x:c r="D23" t="str">
        <x:v>140</x:v>
      </x:c>
      <x:c r="E23" t="str">
        <x:v>Ultramarine</x:v>
      </x:c>
      <x:c r="F23" t="str">
        <x:v>群青</x:v>
      </x:c>
      <x:c r="G23" t="str">
        <x:v>ウルトラマリン</x:v>
      </x:c>
      <x:c r="H23" t="str">
        <x:v>#06549E</x:v>
      </x:c>
      <x:c r="I23" t="str">
        <x:v>#FFFFFF</x:v>
      </x:c>
      <x:c r="J23" t="str">
        <x:v>https://www.carandache.com/content_files/uploaded_doc/product/10580/nuancier_luminance_fr.pdf</x:v>
      </x:c>
    </x:row>
    <x:row r="24">
      <x:c r="A24" t="str">
        <x:v>LUM</x:v>
      </x:c>
      <x:c r="B24" t="str">
        <x:v>LUMINANCE 6901</x:v>
      </x:c>
      <x:c r="C24" t="n">
        <x:v>23</x:v>
      </x:c>
      <x:c r="D24" t="str">
        <x:v>660</x:v>
      </x:c>
      <x:c r="E24" t="str">
        <x:v>Cobalt blue</x:v>
      </x:c>
      <x:c r="F24" t="str">
        <x:v>鈷藍</x:v>
      </x:c>
      <x:c r="G24" t="str">
        <x:v>コバルトブルー</x:v>
      </x:c>
      <x:c r="H24" t="str">
        <x:v>#1478B9</x:v>
      </x:c>
      <x:c r="I24" t="str">
        <x:v>#FFFFFF</x:v>
      </x:c>
      <x:c r="J24" t="str">
        <x:v>https://www.carandache.com/content_files/uploaded_doc/product/10580/nuancier_luminance_fr.pdf</x:v>
      </x:c>
    </x:row>
    <x:row r="25">
      <x:c r="A25" t="str">
        <x:v>LUM</x:v>
      </x:c>
      <x:c r="B25" t="str">
        <x:v>LUMINANCE 6901</x:v>
      </x:c>
      <x:c r="C25" t="n">
        <x:v>24</x:v>
      </x:c>
      <x:c r="D25" t="str">
        <x:v>162</x:v>
      </x:c>
      <x:c r="E25" t="str">
        <x:v>Phthalocyanine blue</x:v>
      </x:c>
      <x:c r="F25" t="str">
        <x:v>酞菁藍</x:v>
      </x:c>
      <x:c r="G25" t="str">
        <x:v>フタロシアニンブルー</x:v>
      </x:c>
      <x:c r="H25" t="str">
        <x:v>#088FCD</x:v>
      </x:c>
      <x:c r="I25" t="str">
        <x:v>#000000</x:v>
      </x:c>
      <x:c r="J25" t="str">
        <x:v>https://www.carandache.com/content_files/uploaded_doc/product/10580/nuancier_luminance_fr.pdf</x:v>
      </x:c>
    </x:row>
    <x:row r="26">
      <x:c r="A26" t="str">
        <x:v>LUM</x:v>
      </x:c>
      <x:c r="B26" t="str">
        <x:v>LUMINANCE 6901</x:v>
      </x:c>
      <x:c r="C26" t="n">
        <x:v>25</x:v>
      </x:c>
      <x:c r="D26" t="str">
        <x:v>755</x:v>
      </x:c>
      <x:c r="E26" t="str">
        <x:v>Grey blue</x:v>
      </x:c>
      <x:c r="F26" t="str">
        <x:v>灰藍色</x:v>
      </x:c>
      <x:c r="G26" t="str">
        <x:v>グレーブルー</x:v>
      </x:c>
      <x:c r="H26" t="str">
        <x:v>#72B8CC</x:v>
      </x:c>
      <x:c r="I26" t="str">
        <x:v>#000000</x:v>
      </x:c>
      <x:c r="J26" t="str">
        <x:v>https://www.carandache.com/content_files/uploaded_doc/product/10580/nuancier_luminance_fr.pdf</x:v>
      </x:c>
    </x:row>
    <x:row r="27">
      <x:c r="A27" t="str">
        <x:v>LUM</x:v>
      </x:c>
      <x:c r="B27" t="str">
        <x:v>LUMINANCE 6901</x:v>
      </x:c>
      <x:c r="C27" t="n">
        <x:v>26</x:v>
      </x:c>
      <x:c r="D27" t="str">
        <x:v>662</x:v>
      </x:c>
      <x:c r="E27" t="str">
        <x:v>Cobalt blue 10%</x:v>
      </x:c>
      <x:c r="F27" t="str">
        <x:v>鈷藍 10%</x:v>
      </x:c>
      <x:c r="G27" t="str">
        <x:v>コバルトブルー 10%</x:v>
      </x:c>
      <x:c r="H27" t="str">
        <x:v>#7AA4D0</x:v>
      </x:c>
      <x:c r="I27" t="str">
        <x:v>#000000</x:v>
      </x:c>
      <x:c r="J27" t="str">
        <x:v>https://www.carandache.com/content_files/uploaded_doc/product/10580/nuancier_luminance_fr.pdf</x:v>
      </x:c>
    </x:row>
    <x:row r="28">
      <x:c r="A28" t="str">
        <x:v>LUM</x:v>
      </x:c>
      <x:c r="B28" t="str">
        <x:v>LUMINANCE 6901</x:v>
      </x:c>
      <x:c r="C28" t="n">
        <x:v>27</x:v>
      </x:c>
      <x:c r="D28" t="str">
        <x:v>161</x:v>
      </x:c>
      <x:c r="E28" t="str">
        <x:v>Light blue</x:v>
      </x:c>
      <x:c r="F28" t="str">
        <x:v>淺藍色</x:v>
      </x:c>
      <x:c r="G28" t="str">
        <x:v>ライトブルー</x:v>
      </x:c>
      <x:c r="H28" t="str">
        <x:v>#17A3C4</x:v>
      </x:c>
      <x:c r="I28" t="str">
        <x:v>#000000</x:v>
      </x:c>
      <x:c r="J28" t="str">
        <x:v>https://www.carandache.com/content_files/uploaded_doc/product/10580/nuancier_luminance_fr.pdf</x:v>
      </x:c>
    </x:row>
    <x:row r="29">
      <x:c r="A29" t="str">
        <x:v>LUM</x:v>
      </x:c>
      <x:c r="B29" t="str">
        <x:v>LUMINANCE 6901</x:v>
      </x:c>
      <x:c r="C29" t="n">
        <x:v>28</x:v>
      </x:c>
      <x:c r="D29" t="str">
        <x:v>671</x:v>
      </x:c>
      <x:c r="E29" t="str">
        <x:v>Chrysocolla blue</x:v>
      </x:c>
      <x:c r="F29" t="str">
        <x:v>矽孔雀石藍</x:v>
      </x:c>
      <x:c r="G29" t="str">
        <x:v>クリソコラブルー</x:v>
      </x:c>
      <x:c r="H29" t="str">
        <x:v>#6CC1BE</x:v>
      </x:c>
      <x:c r="I29" t="str">
        <x:v>#000000</x:v>
      </x:c>
      <x:c r="J29" t="str">
        <x:v>https://www.carandache.com/content_files/uploaded_doc/product/10580/nuancier_luminance_fr.pdf</x:v>
      </x:c>
    </x:row>
    <x:row r="30">
      <x:c r="A30" t="str">
        <x:v>LUM</x:v>
      </x:c>
      <x:c r="B30" t="str">
        <x:v>LUMINANCE 6901</x:v>
      </x:c>
      <x:c r="C30" t="n">
        <x:v>29</x:v>
      </x:c>
      <x:c r="D30" t="str">
        <x:v>171</x:v>
      </x:c>
      <x:c r="E30" t="str">
        <x:v>Turquoise blue</x:v>
      </x:c>
      <x:c r="F30" t="str">
        <x:v>土耳其藍</x:v>
      </x:c>
      <x:c r="G30" t="str">
        <x:v>ターコイズブルー</x:v>
      </x:c>
      <x:c r="H30" t="str">
        <x:v>#70BECA</x:v>
      </x:c>
      <x:c r="I30" t="str">
        <x:v>#000000</x:v>
      </x:c>
      <x:c r="J30" t="str">
        <x:v>https://www.carandache.com/content_files/uploaded_doc/product/10580/nuancier_luminance_fr.pdf</x:v>
      </x:c>
    </x:row>
    <x:row r="31">
      <x:c r="A31" t="str">
        <x:v>LUM</x:v>
      </x:c>
      <x:c r="B31" t="str">
        <x:v>LUMINANCE 6901</x:v>
      </x:c>
      <x:c r="C31" t="n">
        <x:v>30</x:v>
      </x:c>
      <x:c r="D31" t="str">
        <x:v>661</x:v>
      </x:c>
      <x:c r="E31" t="str">
        <x:v>Cobalt blue 5%</x:v>
      </x:c>
      <x:c r="F31" t="str">
        <x:v>鈷藍 5%</x:v>
      </x:c>
      <x:c r="G31" t="str">
        <x:v>コバルトブルー 5%</x:v>
      </x:c>
      <x:c r="H31" t="str">
        <x:v>#A9D6EF</x:v>
      </x:c>
      <x:c r="I31" t="str">
        <x:v>#000000</x:v>
      </x:c>
      <x:c r="J31" t="str">
        <x:v>https://www.carandache.com/content_files/uploaded_doc/product/10580/nuancier_luminance_fr.pdf</x:v>
      </x:c>
    </x:row>
    <x:row r="32">
      <x:c r="A32" t="str">
        <x:v>LUM</x:v>
      </x:c>
      <x:c r="B32" t="str">
        <x:v>LUMINANCE 6901</x:v>
      </x:c>
      <x:c r="C32" t="n">
        <x:v>31</x:v>
      </x:c>
      <x:c r="D32" t="str">
        <x:v>181</x:v>
      </x:c>
      <x:c r="E32" t="str">
        <x:v>Light malachite green</x:v>
      </x:c>
      <x:c r="F32" t="str">
        <x:v>淺孔雀石綠</x:v>
      </x:c>
      <x:c r="G32" t="str">
        <x:v>ライトマラカイトグリーン</x:v>
      </x:c>
      <x:c r="H32" t="str">
        <x:v>#74C0B0</x:v>
      </x:c>
      <x:c r="I32" t="str">
        <x:v>#000000</x:v>
      </x:c>
      <x:c r="J32" t="str">
        <x:v>https://www.carandache.com/content_files/uploaded_doc/product/10580/nuancier_luminance_fr.pdf</x:v>
      </x:c>
    </x:row>
    <x:row r="33">
      <x:c r="A33" t="str">
        <x:v>LUM</x:v>
      </x:c>
      <x:c r="B33" t="str">
        <x:v>LUMINANCE 6901</x:v>
      </x:c>
      <x:c r="C33" t="n">
        <x:v>32</x:v>
      </x:c>
      <x:c r="D33" t="str">
        <x:v>713</x:v>
      </x:c>
      <x:c r="E33" t="str">
        <x:v>Middle verdigris</x:v>
      </x:c>
      <x:c r="F33" t="str">
        <x:v>中銅綠</x:v>
      </x:c>
      <x:c r="G33" t="str">
        <x:v>ミドルバーディグリス</x:v>
      </x:c>
      <x:c r="H33" t="str">
        <x:v>#A0CA9E</x:v>
      </x:c>
      <x:c r="I33" t="str">
        <x:v>#000000</x:v>
      </x:c>
      <x:c r="J33" t="str">
        <x:v>https://www.carandache.com/content_files/uploaded_doc/product/10580/nuancier_luminance_fr.pdf</x:v>
      </x:c>
    </x:row>
    <x:row r="34">
      <x:c r="A34" t="str">
        <x:v>LUM</x:v>
      </x:c>
      <x:c r="B34" t="str">
        <x:v>LUMINANCE 6901</x:v>
      </x:c>
      <x:c r="C34" t="n">
        <x:v>33</x:v>
      </x:c>
      <x:c r="D34" t="str">
        <x:v>182</x:v>
      </x:c>
      <x:c r="E34" t="str">
        <x:v>Cobalt green</x:v>
      </x:c>
      <x:c r="F34" t="str">
        <x:v>鈷綠</x:v>
      </x:c>
      <x:c r="G34" t="str">
        <x:v>コバルトグリーン</x:v>
      </x:c>
      <x:c r="H34" t="str">
        <x:v>#8EC39B</x:v>
      </x:c>
      <x:c r="I34" t="str">
        <x:v>#000000</x:v>
      </x:c>
      <x:c r="J34" t="str">
        <x:v>https://www.carandache.com/content_files/uploaded_doc/product/10580/nuancier_luminance_fr.pdf</x:v>
      </x:c>
    </x:row>
    <x:row r="35">
      <x:c r="A35" t="str">
        <x:v>LUM</x:v>
      </x:c>
      <x:c r="B35" t="str">
        <x:v>LUMINANCE 6901</x:v>
      </x:c>
      <x:c r="C35" t="n">
        <x:v>34</x:v>
      </x:c>
      <x:c r="D35" t="str">
        <x:v>214</x:v>
      </x:c>
      <x:c r="E35" t="str">
        <x:v>Beryl green</x:v>
      </x:c>
      <x:c r="F35" t="str">
        <x:v>綠柱石綠</x:v>
      </x:c>
      <x:c r="G35" t="str">
        <x:v>ベリルグリーン</x:v>
      </x:c>
      <x:c r="H35" t="str">
        <x:v>#06A192</x:v>
      </x:c>
      <x:c r="I35" t="str">
        <x:v>#000000</x:v>
      </x:c>
      <x:c r="J35" t="str">
        <x:v>https://www.carandache.com/content_files/uploaded_doc/product/10580/nuancier_luminance_fr.pdf</x:v>
      </x:c>
    </x:row>
    <x:row r="36">
      <x:c r="A36" t="str">
        <x:v>LUM</x:v>
      </x:c>
      <x:c r="B36" t="str">
        <x:v>LUMINANCE 6901</x:v>
      </x:c>
      <x:c r="C36" t="n">
        <x:v>35</x:v>
      </x:c>
      <x:c r="D36" t="str">
        <x:v>180</x:v>
      </x:c>
      <x:c r="E36" t="str">
        <x:v>Malachite green</x:v>
      </x:c>
      <x:c r="F36" t="str">
        <x:v>孔雀石綠</x:v>
      </x:c>
      <x:c r="G36" t="str">
        <x:v>マラカイトグリーン</x:v>
      </x:c>
      <x:c r="H36" t="str">
        <x:v>#097E92</x:v>
      </x:c>
      <x:c r="I36" t="str">
        <x:v>#FFFFFF</x:v>
      </x:c>
      <x:c r="J36" t="str">
        <x:v>https://www.carandache.com/content_files/uploaded_doc/product/10580/nuancier_luminance_fr.pdf</x:v>
      </x:c>
    </x:row>
    <x:row r="37">
      <x:c r="A37" t="str">
        <x:v>LUM</x:v>
      </x:c>
      <x:c r="B37" t="str">
        <x:v>LUMINANCE 6901</x:v>
      </x:c>
      <x:c r="C37" t="n">
        <x:v>36</x:v>
      </x:c>
      <x:c r="D37" t="str">
        <x:v>185</x:v>
      </x:c>
      <x:c r="E37" t="str">
        <x:v>Ice blue</x:v>
      </x:c>
      <x:c r="F37" t="str">
        <x:v>冰藍</x:v>
      </x:c>
      <x:c r="G37" t="str">
        <x:v>アイスブルー</x:v>
      </x:c>
      <x:c r="H37" t="str">
        <x:v>#067191</x:v>
      </x:c>
      <x:c r="I37" t="str">
        <x:v>#FFFFFF</x:v>
      </x:c>
      <x:c r="J37" t="str">
        <x:v>https://www.carandache.com/content_files/uploaded_doc/product/10580/nuancier_luminance_fr.pdf</x:v>
      </x:c>
    </x:row>
    <x:row r="38">
      <x:c r="A38" t="str">
        <x:v>LUM</x:v>
      </x:c>
      <x:c r="B38" t="str">
        <x:v>LUMINANCE 6901</x:v>
      </x:c>
      <x:c r="C38" t="n">
        <x:v>37</x:v>
      </x:c>
      <x:c r="D38" t="str">
        <x:v>159</x:v>
      </x:c>
      <x:c r="E38" t="str">
        <x:v>Prussian blue</x:v>
      </x:c>
      <x:c r="F38" t="str">
        <x:v>普魯士藍</x:v>
      </x:c>
      <x:c r="G38" t="str">
        <x:v>プルシャンブルー</x:v>
      </x:c>
      <x:c r="H38" t="str">
        <x:v>#0A5586</x:v>
      </x:c>
      <x:c r="I38" t="str">
        <x:v>#FFFFFF</x:v>
      </x:c>
      <x:c r="J38" t="str">
        <x:v>https://www.carandache.com/content_files/uploaded_doc/product/10580/nuancier_luminance_fr.pdf</x:v>
      </x:c>
    </x:row>
    <x:row r="39">
      <x:c r="A39" t="str">
        <x:v>LUM</x:v>
      </x:c>
      <x:c r="B39" t="str">
        <x:v>LUMINANCE 6901</x:v>
      </x:c>
      <x:c r="C39" t="n">
        <x:v>38</x:v>
      </x:c>
      <x:c r="D39" t="str">
        <x:v>135</x:v>
      </x:c>
      <x:c r="E39" t="str">
        <x:v>Bleu de Nîmes</x:v>
      </x:c>
      <x:c r="F39" t="str">
        <x:v>尼姆藍</x:v>
      </x:c>
      <x:c r="G39" t="str">
        <x:v>ブルー・ド・ニーム</x:v>
      </x:c>
      <x:c r="H39" t="str">
        <x:v>#183161</x:v>
      </x:c>
      <x:c r="I39" t="str">
        <x:v>#FFFFFF</x:v>
      </x:c>
      <x:c r="J39" t="str">
        <x:v>https://www.carandache.com/content_files/uploaded_doc/product/10580/nuancier_luminance_fr.pdf</x:v>
      </x:c>
    </x:row>
    <x:row r="40">
      <x:c r="A40" t="str">
        <x:v>LUM</x:v>
      </x:c>
      <x:c r="B40" t="str">
        <x:v>LUMINANCE 6901</x:v>
      </x:c>
      <x:c r="C40" t="n">
        <x:v>39</x:v>
      </x:c>
      <x:c r="D40" t="str">
        <x:v>649</x:v>
      </x:c>
      <x:c r="E40" t="str">
        <x:v>Indanthrone blue</x:v>
      </x:c>
      <x:c r="F40" t="str">
        <x:v>陰丹酮藍</x:v>
      </x:c>
      <x:c r="G40" t="str">
        <x:v>インダンスロンブルー</x:v>
      </x:c>
      <x:c r="H40" t="str">
        <x:v>#1B233B</x:v>
      </x:c>
      <x:c r="I40" t="str">
        <x:v>#FFFFFF</x:v>
      </x:c>
      <x:c r="J40" t="str">
        <x:v>https://www.carandache.com/content_files/uploaded_doc/product/10580/nuancier_luminance_fr.pdf</x:v>
      </x:c>
    </x:row>
    <x:row r="41">
      <x:c r="A41" t="str">
        <x:v>LUM</x:v>
      </x:c>
      <x:c r="B41" t="str">
        <x:v>LUMINANCE 6901</x:v>
      </x:c>
      <x:c r="C41" t="n">
        <x:v>40</x:v>
      </x:c>
      <x:c r="D41" t="str">
        <x:v>739</x:v>
      </x:c>
      <x:c r="E41" t="str">
        <x:v>Dark sap green</x:v>
      </x:c>
      <x:c r="F41" t="str">
        <x:v>深樹液綠</x:v>
      </x:c>
      <x:c r="G41" t="str">
        <x:v>ダークサップグリーン</x:v>
      </x:c>
      <x:c r="H41" t="str">
        <x:v>#2B514E</x:v>
      </x:c>
      <x:c r="I41" t="str">
        <x:v>#FFFFFF</x:v>
      </x:c>
      <x:c r="J41" t="str">
        <x:v>https://www.carandache.com/content_files/uploaded_doc/product/10580/nuancier_luminance_fr.pdf</x:v>
      </x:c>
    </x:row>
    <x:row r="42">
      <x:c r="A42" t="str">
        <x:v>LUM</x:v>
      </x:c>
      <x:c r="B42" t="str">
        <x:v>LUMINANCE 6901</x:v>
      </x:c>
      <x:c r="C42" t="n">
        <x:v>41</x:v>
      </x:c>
      <x:c r="D42" t="str">
        <x:v>719</x:v>
      </x:c>
      <x:c r="E42" t="str">
        <x:v>Dark phthalocyanine green</x:v>
      </x:c>
      <x:c r="F42" t="str">
        <x:v>深酞菁綠</x:v>
      </x:c>
      <x:c r="G42" t="str">
        <x:v>ダークフタロシアニングリーン</x:v>
      </x:c>
      <x:c r="H42" t="str">
        <x:v>#405649</x:v>
      </x:c>
      <x:c r="I42" t="str">
        <x:v>#FFFFFF</x:v>
      </x:c>
      <x:c r="J42" t="str">
        <x:v>https://www.carandache.com/content_files/uploaded_doc/product/10580/nuancier_luminance_fr.pdf</x:v>
      </x:c>
    </x:row>
    <x:row r="43">
      <x:c r="A43" t="str">
        <x:v>LUM</x:v>
      </x:c>
      <x:c r="B43" t="str">
        <x:v>LUMINANCE 6901</x:v>
      </x:c>
      <x:c r="C43" t="n">
        <x:v>42</x:v>
      </x:c>
      <x:c r="D43" t="str">
        <x:v>729</x:v>
      </x:c>
      <x:c r="E43" t="str">
        <x:v>Dark english green</x:v>
      </x:c>
      <x:c r="F43" t="str">
        <x:v>深英國綠</x:v>
      </x:c>
      <x:c r="G43" t="str">
        <x:v>ダークイングリッシュグリーン</x:v>
      </x:c>
      <x:c r="H43" t="str">
        <x:v>#096A61</x:v>
      </x:c>
      <x:c r="I43" t="str">
        <x:v>#FFFFFF</x:v>
      </x:c>
      <x:c r="J43" t="str">
        <x:v>https://www.carandache.com/content_files/uploaded_doc/product/10580/nuancier_luminance_fr.pdf</x:v>
      </x:c>
    </x:row>
    <x:row r="44">
      <x:c r="A44" t="str">
        <x:v>LUM</x:v>
      </x:c>
      <x:c r="B44" t="str">
        <x:v>LUMINANCE 6901</x:v>
      </x:c>
      <x:c r="C44" t="n">
        <x:v>43</x:v>
      </x:c>
      <x:c r="D44" t="str">
        <x:v>220</x:v>
      </x:c>
      <x:c r="E44" t="str">
        <x:v>Grass green</x:v>
      </x:c>
      <x:c r="F44" t="str">
        <x:v>草綠色</x:v>
      </x:c>
      <x:c r="G44" t="str">
        <x:v>グラスグリーン</x:v>
      </x:c>
      <x:c r="H44" t="str">
        <x:v>#549D34</x:v>
      </x:c>
      <x:c r="I44" t="str">
        <x:v>#000000</x:v>
      </x:c>
      <x:c r="J44" t="str">
        <x:v>https://www.carandache.com/content_files/uploaded_doc/product/10580/nuancier_luminance_fr.pdf</x:v>
      </x:c>
    </x:row>
    <x:row r="45">
      <x:c r="A45" t="str">
        <x:v>LUM</x:v>
      </x:c>
      <x:c r="B45" t="str">
        <x:v>LUMINANCE 6901</x:v>
      </x:c>
      <x:c r="C45" t="n">
        <x:v>44</x:v>
      </x:c>
      <x:c r="D45" t="str">
        <x:v>212</x:v>
      </x:c>
      <x:c r="E45" t="str">
        <x:v>Chromium oxyde green</x:v>
      </x:c>
      <x:c r="F45" t="str">
        <x:v>氧化鉻綠</x:v>
      </x:c>
      <x:c r="G45" t="str">
        <x:v>クロムオキサイドグリーン</x:v>
      </x:c>
      <x:c r="H45" t="str">
        <x:v>#588454</x:v>
      </x:c>
      <x:c r="I45" t="str">
        <x:v>#000000</x:v>
      </x:c>
      <x:c r="J45" t="str">
        <x:v>https://www.carandache.com/content_files/uploaded_doc/product/10580/nuancier_luminance_fr.pdf</x:v>
      </x:c>
    </x:row>
    <x:row r="46">
      <x:c r="A46" t="str">
        <x:v>LUM</x:v>
      </x:c>
      <x:c r="B46" t="str">
        <x:v>LUMINANCE 6901</x:v>
      </x:c>
      <x:c r="C46" t="n">
        <x:v>45</x:v>
      </x:c>
      <x:c r="D46" t="str">
        <x:v>225</x:v>
      </x:c>
      <x:c r="E46" t="str">
        <x:v>Moss green</x:v>
      </x:c>
      <x:c r="F46" t="str">
        <x:v>苔綠色</x:v>
      </x:c>
      <x:c r="G46" t="str">
        <x:v>モスグリーン</x:v>
      </x:c>
      <x:c r="H46" t="str">
        <x:v>#65794E</x:v>
      </x:c>
      <x:c r="I46" t="str">
        <x:v>#FFFFFF</x:v>
      </x:c>
      <x:c r="J46" t="str">
        <x:v>https://www.carandache.com/content_files/uploaded_doc/product/10580/nuancier_luminance_fr.pdf</x:v>
      </x:c>
    </x:row>
    <x:row r="47">
      <x:c r="A47" t="str">
        <x:v>LUM</x:v>
      </x:c>
      <x:c r="B47" t="str">
        <x:v>LUMINANCE 6901</x:v>
      </x:c>
      <x:c r="C47" t="n">
        <x:v>46</x:v>
      </x:c>
      <x:c r="D47" t="str">
        <x:v>470</x:v>
      </x:c>
      <x:c r="E47" t="str">
        <x:v>Spring green</x:v>
      </x:c>
      <x:c r="F47" t="str">
        <x:v>春綠色</x:v>
      </x:c>
      <x:c r="G47" t="str">
        <x:v>スプリンググリーン</x:v>
      </x:c>
      <x:c r="H47" t="str">
        <x:v>#A4C64E</x:v>
      </x:c>
      <x:c r="I47" t="str">
        <x:v>#000000</x:v>
      </x:c>
      <x:c r="J47" t="str">
        <x:v>https://www.carandache.com/content_files/uploaded_doc/product/10580/nuancier_luminance_fr.pdf</x:v>
      </x:c>
    </x:row>
    <x:row r="48">
      <x:c r="A48" t="str">
        <x:v>LUM</x:v>
      </x:c>
      <x:c r="B48" t="str">
        <x:v>LUMINANCE 6901</x:v>
      </x:c>
      <x:c r="C48" t="n">
        <x:v>47</x:v>
      </x:c>
      <x:c r="D48" t="str">
        <x:v>015</x:v>
      </x:c>
      <x:c r="E48" t="str">
        <x:v>Olive yellow</x:v>
      </x:c>
      <x:c r="F48" t="str">
        <x:v>橄欖黃</x:v>
      </x:c>
      <x:c r="G48" t="str">
        <x:v>オリーブイエロー</x:v>
      </x:c>
      <x:c r="H48" t="str">
        <x:v>#BBB654</x:v>
      </x:c>
      <x:c r="I48" t="str">
        <x:v>#000000</x:v>
      </x:c>
      <x:c r="J48" t="str">
        <x:v>https://www.carandache.com/content_files/uploaded_doc/product/10580/nuancier_luminance_fr.pdf</x:v>
      </x:c>
    </x:row>
    <x:row r="49">
      <x:c r="A49" t="str">
        <x:v>LUM</x:v>
      </x:c>
      <x:c r="B49" t="str">
        <x:v>LUMINANCE 6901</x:v>
      </x:c>
      <x:c r="C49" t="n">
        <x:v>48</x:v>
      </x:c>
      <x:c r="D49" t="str">
        <x:v>025</x:v>
      </x:c>
      <x:c r="E49" t="str">
        <x:v>Green ochre</x:v>
      </x:c>
      <x:c r="F49" t="str">
        <x:v>綠赭色</x:v>
      </x:c>
      <x:c r="G49" t="str">
        <x:v>グリーンオーカー</x:v>
      </x:c>
      <x:c r="H49" t="str">
        <x:v>#B9A35F</x:v>
      </x:c>
      <x:c r="I49" t="str">
        <x:v>#000000</x:v>
      </x:c>
      <x:c r="J49" t="str">
        <x:v>https://www.carandache.com/content_files/uploaded_doc/product/10580/nuancier_luminance_fr.pdf</x:v>
      </x:c>
    </x:row>
    <x:row r="50">
      <x:c r="A50" t="str">
        <x:v>LUM</x:v>
      </x:c>
      <x:c r="B50" t="str">
        <x:v>LUMINANCE 6901</x:v>
      </x:c>
      <x:c r="C50" t="n">
        <x:v>49</x:v>
      </x:c>
      <x:c r="D50" t="str">
        <x:v>736</x:v>
      </x:c>
      <x:c r="E50" t="str">
        <x:v>Brown olive 50%</x:v>
      </x:c>
      <x:c r="F50" t="str">
        <x:v>棕橄欖色 50%</x:v>
      </x:c>
      <x:c r="G50" t="str">
        <x:v>ブラウンオリーブ 50%</x:v>
      </x:c>
      <x:c r="H50" t="str">
        <x:v>#B9A78A</x:v>
      </x:c>
      <x:c r="I50" t="str">
        <x:v>#000000</x:v>
      </x:c>
      <x:c r="J50" t="str">
        <x:v>https://www.carandache.com/content_files/uploaded_doc/product/10580/nuancier_luminance_fr.pdf</x:v>
      </x:c>
    </x:row>
    <x:row r="51">
      <x:c r="A51" t="str">
        <x:v>LUM</x:v>
      </x:c>
      <x:c r="B51" t="str">
        <x:v>LUMINANCE 6901</x:v>
      </x:c>
      <x:c r="C51" t="n">
        <x:v>50</x:v>
      </x:c>
      <x:c r="D51" t="str">
        <x:v>846</x:v>
      </x:c>
      <x:c r="E51" t="str">
        <x:v>Raw umber 50%</x:v>
      </x:c>
      <x:c r="F51" t="str">
        <x:v>生褐色 50%</x:v>
      </x:c>
      <x:c r="G51" t="str">
        <x:v>ローアンバー 50%</x:v>
      </x:c>
      <x:c r="H51" t="str">
        <x:v>#978469</x:v>
      </x:c>
      <x:c r="I51" t="str">
        <x:v>#000000</x:v>
      </x:c>
      <x:c r="J51" t="str">
        <x:v>https://www.carandache.com/content_files/uploaded_doc/product/10580/nuancier_luminance_fr.pdf</x:v>
      </x:c>
    </x:row>
    <x:row r="52">
      <x:c r="A52" t="str">
        <x:v>LUM</x:v>
      </x:c>
      <x:c r="B52" t="str">
        <x:v>LUMINANCE 6901</x:v>
      </x:c>
      <x:c r="C52" t="n">
        <x:v>51</x:v>
      </x:c>
      <x:c r="D52" t="str">
        <x:v>039</x:v>
      </x:c>
      <x:c r="E52" t="str">
        <x:v>Olive brown</x:v>
      </x:c>
      <x:c r="F52" t="str">
        <x:v>橄欖棕</x:v>
      </x:c>
      <x:c r="G52" t="str">
        <x:v>オリーブブラウン</x:v>
      </x:c>
      <x:c r="H52" t="str">
        <x:v>#9E9078</x:v>
      </x:c>
      <x:c r="I52" t="str">
        <x:v>#000000</x:v>
      </x:c>
      <x:c r="J52" t="str">
        <x:v>https://www.carandache.com/content_files/uploaded_doc/product/10580/nuancier_luminance_fr.pdf</x:v>
      </x:c>
    </x:row>
    <x:row r="53">
      <x:c r="A53" t="str">
        <x:v>LUM</x:v>
      </x:c>
      <x:c r="B53" t="str">
        <x:v>LUMINANCE 6901</x:v>
      </x:c>
      <x:c r="C53" t="n">
        <x:v>52</x:v>
      </x:c>
      <x:c r="D53" t="str">
        <x:v>548</x:v>
      </x:c>
      <x:c r="E53" t="str">
        <x:v>Raw umber</x:v>
      </x:c>
      <x:c r="F53" t="str">
        <x:v>生褐色</x:v>
      </x:c>
      <x:c r="G53" t="str">
        <x:v>ローアンバー</x:v>
      </x:c>
      <x:c r="H53" t="str">
        <x:v>#7E6B4F</x:v>
      </x:c>
      <x:c r="I53" t="str">
        <x:v>#FFFFFF</x:v>
      </x:c>
      <x:c r="J53" t="str">
        <x:v>https://www.carandache.com/content_files/uploaded_doc/product/10580/nuancier_luminance_fr.pdf</x:v>
      </x:c>
    </x:row>
    <x:row r="54">
      <x:c r="A54" t="str">
        <x:v>LUM</x:v>
      </x:c>
      <x:c r="B54" t="str">
        <x:v>LUMINANCE 6901</x:v>
      </x:c>
      <x:c r="C54" t="n">
        <x:v>53</x:v>
      </x:c>
      <x:c r="D54" t="str">
        <x:v>037</x:v>
      </x:c>
      <x:c r="E54" t="str">
        <x:v>Brown ochre</x:v>
      </x:c>
      <x:c r="F54" t="str">
        <x:v>棕赭色</x:v>
      </x:c>
      <x:c r="G54" t="str">
        <x:v>ブラウンオーカー</x:v>
      </x:c>
      <x:c r="H54" t="str">
        <x:v>#B07444</x:v>
      </x:c>
      <x:c r="I54" t="str">
        <x:v>#000000</x:v>
      </x:c>
      <x:c r="J54" t="str">
        <x:v>https://www.carandache.com/content_files/uploaded_doc/product/10580/nuancier_luminance_fr.pdf</x:v>
      </x:c>
    </x:row>
    <x:row r="55">
      <x:c r="A55" t="str">
        <x:v>LUM</x:v>
      </x:c>
      <x:c r="B55" t="str">
        <x:v>LUMINANCE 6901</x:v>
      </x:c>
      <x:c r="C55" t="n">
        <x:v>54</x:v>
      </x:c>
      <x:c r="D55" t="str">
        <x:v>036</x:v>
      </x:c>
      <x:c r="E55" t="str">
        <x:v>Raw sienna</x:v>
      </x:c>
      <x:c r="F55" t="str">
        <x:v>生赭色</x:v>
      </x:c>
      <x:c r="G55" t="str">
        <x:v>ローシェンナ</x:v>
      </x:c>
      <x:c r="H55" t="str">
        <x:v>#DBA057</x:v>
      </x:c>
      <x:c r="I55" t="str">
        <x:v>#000000</x:v>
      </x:c>
      <x:c r="J55" t="str">
        <x:v>https://www.carandache.com/content_files/uploaded_doc/product/10580/nuancier_luminance_fr.pdf</x:v>
      </x:c>
    </x:row>
    <x:row r="56">
      <x:c r="A56" t="str">
        <x:v>LUM</x:v>
      </x:c>
      <x:c r="B56" t="str">
        <x:v>LUMINANCE 6901</x:v>
      </x:c>
      <x:c r="C56" t="n">
        <x:v>55</x:v>
      </x:c>
      <x:c r="D56" t="str">
        <x:v>034</x:v>
      </x:c>
      <x:c r="E56" t="str">
        <x:v>Yellow ochre</x:v>
      </x:c>
      <x:c r="F56" t="str">
        <x:v>黃赭色</x:v>
      </x:c>
      <x:c r="G56" t="str">
        <x:v>イエローオーカー</x:v>
      </x:c>
      <x:c r="H56" t="str">
        <x:v>#EFB529</x:v>
      </x:c>
      <x:c r="I56" t="str">
        <x:v>#000000</x:v>
      </x:c>
      <x:c r="J56" t="str">
        <x:v>https://www.carandache.com/content_files/uploaded_doc/product/10580/nuancier_luminance_fr.pdf</x:v>
      </x:c>
    </x:row>
    <x:row r="57">
      <x:c r="A57" t="str">
        <x:v>LUM</x:v>
      </x:c>
      <x:c r="B57" t="str">
        <x:v>LUMINANCE 6901</x:v>
      </x:c>
      <x:c r="C57" t="n">
        <x:v>56</x:v>
      </x:c>
      <x:c r="D57" t="str">
        <x:v>836</x:v>
      </x:c>
      <x:c r="E57" t="str">
        <x:v>Brown ochre 50%</x:v>
      </x:c>
      <x:c r="F57" t="str">
        <x:v>棕赭色 50%</x:v>
      </x:c>
      <x:c r="G57" t="str">
        <x:v>ブラウンオーカー 50%</x:v>
      </x:c>
      <x:c r="H57" t="str">
        <x:v>#D5A375</x:v>
      </x:c>
      <x:c r="I57" t="str">
        <x:v>#000000</x:v>
      </x:c>
      <x:c r="J57" t="str">
        <x:v>https://www.carandache.com/content_files/uploaded_doc/product/10580/nuancier_luminance_fr.pdf</x:v>
      </x:c>
    </x:row>
    <x:row r="58">
      <x:c r="A58" t="str">
        <x:v>LUM</x:v>
      </x:c>
      <x:c r="B58" t="str">
        <x:v>LUMINANCE 6901</x:v>
      </x:c>
      <x:c r="C58" t="n">
        <x:v>57</x:v>
      </x:c>
      <x:c r="D58" t="str">
        <x:v>741</x:v>
      </x:c>
      <x:c r="E58" t="str">
        <x:v>Warm earth 5%</x:v>
      </x:c>
      <x:c r="F58" t="str">
        <x:v>暖土色 5%</x:v>
      </x:c>
      <x:c r="G58" t="str">
        <x:v>ウォームアース 5%</x:v>
      </x:c>
      <x:c r="H58" t="str">
        <x:v>#CF9478</x:v>
      </x:c>
      <x:c r="I58" t="str">
        <x:v>#000000</x:v>
      </x:c>
      <x:c r="J58" t="str">
        <x:v>https://www.carandache.com/content_files/uploaded_doc/product/10580/nuancier_luminance_fr.pdf</x:v>
      </x:c>
    </x:row>
    <x:row r="59">
      <x:c r="A59" t="str">
        <x:v>LUM</x:v>
      </x:c>
      <x:c r="B59" t="str">
        <x:v>LUMINANCE 6901</x:v>
      </x:c>
      <x:c r="C59" t="n">
        <x:v>58</x:v>
      </x:c>
      <x:c r="D59" t="str">
        <x:v>876</x:v>
      </x:c>
      <x:c r="E59" t="str">
        <x:v>Burnt ochre 50%</x:v>
      </x:c>
      <x:c r="F59" t="str">
        <x:v>熟赭色 50%</x:v>
      </x:c>
      <x:c r="G59" t="str">
        <x:v>バーントオーカー 50%</x:v>
      </x:c>
      <x:c r="H59" t="str">
        <x:v>#D19777</x:v>
      </x:c>
      <x:c r="I59" t="str">
        <x:v>#000000</x:v>
      </x:c>
      <x:c r="J59" t="str">
        <x:v>https://www.carandache.com/content_files/uploaded_doc/product/10580/nuancier_luminance_fr.pdf</x:v>
      </x:c>
    </x:row>
    <x:row r="60">
      <x:c r="A60" t="str">
        <x:v>LUM</x:v>
      </x:c>
      <x:c r="B60" t="str">
        <x:v>LUMINANCE 6901</x:v>
      </x:c>
      <x:c r="C60" t="n">
        <x:v>59</x:v>
      </x:c>
      <x:c r="D60" t="str">
        <x:v>077</x:v>
      </x:c>
      <x:c r="E60" t="str">
        <x:v>Burnt ochre</x:v>
      </x:c>
      <x:c r="F60" t="str">
        <x:v>熟赭色</x:v>
      </x:c>
      <x:c r="G60" t="str">
        <x:v>バーントオーカー</x:v>
      </x:c>
      <x:c r="H60" t="str">
        <x:v>#BF7A56</x:v>
      </x:c>
      <x:c r="I60" t="str">
        <x:v>#000000</x:v>
      </x:c>
      <x:c r="J60" t="str">
        <x:v>https://www.carandache.com/content_files/uploaded_doc/product/10580/nuancier_luminance_fr.pdf</x:v>
      </x:c>
    </x:row>
    <x:row r="61">
      <x:c r="A61" t="str">
        <x:v>LUM</x:v>
      </x:c>
      <x:c r="B61" t="str">
        <x:v>LUMINANCE 6901</x:v>
      </x:c>
      <x:c r="C61" t="n">
        <x:v>60</x:v>
      </x:c>
      <x:c r="D61" t="str">
        <x:v>745</x:v>
      </x:c>
      <x:c r="E61" t="str">
        <x:v>Warm earth 40%</x:v>
      </x:c>
      <x:c r="F61" t="str">
        <x:v>暖土色 40%</x:v>
      </x:c>
      <x:c r="G61" t="str">
        <x:v>ウォームアース 40%</x:v>
      </x:c>
      <x:c r="H61" t="str">
        <x:v>#9A6D5C</x:v>
      </x:c>
      <x:c r="I61" t="str">
        <x:v>#000000</x:v>
      </x:c>
      <x:c r="J61" t="str">
        <x:v>https://www.carandache.com/content_files/uploaded_doc/product/10580/nuancier_luminance_fr.pdf</x:v>
      </x:c>
    </x:row>
    <x:row r="62">
      <x:c r="A62" t="str">
        <x:v>LUM</x:v>
      </x:c>
      <x:c r="B62" t="str">
        <x:v>LUMINANCE 6901</x:v>
      </x:c>
      <x:c r="C62" t="n">
        <x:v>61</x:v>
      </x:c>
      <x:c r="D62" t="str">
        <x:v>044</x:v>
      </x:c>
      <x:c r="E62" t="str">
        <x:v>Terracotta</x:v>
      </x:c>
      <x:c r="F62" t="str">
        <x:v>赤陶色</x:v>
      </x:c>
      <x:c r="G62" t="str">
        <x:v>テラコッタ</x:v>
      </x:c>
      <x:c r="H62" t="str">
        <x:v>#BA5C3F</x:v>
      </x:c>
      <x:c r="I62" t="str">
        <x:v>#000000</x:v>
      </x:c>
      <x:c r="J62" t="str">
        <x:v>https://www.carandache.com/content_files/uploaded_doc/product/10580/nuancier_luminance_fr.pdf</x:v>
      </x:c>
    </x:row>
    <x:row r="63">
      <x:c r="A63" t="str">
        <x:v>LUM</x:v>
      </x:c>
      <x:c r="B63" t="str">
        <x:v>LUMINANCE 6901</x:v>
      </x:c>
      <x:c r="C63" t="n">
        <x:v>62</x:v>
      </x:c>
      <x:c r="D63" t="str">
        <x:v>065</x:v>
      </x:c>
      <x:c r="E63" t="str">
        <x:v>Russet</x:v>
      </x:c>
      <x:c r="F63" t="str">
        <x:v>赤褐色</x:v>
      </x:c>
      <x:c r="G63" t="str">
        <x:v>ラセット</x:v>
      </x:c>
      <x:c r="H63" t="str">
        <x:v>#BF4E45</x:v>
      </x:c>
      <x:c r="I63" t="str">
        <x:v>#FFFFFF</x:v>
      </x:c>
      <x:c r="J63" t="str">
        <x:v>https://www.carandache.com/content_files/uploaded_doc/product/10580/nuancier_luminance_fr.pdf</x:v>
      </x:c>
    </x:row>
    <x:row r="64">
      <x:c r="A64" t="str">
        <x:v>LUM</x:v>
      </x:c>
      <x:c r="B64" t="str">
        <x:v>LUMINANCE 6901</x:v>
      </x:c>
      <x:c r="C64" t="n">
        <x:v>63</x:v>
      </x:c>
      <x:c r="D64" t="str">
        <x:v>066</x:v>
      </x:c>
      <x:c r="E64" t="str">
        <x:v>Natural russet</x:v>
      </x:c>
      <x:c r="F64" t="str">
        <x:v>天然赤褐</x:v>
      </x:c>
      <x:c r="G64" t="str">
        <x:v>ナチュラルラセット</x:v>
      </x:c>
      <x:c r="H64" t="str">
        <x:v>#A85845</x:v>
      </x:c>
      <x:c r="I64" t="str">
        <x:v>#FFFFFF</x:v>
      </x:c>
      <x:c r="J64" t="str">
        <x:v>https://www.carandache.com/content_files/uploaded_doc/product/10580/nuancier_luminance_fr.pdf</x:v>
      </x:c>
    </x:row>
    <x:row r="65">
      <x:c r="A65" t="str">
        <x:v>LUM</x:v>
      </x:c>
      <x:c r="B65" t="str">
        <x:v>LUMINANCE 6901</x:v>
      </x:c>
      <x:c r="C65" t="n">
        <x:v>64</x:v>
      </x:c>
      <x:c r="D65" t="str">
        <x:v>069</x:v>
      </x:c>
      <x:c r="E65" t="str">
        <x:v>Burnt sienna</x:v>
      </x:c>
      <x:c r="F65" t="str">
        <x:v>熟赭紅</x:v>
      </x:c>
      <x:c r="G65" t="str">
        <x:v>バーントシェンナ</x:v>
      </x:c>
      <x:c r="H65" t="str">
        <x:v>#8A625F</x:v>
      </x:c>
      <x:c r="I65" t="str">
        <x:v>#FFFFFF</x:v>
      </x:c>
      <x:c r="J65" t="str">
        <x:v>https://www.carandache.com/content_files/uploaded_doc/product/10580/nuancier_luminance_fr.pdf</x:v>
      </x:c>
    </x:row>
    <x:row r="66">
      <x:c r="A66" t="str">
        <x:v>LUM</x:v>
      </x:c>
      <x:c r="B66" t="str">
        <x:v>LUMINANCE 6901</x:v>
      </x:c>
      <x:c r="C66" t="n">
        <x:v>65</x:v>
      </x:c>
      <x:c r="D66" t="str">
        <x:v>748</x:v>
      </x:c>
      <x:c r="E66" t="str">
        <x:v>Dark flesh</x:v>
      </x:c>
      <x:c r="F66" t="str">
        <x:v>深膚色</x:v>
      </x:c>
      <x:c r="G66" t="str">
        <x:v>ダークフレッシュ</x:v>
      </x:c>
      <x:c r="H66" t="str">
        <x:v>#695049</x:v>
      </x:c>
      <x:c r="I66" t="str">
        <x:v>#FFFFFF</x:v>
      </x:c>
      <x:c r="J66" t="str">
        <x:v>https://www.carandache.com/content_files/uploaded_doc/product/10580/nuancier_luminance_fr.pdf</x:v>
      </x:c>
    </x:row>
    <x:row r="67">
      <x:c r="A67" t="str">
        <x:v>LUM</x:v>
      </x:c>
      <x:c r="B67" t="str">
        <x:v>LUMINANCE 6901</x:v>
      </x:c>
      <x:c r="C67" t="n">
        <x:v>66</x:v>
      </x:c>
      <x:c r="D67" t="str">
        <x:v>046</x:v>
      </x:c>
      <x:c r="E67" t="str">
        <x:v>Cassel earth</x:v>
      </x:c>
      <x:c r="F67" t="str">
        <x:v>卡塞爾土色</x:v>
      </x:c>
      <x:c r="G67" t="str">
        <x:v>カッセルアース</x:v>
      </x:c>
      <x:c r="H67" t="str">
        <x:v>#646150</x:v>
      </x:c>
      <x:c r="I67" t="str">
        <x:v>#FFFFFF</x:v>
      </x:c>
      <x:c r="J67" t="str">
        <x:v>https://www.carandache.com/content_files/uploaded_doc/product/10580/nuancier_luminance_fr.pdf</x:v>
      </x:c>
    </x:row>
    <x:row r="68">
      <x:c r="A68" t="str">
        <x:v>LUM</x:v>
      </x:c>
      <x:c r="B68" t="str">
        <x:v>LUMINANCE 6901</x:v>
      </x:c>
      <x:c r="C68" t="n">
        <x:v>67</x:v>
      </x:c>
      <x:c r="D68" t="str">
        <x:v>575</x:v>
      </x:c>
      <x:c r="E68" t="str">
        <x:v>Carmine lake</x:v>
      </x:c>
      <x:c r="F68" t="str">
        <x:v>胭脂紅色淀</x:v>
      </x:c>
      <x:c r="G68" t="str">
        <x:v>カーマインレーキ</x:v>
      </x:c>
      <x:c r="H68" t="str">
        <x:v>#4C2D2D</x:v>
      </x:c>
      <x:c r="I68" t="str">
        <x:v>#FFFFFF</x:v>
      </x:c>
      <x:c r="J68" t="str">
        <x:v>https://www.carandache.com/content_files/uploaded_doc/product/10580/nuancier_luminance_fr.pdf</x:v>
      </x:c>
    </x:row>
    <x:row r="69">
      <x:c r="A69" t="str">
        <x:v>LUM</x:v>
      </x:c>
      <x:c r="B69" t="str">
        <x:v>LUMINANCE 6901</x:v>
      </x:c>
      <x:c r="C69" t="n">
        <x:v>68</x:v>
      </x:c>
      <x:c r="D69" t="str">
        <x:v>407</x:v>
      </x:c>
      <x:c r="E69" t="str">
        <x:v>Sepia</x:v>
      </x:c>
      <x:c r="F69" t="str">
        <x:v>深褐色</x:v>
      </x:c>
      <x:c r="G69" t="str">
        <x:v>セピア</x:v>
      </x:c>
      <x:c r="H69" t="str">
        <x:v>#4C433F</x:v>
      </x:c>
      <x:c r="I69" t="str">
        <x:v>#FFFFFF</x:v>
      </x:c>
      <x:c r="J69" t="str">
        <x:v>https://www.carandache.com/content_files/uploaded_doc/product/10580/nuancier_luminance_fr.pdf</x:v>
      </x:c>
    </x:row>
    <x:row r="70">
      <x:c r="A70" t="str">
        <x:v>LUM</x:v>
      </x:c>
      <x:c r="B70" t="str">
        <x:v>LUMINANCE 6901</x:v>
      </x:c>
      <x:c r="C70" t="n">
        <x:v>69</x:v>
      </x:c>
      <x:c r="D70" t="str">
        <x:v>906</x:v>
      </x:c>
      <x:c r="E70" t="str">
        <x:v>Sepia 50%</x:v>
      </x:c>
      <x:c r="F70" t="str">
        <x:v>深褐色 50%</x:v>
      </x:c>
      <x:c r="G70" t="str">
        <x:v>セピア 50%</x:v>
      </x:c>
      <x:c r="H70" t="str">
        <x:v>#82787B</x:v>
      </x:c>
      <x:c r="I70" t="str">
        <x:v>#000000</x:v>
      </x:c>
      <x:c r="J70" t="str">
        <x:v>https://www.carandache.com/content_files/uploaded_doc/product/10580/nuancier_luminance_fr.pdf</x:v>
      </x:c>
    </x:row>
    <x:row r="71">
      <x:c r="A71" t="str">
        <x:v>LUM</x:v>
      </x:c>
      <x:c r="B71" t="str">
        <x:v>LUMINANCE 6901</x:v>
      </x:c>
      <x:c r="C71" t="n">
        <x:v>70</x:v>
      </x:c>
      <x:c r="D71" t="str">
        <x:v>866</x:v>
      </x:c>
      <x:c r="E71" t="str">
        <x:v>Burnt sienna 50%</x:v>
      </x:c>
      <x:c r="F71" t="str">
        <x:v>熟赭紅 50%</x:v>
      </x:c>
      <x:c r="G71" t="str">
        <x:v>バーントシェンナ 50%</x:v>
      </x:c>
      <x:c r="H71" t="str">
        <x:v>#995C5D</x:v>
      </x:c>
      <x:c r="I71" t="str">
        <x:v>#FFFFFF</x:v>
      </x:c>
      <x:c r="J71" t="str">
        <x:v>https://www.carandache.com/content_files/uploaded_doc/product/10580/nuancier_luminance_fr.pdf</x:v>
      </x:c>
    </x:row>
    <x:row r="72">
      <x:c r="A72" t="str">
        <x:v>LUM</x:v>
      </x:c>
      <x:c r="B72" t="str">
        <x:v>LUMINANCE 6901</x:v>
      </x:c>
      <x:c r="C72" t="n">
        <x:v>71</x:v>
      </x:c>
      <x:c r="D72" t="str">
        <x:v>583</x:v>
      </x:c>
      <x:c r="E72" t="str">
        <x:v>Violet pink</x:v>
      </x:c>
      <x:c r="F72" t="str">
        <x:v>紫粉紅</x:v>
      </x:c>
      <x:c r="G72" t="str">
        <x:v>バイオレットピンク</x:v>
      </x:c>
      <x:c r="H72" t="str">
        <x:v>#C28F94</x:v>
      </x:c>
      <x:c r="I72" t="str">
        <x:v>#000000</x:v>
      </x:c>
      <x:c r="J72" t="str">
        <x:v>https://www.carandache.com/content_files/uploaded_doc/product/10580/nuancier_luminance_fr.pdf</x:v>
      </x:c>
    </x:row>
    <x:row r="73">
      <x:c r="A73" t="str">
        <x:v>LUM</x:v>
      </x:c>
      <x:c r="B73" t="str">
        <x:v>LUMINANCE 6901</x:v>
      </x:c>
      <x:c r="C73" t="n">
        <x:v>72</x:v>
      </x:c>
      <x:c r="D73" t="str">
        <x:v>094</x:v>
      </x:c>
      <x:c r="E73" t="str">
        <x:v>Hibiscus pink</x:v>
      </x:c>
      <x:c r="F73" t="str">
        <x:v>木槿粉紅</x:v>
      </x:c>
      <x:c r="G73" t="str">
        <x:v>ハイビスカスピンク</x:v>
      </x:c>
      <x:c r="H73" t="str">
        <x:v>#C88281</x:v>
      </x:c>
      <x:c r="I73" t="str">
        <x:v>#000000</x:v>
      </x:c>
      <x:c r="J73" t="str">
        <x:v>https://www.carandache.com/content_files/uploaded_doc/product/10580/nuancier_luminance_fr.pdf</x:v>
      </x:c>
    </x:row>
    <x:row r="74">
      <x:c r="A74" t="str">
        <x:v>LUM</x:v>
      </x:c>
      <x:c r="B74" t="str">
        <x:v>LUMINANCE 6901</x:v>
      </x:c>
      <x:c r="C74" t="n">
        <x:v>73</x:v>
      </x:c>
      <x:c r="D74" t="str">
        <x:v>095</x:v>
      </x:c>
      <x:c r="E74" t="str">
        <x:v>Light aubergine</x:v>
      </x:c>
      <x:c r="F74" t="str">
        <x:v>淺茄紫</x:v>
      </x:c>
      <x:c r="G74" t="str">
        <x:v>ライトオーベルジーヌ</x:v>
      </x:c>
      <x:c r="H74" t="str">
        <x:v>#704F65</x:v>
      </x:c>
      <x:c r="I74" t="str">
        <x:v>#FFFFFF</x:v>
      </x:c>
      <x:c r="J74" t="str">
        <x:v>https://www.carandache.com/content_files/uploaded_doc/product/10580/nuancier_luminance_fr.pdf</x:v>
      </x:c>
    </x:row>
    <x:row r="75">
      <x:c r="A75" t="str">
        <x:v>LUM</x:v>
      </x:c>
      <x:c r="B75" t="str">
        <x:v>LUMINANCE 6901</x:v>
      </x:c>
      <x:c r="C75" t="n">
        <x:v>74</x:v>
      </x:c>
      <x:c r="D75" t="str">
        <x:v>115</x:v>
      </x:c>
      <x:c r="E75" t="str">
        <x:v>Quinacridone purple</x:v>
      </x:c>
      <x:c r="F75" t="str">
        <x:v>喹吖啶酮紫</x:v>
      </x:c>
      <x:c r="G75" t="str">
        <x:v>キナクリドンパープル</x:v>
      </x:c>
      <x:c r="H75" t="str">
        <x:v>#642664</x:v>
      </x:c>
      <x:c r="I75" t="str">
        <x:v>#FFFFFF</x:v>
      </x:c>
      <x:c r="J75" t="str">
        <x:v>https://www.carandache.com/content_files/uploaded_doc/product/10580/nuancier_luminance_fr.pdf</x:v>
      </x:c>
    </x:row>
    <x:row r="76">
      <x:c r="A76" t="str">
        <x:v>LUM</x:v>
      </x:c>
      <x:c r="B76" t="str">
        <x:v>LUMINANCE 6901</x:v>
      </x:c>
      <x:c r="C76" t="n">
        <x:v>75</x:v>
      </x:c>
      <x:c r="D76" t="str">
        <x:v>129</x:v>
      </x:c>
      <x:c r="E76" t="str">
        <x:v>Violet brown</x:v>
      </x:c>
      <x:c r="F76" t="str">
        <x:v>紫棕</x:v>
      </x:c>
      <x:c r="G76" t="str">
        <x:v>バイオレットブラウン</x:v>
      </x:c>
      <x:c r="H76" t="str">
        <x:v>#6D527B</x:v>
      </x:c>
      <x:c r="I76" t="str">
        <x:v>#FFFFFF</x:v>
      </x:c>
      <x:c r="J76" t="str">
        <x:v>https://www.carandache.com/content_files/uploaded_doc/product/10580/nuancier_luminance_fr.pdf</x:v>
      </x:c>
    </x:row>
    <x:row r="77">
      <x:c r="A77" t="str">
        <x:v>LUM</x:v>
      </x:c>
      <x:c r="B77" t="str">
        <x:v>LUMINANCE 6901</x:v>
      </x:c>
      <x:c r="C77" t="n">
        <x:v>76</x:v>
      </x:c>
      <x:c r="D77" t="str">
        <x:v>630</x:v>
      </x:c>
      <x:c r="E77" t="str">
        <x:v>Ultramarine violet</x:v>
      </x:c>
      <x:c r="F77" t="str">
        <x:v>群青紫</x:v>
      </x:c>
      <x:c r="G77" t="str">
        <x:v>ウルトラマリンバイオレット</x:v>
      </x:c>
      <x:c r="H77" t="str">
        <x:v>#9998C5</x:v>
      </x:c>
      <x:c r="I77" t="str">
        <x:v>#000000</x:v>
      </x:c>
      <x:c r="J77" t="str">
        <x:v>https://www.carandache.com/content_files/uploaded_doc/product/10580/nuancier_luminance_fr.pdf</x:v>
      </x:c>
    </x:row>
    <x:row r="78">
      <x:c r="A78" t="str">
        <x:v>LUM</x:v>
      </x:c>
      <x:c r="B78" t="str">
        <x:v>LUMINANCE 6901</x:v>
      </x:c>
      <x:c r="C78" t="n">
        <x:v>77</x:v>
      </x:c>
      <x:c r="D78" t="str">
        <x:v>112</x:v>
      </x:c>
      <x:c r="E78" t="str">
        <x:v>Manganese violet</x:v>
      </x:c>
      <x:c r="F78" t="str">
        <x:v>錳紫</x:v>
      </x:c>
      <x:c r="G78" t="str">
        <x:v>マンガニーズバイオレット</x:v>
      </x:c>
      <x:c r="H78" t="str">
        <x:v>#C08FBC</x:v>
      </x:c>
      <x:c r="I78" t="str">
        <x:v>#000000</x:v>
      </x:c>
      <x:c r="J78" t="str">
        <x:v>https://www.carandache.com/content_files/uploaded_doc/product/10580/nuancier_luminance_fr.pdf</x:v>
      </x:c>
    </x:row>
    <x:row r="79">
      <x:c r="A79" t="str">
        <x:v>LUM</x:v>
      </x:c>
      <x:c r="B79" t="str">
        <x:v>LUMINANCE 6901</x:v>
      </x:c>
      <x:c r="C79" t="n">
        <x:v>78</x:v>
      </x:c>
      <x:c r="D79" t="str">
        <x:v>083</x:v>
      </x:c>
      <x:c r="E79" t="str">
        <x:v>Ultramarin pink</x:v>
      </x:c>
      <x:c r="F79" t="str">
        <x:v>群青粉紅</x:v>
      </x:c>
      <x:c r="G79" t="str">
        <x:v>ウルトラマリンピンク</x:v>
      </x:c>
      <x:c r="H79" t="str">
        <x:v>#C796C0</x:v>
      </x:c>
      <x:c r="I79" t="str">
        <x:v>#000000</x:v>
      </x:c>
      <x:c r="J79" t="str">
        <x:v>https://www.carandache.com/content_files/uploaded_doc/product/10580/nuancier_luminance_fr.pdf</x:v>
      </x:c>
    </x:row>
    <x:row r="80">
      <x:c r="A80" t="str">
        <x:v>LUM</x:v>
      </x:c>
      <x:c r="B80" t="str">
        <x:v>LUMINANCE 6901</x:v>
      </x:c>
      <x:c r="C80" t="n">
        <x:v>79</x:v>
      </x:c>
      <x:c r="D80" t="str">
        <x:v>571</x:v>
      </x:c>
      <x:c r="E80" t="str">
        <x:v>Anthraquinoid pink</x:v>
      </x:c>
      <x:c r="F80" t="str">
        <x:v>蒽醌粉紅</x:v>
      </x:c>
      <x:c r="G80" t="str">
        <x:v>アントラキノイドピンク</x:v>
      </x:c>
      <x:c r="H80" t="str">
        <x:v>#EE7C7C</x:v>
      </x:c>
      <x:c r="I80" t="str">
        <x:v>#000000</x:v>
      </x:c>
      <x:c r="J80" t="str">
        <x:v>https://www.carandache.com/content_files/uploaded_doc/product/10580/nuancier_luminance_fr.pdf</x:v>
      </x:c>
    </x:row>
    <x:row r="81">
      <x:c r="A81" t="str">
        <x:v>LUM</x:v>
      </x:c>
      <x:c r="B81" t="str">
        <x:v>LUMINANCE 6901</x:v>
      </x:c>
      <x:c r="C81" t="n">
        <x:v>80</x:v>
      </x:c>
      <x:c r="D81" t="str">
        <x:v>041</x:v>
      </x:c>
      <x:c r="E81" t="str">
        <x:v>Apricot</x:v>
      </x:c>
      <x:c r="F81" t="str">
        <x:v>杏色</x:v>
      </x:c>
      <x:c r="G81" t="str">
        <x:v>アプリコット</x:v>
      </x:c>
      <x:c r="H81" t="str">
        <x:v>#F1A05D</x:v>
      </x:c>
      <x:c r="I81" t="str">
        <x:v>#000000</x:v>
      </x:c>
      <x:c r="J81" t="str">
        <x:v>https://www.carandache.com/content_files/uploaded_doc/product/10580/nuancier_luminance_fr.pdf</x:v>
      </x:c>
    </x:row>
    <x:row r="82">
      <x:c r="A82" t="str">
        <x:v>LUM</x:v>
      </x:c>
      <x:c r="B82" t="str">
        <x:v>LUMINANCE 6901</x:v>
      </x:c>
      <x:c r="C82" t="n">
        <x:v>81</x:v>
      </x:c>
      <x:c r="D82" t="str">
        <x:v>732</x:v>
      </x:c>
      <x:c r="E82" t="str">
        <x:v>Brown olive 10%</x:v>
      </x:c>
      <x:c r="F82" t="str">
        <x:v>棕橄欖色 10%</x:v>
      </x:c>
      <x:c r="G82" t="str">
        <x:v>ブラウンオリーブ 10%</x:v>
      </x:c>
      <x:c r="H82" t="str">
        <x:v>#E3CFA0</x:v>
      </x:c>
      <x:c r="I82" t="str">
        <x:v>#000000</x:v>
      </x:c>
      <x:c r="J82" t="str">
        <x:v>https://www.carandache.com/content_files/uploaded_doc/product/10580/nuancier_luminance_fr.pdf</x:v>
      </x:c>
    </x:row>
    <x:row r="83">
      <x:c r="A83" t="str">
        <x:v>LUM</x:v>
      </x:c>
      <x:c r="B83" t="str">
        <x:v>LUMINANCE 6901</x:v>
      </x:c>
      <x:c r="C83" t="n">
        <x:v>82</x:v>
      </x:c>
      <x:c r="D83" t="str">
        <x:v>542</x:v>
      </x:c>
      <x:c r="E83" t="str">
        <x:v>Butternut</x:v>
      </x:c>
      <x:c r="F83" t="str">
        <x:v>胡桃木色</x:v>
      </x:c>
      <x:c r="G83" t="str">
        <x:v>バターナット</x:v>
      </x:c>
      <x:c r="H83" t="str">
        <x:v>#F7D5A6</x:v>
      </x:c>
      <x:c r="I83" t="str">
        <x:v>#000000</x:v>
      </x:c>
      <x:c r="J83" t="str">
        <x:v>https://www.carandache.com/content_files/uploaded_doc/product/10580/nuancier_luminance_fr.pdf</x:v>
      </x:c>
    </x:row>
    <x:row r="84">
      <x:c r="A84" t="str">
        <x:v>LUM</x:v>
      </x:c>
      <x:c r="B84" t="str">
        <x:v>LUMINANCE 6901</x:v>
      </x:c>
      <x:c r="C84" t="n">
        <x:v>83</x:v>
      </x:c>
      <x:c r="D84" t="str">
        <x:v>832</x:v>
      </x:c>
      <x:c r="E84" t="str">
        <x:v>Brown ochre 10%</x:v>
      </x:c>
      <x:c r="F84" t="str">
        <x:v>棕赭色 10%</x:v>
      </x:c>
      <x:c r="G84" t="str">
        <x:v>ブラウンオーカー 10%</x:v>
      </x:c>
      <x:c r="H84" t="str">
        <x:v>#F7D7BF</x:v>
      </x:c>
      <x:c r="I84" t="str">
        <x:v>#000000</x:v>
      </x:c>
      <x:c r="J84" t="str">
        <x:v>https://www.carandache.com/content_files/uploaded_doc/product/10580/nuancier_luminance_fr.pdf</x:v>
      </x:c>
    </x:row>
    <x:row r="85">
      <x:c r="A85" t="str">
        <x:v>LUM</x:v>
      </x:c>
      <x:c r="B85" t="str">
        <x:v>LUMINANCE 6901</x:v>
      </x:c>
      <x:c r="C85" t="n">
        <x:v>84</x:v>
      </x:c>
      <x:c r="D85" t="str">
        <x:v>068</x:v>
      </x:c>
      <x:c r="E85" t="str">
        <x:v>Herculanum red</x:v>
      </x:c>
      <x:c r="F85" t="str">
        <x:v>赫庫蘭尼姆紅</x:v>
      </x:c>
      <x:c r="G85" t="str">
        <x:v>ヘルクラネウムレッド</x:v>
      </x:c>
      <x:c r="H85" t="str">
        <x:v>#ECB09F</x:v>
      </x:c>
      <x:c r="I85" t="str">
        <x:v>#000000</x:v>
      </x:c>
      <x:c r="J85" t="str">
        <x:v>https://www.carandache.com/content_files/uploaded_doc/product/10580/nuancier_luminance_fr.pdf</x:v>
      </x:c>
    </x:row>
    <x:row r="86">
      <x:c r="A86" t="str">
        <x:v>LUM</x:v>
      </x:c>
      <x:c r="B86" t="str">
        <x:v>LUMINANCE 6901</x:v>
      </x:c>
      <x:c r="C86" t="n">
        <x:v>85</x:v>
      </x:c>
      <x:c r="D86" t="str">
        <x:v>872</x:v>
      </x:c>
      <x:c r="E86" t="str">
        <x:v>Burnt ochre 10%</x:v>
      </x:c>
      <x:c r="F86" t="str">
        <x:v>熟赭色 10%</x:v>
      </x:c>
      <x:c r="G86" t="str">
        <x:v>バーントオーカー 10%</x:v>
      </x:c>
      <x:c r="H86" t="str">
        <x:v>#E9C1AA</x:v>
      </x:c>
      <x:c r="I86" t="str">
        <x:v>#000000</x:v>
      </x:c>
      <x:c r="J86" t="str">
        <x:v>https://www.carandache.com/content_files/uploaded_doc/product/10580/nuancier_luminance_fr.pdf</x:v>
      </x:c>
    </x:row>
    <x:row r="87">
      <x:c r="A87" t="str">
        <x:v>LUM</x:v>
      </x:c>
      <x:c r="B87" t="str">
        <x:v>LUMINANCE 6901</x:v>
      </x:c>
      <x:c r="C87" t="n">
        <x:v>86</x:v>
      </x:c>
      <x:c r="D87" t="str">
        <x:v>842</x:v>
      </x:c>
      <x:c r="E87" t="str">
        <x:v>Raw umber 10%</x:v>
      </x:c>
      <x:c r="F87" t="str">
        <x:v>生褐色 10%</x:v>
      </x:c>
      <x:c r="G87" t="str">
        <x:v>ローアンバー 10%</x:v>
      </x:c>
      <x:c r="H87" t="str">
        <x:v>#D6C1A3</x:v>
      </x:c>
      <x:c r="I87" t="str">
        <x:v>#000000</x:v>
      </x:c>
      <x:c r="J87" t="str">
        <x:v>https://www.carandache.com/content_files/uploaded_doc/product/10580/nuancier_luminance_fr.pdf</x:v>
      </x:c>
    </x:row>
    <x:row r="88">
      <x:c r="A88" t="str">
        <x:v>LUM</x:v>
      </x:c>
      <x:c r="B88" t="str">
        <x:v>LUMINANCE 6901</x:v>
      </x:c>
      <x:c r="C88" t="n">
        <x:v>87</x:v>
      </x:c>
      <x:c r="D88" t="str">
        <x:v>802</x:v>
      </x:c>
      <x:c r="E88" t="str">
        <x:v>French grey 10%</x:v>
      </x:c>
      <x:c r="F88" t="str">
        <x:v>法國灰 10%</x:v>
      </x:c>
      <x:c r="G88" t="str">
        <x:v>フレンチグレー 10%</x:v>
      </x:c>
      <x:c r="H88" t="str">
        <x:v>#C2B4AF</x:v>
      </x:c>
      <x:c r="I88" t="str">
        <x:v>#000000</x:v>
      </x:c>
      <x:c r="J88" t="str">
        <x:v>https://www.carandache.com/content_files/uploaded_doc/product/10580/nuancier_luminance_fr.pdf</x:v>
      </x:c>
    </x:row>
    <x:row r="89">
      <x:c r="A89" t="str">
        <x:v>LUM</x:v>
      </x:c>
      <x:c r="B89" t="str">
        <x:v>LUMINANCE 6901</x:v>
      </x:c>
      <x:c r="C89" t="n">
        <x:v>88</x:v>
      </x:c>
      <x:c r="D89" t="str">
        <x:v>862</x:v>
      </x:c>
      <x:c r="E89" t="str">
        <x:v>Burnt sienna 10%</x:v>
      </x:c>
      <x:c r="F89" t="str">
        <x:v>熟赭紅 10%</x:v>
      </x:c>
      <x:c r="G89" t="str">
        <x:v>バーントシェンナ 10%</x:v>
      </x:c>
      <x:c r="H89" t="str">
        <x:v>#DBBABA</x:v>
      </x:c>
      <x:c r="I89" t="str">
        <x:v>#000000</x:v>
      </x:c>
      <x:c r="J89" t="str">
        <x:v>https://www.carandache.com/content_files/uploaded_doc/product/10580/nuancier_luminance_fr.pdf</x:v>
      </x:c>
    </x:row>
    <x:row r="90">
      <x:c r="A90" t="str">
        <x:v>LUM</x:v>
      </x:c>
      <x:c r="B90" t="str">
        <x:v>LUMINANCE 6901</x:v>
      </x:c>
      <x:c r="C90" t="n">
        <x:v>89</x:v>
      </x:c>
      <x:c r="D90" t="str">
        <x:v>093</x:v>
      </x:c>
      <x:c r="E90" t="str">
        <x:v>Violet grey</x:v>
      </x:c>
      <x:c r="F90" t="str">
        <x:v>紫灰色</x:v>
      </x:c>
      <x:c r="G90" t="str">
        <x:v>バイオレットグレー</x:v>
      </x:c>
      <x:c r="H90" t="str">
        <x:v>#B5ABB0</x:v>
      </x:c>
      <x:c r="I90" t="str">
        <x:v>#000000</x:v>
      </x:c>
      <x:c r="J90" t="str">
        <x:v>https://www.carandache.com/content_files/uploaded_doc/product/10580/nuancier_luminance_fr.pdf</x:v>
      </x:c>
    </x:row>
    <x:row r="91">
      <x:c r="A91" t="str">
        <x:v>LUM</x:v>
      </x:c>
      <x:c r="B91" t="str">
        <x:v>LUMINANCE 6901</x:v>
      </x:c>
      <x:c r="C91" t="n">
        <x:v>90</x:v>
      </x:c>
      <x:c r="D91" t="str">
        <x:v>902</x:v>
      </x:c>
      <x:c r="E91" t="str">
        <x:v>Sepia 10%</x:v>
      </x:c>
      <x:c r="F91" t="str">
        <x:v>深褐色 10%</x:v>
      </x:c>
      <x:c r="G91" t="str">
        <x:v>セピア 10%</x:v>
      </x:c>
      <x:c r="H91" t="str">
        <x:v>#A49594</x:v>
      </x:c>
      <x:c r="I91" t="str">
        <x:v>#000000</x:v>
      </x:c>
      <x:c r="J91" t="str">
        <x:v>https://www.carandache.com/content_files/uploaded_doc/product/10580/nuancier_luminance_fr.pdf</x:v>
      </x:c>
    </x:row>
    <x:row r="92">
      <x:c r="A92" t="str">
        <x:v>LUM</x:v>
      </x:c>
      <x:c r="B92" t="str">
        <x:v>LUMINANCE 6901</x:v>
      </x:c>
      <x:c r="C92" t="n">
        <x:v>91</x:v>
      </x:c>
      <x:c r="D92" t="str">
        <x:v>803</x:v>
      </x:c>
      <x:c r="E92" t="str">
        <x:v>French grey 30%</x:v>
      </x:c>
      <x:c r="F92" t="str">
        <x:v>法國灰 30%</x:v>
      </x:c>
      <x:c r="G92" t="str">
        <x:v>フレンチグレー 30%</x:v>
      </x:c>
      <x:c r="H92" t="str">
        <x:v>#A99D97</x:v>
      </x:c>
      <x:c r="I92" t="str">
        <x:v>#000000</x:v>
      </x:c>
      <x:c r="J92" t="str">
        <x:v>https://www.carandache.com/content_files/uploaded_doc/product/10580/nuancier_luminance_fr.pdf</x:v>
      </x:c>
    </x:row>
    <x:row r="93">
      <x:c r="A93" t="str">
        <x:v>LUM</x:v>
      </x:c>
      <x:c r="B93" t="str">
        <x:v>LUMINANCE 6901</x:v>
      </x:c>
      <x:c r="C93" t="n">
        <x:v>92</x:v>
      </x:c>
      <x:c r="D93" t="str">
        <x:v>002</x:v>
      </x:c>
      <x:c r="E93" t="str">
        <x:v>Silver grey</x:v>
      </x:c>
      <x:c r="F93" t="str">
        <x:v>銀灰色</x:v>
      </x:c>
      <x:c r="G93" t="str">
        <x:v>シルバーグレー</x:v>
      </x:c>
      <x:c r="H93" t="str">
        <x:v>#DCEAF7</x:v>
      </x:c>
      <x:c r="I93" t="str">
        <x:v>#000000</x:v>
      </x:c>
      <x:c r="J93" t="str">
        <x:v>https://www.carandache.com/content_files/uploaded_doc/product/10580/nuancier_luminance_fr.pdf</x:v>
      </x:c>
    </x:row>
    <x:row r="94">
      <x:c r="A94" t="str">
        <x:v>LUM</x:v>
      </x:c>
      <x:c r="B94" t="str">
        <x:v>LUMINANCE 6901</x:v>
      </x:c>
      <x:c r="C94" t="n">
        <x:v>93</x:v>
      </x:c>
      <x:c r="D94" t="str">
        <x:v>004</x:v>
      </x:c>
      <x:c r="E94" t="str">
        <x:v>Steel grey</x:v>
      </x:c>
      <x:c r="F94" t="str">
        <x:v>鋼灰色</x:v>
      </x:c>
      <x:c r="G94" t="str">
        <x:v>スチールグレー</x:v>
      </x:c>
      <x:c r="H94" t="str">
        <x:v>#99A9B6</x:v>
      </x:c>
      <x:c r="I94" t="str">
        <x:v>#000000</x:v>
      </x:c>
      <x:c r="J94" t="str">
        <x:v>https://www.carandache.com/content_files/uploaded_doc/product/10580/nuancier_luminance_fr.pdf</x:v>
      </x:c>
    </x:row>
    <x:row r="95">
      <x:c r="A95" t="str">
        <x:v>LUM</x:v>
      </x:c>
      <x:c r="B95" t="str">
        <x:v>LUMINANCE 6901</x:v>
      </x:c>
      <x:c r="C95" t="n">
        <x:v>94</x:v>
      </x:c>
      <x:c r="D95" t="str">
        <x:v>504</x:v>
      </x:c>
      <x:c r="E95" t="str">
        <x:v>Payne’s grey 30%</x:v>
      </x:c>
      <x:c r="F95" t="str">
        <x:v>佩恩灰 30%</x:v>
      </x:c>
      <x:c r="G95" t="str">
        <x:v>ペインズグレー 30%</x:v>
      </x:c>
      <x:c r="H95" t="str">
        <x:v>#9CA9B9</x:v>
      </x:c>
      <x:c r="I95" t="str">
        <x:v>#000000</x:v>
      </x:c>
      <x:c r="J95" t="str">
        <x:v>https://www.carandache.com/content_files/uploaded_doc/product/10580/nuancier_luminance_fr.pdf</x:v>
      </x:c>
    </x:row>
    <x:row r="96">
      <x:c r="A96" t="str">
        <x:v>LUM</x:v>
      </x:c>
      <x:c r="B96" t="str">
        <x:v>LUMINANCE 6901</x:v>
      </x:c>
      <x:c r="C96" t="n">
        <x:v>95</x:v>
      </x:c>
      <x:c r="D96" t="str">
        <x:v>808</x:v>
      </x:c>
      <x:c r="E96" t="str">
        <x:v>French grey 70%</x:v>
      </x:c>
      <x:c r="F96" t="str">
        <x:v>法國灰 70%</x:v>
      </x:c>
      <x:c r="G96" t="str">
        <x:v>フレンチグレー 70%</x:v>
      </x:c>
      <x:c r="H96" t="str">
        <x:v>#848179</x:v>
      </x:c>
      <x:c r="I96" t="str">
        <x:v>#000000</x:v>
      </x:c>
      <x:c r="J96" t="str">
        <x:v>https://www.carandache.com/content_files/uploaded_doc/product/10580/nuancier_luminance_fr.pdf</x:v>
      </x:c>
    </x:row>
    <x:row r="97">
      <x:c r="A97" t="str">
        <x:v>LUM</x:v>
      </x:c>
      <x:c r="B97" t="str">
        <x:v>LUMINANCE 6901</x:v>
      </x:c>
      <x:c r="C97" t="n">
        <x:v>96</x:v>
      </x:c>
      <x:c r="D97" t="str">
        <x:v>495</x:v>
      </x:c>
      <x:c r="E97" t="str">
        <x:v>Slate grey</x:v>
      </x:c>
      <x:c r="F97" t="str">
        <x:v>板岩灰</x:v>
      </x:c>
      <x:c r="G97" t="str">
        <x:v>スレートグレー</x:v>
      </x:c>
      <x:c r="H97" t="str">
        <x:v>#6F7070</x:v>
      </x:c>
      <x:c r="I97" t="str">
        <x:v>#FFFFFF</x:v>
      </x:c>
      <x:c r="J97" t="str">
        <x:v>https://www.carandache.com/content_files/uploaded_doc/product/10580/nuancier_luminance_fr.pdf</x:v>
      </x:c>
    </x:row>
    <x:row r="98">
      <x:c r="A98" t="str">
        <x:v>LUM</x:v>
      </x:c>
      <x:c r="B98" t="str">
        <x:v>LUMINANCE 6901</x:v>
      </x:c>
      <x:c r="C98" t="n">
        <x:v>97</x:v>
      </x:c>
      <x:c r="D98" t="str">
        <x:v>507</x:v>
      </x:c>
      <x:c r="E98" t="str">
        <x:v>Payne’s grey 60%</x:v>
      </x:c>
      <x:c r="F98" t="str">
        <x:v>佩恩灰 60%</x:v>
      </x:c>
      <x:c r="G98" t="str">
        <x:v>ペインズグレー 60%</x:v>
      </x:c>
      <x:c r="H98" t="str">
        <x:v>#6D7A86</x:v>
      </x:c>
      <x:c r="I98" t="str">
        <x:v>#000000</x:v>
      </x:c>
      <x:c r="J98" t="str">
        <x:v>https://www.carandache.com/content_files/uploaded_doc/product/10580/nuancier_luminance_fr.pdf</x:v>
      </x:c>
    </x:row>
    <x:row r="99">
      <x:c r="A99" t="str">
        <x:v>LUM</x:v>
      </x:c>
      <x:c r="B99" t="str">
        <x:v>LUMINANCE 6901</x:v>
      </x:c>
      <x:c r="C99" t="n">
        <x:v>98</x:v>
      </x:c>
      <x:c r="D99" t="str">
        <x:v>508</x:v>
      </x:c>
      <x:c r="E99" t="str">
        <x:v>Payne’s grey 70%</x:v>
      </x:c>
      <x:c r="F99" t="str">
        <x:v>佩恩灰 70%</x:v>
      </x:c>
      <x:c r="G99" t="str">
        <x:v>ペインズグレー 70%</x:v>
      </x:c>
      <x:c r="H99" t="str">
        <x:v>#4C5860</x:v>
      </x:c>
      <x:c r="I99" t="str">
        <x:v>#FFFFFF</x:v>
      </x:c>
      <x:c r="J99" t="str">
        <x:v>https://www.carandache.com/content_files/uploaded_doc/product/10580/nuancier_luminance_fr.pdf</x:v>
      </x:c>
    </x:row>
    <x:row r="100">
      <x:c r="A100" t="str">
        <x:v>LUM</x:v>
      </x:c>
      <x:c r="B100" t="str">
        <x:v>LUMINANCE 6901</x:v>
      </x:c>
      <x:c r="C100" t="n">
        <x:v>99</x:v>
      </x:c>
      <x:c r="D100" t="str">
        <x:v>639</x:v>
      </x:c>
      <x:c r="E100" t="str">
        <x:v>Dark indigo</x:v>
      </x:c>
      <x:c r="F100" t="str">
        <x:v>深靛藍</x:v>
      </x:c>
      <x:c r="G100" t="str">
        <x:v>ダークインディゴ</x:v>
      </x:c>
      <x:c r="H100" t="str">
        <x:v>#222427</x:v>
      </x:c>
      <x:c r="I100" t="str">
        <x:v>#FFFFFF</x:v>
      </x:c>
      <x:c r="J100" t="str">
        <x:v>https://www.carandache.com/content_files/uploaded_doc/product/10580/nuancier_luminance_fr.pdf</x:v>
      </x:c>
    </x:row>
    <x:row r="101">
      <x:c r="A101" t="str">
        <x:v>LUM</x:v>
      </x:c>
      <x:c r="B101" t="str">
        <x:v>LUMINANCE 6901</x:v>
      </x:c>
      <x:c r="C101" t="n">
        <x:v>100</x:v>
      </x:c>
      <x:c r="D101" t="str">
        <x:v>009</x:v>
      </x:c>
      <x:c r="E101" t="str">
        <x:v>Black</x:v>
      </x:c>
      <x:c r="F101" t="str">
        <x:v>黑色</x:v>
      </x:c>
      <x:c r="G101" t="str">
        <x:v>ブラック</x:v>
      </x:c>
      <x:c r="H101" t="str">
        <x:v>#202021</x:v>
      </x:c>
      <x:c r="I101" t="str">
        <x:v>#FFFFFF</x:v>
      </x:c>
      <x:c r="J101" t="str">
        <x:v>https://www.carandache.com/content_files/uploaded_doc/product/10580/nuancier_luminance_fr.pdf</x:v>
      </x:c>
    </x:row>
    <x:row r="102">
      <x:c r="A102" t="str">
        <x:v>PAB</x:v>
      </x:c>
      <x:c r="B102" t="str">
        <x:v>PABLO</x:v>
      </x:c>
      <x:c r="C102" t="n">
        <x:v>1</x:v>
      </x:c>
      <x:c r="D102" t="str">
        <x:v>043</x:v>
      </x:c>
      <x:c r="E102" t="str">
        <x:v>Brownish orange</x:v>
      </x:c>
      <x:c r="F102" t="str">
        <x:v>褐橙色</x:v>
      </x:c>
      <x:c r="G102" t="str">
        <x:v>ブラウニッシュオレンジ</x:v>
      </x:c>
      <x:c r="H102" t="str">
        <x:v>#AE6856</x:v>
      </x:c>
      <x:c r="I102" t="str">
        <x:v>#000000</x:v>
      </x:c>
      <x:c r="J102" t="str">
        <x:v>https://www.carandache.com/content_files/uploaded_doc/product/10469/Colour_Chart_Pablo.pdf</x:v>
      </x:c>
    </x:row>
    <x:row r="103">
      <x:c r="A103" t="str">
        <x:v>PAB</x:v>
      </x:c>
      <x:c r="B103" t="str">
        <x:v>PABLO</x:v>
      </x:c>
      <x:c r="C103" t="n">
        <x:v>2</x:v>
      </x:c>
      <x:c r="D103" t="str">
        <x:v>067</x:v>
      </x:c>
      <x:c r="E103" t="str">
        <x:v>Mahogany</x:v>
      </x:c>
      <x:c r="F103" t="str">
        <x:v>桃花心木色</x:v>
      </x:c>
      <x:c r="G103" t="str">
        <x:v>マホガニー</x:v>
      </x:c>
      <x:c r="H103" t="str">
        <x:v>#A55041</x:v>
      </x:c>
      <x:c r="I103" t="str">
        <x:v>#FFFFFF</x:v>
      </x:c>
      <x:c r="J103" t="str">
        <x:v>https://www.carandache.com/content_files/uploaded_doc/product/10469/Colour_Chart_Pablo.pdf</x:v>
      </x:c>
    </x:row>
    <x:row r="104">
      <x:c r="A104" t="str">
        <x:v>PAB</x:v>
      </x:c>
      <x:c r="B104" t="str">
        <x:v>PABLO</x:v>
      </x:c>
      <x:c r="C104" t="n">
        <x:v>3</x:v>
      </x:c>
      <x:c r="D104" t="str">
        <x:v>085</x:v>
      </x:c>
      <x:c r="E104" t="str">
        <x:v>Bordeaux red</x:v>
      </x:c>
      <x:c r="F104" t="str">
        <x:v>波爾多紅</x:v>
      </x:c>
      <x:c r="G104" t="str">
        <x:v>ボルドーレッド</x:v>
      </x:c>
      <x:c r="H104" t="str">
        <x:v>#B24448</x:v>
      </x:c>
      <x:c r="I104" t="str">
        <x:v>#FFFFFF</x:v>
      </x:c>
      <x:c r="J104" t="str">
        <x:v>https://www.carandache.com/content_files/uploaded_doc/product/10469/Colour_Chart_Pablo.pdf</x:v>
      </x:c>
    </x:row>
    <x:row r="105">
      <x:c r="A105" t="str">
        <x:v>PAB</x:v>
      </x:c>
      <x:c r="B105" t="str">
        <x:v>PABLO</x:v>
      </x:c>
      <x:c r="C105" t="n">
        <x:v>4</x:v>
      </x:c>
      <x:c r="D105" t="str">
        <x:v>075</x:v>
      </x:c>
      <x:c r="E105" t="str">
        <x:v>Indian red</x:v>
      </x:c>
      <x:c r="F105" t="str">
        <x:v>印度紅</x:v>
      </x:c>
      <x:c r="G105" t="str">
        <x:v>インディアンレッド</x:v>
      </x:c>
      <x:c r="H105" t="str">
        <x:v>#C03840</x:v>
      </x:c>
      <x:c r="I105" t="str">
        <x:v>#FFFFFF</x:v>
      </x:c>
      <x:c r="J105" t="str">
        <x:v>https://www.carandache.com/content_files/uploaded_doc/product/10469/Colour_Chart_Pablo.pdf</x:v>
      </x:c>
    </x:row>
    <x:row r="106">
      <x:c r="A106" t="str">
        <x:v>PAB</x:v>
      </x:c>
      <x:c r="B106" t="str">
        <x:v>PABLO</x:v>
      </x:c>
      <x:c r="C106" t="n">
        <x:v>5</x:v>
      </x:c>
      <x:c r="D106" t="str">
        <x:v>089</x:v>
      </x:c>
      <x:c r="E106" t="str">
        <x:v>Dark carmine</x:v>
      </x:c>
      <x:c r="F106" t="str">
        <x:v>深胭脂紅</x:v>
      </x:c>
      <x:c r="G106" t="str">
        <x:v>ダークカーマイン</x:v>
      </x:c>
      <x:c r="H106" t="str">
        <x:v>#AB4755</x:v>
      </x:c>
      <x:c r="I106" t="str">
        <x:v>#FFFFFF</x:v>
      </x:c>
      <x:c r="J106" t="str">
        <x:v>https://www.carandache.com/content_files/uploaded_doc/product/10469/Colour_Chart_Pablo.pdf</x:v>
      </x:c>
    </x:row>
    <x:row r="107">
      <x:c r="A107" t="str">
        <x:v>PAB</x:v>
      </x:c>
      <x:c r="B107" t="str">
        <x:v>PABLO</x:v>
      </x:c>
      <x:c r="C107" t="n">
        <x:v>6</x:v>
      </x:c>
      <x:c r="D107" t="str">
        <x:v>080</x:v>
      </x:c>
      <x:c r="E107" t="str">
        <x:v>Carmine Lake</x:v>
      </x:c>
      <x:c r="F107" t="str">
        <x:v>胭脂紅色淀</x:v>
      </x:c>
      <x:c r="G107" t="str">
        <x:v>カーマインレーキ</x:v>
      </x:c>
      <x:c r="H107" t="str">
        <x:v>#BC314C</x:v>
      </x:c>
      <x:c r="I107" t="str">
        <x:v>#FFFFFF</x:v>
      </x:c>
      <x:c r="J107" t="str">
        <x:v>https://www.carandache.com/content_files/uploaded_doc/product/10469/Colour_Chart_Pablo.pdf</x:v>
      </x:c>
    </x:row>
    <x:row r="108">
      <x:c r="A108" t="str">
        <x:v>PAB</x:v>
      </x:c>
      <x:c r="B108" t="str">
        <x:v>PABLO</x:v>
      </x:c>
      <x:c r="C108" t="n">
        <x:v>7</x:v>
      </x:c>
      <x:c r="D108" t="str">
        <x:v>280</x:v>
      </x:c>
      <x:c r="E108" t="str">
        <x:v>Ruby red</x:v>
      </x:c>
      <x:c r="F108" t="str">
        <x:v>紅寶石紅</x:v>
      </x:c>
      <x:c r="G108" t="str">
        <x:v>ルビーレッド</x:v>
      </x:c>
      <x:c r="H108" t="str">
        <x:v>#E04856</x:v>
      </x:c>
      <x:c r="I108" t="str">
        <x:v>#000000</x:v>
      </x:c>
      <x:c r="J108" t="str">
        <x:v>https://www.carandache.com/content_files/uploaded_doc/product/10469/Colour_Chart_Pablo.pdf</x:v>
      </x:c>
    </x:row>
    <x:row r="109">
      <x:c r="A109" t="str">
        <x:v>PAB</x:v>
      </x:c>
      <x:c r="B109" t="str">
        <x:v>PABLO</x:v>
      </x:c>
      <x:c r="C109" t="n">
        <x:v>8</x:v>
      </x:c>
      <x:c r="D109" t="str">
        <x:v>270</x:v>
      </x:c>
      <x:c r="E109" t="str">
        <x:v>Raspberry red</x:v>
      </x:c>
      <x:c r="F109" t="str">
        <x:v>覆盆子紅</x:v>
      </x:c>
      <x:c r="G109" t="str">
        <x:v>ラズベリーレッド</x:v>
      </x:c>
      <x:c r="H109" t="str">
        <x:v>#F16C82</x:v>
      </x:c>
      <x:c r="I109" t="str">
        <x:v>#000000</x:v>
      </x:c>
      <x:c r="J109" t="str">
        <x:v>https://www.carandache.com/content_files/uploaded_doc/product/10469/Colour_Chart_Pablo.pdf</x:v>
      </x:c>
    </x:row>
    <x:row r="110">
      <x:c r="A110" t="str">
        <x:v>PAB</x:v>
      </x:c>
      <x:c r="B110" t="str">
        <x:v>PABLO</x:v>
      </x:c>
      <x:c r="C110" t="n">
        <x:v>9</x:v>
      </x:c>
      <x:c r="D110" t="str">
        <x:v>081</x:v>
      </x:c>
      <x:c r="E110" t="str">
        <x:v>Pink</x:v>
      </x:c>
      <x:c r="F110" t="str">
        <x:v>粉紅色</x:v>
      </x:c>
      <x:c r="G110" t="str">
        <x:v>ピンク</x:v>
      </x:c>
      <x:c r="H110" t="str">
        <x:v>#F58CB3</x:v>
      </x:c>
      <x:c r="I110" t="str">
        <x:v>#000000</x:v>
      </x:c>
      <x:c r="J110" t="str">
        <x:v>https://www.carandache.com/content_files/uploaded_doc/product/10469/Colour_Chart_Pablo.pdf</x:v>
      </x:c>
    </x:row>
    <x:row r="111">
      <x:c r="A111" t="str">
        <x:v>PAB</x:v>
      </x:c>
      <x:c r="B111" t="str">
        <x:v>PABLO</x:v>
      </x:c>
      <x:c r="C111" t="n">
        <x:v>10</x:v>
      </x:c>
      <x:c r="D111" t="str">
        <x:v>082</x:v>
      </x:c>
      <x:c r="E111" t="str">
        <x:v>Old pink</x:v>
      </x:c>
      <x:c r="F111" t="str">
        <x:v>復古粉紅</x:v>
      </x:c>
      <x:c r="G111" t="str">
        <x:v>オールドピンク</x:v>
      </x:c>
      <x:c r="H111" t="str">
        <x:v>#EF7476</x:v>
      </x:c>
      <x:c r="I111" t="str">
        <x:v>#000000</x:v>
      </x:c>
      <x:c r="J111" t="str">
        <x:v>https://www.carandache.com/content_files/uploaded_doc/product/10469/Colour_Chart_Pablo.pdf</x:v>
      </x:c>
    </x:row>
    <x:row r="112">
      <x:c r="A112" t="str">
        <x:v>PAB</x:v>
      </x:c>
      <x:c r="B112" t="str">
        <x:v>PABLO</x:v>
      </x:c>
      <x:c r="C112" t="n">
        <x:v>11</x:v>
      </x:c>
      <x:c r="D112" t="str">
        <x:v>071</x:v>
      </x:c>
      <x:c r="E112" t="str">
        <x:v>Salmon pink</x:v>
      </x:c>
      <x:c r="F112" t="str">
        <x:v>鮭魚粉紅</x:v>
      </x:c>
      <x:c r="G112" t="str">
        <x:v>サーモンピンク</x:v>
      </x:c>
      <x:c r="H112" t="str">
        <x:v>#F79D9B</x:v>
      </x:c>
      <x:c r="I112" t="str">
        <x:v>#000000</x:v>
      </x:c>
      <x:c r="J112" t="str">
        <x:v>https://www.carandache.com/content_files/uploaded_doc/product/10469/Colour_Chart_Pablo.pdf</x:v>
      </x:c>
    </x:row>
    <x:row r="113">
      <x:c r="A113" t="str">
        <x:v>PAB</x:v>
      </x:c>
      <x:c r="B113" t="str">
        <x:v>PABLO</x:v>
      </x:c>
      <x:c r="C113" t="n">
        <x:v>12</x:v>
      </x:c>
      <x:c r="D113" t="str">
        <x:v>051</x:v>
      </x:c>
      <x:c r="E113" t="str">
        <x:v>Salmon</x:v>
      </x:c>
      <x:c r="F113" t="str">
        <x:v>鮭魚色</x:v>
      </x:c>
      <x:c r="G113" t="str">
        <x:v>サーモン</x:v>
      </x:c>
      <x:c r="H113" t="str">
        <x:v>#F9986E</x:v>
      </x:c>
      <x:c r="I113" t="str">
        <x:v>#000000</x:v>
      </x:c>
      <x:c r="J113" t="str">
        <x:v>https://www.carandache.com/content_files/uploaded_doc/product/10469/Colour_Chart_Pablo.pdf</x:v>
      </x:c>
    </x:row>
    <x:row r="114">
      <x:c r="A114" t="str">
        <x:v>PAB</x:v>
      </x:c>
      <x:c r="B114" t="str">
        <x:v>PABLO</x:v>
      </x:c>
      <x:c r="C114" t="n">
        <x:v>13</x:v>
      </x:c>
      <x:c r="D114" t="str">
        <x:v>041</x:v>
      </x:c>
      <x:c r="E114" t="str">
        <x:v>Apricot</x:v>
      </x:c>
      <x:c r="F114" t="str">
        <x:v>杏色</x:v>
      </x:c>
      <x:c r="G114" t="str">
        <x:v>アプリコット</x:v>
      </x:c>
      <x:c r="H114" t="str">
        <x:v>#FEC56A</x:v>
      </x:c>
      <x:c r="I114" t="str">
        <x:v>#000000</x:v>
      </x:c>
      <x:c r="J114" t="str">
        <x:v>https://www.carandache.com/content_files/uploaded_doc/product/10469/Colour_Chart_Pablo.pdf</x:v>
      </x:c>
    </x:row>
    <x:row r="115">
      <x:c r="A115" t="str">
        <x:v>PAB</x:v>
      </x:c>
      <x:c r="B115" t="str">
        <x:v>PABLO</x:v>
      </x:c>
      <x:c r="C115" t="n">
        <x:v>14</x:v>
      </x:c>
      <x:c r="D115" t="str">
        <x:v>493</x:v>
      </x:c>
      <x:c r="E115" t="str">
        <x:v>Granite rose</x:v>
      </x:c>
      <x:c r="F115" t="str">
        <x:v>花崗岩粉紅</x:v>
      </x:c>
      <x:c r="G115" t="str">
        <x:v>グラナイトローズ</x:v>
      </x:c>
      <x:c r="H115" t="str">
        <x:v>#FED7C5</x:v>
      </x:c>
      <x:c r="I115" t="str">
        <x:v>#000000</x:v>
      </x:c>
      <x:c r="J115" t="str">
        <x:v>https://www.carandache.com/content_files/uploaded_doc/product/10469/Colour_Chart_Pablo.pdf</x:v>
      </x:c>
    </x:row>
    <x:row r="116">
      <x:c r="A116" t="str">
        <x:v>PAB</x:v>
      </x:c>
      <x:c r="B116" t="str">
        <x:v>PABLO</x:v>
      </x:c>
      <x:c r="C116" t="n">
        <x:v>15</x:v>
      </x:c>
      <x:c r="D116" t="str">
        <x:v>091</x:v>
      </x:c>
      <x:c r="E116" t="str">
        <x:v>Light purple</x:v>
      </x:c>
      <x:c r="F116" t="str">
        <x:v>淺紫色</x:v>
      </x:c>
      <x:c r="G116" t="str">
        <x:v>ライトパープル</x:v>
      </x:c>
      <x:c r="H116" t="str">
        <x:v>#E485AB</x:v>
      </x:c>
      <x:c r="I116" t="str">
        <x:v>#000000</x:v>
      </x:c>
      <x:c r="J116" t="str">
        <x:v>https://www.carandache.com/content_files/uploaded_doc/product/10469/Colour_Chart_Pablo.pdf</x:v>
      </x:c>
    </x:row>
    <x:row r="117">
      <x:c r="A117" t="str">
        <x:v>PAB</x:v>
      </x:c>
      <x:c r="B117" t="str">
        <x:v>PABLO</x:v>
      </x:c>
      <x:c r="C117" t="n">
        <x:v>16</x:v>
      </x:c>
      <x:c r="D117" t="str">
        <x:v>350</x:v>
      </x:c>
      <x:c r="E117" t="str">
        <x:v>Purplish red</x:v>
      </x:c>
      <x:c r="F117" t="str">
        <x:v>紫紅色</x:v>
      </x:c>
      <x:c r="G117" t="str">
        <x:v>パープリッシュレッド</x:v>
      </x:c>
      <x:c r="H117" t="str">
        <x:v>#B83678</x:v>
      </x:c>
      <x:c r="I117" t="str">
        <x:v>#FFFFFF</x:v>
      </x:c>
      <x:c r="J117" t="str">
        <x:v>https://www.carandache.com/content_files/uploaded_doc/product/10469/Colour_Chart_Pablo.pdf</x:v>
      </x:c>
    </x:row>
    <x:row r="118">
      <x:c r="A118" t="str">
        <x:v>PAB</x:v>
      </x:c>
      <x:c r="B118" t="str">
        <x:v>PABLO</x:v>
      </x:c>
      <x:c r="C118" t="n">
        <x:v>17</x:v>
      </x:c>
      <x:c r="D118" t="str">
        <x:v>090</x:v>
      </x:c>
      <x:c r="E118" t="str">
        <x:v>Purple</x:v>
      </x:c>
      <x:c r="F118" t="str">
        <x:v>紫色</x:v>
      </x:c>
      <x:c r="G118" t="str">
        <x:v>パープル</x:v>
      </x:c>
      <x:c r="H118" t="str">
        <x:v>#B46394</x:v>
      </x:c>
      <x:c r="I118" t="str">
        <x:v>#000000</x:v>
      </x:c>
      <x:c r="J118" t="str">
        <x:v>https://www.carandache.com/content_files/uploaded_doc/product/10469/Colour_Chart_Pablo.pdf</x:v>
      </x:c>
    </x:row>
    <x:row r="119">
      <x:c r="A119" t="str">
        <x:v>PAB</x:v>
      </x:c>
      <x:c r="B119" t="str">
        <x:v>PABLO</x:v>
      </x:c>
      <x:c r="C119" t="n">
        <x:v>18</x:v>
      </x:c>
      <x:c r="D119" t="str">
        <x:v>100</x:v>
      </x:c>
      <x:c r="E119" t="str">
        <x:v>Purple violet</x:v>
      </x:c>
      <x:c r="F119" t="str">
        <x:v>紫羅蘭</x:v>
      </x:c>
      <x:c r="G119" t="str">
        <x:v>パープルバイオレット</x:v>
      </x:c>
      <x:c r="H119" t="str">
        <x:v>#9F4E83</x:v>
      </x:c>
      <x:c r="I119" t="str">
        <x:v>#FFFFFF</x:v>
      </x:c>
      <x:c r="J119" t="str">
        <x:v>https://www.carandache.com/content_files/uploaded_doc/product/10469/Colour_Chart_Pablo.pdf</x:v>
      </x:c>
    </x:row>
    <x:row r="120">
      <x:c r="A120" t="str">
        <x:v>PAB</x:v>
      </x:c>
      <x:c r="B120" t="str">
        <x:v>PABLO</x:v>
      </x:c>
      <x:c r="C120" t="n">
        <x:v>19</x:v>
      </x:c>
      <x:c r="D120" t="str">
        <x:v>110</x:v>
      </x:c>
      <x:c r="E120" t="str">
        <x:v>Lilac</x:v>
      </x:c>
      <x:c r="F120" t="str">
        <x:v>丁香紫</x:v>
      </x:c>
      <x:c r="G120" t="str">
        <x:v>ライラック</x:v>
      </x:c>
      <x:c r="H120" t="str">
        <x:v>#774078</x:v>
      </x:c>
      <x:c r="I120" t="str">
        <x:v>#FFFFFF</x:v>
      </x:c>
      <x:c r="J120" t="str">
        <x:v>https://www.carandache.com/content_files/uploaded_doc/product/10469/Colour_Chart_Pablo.pdf</x:v>
      </x:c>
    </x:row>
    <x:row r="121">
      <x:c r="A121" t="str">
        <x:v>PAB</x:v>
      </x:c>
      <x:c r="B121" t="str">
        <x:v>PABLO</x:v>
      </x:c>
      <x:c r="C121" t="n">
        <x:v>20</x:v>
      </x:c>
      <x:c r="D121" t="str">
        <x:v>099</x:v>
      </x:c>
      <x:c r="E121" t="str">
        <x:v>Aubergine</x:v>
      </x:c>
      <x:c r="F121" t="str">
        <x:v>茄紫色</x:v>
      </x:c>
      <x:c r="G121" t="str">
        <x:v>オーベルジーヌ</x:v>
      </x:c>
      <x:c r="H121" t="str">
        <x:v>#63485F</x:v>
      </x:c>
      <x:c r="I121" t="str">
        <x:v>#FFFFFF</x:v>
      </x:c>
      <x:c r="J121" t="str">
        <x:v>https://www.carandache.com/content_files/uploaded_doc/product/10469/Colour_Chart_Pablo.pdf</x:v>
      </x:c>
    </x:row>
    <x:row r="122">
      <x:c r="A122" t="str">
        <x:v>PAB</x:v>
      </x:c>
      <x:c r="B122" t="str">
        <x:v>PABLO</x:v>
      </x:c>
      <x:c r="C122" t="n">
        <x:v>21</x:v>
      </x:c>
      <x:c r="D122" t="str">
        <x:v>111</x:v>
      </x:c>
      <x:c r="E122" t="str">
        <x:v>Mauve</x:v>
      </x:c>
      <x:c r="F122" t="str">
        <x:v>淡紫色</x:v>
      </x:c>
      <x:c r="G122" t="str">
        <x:v>モーブ</x:v>
      </x:c>
      <x:c r="H122" t="str">
        <x:v>#B874AE</x:v>
      </x:c>
      <x:c r="I122" t="str">
        <x:v>#000000</x:v>
      </x:c>
      <x:c r="J122" t="str">
        <x:v>https://www.carandache.com/content_files/uploaded_doc/product/10469/Colour_Chart_Pablo.pdf</x:v>
      </x:c>
    </x:row>
    <x:row r="123">
      <x:c r="A123" t="str">
        <x:v>PAB</x:v>
      </x:c>
      <x:c r="B123" t="str">
        <x:v>PABLO</x:v>
      </x:c>
      <x:c r="C123" t="n">
        <x:v>22</x:v>
      </x:c>
      <x:c r="D123" t="str">
        <x:v>131</x:v>
      </x:c>
      <x:c r="E123" t="str">
        <x:v>Periwinkle blue</x:v>
      </x:c>
      <x:c r="F123" t="str">
        <x:v>長春花藍</x:v>
      </x:c>
      <x:c r="G123" t="str">
        <x:v>ペリウィンクルブルー</x:v>
      </x:c>
      <x:c r="H123" t="str">
        <x:v>#9972AD</x:v>
      </x:c>
      <x:c r="I123" t="str">
        <x:v>#000000</x:v>
      </x:c>
      <x:c r="J123" t="str">
        <x:v>https://www.carandache.com/content_files/uploaded_doc/product/10469/Colour_Chart_Pablo.pdf</x:v>
      </x:c>
    </x:row>
    <x:row r="124">
      <x:c r="A124" t="str">
        <x:v>PAB</x:v>
      </x:c>
      <x:c r="B124" t="str">
        <x:v>PABLO</x:v>
      </x:c>
      <x:c r="C124" t="n">
        <x:v>23</x:v>
      </x:c>
      <x:c r="D124" t="str">
        <x:v>130</x:v>
      </x:c>
      <x:c r="E124" t="str">
        <x:v>Royal blue</x:v>
      </x:c>
      <x:c r="F124" t="str">
        <x:v>皇家藍</x:v>
      </x:c>
      <x:c r="G124" t="str">
        <x:v>ロイヤルブルー</x:v>
      </x:c>
      <x:c r="H124" t="str">
        <x:v>#625D99</x:v>
      </x:c>
      <x:c r="I124" t="str">
        <x:v>#FFFFFF</x:v>
      </x:c>
      <x:c r="J124" t="str">
        <x:v>https://www.carandache.com/content_files/uploaded_doc/product/10469/Colour_Chart_Pablo.pdf</x:v>
      </x:c>
    </x:row>
    <x:row r="125">
      <x:c r="A125" t="str">
        <x:v>PAB</x:v>
      </x:c>
      <x:c r="B125" t="str">
        <x:v>PABLO</x:v>
      </x:c>
      <x:c r="C125" t="n">
        <x:v>24</x:v>
      </x:c>
      <x:c r="D125" t="str">
        <x:v>120</x:v>
      </x:c>
      <x:c r="E125" t="str">
        <x:v>Violet</x:v>
      </x:c>
      <x:c r="F125" t="str">
        <x:v>紫羅蘭色</x:v>
      </x:c>
      <x:c r="G125" t="str">
        <x:v>バイオレット</x:v>
      </x:c>
      <x:c r="H125" t="str">
        <x:v>#625390</x:v>
      </x:c>
      <x:c r="I125" t="str">
        <x:v>#FFFFFF</x:v>
      </x:c>
      <x:c r="J125" t="str">
        <x:v>https://www.carandache.com/content_files/uploaded_doc/product/10469/Colour_Chart_Pablo.pdf</x:v>
      </x:c>
    </x:row>
    <x:row r="126">
      <x:c r="A126" t="str">
        <x:v>PAB</x:v>
      </x:c>
      <x:c r="B126" t="str">
        <x:v>PABLO</x:v>
      </x:c>
      <x:c r="C126" t="n">
        <x:v>25</x:v>
      </x:c>
      <x:c r="D126" t="str">
        <x:v>139</x:v>
      </x:c>
      <x:c r="E126" t="str">
        <x:v>Indigo blue</x:v>
      </x:c>
      <x:c r="F126" t="str">
        <x:v>靛藍</x:v>
      </x:c>
      <x:c r="G126" t="str">
        <x:v>インディゴブルー</x:v>
      </x:c>
      <x:c r="H126" t="str">
        <x:v>#41405F</x:v>
      </x:c>
      <x:c r="I126" t="str">
        <x:v>#FFFFFF</x:v>
      </x:c>
      <x:c r="J126" t="str">
        <x:v>https://www.carandache.com/content_files/uploaded_doc/product/10469/Colour_Chart_Pablo.pdf</x:v>
      </x:c>
    </x:row>
    <x:row r="127">
      <x:c r="A127" t="str">
        <x:v>PAB</x:v>
      </x:c>
      <x:c r="B127" t="str">
        <x:v>PABLO</x:v>
      </x:c>
      <x:c r="C127" t="n">
        <x:v>26</x:v>
      </x:c>
      <x:c r="D127" t="str">
        <x:v>159</x:v>
      </x:c>
      <x:c r="E127" t="str">
        <x:v>Prussian blue</x:v>
      </x:c>
      <x:c r="F127" t="str">
        <x:v>普魯士藍</x:v>
      </x:c>
      <x:c r="G127" t="str">
        <x:v>プルシャンブルー</x:v>
      </x:c>
      <x:c r="H127" t="str">
        <x:v>#345983</x:v>
      </x:c>
      <x:c r="I127" t="str">
        <x:v>#FFFFFF</x:v>
      </x:c>
      <x:c r="J127" t="str">
        <x:v>https://www.carandache.com/content_files/uploaded_doc/product/10469/Colour_Chart_Pablo.pdf</x:v>
      </x:c>
    </x:row>
    <x:row r="128">
      <x:c r="A128" t="str">
        <x:v>PAB</x:v>
      </x:c>
      <x:c r="B128" t="str">
        <x:v>PABLO</x:v>
      </x:c>
      <x:c r="C128" t="n">
        <x:v>27</x:v>
      </x:c>
      <x:c r="D128" t="str">
        <x:v>140</x:v>
      </x:c>
      <x:c r="E128" t="str">
        <x:v>Ultramarine</x:v>
      </x:c>
      <x:c r="F128" t="str">
        <x:v>群青</x:v>
      </x:c>
      <x:c r="G128" t="str">
        <x:v>ウルトラマリン</x:v>
      </x:c>
      <x:c r="H128" t="str">
        <x:v>#36479E</x:v>
      </x:c>
      <x:c r="I128" t="str">
        <x:v>#FFFFFF</x:v>
      </x:c>
      <x:c r="J128" t="str">
        <x:v>https://www.carandache.com/content_files/uploaded_doc/product/10469/Colour_Chart_Pablo.pdf</x:v>
      </x:c>
    </x:row>
    <x:row r="129">
      <x:c r="A129" t="str">
        <x:v>PAB</x:v>
      </x:c>
      <x:c r="B129" t="str">
        <x:v>PABLO</x:v>
      </x:c>
      <x:c r="C129" t="n">
        <x:v>28</x:v>
      </x:c>
      <x:c r="D129" t="str">
        <x:v>149</x:v>
      </x:c>
      <x:c r="E129" t="str">
        <x:v>Night blue</x:v>
      </x:c>
      <x:c r="F129" t="str">
        <x:v>夜藍</x:v>
      </x:c>
      <x:c r="G129" t="str">
        <x:v>ナイトブルー</x:v>
      </x:c>
      <x:c r="H129" t="str">
        <x:v>#33558A</x:v>
      </x:c>
      <x:c r="I129" t="str">
        <x:v>#FFFFFF</x:v>
      </x:c>
      <x:c r="J129" t="str">
        <x:v>https://www.carandache.com/content_files/uploaded_doc/product/10469/Colour_Chart_Pablo.pdf</x:v>
      </x:c>
    </x:row>
    <x:row r="130">
      <x:c r="A130" t="str">
        <x:v>PAB</x:v>
      </x:c>
      <x:c r="B130" t="str">
        <x:v>PABLO</x:v>
      </x:c>
      <x:c r="C130" t="n">
        <x:v>29</x:v>
      </x:c>
      <x:c r="D130" t="str">
        <x:v>150</x:v>
      </x:c>
      <x:c r="E130" t="str">
        <x:v>Sapphire blue</x:v>
      </x:c>
      <x:c r="F130" t="str">
        <x:v>藍寶石藍</x:v>
      </x:c>
      <x:c r="G130" t="str">
        <x:v>サファイアブルー</x:v>
      </x:c>
      <x:c r="H130" t="str">
        <x:v>#1E62AA</x:v>
      </x:c>
      <x:c r="I130" t="str">
        <x:v>#FFFFFF</x:v>
      </x:c>
      <x:c r="J130" t="str">
        <x:v>https://www.carandache.com/content_files/uploaded_doc/product/10469/Colour_Chart_Pablo.pdf</x:v>
      </x:c>
    </x:row>
    <x:row r="131">
      <x:c r="A131" t="str">
        <x:v>PAB</x:v>
      </x:c>
      <x:c r="B131" t="str">
        <x:v>PABLO</x:v>
      </x:c>
      <x:c r="C131" t="n">
        <x:v>30</x:v>
      </x:c>
      <x:c r="D131" t="str">
        <x:v>260</x:v>
      </x:c>
      <x:c r="E131" t="str">
        <x:v>Blue</x:v>
      </x:c>
      <x:c r="F131" t="str">
        <x:v>藍色</x:v>
      </x:c>
      <x:c r="G131" t="str">
        <x:v>ブルー</x:v>
      </x:c>
      <x:c r="H131" t="str">
        <x:v>#355A9B</x:v>
      </x:c>
      <x:c r="I131" t="str">
        <x:v>#FFFFFF</x:v>
      </x:c>
      <x:c r="J131" t="str">
        <x:v>https://www.carandache.com/content_files/uploaded_doc/product/10469/Colour_Chart_Pablo.pdf</x:v>
      </x:c>
    </x:row>
    <x:row r="132">
      <x:c r="A132" t="str">
        <x:v>PAB</x:v>
      </x:c>
      <x:c r="B132" t="str">
        <x:v>PABLO</x:v>
      </x:c>
      <x:c r="C132" t="n">
        <x:v>31</x:v>
      </x:c>
      <x:c r="D132" t="str">
        <x:v>169</x:v>
      </x:c>
      <x:c r="E132" t="str">
        <x:v>Marine blue</x:v>
      </x:c>
      <x:c r="F132" t="str">
        <x:v>海軍藍</x:v>
      </x:c>
      <x:c r="G132" t="str">
        <x:v>マリンブルー</x:v>
      </x:c>
      <x:c r="H132" t="str">
        <x:v>#0F608D</x:v>
      </x:c>
      <x:c r="I132" t="str">
        <x:v>#FFFFFF</x:v>
      </x:c>
      <x:c r="J132" t="str">
        <x:v>https://www.carandache.com/content_files/uploaded_doc/product/10469/Colour_Chart_Pablo.pdf</x:v>
      </x:c>
    </x:row>
    <x:row r="133">
      <x:c r="A133" t="str">
        <x:v>PAB</x:v>
      </x:c>
      <x:c r="B133" t="str">
        <x:v>PABLO</x:v>
      </x:c>
      <x:c r="C133" t="n">
        <x:v>32</x:v>
      </x:c>
      <x:c r="D133" t="str">
        <x:v>145</x:v>
      </x:c>
      <x:c r="E133" t="str">
        <x:v>Bluish grey</x:v>
      </x:c>
      <x:c r="F133" t="str">
        <x:v>藍灰色</x:v>
      </x:c>
      <x:c r="G133" t="str">
        <x:v>ブルーグレー</x:v>
      </x:c>
      <x:c r="H133" t="str">
        <x:v>#486EA1</x:v>
      </x:c>
      <x:c r="I133" t="str">
        <x:v>#FFFFFF</x:v>
      </x:c>
      <x:c r="J133" t="str">
        <x:v>https://www.carandache.com/content_files/uploaded_doc/product/10469/Colour_Chart_Pablo.pdf</x:v>
      </x:c>
    </x:row>
    <x:row r="134">
      <x:c r="A134" t="str">
        <x:v>PAB</x:v>
      </x:c>
      <x:c r="B134" t="str">
        <x:v>PABLO</x:v>
      </x:c>
      <x:c r="C134" t="n">
        <x:v>33</x:v>
      </x:c>
      <x:c r="D134" t="str">
        <x:v>370</x:v>
      </x:c>
      <x:c r="E134" t="str">
        <x:v>Gentian blue</x:v>
      </x:c>
      <x:c r="F134" t="str">
        <x:v>龍膽藍</x:v>
      </x:c>
      <x:c r="G134" t="str">
        <x:v>ゲンチアンブルー</x:v>
      </x:c>
      <x:c r="H134" t="str">
        <x:v>#1F89C3</x:v>
      </x:c>
      <x:c r="I134" t="str">
        <x:v>#000000</x:v>
      </x:c>
      <x:c r="J134" t="str">
        <x:v>https://www.carandache.com/content_files/uploaded_doc/product/10469/Colour_Chart_Pablo.pdf</x:v>
      </x:c>
    </x:row>
    <x:row r="135">
      <x:c r="A135" t="str">
        <x:v>PAB</x:v>
      </x:c>
      <x:c r="B135" t="str">
        <x:v>PABLO</x:v>
      </x:c>
      <x:c r="C135" t="n">
        <x:v>34</x:v>
      </x:c>
      <x:c r="D135" t="str">
        <x:v>141</x:v>
      </x:c>
      <x:c r="E135" t="str">
        <x:v>Sky blue</x:v>
      </x:c>
      <x:c r="F135" t="str">
        <x:v>天空藍</x:v>
      </x:c>
      <x:c r="G135" t="str">
        <x:v>スカイブルー</x:v>
      </x:c>
      <x:c r="H135" t="str">
        <x:v>#6F9FC9</x:v>
      </x:c>
      <x:c r="I135" t="str">
        <x:v>#000000</x:v>
      </x:c>
      <x:c r="J135" t="str">
        <x:v>https://www.carandache.com/content_files/uploaded_doc/product/10469/Colour_Chart_Pablo.pdf</x:v>
      </x:c>
    </x:row>
    <x:row r="136">
      <x:c r="A136" t="str">
        <x:v>PAB</x:v>
      </x:c>
      <x:c r="B136" t="str">
        <x:v>PABLO</x:v>
      </x:c>
      <x:c r="C136" t="n">
        <x:v>35</x:v>
      </x:c>
      <x:c r="D136" t="str">
        <x:v>155</x:v>
      </x:c>
      <x:c r="E136" t="str">
        <x:v>Blue jeans</x:v>
      </x:c>
      <x:c r="F136" t="str">
        <x:v>牛仔藍</x:v>
      </x:c>
      <x:c r="G136" t="str">
        <x:v>ブルージーンズ</x:v>
      </x:c>
      <x:c r="H136" t="str">
        <x:v>#6499B6</x:v>
      </x:c>
      <x:c r="I136" t="str">
        <x:v>#000000</x:v>
      </x:c>
      <x:c r="J136" t="str">
        <x:v>https://www.carandache.com/content_files/uploaded_doc/product/10469/Colour_Chart_Pablo.pdf</x:v>
      </x:c>
    </x:row>
    <x:row r="137">
      <x:c r="A137" t="str">
        <x:v>PAB</x:v>
      </x:c>
      <x:c r="B137" t="str">
        <x:v>PABLO</x:v>
      </x:c>
      <x:c r="C137" t="n">
        <x:v>36</x:v>
      </x:c>
      <x:c r="D137" t="str">
        <x:v>151</x:v>
      </x:c>
      <x:c r="E137" t="str">
        <x:v>Pastel blue</x:v>
      </x:c>
      <x:c r="F137" t="str">
        <x:v>粉彩藍</x:v>
      </x:c>
      <x:c r="G137" t="str">
        <x:v>パステルブルー</x:v>
      </x:c>
      <x:c r="H137" t="str">
        <x:v>#68ACD2</x:v>
      </x:c>
      <x:c r="I137" t="str">
        <x:v>#000000</x:v>
      </x:c>
      <x:c r="J137" t="str">
        <x:v>https://www.carandache.com/content_files/uploaded_doc/product/10469/Colour_Chart_Pablo.pdf</x:v>
      </x:c>
    </x:row>
    <x:row r="138">
      <x:c r="A138" t="str">
        <x:v>PAB</x:v>
      </x:c>
      <x:c r="B138" t="str">
        <x:v>PABLO</x:v>
      </x:c>
      <x:c r="C138" t="n">
        <x:v>37</x:v>
      </x:c>
      <x:c r="D138" t="str">
        <x:v>161</x:v>
      </x:c>
      <x:c r="E138" t="str">
        <x:v>Light blue</x:v>
      </x:c>
      <x:c r="F138" t="str">
        <x:v>淺藍色</x:v>
      </x:c>
      <x:c r="G138" t="str">
        <x:v>ライトブルー</x:v>
      </x:c>
      <x:c r="H138" t="str">
        <x:v>#34AFE0</x:v>
      </x:c>
      <x:c r="I138" t="str">
        <x:v>#000000</x:v>
      </x:c>
      <x:c r="J138" t="str">
        <x:v>https://www.carandache.com/content_files/uploaded_doc/product/10469/Colour_Chart_Pablo.pdf</x:v>
      </x:c>
    </x:row>
    <x:row r="139">
      <x:c r="A139" t="str">
        <x:v>PAB</x:v>
      </x:c>
      <x:c r="B139" t="str">
        <x:v>PABLO</x:v>
      </x:c>
      <x:c r="C139" t="n">
        <x:v>38</x:v>
      </x:c>
      <x:c r="D139" t="str">
        <x:v>171</x:v>
      </x:c>
      <x:c r="E139" t="str">
        <x:v>Turquoise blue</x:v>
      </x:c>
      <x:c r="F139" t="str">
        <x:v>土耳其藍</x:v>
      </x:c>
      <x:c r="G139" t="str">
        <x:v>ターコイズブルー</x:v>
      </x:c>
      <x:c r="H139" t="str">
        <x:v>#7FD1E4</x:v>
      </x:c>
      <x:c r="I139" t="str">
        <x:v>#000000</x:v>
      </x:c>
      <x:c r="J139" t="str">
        <x:v>https://www.carandache.com/content_files/uploaded_doc/product/10469/Colour_Chart_Pablo.pdf</x:v>
      </x:c>
    </x:row>
    <x:row r="140">
      <x:c r="A140" t="str">
        <x:v>PAB</x:v>
      </x:c>
      <x:c r="B140" t="str">
        <x:v>PABLO</x:v>
      </x:c>
      <x:c r="C140" t="n">
        <x:v>39</x:v>
      </x:c>
      <x:c r="D140" t="str">
        <x:v>181</x:v>
      </x:c>
      <x:c r="E140" t="str">
        <x:v>Light malachite green</x:v>
      </x:c>
      <x:c r="F140" t="str">
        <x:v>淺孔雀石綠</x:v>
      </x:c>
      <x:c r="G140" t="str">
        <x:v>ライトマラカイトグリーン</x:v>
      </x:c>
      <x:c r="H140" t="str">
        <x:v>#76CBC1</x:v>
      </x:c>
      <x:c r="I140" t="str">
        <x:v>#000000</x:v>
      </x:c>
      <x:c r="J140" t="str">
        <x:v>https://www.carandache.com/content_files/uploaded_doc/product/10469/Colour_Chart_Pablo.pdf</x:v>
      </x:c>
    </x:row>
    <x:row r="141">
      <x:c r="A141" t="str">
        <x:v>PAB</x:v>
      </x:c>
      <x:c r="B141" t="str">
        <x:v>PABLO</x:v>
      </x:c>
      <x:c r="C141" t="n">
        <x:v>40</x:v>
      </x:c>
      <x:c r="D141" t="str">
        <x:v>191</x:v>
      </x:c>
      <x:c r="E141" t="str">
        <x:v>Turquoise</x:v>
      </x:c>
      <x:c r="F141" t="str">
        <x:v>綠松石色</x:v>
      </x:c>
      <x:c r="G141" t="str">
        <x:v>ターコイズ</x:v>
      </x:c>
      <x:c r="H141" t="str">
        <x:v>#62C5BA</x:v>
      </x:c>
      <x:c r="I141" t="str">
        <x:v>#000000</x:v>
      </x:c>
      <x:c r="J141" t="str">
        <x:v>https://www.carandache.com/content_files/uploaded_doc/product/10469/Colour_Chart_Pablo.pdf</x:v>
      </x:c>
    </x:row>
    <x:row r="142">
      <x:c r="A142" t="str">
        <x:v>PAB</x:v>
      </x:c>
      <x:c r="B142" t="str">
        <x:v>PABLO</x:v>
      </x:c>
      <x:c r="C142" t="n">
        <x:v>41</x:v>
      </x:c>
      <x:c r="D142" t="str">
        <x:v>011</x:v>
      </x:c>
      <x:c r="E142" t="str">
        <x:v>Pale yellow</x:v>
      </x:c>
      <x:c r="F142" t="str">
        <x:v>淡黃色</x:v>
      </x:c>
      <x:c r="G142" t="str">
        <x:v>ペールイエロー</x:v>
      </x:c>
      <x:c r="H142" t="str">
        <x:v>#FAF090</x:v>
      </x:c>
      <x:c r="I142" t="str">
        <x:v>#000000</x:v>
      </x:c>
      <x:c r="J142" t="str">
        <x:v>https://www.carandache.com/content_files/uploaded_doc/product/10469/Colour_Chart_Pablo.pdf</x:v>
      </x:c>
    </x:row>
    <x:row r="143">
      <x:c r="A143" t="str">
        <x:v>PAB</x:v>
      </x:c>
      <x:c r="B143" t="str">
        <x:v>PABLO</x:v>
      </x:c>
      <x:c r="C143" t="n">
        <x:v>42</x:v>
      </x:c>
      <x:c r="D143" t="str">
        <x:v>250</x:v>
      </x:c>
      <x:c r="E143" t="str">
        <x:v>Canary yellow</x:v>
      </x:c>
      <x:c r="F143" t="str">
        <x:v>金絲雀黃</x:v>
      </x:c>
      <x:c r="G143" t="str">
        <x:v>カナリアイエロー</x:v>
      </x:c>
      <x:c r="H143" t="str">
        <x:v>#F8E438</x:v>
      </x:c>
      <x:c r="I143" t="str">
        <x:v>#000000</x:v>
      </x:c>
      <x:c r="J143" t="str">
        <x:v>https://www.carandache.com/content_files/uploaded_doc/product/10469/Colour_Chart_Pablo.pdf</x:v>
      </x:c>
    </x:row>
    <x:row r="144">
      <x:c r="A144" t="str">
        <x:v>PAB</x:v>
      </x:c>
      <x:c r="B144" t="str">
        <x:v>PABLO</x:v>
      </x:c>
      <x:c r="C144" t="n">
        <x:v>43</x:v>
      </x:c>
      <x:c r="D144" t="str">
        <x:v>240</x:v>
      </x:c>
      <x:c r="E144" t="str">
        <x:v>Lemon yellow</x:v>
      </x:c>
      <x:c r="F144" t="str">
        <x:v>檸檬黃</x:v>
      </x:c>
      <x:c r="G144" t="str">
        <x:v>レモンイエロー</x:v>
      </x:c>
      <x:c r="H144" t="str">
        <x:v>#EBE958</x:v>
      </x:c>
      <x:c r="I144" t="str">
        <x:v>#000000</x:v>
      </x:c>
      <x:c r="J144" t="str">
        <x:v>https://www.carandache.com/content_files/uploaded_doc/product/10469/Colour_Chart_Pablo.pdf</x:v>
      </x:c>
    </x:row>
    <x:row r="145">
      <x:c r="A145" t="str">
        <x:v>PAB</x:v>
      </x:c>
      <x:c r="B145" t="str">
        <x:v>PABLO</x:v>
      </x:c>
      <x:c r="C145" t="n">
        <x:v>44</x:v>
      </x:c>
      <x:c r="D145" t="str">
        <x:v>021</x:v>
      </x:c>
      <x:c r="E145" t="str">
        <x:v>Naples yellow</x:v>
      </x:c>
      <x:c r="F145" t="str">
        <x:v>那不勒斯黃</x:v>
      </x:c>
      <x:c r="G145" t="str">
        <x:v>ネープルスイエロー</x:v>
      </x:c>
      <x:c r="H145" t="str">
        <x:v>#FFE865</x:v>
      </x:c>
      <x:c r="I145" t="str">
        <x:v>#000000</x:v>
      </x:c>
      <x:c r="J145" t="str">
        <x:v>https://www.carandache.com/content_files/uploaded_doc/product/10469/Colour_Chart_Pablo.pdf</x:v>
      </x:c>
    </x:row>
    <x:row r="146">
      <x:c r="A146" t="str">
        <x:v>PAB</x:v>
      </x:c>
      <x:c r="B146" t="str">
        <x:v>PABLO</x:v>
      </x:c>
      <x:c r="C146" t="n">
        <x:v>45</x:v>
      </x:c>
      <x:c r="D146" t="str">
        <x:v>010</x:v>
      </x:c>
      <x:c r="E146" t="str">
        <x:v>Yellow</x:v>
      </x:c>
      <x:c r="F146" t="str">
        <x:v>黃色</x:v>
      </x:c>
      <x:c r="G146" t="str">
        <x:v>イエロー</x:v>
      </x:c>
      <x:c r="H146" t="str">
        <x:v>#FFE212</x:v>
      </x:c>
      <x:c r="I146" t="str">
        <x:v>#000000</x:v>
      </x:c>
      <x:c r="J146" t="str">
        <x:v>https://www.carandache.com/content_files/uploaded_doc/product/10469/Colour_Chart_Pablo.pdf</x:v>
      </x:c>
    </x:row>
    <x:row r="147">
      <x:c r="A147" t="str">
        <x:v>PAB</x:v>
      </x:c>
      <x:c r="B147" t="str">
        <x:v>PABLO</x:v>
      </x:c>
      <x:c r="C147" t="n">
        <x:v>46</x:v>
      </x:c>
      <x:c r="D147" t="str">
        <x:v>020</x:v>
      </x:c>
      <x:c r="E147" t="str">
        <x:v>Golden yellow</x:v>
      </x:c>
      <x:c r="F147" t="str">
        <x:v>金黃色</x:v>
      </x:c>
      <x:c r="G147" t="str">
        <x:v>ゴールデンイエロー</x:v>
      </x:c>
      <x:c r="H147" t="str">
        <x:v>#FFC80C</x:v>
      </x:c>
      <x:c r="I147" t="str">
        <x:v>#000000</x:v>
      </x:c>
      <x:c r="J147" t="str">
        <x:v>https://www.carandache.com/content_files/uploaded_doc/product/10469/Colour_Chart_Pablo.pdf</x:v>
      </x:c>
    </x:row>
    <x:row r="148">
      <x:c r="A148" t="str">
        <x:v>PAB</x:v>
      </x:c>
      <x:c r="B148" t="str">
        <x:v>PABLO</x:v>
      </x:c>
      <x:c r="C148" t="n">
        <x:v>47</x:v>
      </x:c>
      <x:c r="D148" t="str">
        <x:v>300</x:v>
      </x:c>
      <x:c r="E148" t="str">
        <x:v>Fast orange</x:v>
      </x:c>
      <x:c r="F148" t="str">
        <x:v>耐久橙</x:v>
      </x:c>
      <x:c r="G148" t="str">
        <x:v>ファストオレンジ</x:v>
      </x:c>
      <x:c r="H148" t="str">
        <x:v>#FBA63A</x:v>
      </x:c>
      <x:c r="I148" t="str">
        <x:v>#000000</x:v>
      </x:c>
      <x:c r="J148" t="str">
        <x:v>https://www.carandache.com/content_files/uploaded_doc/product/10469/Colour_Chart_Pablo.pdf</x:v>
      </x:c>
    </x:row>
    <x:row r="149">
      <x:c r="A149" t="str">
        <x:v>PAB</x:v>
      </x:c>
      <x:c r="B149" t="str">
        <x:v>PABLO</x:v>
      </x:c>
      <x:c r="C149" t="n">
        <x:v>48</x:v>
      </x:c>
      <x:c r="D149" t="str">
        <x:v>030</x:v>
      </x:c>
      <x:c r="E149" t="str">
        <x:v>Orange</x:v>
      </x:c>
      <x:c r="F149" t="str">
        <x:v>橙色</x:v>
      </x:c>
      <x:c r="G149" t="str">
        <x:v>オレンジ</x:v>
      </x:c>
      <x:c r="H149" t="str">
        <x:v>#F88E42</x:v>
      </x:c>
      <x:c r="I149" t="str">
        <x:v>#000000</x:v>
      </x:c>
      <x:c r="J149" t="str">
        <x:v>https://www.carandache.com/content_files/uploaded_doc/product/10469/Colour_Chart_Pablo.pdf</x:v>
      </x:c>
    </x:row>
    <x:row r="150">
      <x:c r="A150" t="str">
        <x:v>PAB</x:v>
      </x:c>
      <x:c r="B150" t="str">
        <x:v>PABLO</x:v>
      </x:c>
      <x:c r="C150" t="n">
        <x:v>49</x:v>
      </x:c>
      <x:c r="D150" t="str">
        <x:v>040</x:v>
      </x:c>
      <x:c r="E150" t="str">
        <x:v>Reddish yellow</x:v>
      </x:c>
      <x:c r="F150" t="str">
        <x:v>紅黃色</x:v>
      </x:c>
      <x:c r="G150" t="str">
        <x:v>レディッシュイエロー</x:v>
      </x:c>
      <x:c r="H150" t="str">
        <x:v>#F6802E</x:v>
      </x:c>
      <x:c r="I150" t="str">
        <x:v>#000000</x:v>
      </x:c>
      <x:c r="J150" t="str">
        <x:v>https://www.carandache.com/content_files/uploaded_doc/product/10469/Colour_Chart_Pablo.pdf</x:v>
      </x:c>
    </x:row>
    <x:row r="151">
      <x:c r="A151" t="str">
        <x:v>PAB</x:v>
      </x:c>
      <x:c r="B151" t="str">
        <x:v>PABLO</x:v>
      </x:c>
      <x:c r="C151" t="n">
        <x:v>50</x:v>
      </x:c>
      <x:c r="D151" t="str">
        <x:v>050</x:v>
      </x:c>
      <x:c r="E151" t="str">
        <x:v>Flame red</x:v>
      </x:c>
      <x:c r="F151" t="str">
        <x:v>火焰紅</x:v>
      </x:c>
      <x:c r="G151" t="str">
        <x:v>フレームレッド</x:v>
      </x:c>
      <x:c r="H151" t="str">
        <x:v>#F68023</x:v>
      </x:c>
      <x:c r="I151" t="str">
        <x:v>#000000</x:v>
      </x:c>
      <x:c r="J151" t="str">
        <x:v>https://www.carandache.com/content_files/uploaded_doc/product/10469/Colour_Chart_Pablo.pdf</x:v>
      </x:c>
    </x:row>
    <x:row r="152">
      <x:c r="A152" t="str">
        <x:v>PAB</x:v>
      </x:c>
      <x:c r="B152" t="str">
        <x:v>PABLO</x:v>
      </x:c>
      <x:c r="C152" t="n">
        <x:v>51</x:v>
      </x:c>
      <x:c r="D152" t="str">
        <x:v>060</x:v>
      </x:c>
      <x:c r="E152" t="str">
        <x:v>Vermilion</x:v>
      </x:c>
      <x:c r="F152" t="str">
        <x:v>朱紅</x:v>
      </x:c>
      <x:c r="G152" t="str">
        <x:v>バーミリオン</x:v>
      </x:c>
      <x:c r="H152" t="str">
        <x:v>#EF5935</x:v>
      </x:c>
      <x:c r="I152" t="str">
        <x:v>#000000</x:v>
      </x:c>
      <x:c r="J152" t="str">
        <x:v>https://www.carandache.com/content_files/uploaded_doc/product/10469/Colour_Chart_Pablo.pdf</x:v>
      </x:c>
    </x:row>
    <x:row r="153">
      <x:c r="A153" t="str">
        <x:v>PAB</x:v>
      </x:c>
      <x:c r="B153" t="str">
        <x:v>PABLO</x:v>
      </x:c>
      <x:c r="C153" t="n">
        <x:v>52</x:v>
      </x:c>
      <x:c r="D153" t="str">
        <x:v>070</x:v>
      </x:c>
      <x:c r="E153" t="str">
        <x:v>Scarlet</x:v>
      </x:c>
      <x:c r="F153" t="str">
        <x:v>猩紅</x:v>
      </x:c>
      <x:c r="G153" t="str">
        <x:v>スカーレット</x:v>
      </x:c>
      <x:c r="H153" t="str">
        <x:v>#DB4637</x:v>
      </x:c>
      <x:c r="I153" t="str">
        <x:v>#000000</x:v>
      </x:c>
      <x:c r="J153" t="str">
        <x:v>https://www.carandache.com/content_files/uploaded_doc/product/10469/Colour_Chart_Pablo.pdf</x:v>
      </x:c>
    </x:row>
    <x:row r="154">
      <x:c r="A154" t="str">
        <x:v>PAB</x:v>
      </x:c>
      <x:c r="B154" t="str">
        <x:v>PABLO</x:v>
      </x:c>
      <x:c r="C154" t="n">
        <x:v>53</x:v>
      </x:c>
      <x:c r="D154" t="str">
        <x:v>069</x:v>
      </x:c>
      <x:c r="E154" t="str">
        <x:v>Burnt Siena</x:v>
      </x:c>
      <x:c r="F154" t="str">
        <x:v>熟赭紅</x:v>
      </x:c>
      <x:c r="G154" t="str">
        <x:v>バーントシェンナ</x:v>
      </x:c>
      <x:c r="H154" t="str">
        <x:v>#954F43</x:v>
      </x:c>
      <x:c r="I154" t="str">
        <x:v>#FFFFFF</x:v>
      </x:c>
      <x:c r="J154" t="str">
        <x:v>https://www.carandache.com/content_files/uploaded_doc/product/10469/Colour_Chart_Pablo.pdf</x:v>
      </x:c>
    </x:row>
    <x:row r="155">
      <x:c r="A155" t="str">
        <x:v>PAB</x:v>
      </x:c>
      <x:c r="B155" t="str">
        <x:v>PABLO</x:v>
      </x:c>
      <x:c r="C155" t="n">
        <x:v>54</x:v>
      </x:c>
      <x:c r="D155" t="str">
        <x:v>059</x:v>
      </x:c>
      <x:c r="E155" t="str">
        <x:v>Brown</x:v>
      </x:c>
      <x:c r="F155" t="str">
        <x:v>棕色</x:v>
      </x:c>
      <x:c r="G155" t="str">
        <x:v>ブラウン</x:v>
      </x:c>
      <x:c r="H155" t="str">
        <x:v>#903C2C</x:v>
      </x:c>
      <x:c r="I155" t="str">
        <x:v>#FFFFFF</x:v>
      </x:c>
      <x:c r="J155" t="str">
        <x:v>https://www.carandache.com/content_files/uploaded_doc/product/10469/Colour_Chart_Pablo.pdf</x:v>
      </x:c>
    </x:row>
    <x:row r="156">
      <x:c r="A156" t="str">
        <x:v>PAB</x:v>
      </x:c>
      <x:c r="B156" t="str">
        <x:v>PABLO</x:v>
      </x:c>
      <x:c r="C156" t="n">
        <x:v>55</x:v>
      </x:c>
      <x:c r="D156" t="str">
        <x:v>065</x:v>
      </x:c>
      <x:c r="E156" t="str">
        <x:v>Russet</x:v>
      </x:c>
      <x:c r="F156" t="str">
        <x:v>赤褐色</x:v>
      </x:c>
      <x:c r="G156" t="str">
        <x:v>ラセット</x:v>
      </x:c>
      <x:c r="H156" t="str">
        <x:v>#D05F35</x:v>
      </x:c>
      <x:c r="I156" t="str">
        <x:v>#000000</x:v>
      </x:c>
      <x:c r="J156" t="str">
        <x:v>https://www.carandache.com/content_files/uploaded_doc/product/10469/Colour_Chart_Pablo.pdf</x:v>
      </x:c>
    </x:row>
    <x:row r="157">
      <x:c r="A157" t="str">
        <x:v>PAB</x:v>
      </x:c>
      <x:c r="B157" t="str">
        <x:v>PABLO</x:v>
      </x:c>
      <x:c r="C157" t="n">
        <x:v>56</x:v>
      </x:c>
      <x:c r="D157" t="str">
        <x:v>063</x:v>
      </x:c>
      <x:c r="E157" t="str">
        <x:v>English red</x:v>
      </x:c>
      <x:c r="F157" t="str">
        <x:v>英國紅</x:v>
      </x:c>
      <x:c r="G157" t="str">
        <x:v>イングリッシュレッド</x:v>
      </x:c>
      <x:c r="H157" t="str">
        <x:v>#DC6548</x:v>
      </x:c>
      <x:c r="I157" t="str">
        <x:v>#000000</x:v>
      </x:c>
      <x:c r="J157" t="str">
        <x:v>https://www.carandache.com/content_files/uploaded_doc/product/10469/Colour_Chart_Pablo.pdf</x:v>
      </x:c>
    </x:row>
    <x:row r="158">
      <x:c r="A158" t="str">
        <x:v>PAB</x:v>
      </x:c>
      <x:c r="B158" t="str">
        <x:v>PABLO</x:v>
      </x:c>
      <x:c r="C158" t="n">
        <x:v>57</x:v>
      </x:c>
      <x:c r="D158" t="str">
        <x:v>062</x:v>
      </x:c>
      <x:c r="E158" t="str">
        <x:v>Venetian red</x:v>
      </x:c>
      <x:c r="F158" t="str">
        <x:v>威尼斯紅</x:v>
      </x:c>
      <x:c r="G158" t="str">
        <x:v>ベネチアンレッド</x:v>
      </x:c>
      <x:c r="H158" t="str">
        <x:v>#EC8055</x:v>
      </x:c>
      <x:c r="I158" t="str">
        <x:v>#000000</x:v>
      </x:c>
      <x:c r="J158" t="str">
        <x:v>https://www.carandache.com/content_files/uploaded_doc/product/10469/Colour_Chart_Pablo.pdf</x:v>
      </x:c>
    </x:row>
    <x:row r="159">
      <x:c r="A159" t="str">
        <x:v>PAB</x:v>
      </x:c>
      <x:c r="B159" t="str">
        <x:v>PABLO</x:v>
      </x:c>
      <x:c r="C159" t="n">
        <x:v>58</x:v>
      </x:c>
      <x:c r="D159" t="str">
        <x:v>053</x:v>
      </x:c>
      <x:c r="E159" t="str">
        <x:v>Hazel</x:v>
      </x:c>
      <x:c r="F159" t="str">
        <x:v>榛果棕</x:v>
      </x:c>
      <x:c r="G159" t="str">
        <x:v>ヘーゼル</x:v>
      </x:c>
      <x:c r="H159" t="str">
        <x:v>#D97F4C</x:v>
      </x:c>
      <x:c r="I159" t="str">
        <x:v>#000000</x:v>
      </x:c>
      <x:c r="J159" t="str">
        <x:v>https://www.carandache.com/content_files/uploaded_doc/product/10469/Colour_Chart_Pablo.pdf</x:v>
      </x:c>
    </x:row>
    <x:row r="160">
      <x:c r="A160" t="str">
        <x:v>PAB</x:v>
      </x:c>
      <x:c r="B160" t="str">
        <x:v>PABLO</x:v>
      </x:c>
      <x:c r="C160" t="n">
        <x:v>59</x:v>
      </x:c>
      <x:c r="D160" t="str">
        <x:v>057</x:v>
      </x:c>
      <x:c r="E160" t="str">
        <x:v>Chestnut</x:v>
      </x:c>
      <x:c r="F160" t="str">
        <x:v>栗棕色</x:v>
      </x:c>
      <x:c r="G160" t="str">
        <x:v>チェスナット</x:v>
      </x:c>
      <x:c r="H160" t="str">
        <x:v>#864937</x:v>
      </x:c>
      <x:c r="I160" t="str">
        <x:v>#FFFFFF</x:v>
      </x:c>
      <x:c r="J160" t="str">
        <x:v>https://www.carandache.com/content_files/uploaded_doc/product/10469/Colour_Chart_Pablo.pdf</x:v>
      </x:c>
    </x:row>
    <x:row r="161">
      <x:c r="A161" t="str">
        <x:v>PAB</x:v>
      </x:c>
      <x:c r="B161" t="str">
        <x:v>PABLO</x:v>
      </x:c>
      <x:c r="C161" t="n">
        <x:v>60</x:v>
      </x:c>
      <x:c r="D161" t="str">
        <x:v>055</x:v>
      </x:c>
      <x:c r="E161" t="str">
        <x:v>Cinnamon</x:v>
      </x:c>
      <x:c r="F161" t="str">
        <x:v>肉桂色</x:v>
      </x:c>
      <x:c r="G161" t="str">
        <x:v>シナモン</x:v>
      </x:c>
      <x:c r="H161" t="str">
        <x:v>#AA5A33</x:v>
      </x:c>
      <x:c r="I161" t="str">
        <x:v>#FFFFFF</x:v>
      </x:c>
      <x:c r="J161" t="str">
        <x:v>https://www.carandache.com/content_files/uploaded_doc/product/10469/Colour_Chart_Pablo.pdf</x:v>
      </x:c>
    </x:row>
    <x:row r="162">
      <x:c r="A162" t="str">
        <x:v>PAB</x:v>
      </x:c>
      <x:c r="B162" t="str">
        <x:v>PABLO</x:v>
      </x:c>
      <x:c r="C162" t="n">
        <x:v>61</x:v>
      </x:c>
      <x:c r="D162" t="str">
        <x:v>037</x:v>
      </x:c>
      <x:c r="E162" t="str">
        <x:v>Brown ochre</x:v>
      </x:c>
      <x:c r="F162" t="str">
        <x:v>棕赭色</x:v>
      </x:c>
      <x:c r="G162" t="str">
        <x:v>ブラウンオーカー</x:v>
      </x:c>
      <x:c r="H162" t="str">
        <x:v>#AF7449</x:v>
      </x:c>
      <x:c r="I162" t="str">
        <x:v>#000000</x:v>
      </x:c>
      <x:c r="J162" t="str">
        <x:v>https://www.carandache.com/content_files/uploaded_doc/product/10469/Colour_Chart_Pablo.pdf</x:v>
      </x:c>
    </x:row>
    <x:row r="163">
      <x:c r="A163" t="str">
        <x:v>PAB</x:v>
      </x:c>
      <x:c r="B163" t="str">
        <x:v>PABLO</x:v>
      </x:c>
      <x:c r="C163" t="n">
        <x:v>62</x:v>
      </x:c>
      <x:c r="D163" t="str">
        <x:v>035</x:v>
      </x:c>
      <x:c r="E163" t="str">
        <x:v>Ochre</x:v>
      </x:c>
      <x:c r="F163" t="str">
        <x:v>赭色</x:v>
      </x:c>
      <x:c r="G163" t="str">
        <x:v>オーカー</x:v>
      </x:c>
      <x:c r="H163" t="str">
        <x:v>#E09B51</x:v>
      </x:c>
      <x:c r="I163" t="str">
        <x:v>#000000</x:v>
      </x:c>
      <x:c r="J163" t="str">
        <x:v>https://www.carandache.com/content_files/uploaded_doc/product/10469/Colour_Chart_Pablo.pdf</x:v>
      </x:c>
    </x:row>
    <x:row r="164">
      <x:c r="A164" t="str">
        <x:v>PAB</x:v>
      </x:c>
      <x:c r="B164" t="str">
        <x:v>PABLO</x:v>
      </x:c>
      <x:c r="C164" t="n">
        <x:v>63</x:v>
      </x:c>
      <x:c r="D164" t="str">
        <x:v>033</x:v>
      </x:c>
      <x:c r="E164" t="str">
        <x:v>Golden ochre</x:v>
      </x:c>
      <x:c r="F164" t="str">
        <x:v>金赭色</x:v>
      </x:c>
      <x:c r="G164" t="str">
        <x:v>ゴールデンオーカー</x:v>
      </x:c>
      <x:c r="H164" t="str">
        <x:v>#F2B350</x:v>
      </x:c>
      <x:c r="I164" t="str">
        <x:v>#000000</x:v>
      </x:c>
      <x:c r="J164" t="str">
        <x:v>https://www.carandache.com/content_files/uploaded_doc/product/10469/Colour_Chart_Pablo.pdf</x:v>
      </x:c>
    </x:row>
    <x:row r="165">
      <x:c r="A165" t="str">
        <x:v>PAB</x:v>
      </x:c>
      <x:c r="B165" t="str">
        <x:v>PABLO</x:v>
      </x:c>
      <x:c r="C165" t="n">
        <x:v>64</x:v>
      </x:c>
      <x:c r="D165" t="str">
        <x:v>032</x:v>
      </x:c>
      <x:c r="E165" t="str">
        <x:v>Light ochre</x:v>
      </x:c>
      <x:c r="F165" t="str">
        <x:v>淺赭色</x:v>
      </x:c>
      <x:c r="G165" t="str">
        <x:v>ライトオーカー</x:v>
      </x:c>
      <x:c r="H165" t="str">
        <x:v>#F3B666</x:v>
      </x:c>
      <x:c r="I165" t="str">
        <x:v>#000000</x:v>
      </x:c>
      <x:c r="J165" t="str">
        <x:v>https://www.carandache.com/content_files/uploaded_doc/product/10469/Colour_Chart_Pablo.pdf</x:v>
      </x:c>
    </x:row>
    <x:row r="166">
      <x:c r="A166" t="str">
        <x:v>PAB</x:v>
      </x:c>
      <x:c r="B166" t="str">
        <x:v>PABLO</x:v>
      </x:c>
      <x:c r="C166" t="n">
        <x:v>65</x:v>
      </x:c>
      <x:c r="D166" t="str">
        <x:v>031</x:v>
      </x:c>
      <x:c r="E166" t="str">
        <x:v>Orangish yellow</x:v>
      </x:c>
      <x:c r="F166" t="str">
        <x:v>橙黃色</x:v>
      </x:c>
      <x:c r="G166" t="str">
        <x:v>オレンジイエロー</x:v>
      </x:c>
      <x:c r="H166" t="str">
        <x:v>#FEC35E</x:v>
      </x:c>
      <x:c r="I166" t="str">
        <x:v>#000000</x:v>
      </x:c>
      <x:c r="J166" t="str">
        <x:v>https://www.carandache.com/content_files/uploaded_doc/product/10469/Colour_Chart_Pablo.pdf</x:v>
      </x:c>
    </x:row>
    <x:row r="167">
      <x:c r="A167" t="str">
        <x:v>PAB</x:v>
      </x:c>
      <x:c r="B167" t="str">
        <x:v>PABLO</x:v>
      </x:c>
      <x:c r="C167" t="n">
        <x:v>66</x:v>
      </x:c>
      <x:c r="D167" t="str">
        <x:v>491</x:v>
      </x:c>
      <x:c r="E167" t="str">
        <x:v>Cream</x:v>
      </x:c>
      <x:c r="F167" t="str">
        <x:v>奶油色</x:v>
      </x:c>
      <x:c r="G167" t="str">
        <x:v>クリーム</x:v>
      </x:c>
      <x:c r="H167" t="str">
        <x:v>#FEEDD2</x:v>
      </x:c>
      <x:c r="I167" t="str">
        <x:v>#000000</x:v>
      </x:c>
      <x:c r="J167" t="str">
        <x:v>https://www.carandache.com/content_files/uploaded_doc/product/10469/Colour_Chart_Pablo.pdf</x:v>
      </x:c>
    </x:row>
    <x:row r="168">
      <x:c r="A168" t="str">
        <x:v>PAB</x:v>
      </x:c>
      <x:c r="B168" t="str">
        <x:v>PABLO</x:v>
      </x:c>
      <x:c r="C168" t="n">
        <x:v>67</x:v>
      </x:c>
      <x:c r="D168" t="str">
        <x:v>371</x:v>
      </x:c>
      <x:c r="E168" t="str">
        <x:v>Bluish pale</x:v>
      </x:c>
      <x:c r="F168" t="str">
        <x:v>淡藍色</x:v>
      </x:c>
      <x:c r="G168" t="str">
        <x:v>ペールブルー</x:v>
      </x:c>
      <x:c r="H168" t="str">
        <x:v>#BCDCE1</x:v>
      </x:c>
      <x:c r="I168" t="str">
        <x:v>#000000</x:v>
      </x:c>
      <x:c r="J168" t="str">
        <x:v>https://www.carandache.com/content_files/uploaded_doc/product/10469/Colour_Chart_Pablo.pdf</x:v>
      </x:c>
    </x:row>
    <x:row r="169">
      <x:c r="A169" t="str">
        <x:v>PAB</x:v>
      </x:c>
      <x:c r="B169" t="str">
        <x:v>PABLO</x:v>
      </x:c>
      <x:c r="C169" t="n">
        <x:v>68</x:v>
      </x:c>
      <x:c r="D169" t="str">
        <x:v>002</x:v>
      </x:c>
      <x:c r="E169" t="str">
        <x:v>Silver grey</x:v>
      </x:c>
      <x:c r="F169" t="str">
        <x:v>銀灰色</x:v>
      </x:c>
      <x:c r="G169" t="str">
        <x:v>シルバーグレー</x:v>
      </x:c>
      <x:c r="H169" t="str">
        <x:v>#E6E2DA</x:v>
      </x:c>
      <x:c r="I169" t="str">
        <x:v>#000000</x:v>
      </x:c>
      <x:c r="J169" t="str">
        <x:v>https://www.carandache.com/content_files/uploaded_doc/product/10469/Colour_Chart_Pablo.pdf</x:v>
      </x:c>
    </x:row>
    <x:row r="170">
      <x:c r="A170" t="str">
        <x:v>PAB</x:v>
      </x:c>
      <x:c r="B170" t="str">
        <x:v>PABLO</x:v>
      </x:c>
      <x:c r="C170" t="n">
        <x:v>69</x:v>
      </x:c>
      <x:c r="D170" t="str">
        <x:v>003</x:v>
      </x:c>
      <x:c r="E170" t="str">
        <x:v>Light grey</x:v>
      </x:c>
      <x:c r="F170" t="str">
        <x:v>淺灰色</x:v>
      </x:c>
      <x:c r="G170" t="str">
        <x:v>ライトグレー</x:v>
      </x:c>
      <x:c r="H170" t="str">
        <x:v>#DCDDD8</x:v>
      </x:c>
      <x:c r="I170" t="str">
        <x:v>#000000</x:v>
      </x:c>
      <x:c r="J170" t="str">
        <x:v>https://www.carandache.com/content_files/uploaded_doc/product/10469/Colour_Chart_Pablo.pdf</x:v>
      </x:c>
    </x:row>
    <x:row r="171">
      <x:c r="A171" t="str">
        <x:v>PAB</x:v>
      </x:c>
      <x:c r="B171" t="str">
        <x:v>PABLO</x:v>
      </x:c>
      <x:c r="C171" t="n">
        <x:v>70</x:v>
      </x:c>
      <x:c r="D171" t="str">
        <x:v>004</x:v>
      </x:c>
      <x:c r="E171" t="str">
        <x:v>Steel grey</x:v>
      </x:c>
      <x:c r="F171" t="str">
        <x:v>鋼灰色</x:v>
      </x:c>
      <x:c r="G171" t="str">
        <x:v>スチールグレー</x:v>
      </x:c>
      <x:c r="H171" t="str">
        <x:v>#C3C9C4</x:v>
      </x:c>
      <x:c r="I171" t="str">
        <x:v>#000000</x:v>
      </x:c>
      <x:c r="J171" t="str">
        <x:v>https://www.carandache.com/content_files/uploaded_doc/product/10469/Colour_Chart_Pablo.pdf</x:v>
      </x:c>
    </x:row>
    <x:row r="172">
      <x:c r="A172" t="str">
        <x:v>PAB</x:v>
      </x:c>
      <x:c r="B172" t="str">
        <x:v>PABLO</x:v>
      </x:c>
      <x:c r="C172" t="n">
        <x:v>71</x:v>
      </x:c>
      <x:c r="D172" t="str">
        <x:v>006</x:v>
      </x:c>
      <x:c r="E172" t="str">
        <x:v>Mouse grey</x:v>
      </x:c>
      <x:c r="F172" t="str">
        <x:v>鼠灰色</x:v>
      </x:c>
      <x:c r="G172" t="str">
        <x:v>マウスグレー</x:v>
      </x:c>
      <x:c r="H172" t="str">
        <x:v>#707C7E</x:v>
      </x:c>
      <x:c r="I172" t="str">
        <x:v>#000000</x:v>
      </x:c>
      <x:c r="J172" t="str">
        <x:v>https://www.carandache.com/content_files/uploaded_doc/product/10469/Colour_Chart_Pablo.pdf</x:v>
      </x:c>
    </x:row>
    <x:row r="173">
      <x:c r="A173" t="str">
        <x:v>PAB</x:v>
      </x:c>
      <x:c r="B173" t="str">
        <x:v>PABLO</x:v>
      </x:c>
      <x:c r="C173" t="n">
        <x:v>72</x:v>
      </x:c>
      <x:c r="D173" t="str">
        <x:v>005</x:v>
      </x:c>
      <x:c r="E173" t="str">
        <x:v>Grey</x:v>
      </x:c>
      <x:c r="F173" t="str">
        <x:v>灰色</x:v>
      </x:c>
      <x:c r="G173" t="str">
        <x:v>グレー</x:v>
      </x:c>
      <x:c r="H173" t="str">
        <x:v>#83969C</x:v>
      </x:c>
      <x:c r="I173" t="str">
        <x:v>#000000</x:v>
      </x:c>
      <x:c r="J173" t="str">
        <x:v>https://www.carandache.com/content_files/uploaded_doc/product/10469/Colour_Chart_Pablo.pdf</x:v>
      </x:c>
    </x:row>
    <x:row r="174">
      <x:c r="A174" t="str">
        <x:v>PAB</x:v>
      </x:c>
      <x:c r="B174" t="str">
        <x:v>PABLO</x:v>
      </x:c>
      <x:c r="C174" t="n">
        <x:v>73</x:v>
      </x:c>
      <x:c r="D174" t="str">
        <x:v>007</x:v>
      </x:c>
      <x:c r="E174" t="str">
        <x:v>Dark grey</x:v>
      </x:c>
      <x:c r="F174" t="str">
        <x:v>深灰色</x:v>
      </x:c>
      <x:c r="G174" t="str">
        <x:v>ダークグレー</x:v>
      </x:c>
      <x:c r="H174" t="str">
        <x:v>#687173</x:v>
      </x:c>
      <x:c r="I174" t="str">
        <x:v>#FFFFFF</x:v>
      </x:c>
      <x:c r="J174" t="str">
        <x:v>https://www.carandache.com/content_files/uploaded_doc/product/10469/Colour_Chart_Pablo.pdf</x:v>
      </x:c>
    </x:row>
    <x:row r="175">
      <x:c r="A175" t="str">
        <x:v>PAB</x:v>
      </x:c>
      <x:c r="B175" t="str">
        <x:v>PABLO</x:v>
      </x:c>
      <x:c r="C175" t="n">
        <x:v>74</x:v>
      </x:c>
      <x:c r="D175" t="str">
        <x:v>008</x:v>
      </x:c>
      <x:c r="E175" t="str">
        <x:v>Greyish black</x:v>
      </x:c>
      <x:c r="F175" t="str">
        <x:v>灰黑色</x:v>
      </x:c>
      <x:c r="G175" t="str">
        <x:v>グレイッシュブラック</x:v>
      </x:c>
      <x:c r="H175" t="str">
        <x:v>#4E565D</x:v>
      </x:c>
      <x:c r="I175" t="str">
        <x:v>#FFFFFF</x:v>
      </x:c>
      <x:c r="J175" t="str">
        <x:v>https://www.carandache.com/content_files/uploaded_doc/product/10469/Colour_Chart_Pablo.pdf</x:v>
      </x:c>
    </x:row>
    <x:row r="176">
      <x:c r="A176" t="str">
        <x:v>PAB</x:v>
      </x:c>
      <x:c r="B176" t="str">
        <x:v>PABLO</x:v>
      </x:c>
      <x:c r="C176" t="n">
        <x:v>75</x:v>
      </x:c>
      <x:c r="D176" t="str">
        <x:v>495</x:v>
      </x:c>
      <x:c r="E176" t="str">
        <x:v>Slate grey</x:v>
      </x:c>
      <x:c r="F176" t="str">
        <x:v>板岩灰</x:v>
      </x:c>
      <x:c r="G176" t="str">
        <x:v>スレートグレー</x:v>
      </x:c>
      <x:c r="H176" t="str">
        <x:v>#474A4B</x:v>
      </x:c>
      <x:c r="I176" t="str">
        <x:v>#FFFFFF</x:v>
      </x:c>
      <x:c r="J176" t="str">
        <x:v>https://www.carandache.com/content_files/uploaded_doc/product/10469/Colour_Chart_Pablo.pdf</x:v>
      </x:c>
    </x:row>
    <x:row r="177">
      <x:c r="A177" t="str">
        <x:v>PAB</x:v>
      </x:c>
      <x:c r="B177" t="str">
        <x:v>PABLO</x:v>
      </x:c>
      <x:c r="C177" t="n">
        <x:v>76</x:v>
      </x:c>
      <x:c r="D177" t="str">
        <x:v>496</x:v>
      </x:c>
      <x:c r="E177" t="str">
        <x:v>Ivory black</x:v>
      </x:c>
      <x:c r="F177" t="str">
        <x:v>象牙黑</x:v>
      </x:c>
      <x:c r="G177" t="str">
        <x:v>アイボリーブラック</x:v>
      </x:c>
      <x:c r="H177" t="str">
        <x:v>#3D3C38</x:v>
      </x:c>
      <x:c r="I177" t="str">
        <x:v>#FFFFFF</x:v>
      </x:c>
      <x:c r="J177" t="str">
        <x:v>https://www.carandache.com/content_files/uploaded_doc/product/10469/Colour_Chart_Pablo.pdf</x:v>
      </x:c>
    </x:row>
    <x:row r="178">
      <x:c r="A178" t="str">
        <x:v>PAB</x:v>
      </x:c>
      <x:c r="B178" t="str">
        <x:v>PABLO</x:v>
      </x:c>
      <x:c r="C178" t="n">
        <x:v>77</x:v>
      </x:c>
      <x:c r="D178" t="str">
        <x:v>409</x:v>
      </x:c>
      <x:c r="E178" t="str">
        <x:v>Charcoal grey</x:v>
      </x:c>
      <x:c r="F178" t="str">
        <x:v>炭灰色</x:v>
      </x:c>
      <x:c r="G178" t="str">
        <x:v>チャコールグレー</x:v>
      </x:c>
      <x:c r="H178" t="str">
        <x:v>#544B46</x:v>
      </x:c>
      <x:c r="I178" t="str">
        <x:v>#FFFFFF</x:v>
      </x:c>
      <x:c r="J178" t="str">
        <x:v>https://www.carandache.com/content_files/uploaded_doc/product/10469/Colour_Chart_Pablo.pdf</x:v>
      </x:c>
    </x:row>
    <x:row r="179">
      <x:c r="A179" t="str">
        <x:v>PAB</x:v>
      </x:c>
      <x:c r="B179" t="str">
        <x:v>PABLO</x:v>
      </x:c>
      <x:c r="C179" t="n">
        <x:v>78</x:v>
      </x:c>
      <x:c r="D179" t="str">
        <x:v>407</x:v>
      </x:c>
      <x:c r="E179" t="str">
        <x:v>Sepia</x:v>
      </x:c>
      <x:c r="F179" t="str">
        <x:v>深褐色</x:v>
      </x:c>
      <x:c r="G179" t="str">
        <x:v>セピア</x:v>
      </x:c>
      <x:c r="H179" t="str">
        <x:v>#63524C</x:v>
      </x:c>
      <x:c r="I179" t="str">
        <x:v>#FFFFFF</x:v>
      </x:c>
      <x:c r="J179" t="str">
        <x:v>https://www.carandache.com/content_files/uploaded_doc/product/10469/Colour_Chart_Pablo.pdf</x:v>
      </x:c>
    </x:row>
    <x:row r="180">
      <x:c r="A180" t="str">
        <x:v>PAB</x:v>
      </x:c>
      <x:c r="B180" t="str">
        <x:v>PABLO</x:v>
      </x:c>
      <x:c r="C180" t="n">
        <x:v>79</x:v>
      </x:c>
      <x:c r="D180" t="str">
        <x:v>047</x:v>
      </x:c>
      <x:c r="E180" t="str">
        <x:v>Bistre</x:v>
      </x:c>
      <x:c r="F180" t="str">
        <x:v>煙褐色</x:v>
      </x:c>
      <x:c r="G180" t="str">
        <x:v>ビスター</x:v>
      </x:c>
      <x:c r="H180" t="str">
        <x:v>#674B44</x:v>
      </x:c>
      <x:c r="I180" t="str">
        <x:v>#FFFFFF</x:v>
      </x:c>
      <x:c r="J180" t="str">
        <x:v>https://www.carandache.com/content_files/uploaded_doc/product/10469/Colour_Chart_Pablo.pdf</x:v>
      </x:c>
    </x:row>
    <x:row r="181">
      <x:c r="A181" t="str">
        <x:v>PAB</x:v>
      </x:c>
      <x:c r="B181" t="str">
        <x:v>PABLO</x:v>
      </x:c>
      <x:c r="C181" t="n">
        <x:v>80</x:v>
      </x:c>
      <x:c r="D181" t="str">
        <x:v>405</x:v>
      </x:c>
      <x:c r="E181" t="str">
        <x:v>Cocoa</x:v>
      </x:c>
      <x:c r="F181" t="str">
        <x:v>可可棕</x:v>
      </x:c>
      <x:c r="G181" t="str">
        <x:v>ココア</x:v>
      </x:c>
      <x:c r="H181" t="str">
        <x:v>#7E695E</x:v>
      </x:c>
      <x:c r="I181" t="str">
        <x:v>#FFFFFF</x:v>
      </x:c>
      <x:c r="J181" t="str">
        <x:v>https://www.carandache.com/content_files/uploaded_doc/product/10469/Colour_Chart_Pablo.pdf</x:v>
      </x:c>
    </x:row>
    <x:row r="182">
      <x:c r="A182" t="str">
        <x:v>PAB</x:v>
      </x:c>
      <x:c r="B182" t="str">
        <x:v>PABLO</x:v>
      </x:c>
      <x:c r="C182" t="n">
        <x:v>81</x:v>
      </x:c>
      <x:c r="D182" t="str">
        <x:v>160</x:v>
      </x:c>
      <x:c r="E182" t="str">
        <x:v>Cobalt blue (hue)</x:v>
      </x:c>
      <x:c r="F182" t="str">
        <x:v>鈷藍（色相）</x:v>
      </x:c>
      <x:c r="G182" t="str">
        <x:v>コバルトブルー（ヒュー）</x:v>
      </x:c>
      <x:c r="H182" t="str">
        <x:v>#0384B1</x:v>
      </x:c>
      <x:c r="I182" t="str">
        <x:v>#000000</x:v>
      </x:c>
      <x:c r="J182" t="str">
        <x:v>https://www.carandache.com/content_files/uploaded_doc/product/10469/Colour_Chart_Pablo.pdf</x:v>
      </x:c>
    </x:row>
    <x:row r="183">
      <x:c r="A183" t="str">
        <x:v>PAB</x:v>
      </x:c>
      <x:c r="B183" t="str">
        <x:v>PABLO</x:v>
      </x:c>
      <x:c r="C183" t="n">
        <x:v>82</x:v>
      </x:c>
      <x:c r="D183" t="str">
        <x:v>170</x:v>
      </x:c>
      <x:c r="E183" t="str">
        <x:v>Azurite blue</x:v>
      </x:c>
      <x:c r="F183" t="str">
        <x:v>藍銅礦藍</x:v>
      </x:c>
      <x:c r="G183" t="str">
        <x:v>アズライトブルー</x:v>
      </x:c>
      <x:c r="H183" t="str">
        <x:v>#0390A4</x:v>
      </x:c>
      <x:c r="I183" t="str">
        <x:v>#000000</x:v>
      </x:c>
      <x:c r="J183" t="str">
        <x:v>https://www.carandache.com/content_files/uploaded_doc/product/10469/Colour_Chart_Pablo.pdf</x:v>
      </x:c>
    </x:row>
    <x:row r="184">
      <x:c r="A184" t="str">
        <x:v>PAB</x:v>
      </x:c>
      <x:c r="B184" t="str">
        <x:v>PABLO</x:v>
      </x:c>
      <x:c r="C184" t="n">
        <x:v>83</x:v>
      </x:c>
      <x:c r="D184" t="str">
        <x:v>180</x:v>
      </x:c>
      <x:c r="E184" t="str">
        <x:v>Malachite green</x:v>
      </x:c>
      <x:c r="F184" t="str">
        <x:v>孔雀石綠</x:v>
      </x:c>
      <x:c r="G184" t="str">
        <x:v>マラカイトグリーン</x:v>
      </x:c>
      <x:c r="H184" t="str">
        <x:v>#058B9B</x:v>
      </x:c>
      <x:c r="I184" t="str">
        <x:v>#000000</x:v>
      </x:c>
      <x:c r="J184" t="str">
        <x:v>https://www.carandache.com/content_files/uploaded_doc/product/10469/Colour_Chart_Pablo.pdf</x:v>
      </x:c>
    </x:row>
    <x:row r="185">
      <x:c r="A185" t="str">
        <x:v>PAB</x:v>
      </x:c>
      <x:c r="B185" t="str">
        <x:v>PABLO</x:v>
      </x:c>
      <x:c r="C185" t="n">
        <x:v>84</x:v>
      </x:c>
      <x:c r="D185" t="str">
        <x:v>190</x:v>
      </x:c>
      <x:c r="E185" t="str">
        <x:v>Greenish blue</x:v>
      </x:c>
      <x:c r="F185" t="str">
        <x:v>綠藍色</x:v>
      </x:c>
      <x:c r="G185" t="str">
        <x:v>グリーニッシュブルー</x:v>
      </x:c>
      <x:c r="H185" t="str">
        <x:v>#037F7D</x:v>
      </x:c>
      <x:c r="I185" t="str">
        <x:v>#FFFFFF</x:v>
      </x:c>
      <x:c r="J185" t="str">
        <x:v>https://www.carandache.com/content_files/uploaded_doc/product/10469/Colour_Chart_Pablo.pdf</x:v>
      </x:c>
    </x:row>
    <x:row r="186">
      <x:c r="A186" t="str">
        <x:v>PAB</x:v>
      </x:c>
      <x:c r="B186" t="str">
        <x:v>PABLO</x:v>
      </x:c>
      <x:c r="C186" t="n">
        <x:v>85</x:v>
      </x:c>
      <x:c r="D186" t="str">
        <x:v>195</x:v>
      </x:c>
      <x:c r="E186" t="str">
        <x:v>Opaline green</x:v>
      </x:c>
      <x:c r="F186" t="str">
        <x:v>乳白綠</x:v>
      </x:c>
      <x:c r="G186" t="str">
        <x:v>オパリングリーン</x:v>
      </x:c>
      <x:c r="H186" t="str">
        <x:v>#049C99</x:v>
      </x:c>
      <x:c r="I186" t="str">
        <x:v>#000000</x:v>
      </x:c>
      <x:c r="J186" t="str">
        <x:v>https://www.carandache.com/content_files/uploaded_doc/product/10469/Colour_Chart_Pablo.pdf</x:v>
      </x:c>
    </x:row>
    <x:row r="187">
      <x:c r="A187" t="str">
        <x:v>PAB</x:v>
      </x:c>
      <x:c r="B187" t="str">
        <x:v>PABLO</x:v>
      </x:c>
      <x:c r="C187" t="n">
        <x:v>86</x:v>
      </x:c>
      <x:c r="D187" t="str">
        <x:v>211</x:v>
      </x:c>
      <x:c r="E187" t="str">
        <x:v>Jade green</x:v>
      </x:c>
      <x:c r="F187" t="str">
        <x:v>玉綠色</x:v>
      </x:c>
      <x:c r="G187" t="str">
        <x:v>ジェードグリーン</x:v>
      </x:c>
      <x:c r="H187" t="str">
        <x:v>#9AD3B1</x:v>
      </x:c>
      <x:c r="I187" t="str">
        <x:v>#000000</x:v>
      </x:c>
      <x:c r="J187" t="str">
        <x:v>https://www.carandache.com/content_files/uploaded_doc/product/10469/Colour_Chart_Pablo.pdf</x:v>
      </x:c>
    </x:row>
    <x:row r="188">
      <x:c r="A188" t="str">
        <x:v>PAB</x:v>
      </x:c>
      <x:c r="B188" t="str">
        <x:v>PABLO</x:v>
      </x:c>
      <x:c r="C188" t="n">
        <x:v>87</x:v>
      </x:c>
      <x:c r="D188" t="str">
        <x:v>215</x:v>
      </x:c>
      <x:c r="E188" t="str">
        <x:v>Greyish green</x:v>
      </x:c>
      <x:c r="F188" t="str">
        <x:v>灰綠色</x:v>
      </x:c>
      <x:c r="G188" t="str">
        <x:v>グレイッシュグリーン</x:v>
      </x:c>
      <x:c r="H188" t="str">
        <x:v>#02AC82</x:v>
      </x:c>
      <x:c r="I188" t="str">
        <x:v>#000000</x:v>
      </x:c>
      <x:c r="J188" t="str">
        <x:v>https://www.carandache.com/content_files/uploaded_doc/product/10469/Colour_Chart_Pablo.pdf</x:v>
      </x:c>
    </x:row>
    <x:row r="189">
      <x:c r="A189" t="str">
        <x:v>PAB</x:v>
      </x:c>
      <x:c r="B189" t="str">
        <x:v>PABLO</x:v>
      </x:c>
      <x:c r="C189" t="n">
        <x:v>88</x:v>
      </x:c>
      <x:c r="D189" t="str">
        <x:v>201</x:v>
      </x:c>
      <x:c r="E189" t="str">
        <x:v>Veronese green</x:v>
      </x:c>
      <x:c r="F189" t="str">
        <x:v>維羅內塞綠</x:v>
      </x:c>
      <x:c r="G189" t="str">
        <x:v>ベロネーゼグリーン</x:v>
      </x:c>
      <x:c r="H189" t="str">
        <x:v>#2FB98E</x:v>
      </x:c>
      <x:c r="I189" t="str">
        <x:v>#000000</x:v>
      </x:c>
      <x:c r="J189" t="str">
        <x:v>https://www.carandache.com/content_files/uploaded_doc/product/10469/Colour_Chart_Pablo.pdf</x:v>
      </x:c>
    </x:row>
    <x:row r="190">
      <x:c r="A190" t="str">
        <x:v>PAB</x:v>
      </x:c>
      <x:c r="B190" t="str">
        <x:v>PABLO</x:v>
      </x:c>
      <x:c r="C190" t="n">
        <x:v>89</x:v>
      </x:c>
      <x:c r="D190" t="str">
        <x:v>460</x:v>
      </x:c>
      <x:c r="E190" t="str">
        <x:v>Peacock green</x:v>
      </x:c>
      <x:c r="F190" t="str">
        <x:v>孔雀綠</x:v>
      </x:c>
      <x:c r="G190" t="str">
        <x:v>ピーコックグリーン</x:v>
      </x:c>
      <x:c r="H190" t="str">
        <x:v>#13B480</x:v>
      </x:c>
      <x:c r="I190" t="str">
        <x:v>#000000</x:v>
      </x:c>
      <x:c r="J190" t="str">
        <x:v>https://www.carandache.com/content_files/uploaded_doc/product/10469/Colour_Chart_Pablo.pdf</x:v>
      </x:c>
    </x:row>
    <x:row r="191">
      <x:c r="A191" t="str">
        <x:v>PAB</x:v>
      </x:c>
      <x:c r="B191" t="str">
        <x:v>PABLO</x:v>
      </x:c>
      <x:c r="C191" t="n">
        <x:v>90</x:v>
      </x:c>
      <x:c r="D191" t="str">
        <x:v>290</x:v>
      </x:c>
      <x:c r="E191" t="str">
        <x:v>Empire green</x:v>
      </x:c>
      <x:c r="F191" t="str">
        <x:v>帝國綠</x:v>
      </x:c>
      <x:c r="G191" t="str">
        <x:v>エンパイアグリーン</x:v>
      </x:c>
      <x:c r="H191" t="str">
        <x:v>#039F78</x:v>
      </x:c>
      <x:c r="I191" t="str">
        <x:v>#000000</x:v>
      </x:c>
      <x:c r="J191" t="str">
        <x:v>https://www.carandache.com/content_files/uploaded_doc/product/10469/Colour_Chart_Pablo.pdf</x:v>
      </x:c>
    </x:row>
    <x:row r="192">
      <x:c r="A192" t="str">
        <x:v>PAB</x:v>
      </x:c>
      <x:c r="B192" t="str">
        <x:v>PABLO</x:v>
      </x:c>
      <x:c r="C192" t="n">
        <x:v>91</x:v>
      </x:c>
      <x:c r="D192" t="str">
        <x:v>200</x:v>
      </x:c>
      <x:c r="E192" t="str">
        <x:v>Bluish green</x:v>
      </x:c>
      <x:c r="F192" t="str">
        <x:v>藍綠色</x:v>
      </x:c>
      <x:c r="G192" t="str">
        <x:v>ブルーイッシュグリーン</x:v>
      </x:c>
      <x:c r="H192" t="str">
        <x:v>#038C6C</x:v>
      </x:c>
      <x:c r="I192" t="str">
        <x:v>#000000</x:v>
      </x:c>
      <x:c r="J192" t="str">
        <x:v>https://www.carandache.com/content_files/uploaded_doc/product/10469/Colour_Chart_Pablo.pdf</x:v>
      </x:c>
    </x:row>
    <x:row r="193">
      <x:c r="A193" t="str">
        <x:v>PAB</x:v>
      </x:c>
      <x:c r="B193" t="str">
        <x:v>PABLO</x:v>
      </x:c>
      <x:c r="C193" t="n">
        <x:v>92</x:v>
      </x:c>
      <x:c r="D193" t="str">
        <x:v>229</x:v>
      </x:c>
      <x:c r="E193" t="str">
        <x:v>Dark green</x:v>
      </x:c>
      <x:c r="F193" t="str">
        <x:v>深綠色</x:v>
      </x:c>
      <x:c r="G193" t="str">
        <x:v>ダークグリーン</x:v>
      </x:c>
      <x:c r="H193" t="str">
        <x:v>#046E53</x:v>
      </x:c>
      <x:c r="I193" t="str">
        <x:v>#FFFFFF</x:v>
      </x:c>
      <x:c r="J193" t="str">
        <x:v>https://www.carandache.com/content_files/uploaded_doc/product/10469/Colour_Chart_Pablo.pdf</x:v>
      </x:c>
    </x:row>
    <x:row r="194">
      <x:c r="A194" t="str">
        <x:v>PAB</x:v>
      </x:c>
      <x:c r="B194" t="str">
        <x:v>PABLO</x:v>
      </x:c>
      <x:c r="C194" t="n">
        <x:v>93</x:v>
      </x:c>
      <x:c r="D194" t="str">
        <x:v>239</x:v>
      </x:c>
      <x:c r="E194" t="str">
        <x:v>Spruce green</x:v>
      </x:c>
      <x:c r="F194" t="str">
        <x:v>雲杉綠</x:v>
      </x:c>
      <x:c r="G194" t="str">
        <x:v>スプルースグリーン</x:v>
      </x:c>
      <x:c r="H194" t="str">
        <x:v>#119158</x:v>
      </x:c>
      <x:c r="I194" t="str">
        <x:v>#000000</x:v>
      </x:c>
      <x:c r="J194" t="str">
        <x:v>https://www.carandache.com/content_files/uploaded_doc/product/10469/Colour_Chart_Pablo.pdf</x:v>
      </x:c>
    </x:row>
    <x:row r="195">
      <x:c r="A195" t="str">
        <x:v>PAB</x:v>
      </x:c>
      <x:c r="B195" t="str">
        <x:v>PABLO</x:v>
      </x:c>
      <x:c r="C195" t="n">
        <x:v>94</x:v>
      </x:c>
      <x:c r="D195" t="str">
        <x:v>210</x:v>
      </x:c>
      <x:c r="E195" t="str">
        <x:v>Emerald green</x:v>
      </x:c>
      <x:c r="F195" t="str">
        <x:v>祖母綠</x:v>
      </x:c>
      <x:c r="G195" t="str">
        <x:v>エメラルドグリーン</x:v>
      </x:c>
      <x:c r="H195" t="str">
        <x:v>#04A279</x:v>
      </x:c>
      <x:c r="I195" t="str">
        <x:v>#000000</x:v>
      </x:c>
      <x:c r="J195" t="str">
        <x:v>https://www.carandache.com/content_files/uploaded_doc/product/10469/Colour_Chart_Pablo.pdf</x:v>
      </x:c>
    </x:row>
    <x:row r="196">
      <x:c r="A196" t="str">
        <x:v>PAB</x:v>
      </x:c>
      <x:c r="B196" t="str">
        <x:v>PABLO</x:v>
      </x:c>
      <x:c r="C196" t="n">
        <x:v>95</x:v>
      </x:c>
      <x:c r="D196" t="str">
        <x:v>220</x:v>
      </x:c>
      <x:c r="E196" t="str">
        <x:v>Grass green</x:v>
      </x:c>
      <x:c r="F196" t="str">
        <x:v>草綠色</x:v>
      </x:c>
      <x:c r="G196" t="str">
        <x:v>グラスグリーン</x:v>
      </x:c>
      <x:c r="H196" t="str">
        <x:v>#11B169</x:v>
      </x:c>
      <x:c r="I196" t="str">
        <x:v>#000000</x:v>
      </x:c>
      <x:c r="J196" t="str">
        <x:v>https://www.carandache.com/content_files/uploaded_doc/product/10469/Colour_Chart_Pablo.pdf</x:v>
      </x:c>
    </x:row>
    <x:row r="197">
      <x:c r="A197" t="str">
        <x:v>PAB</x:v>
      </x:c>
      <x:c r="B197" t="str">
        <x:v>PABLO</x:v>
      </x:c>
      <x:c r="C197" t="n">
        <x:v>96</x:v>
      </x:c>
      <x:c r="D197" t="str">
        <x:v>230</x:v>
      </x:c>
      <x:c r="E197" t="str">
        <x:v>Yellow green</x:v>
      </x:c>
      <x:c r="F197" t="str">
        <x:v>黃綠色</x:v>
      </x:c>
      <x:c r="G197" t="str">
        <x:v>イエローグリーン</x:v>
      </x:c>
      <x:c r="H197" t="str">
        <x:v>#89C96A</x:v>
      </x:c>
      <x:c r="I197" t="str">
        <x:v>#000000</x:v>
      </x:c>
      <x:c r="J197" t="str">
        <x:v>https://www.carandache.com/content_files/uploaded_doc/product/10469/Colour_Chart_Pablo.pdf</x:v>
      </x:c>
    </x:row>
    <x:row r="198">
      <x:c r="A198" t="str">
        <x:v>PAB</x:v>
      </x:c>
      <x:c r="B198" t="str">
        <x:v>PABLO</x:v>
      </x:c>
      <x:c r="C198" t="n">
        <x:v>97</x:v>
      </x:c>
      <x:c r="D198" t="str">
        <x:v>470</x:v>
      </x:c>
      <x:c r="E198" t="str">
        <x:v>Spring green</x:v>
      </x:c>
      <x:c r="F198" t="str">
        <x:v>春綠色</x:v>
      </x:c>
      <x:c r="G198" t="str">
        <x:v>スプリンググリーン</x:v>
      </x:c>
      <x:c r="H198" t="str">
        <x:v>#BBD873</x:v>
      </x:c>
      <x:c r="I198" t="str">
        <x:v>#000000</x:v>
      </x:c>
      <x:c r="J198" t="str">
        <x:v>https://www.carandache.com/content_files/uploaded_doc/product/10469/Colour_Chart_Pablo.pdf</x:v>
      </x:c>
    </x:row>
    <x:row r="199">
      <x:c r="A199" t="str">
        <x:v>PAB</x:v>
      </x:c>
      <x:c r="B199" t="str">
        <x:v>PABLO</x:v>
      </x:c>
      <x:c r="C199" t="n">
        <x:v>98</x:v>
      </x:c>
      <x:c r="D199" t="str">
        <x:v>231</x:v>
      </x:c>
      <x:c r="E199" t="str">
        <x:v>Lime green</x:v>
      </x:c>
      <x:c r="F199" t="str">
        <x:v>萊姆綠</x:v>
      </x:c>
      <x:c r="G199" t="str">
        <x:v>ライムグリーン</x:v>
      </x:c>
      <x:c r="H199" t="str">
        <x:v>#E6EB97</x:v>
      </x:c>
      <x:c r="I199" t="str">
        <x:v>#000000</x:v>
      </x:c>
      <x:c r="J199" t="str">
        <x:v>https://www.carandache.com/content_files/uploaded_doc/product/10469/Colour_Chart_Pablo.pdf</x:v>
      </x:c>
    </x:row>
    <x:row r="200">
      <x:c r="A200" t="str">
        <x:v>PAB</x:v>
      </x:c>
      <x:c r="B200" t="str">
        <x:v>PABLO</x:v>
      </x:c>
      <x:c r="C200" t="n">
        <x:v>99</x:v>
      </x:c>
      <x:c r="D200" t="str">
        <x:v>221</x:v>
      </x:c>
      <x:c r="E200" t="str">
        <x:v>Light green</x:v>
      </x:c>
      <x:c r="F200" t="str">
        <x:v>淺綠色</x:v>
      </x:c>
      <x:c r="G200" t="str">
        <x:v>ライトグリーン</x:v>
      </x:c>
      <x:c r="H200" t="str">
        <x:v>#C0DC8E</x:v>
      </x:c>
      <x:c r="I200" t="str">
        <x:v>#000000</x:v>
      </x:c>
      <x:c r="J200" t="str">
        <x:v>https://www.carandache.com/content_files/uploaded_doc/product/10469/Colour_Chart_Pablo.pdf</x:v>
      </x:c>
    </x:row>
    <x:row r="201">
      <x:c r="A201" t="str">
        <x:v>PAB</x:v>
      </x:c>
      <x:c r="B201" t="str">
        <x:v>PABLO</x:v>
      </x:c>
      <x:c r="C201" t="n">
        <x:v>100</x:v>
      </x:c>
      <x:c r="D201" t="str">
        <x:v>241</x:v>
      </x:c>
      <x:c r="E201" t="str">
        <x:v>Light lemon yellow</x:v>
      </x:c>
      <x:c r="F201" t="str">
        <x:v>淺檸檬黃</x:v>
      </x:c>
      <x:c r="G201" t="str">
        <x:v>ライトレモンイエロー</x:v>
      </x:c>
      <x:c r="H201" t="str">
        <x:v>#F3EEBA</x:v>
      </x:c>
      <x:c r="I201" t="str">
        <x:v>#000000</x:v>
      </x:c>
      <x:c r="J201" t="str">
        <x:v>https://www.carandache.com/content_files/uploaded_doc/product/10469/Colour_Chart_Pablo.pdf</x:v>
      </x:c>
    </x:row>
    <x:row r="202">
      <x:c r="A202" t="str">
        <x:v>PAB</x:v>
      </x:c>
      <x:c r="B202" t="str">
        <x:v>PABLO</x:v>
      </x:c>
      <x:c r="C202" t="n">
        <x:v>101</x:v>
      </x:c>
      <x:c r="D202" t="str">
        <x:v>015</x:v>
      </x:c>
      <x:c r="E202" t="str">
        <x:v>Olive yellow</x:v>
      </x:c>
      <x:c r="F202" t="str">
        <x:v>橄欖黃</x:v>
      </x:c>
      <x:c r="G202" t="str">
        <x:v>オリーブイエロー</x:v>
      </x:c>
      <x:c r="H202" t="str">
        <x:v>#D3CB3D</x:v>
      </x:c>
      <x:c r="I202" t="str">
        <x:v>#000000</x:v>
      </x:c>
      <x:c r="J202" t="str">
        <x:v>https://www.carandache.com/content_files/uploaded_doc/product/10469/Colour_Chart_Pablo.pdf</x:v>
      </x:c>
    </x:row>
    <x:row r="203">
      <x:c r="A203" t="str">
        <x:v>PAB</x:v>
      </x:c>
      <x:c r="B203" t="str">
        <x:v>PABLO</x:v>
      </x:c>
      <x:c r="C203" t="n">
        <x:v>102</x:v>
      </x:c>
      <x:c r="D203" t="str">
        <x:v>016</x:v>
      </x:c>
      <x:c r="E203" t="str">
        <x:v>Khaki green</x:v>
      </x:c>
      <x:c r="F203" t="str">
        <x:v>卡其綠</x:v>
      </x:c>
      <x:c r="G203" t="str">
        <x:v>カーキグリーン</x:v>
      </x:c>
      <x:c r="H203" t="str">
        <x:v>#B7AF3A</x:v>
      </x:c>
      <x:c r="I203" t="str">
        <x:v>#000000</x:v>
      </x:c>
      <x:c r="J203" t="str">
        <x:v>https://www.carandache.com/content_files/uploaded_doc/product/10469/Colour_Chart_Pablo.pdf</x:v>
      </x:c>
    </x:row>
    <x:row r="204">
      <x:c r="A204" t="str">
        <x:v>PAB</x:v>
      </x:c>
      <x:c r="B204" t="str">
        <x:v>PABLO</x:v>
      </x:c>
      <x:c r="C204" t="n">
        <x:v>103</x:v>
      </x:c>
      <x:c r="D204" t="str">
        <x:v>245</x:v>
      </x:c>
      <x:c r="E204" t="str">
        <x:v>Light olive</x:v>
      </x:c>
      <x:c r="F204" t="str">
        <x:v>淺橄欖色</x:v>
      </x:c>
      <x:c r="G204" t="str">
        <x:v>ライトオリーブ</x:v>
      </x:c>
      <x:c r="H204" t="str">
        <x:v>#CACA49</x:v>
      </x:c>
      <x:c r="I204" t="str">
        <x:v>#000000</x:v>
      </x:c>
      <x:c r="J204" t="str">
        <x:v>https://www.carandache.com/content_files/uploaded_doc/product/10469/Colour_Chart_Pablo.pdf</x:v>
      </x:c>
    </x:row>
    <x:row r="205">
      <x:c r="A205" t="str">
        <x:v>PAB</x:v>
      </x:c>
      <x:c r="B205" t="str">
        <x:v>PABLO</x:v>
      </x:c>
      <x:c r="C205" t="n">
        <x:v>104</x:v>
      </x:c>
      <x:c r="D205" t="str">
        <x:v>225</x:v>
      </x:c>
      <x:c r="E205" t="str">
        <x:v>Moss green</x:v>
      </x:c>
      <x:c r="F205" t="str">
        <x:v>苔綠色</x:v>
      </x:c>
      <x:c r="G205" t="str">
        <x:v>モスグリーン</x:v>
      </x:c>
      <x:c r="H205" t="str">
        <x:v>#7F9D4C</x:v>
      </x:c>
      <x:c r="I205" t="str">
        <x:v>#000000</x:v>
      </x:c>
      <x:c r="J205" t="str">
        <x:v>https://www.carandache.com/content_files/uploaded_doc/product/10469/Colour_Chart_Pablo.pdf</x:v>
      </x:c>
    </x:row>
    <x:row r="206">
      <x:c r="A206" t="str">
        <x:v>PAB</x:v>
      </x:c>
      <x:c r="B206" t="str">
        <x:v>PABLO</x:v>
      </x:c>
      <x:c r="C206" t="n">
        <x:v>105</x:v>
      </x:c>
      <x:c r="D206" t="str">
        <x:v>018</x:v>
      </x:c>
      <x:c r="E206" t="str">
        <x:v>Olive grey</x:v>
      </x:c>
      <x:c r="F206" t="str">
        <x:v>橄欖灰</x:v>
      </x:c>
      <x:c r="G206" t="str">
        <x:v>オリーブグレー</x:v>
      </x:c>
      <x:c r="H206" t="str">
        <x:v>#807E2A</x:v>
      </x:c>
      <x:c r="I206" t="str">
        <x:v>#000000</x:v>
      </x:c>
      <x:c r="J206" t="str">
        <x:v>https://www.carandache.com/content_files/uploaded_doc/product/10469/Colour_Chart_Pablo.pdf</x:v>
      </x:c>
    </x:row>
    <x:row r="207">
      <x:c r="A207" t="str">
        <x:v>PAB</x:v>
      </x:c>
      <x:c r="B207" t="str">
        <x:v>PABLO</x:v>
      </x:c>
      <x:c r="C207" t="n">
        <x:v>106</x:v>
      </x:c>
      <x:c r="D207" t="str">
        <x:v>249</x:v>
      </x:c>
      <x:c r="E207" t="str">
        <x:v>Olive</x:v>
      </x:c>
      <x:c r="F207" t="str">
        <x:v>深橄欖色</x:v>
      </x:c>
      <x:c r="G207" t="str">
        <x:v>ダークオリーブ</x:v>
      </x:c>
      <x:c r="H207" t="str">
        <x:v>#717036</x:v>
      </x:c>
      <x:c r="I207" t="str">
        <x:v>#FFFFFF</x:v>
      </x:c>
      <x:c r="J207" t="str">
        <x:v>https://www.carandache.com/content_files/uploaded_doc/product/10469/Colour_Chart_Pablo.pdf</x:v>
      </x:c>
    </x:row>
    <x:row r="208">
      <x:c r="A208" t="str">
        <x:v>PAB</x:v>
      </x:c>
      <x:c r="B208" t="str">
        <x:v>PABLO</x:v>
      </x:c>
      <x:c r="C208" t="n">
        <x:v>107</x:v>
      </x:c>
      <x:c r="D208" t="str">
        <x:v>039</x:v>
      </x:c>
      <x:c r="E208" t="str">
        <x:v>Olive brown</x:v>
      </x:c>
      <x:c r="F208" t="str">
        <x:v>橄欖棕</x:v>
      </x:c>
      <x:c r="G208" t="str">
        <x:v>オリーブブラウン</x:v>
      </x:c>
      <x:c r="H208" t="str">
        <x:v>#8B662A</x:v>
      </x:c>
      <x:c r="I208" t="str">
        <x:v>#FFFFFF</x:v>
      </x:c>
      <x:c r="J208" t="str">
        <x:v>https://www.carandache.com/content_files/uploaded_doc/product/10469/Colour_Chart_Pablo.pdf</x:v>
      </x:c>
    </x:row>
    <x:row r="209">
      <x:c r="A209" t="str">
        <x:v>PAB</x:v>
      </x:c>
      <x:c r="B209" t="str">
        <x:v>PABLO</x:v>
      </x:c>
      <x:c r="C209" t="n">
        <x:v>108</x:v>
      </x:c>
      <x:c r="D209" t="str">
        <x:v>019</x:v>
      </x:c>
      <x:c r="E209" t="str">
        <x:v>Olive black</x:v>
      </x:c>
      <x:c r="F209" t="str">
        <x:v>橄欖黑</x:v>
      </x:c>
      <x:c r="G209" t="str">
        <x:v>オリーブブラック</x:v>
      </x:c>
      <x:c r="H209" t="str">
        <x:v>#656236</x:v>
      </x:c>
      <x:c r="I209" t="str">
        <x:v>#FFFFFF</x:v>
      </x:c>
      <x:c r="J209" t="str">
        <x:v>https://www.carandache.com/content_files/uploaded_doc/product/10469/Colour_Chart_Pablo.pdf</x:v>
      </x:c>
    </x:row>
    <x:row r="210">
      <x:c r="A210" t="str">
        <x:v>PAB</x:v>
      </x:c>
      <x:c r="B210" t="str">
        <x:v>PABLO</x:v>
      </x:c>
      <x:c r="C210" t="n">
        <x:v>109</x:v>
      </x:c>
      <x:c r="D210" t="str">
        <x:v>049</x:v>
      </x:c>
      <x:c r="E210" t="str">
        <x:v>Umber</x:v>
      </x:c>
      <x:c r="F210" t="str">
        <x:v>褐土色</x:v>
      </x:c>
      <x:c r="G210" t="str">
        <x:v>アンバー</x:v>
      </x:c>
      <x:c r="H210" t="str">
        <x:v>#534334</x:v>
      </x:c>
      <x:c r="I210" t="str">
        <x:v>#FFFFFF</x:v>
      </x:c>
      <x:c r="J210" t="str">
        <x:v>https://www.carandache.com/content_files/uploaded_doc/product/10469/Colour_Chart_Pablo.pdf</x:v>
      </x:c>
    </x:row>
    <x:row r="211">
      <x:c r="A211" t="str">
        <x:v>PAB</x:v>
      </x:c>
      <x:c r="B211" t="str">
        <x:v>PABLO</x:v>
      </x:c>
      <x:c r="C211" t="n">
        <x:v>110</x:v>
      </x:c>
      <x:c r="D211" t="str">
        <x:v>045</x:v>
      </x:c>
      <x:c r="E211" t="str">
        <x:v>Vandycke brown</x:v>
      </x:c>
      <x:c r="F211" t="str">
        <x:v>凡戴克棕</x:v>
      </x:c>
      <x:c r="G211" t="str">
        <x:v>ヴァンダイクブラウン</x:v>
      </x:c>
      <x:c r="H211" t="str">
        <x:v>#755549</x:v>
      </x:c>
      <x:c r="I211" t="str">
        <x:v>#FFFFFF</x:v>
      </x:c>
      <x:c r="J211" t="str">
        <x:v>https://www.carandache.com/content_files/uploaded_doc/product/10469/Colour_Chart_Pablo.pdf</x:v>
      </x:c>
    </x:row>
    <x:row r="212">
      <x:c r="A212" t="str">
        <x:v>PAB</x:v>
      </x:c>
      <x:c r="B212" t="str">
        <x:v>PABLO</x:v>
      </x:c>
      <x:c r="C212" t="n">
        <x:v>111</x:v>
      </x:c>
      <x:c r="D212" t="str">
        <x:v>404</x:v>
      </x:c>
      <x:c r="E212" t="str">
        <x:v>Brownish beige</x:v>
      </x:c>
      <x:c r="F212" t="str">
        <x:v>褐米色</x:v>
      </x:c>
      <x:c r="G212" t="str">
        <x:v>ブラウニッシュベージュ</x:v>
      </x:c>
      <x:c r="H212" t="str">
        <x:v>#91786A</x:v>
      </x:c>
      <x:c r="I212" t="str">
        <x:v>#000000</x:v>
      </x:c>
      <x:c r="J212" t="str">
        <x:v>https://www.carandache.com/content_files/uploaded_doc/product/10469/Colour_Chart_Pablo.pdf</x:v>
      </x:c>
    </x:row>
    <x:row r="213">
      <x:c r="A213" t="str">
        <x:v>PAB</x:v>
      </x:c>
      <x:c r="B213" t="str">
        <x:v>PABLO</x:v>
      </x:c>
      <x:c r="C213" t="n">
        <x:v>112</x:v>
      </x:c>
      <x:c r="D213" t="str">
        <x:v>403</x:v>
      </x:c>
      <x:c r="E213" t="str">
        <x:v>Beige</x:v>
      </x:c>
      <x:c r="F213" t="str">
        <x:v>米色</x:v>
      </x:c>
      <x:c r="G213" t="str">
        <x:v>ベージュ</x:v>
      </x:c>
      <x:c r="H213" t="str">
        <x:v>#AF9C8C</x:v>
      </x:c>
      <x:c r="I213" t="str">
        <x:v>#000000</x:v>
      </x:c>
      <x:c r="J213" t="str">
        <x:v>https://www.carandache.com/content_files/uploaded_doc/product/10469/Colour_Chart_Pablo.pdf</x:v>
      </x:c>
    </x:row>
    <x:row r="214">
      <x:c r="A214" t="str">
        <x:v>PAB</x:v>
      </x:c>
      <x:c r="B214" t="str">
        <x:v>PABLO</x:v>
      </x:c>
      <x:c r="C214" t="n">
        <x:v>113</x:v>
      </x:c>
      <x:c r="D214" t="str">
        <x:v>401</x:v>
      </x:c>
      <x:c r="E214" t="str">
        <x:v>Ash grey</x:v>
      </x:c>
      <x:c r="F214" t="str">
        <x:v>灰燼灰</x:v>
      </x:c>
      <x:c r="G214" t="str">
        <x:v>アッシュグレー</x:v>
      </x:c>
      <x:c r="H214" t="str">
        <x:v>#E8DCC7</x:v>
      </x:c>
      <x:c r="I214" t="str">
        <x:v>#000000</x:v>
      </x:c>
      <x:c r="J214" t="str">
        <x:v>https://www.carandache.com/content_files/uploaded_doc/product/10469/Colour_Chart_Pablo.pdf</x:v>
      </x:c>
    </x:row>
    <x:row r="215">
      <x:c r="A215" t="str">
        <x:v>PAB</x:v>
      </x:c>
      <x:c r="B215" t="str">
        <x:v>PABLO</x:v>
      </x:c>
      <x:c r="C215" t="n">
        <x:v>114</x:v>
      </x:c>
      <x:c r="D215" t="str">
        <x:v>402</x:v>
      </x:c>
      <x:c r="E215" t="str">
        <x:v>Light beige</x:v>
      </x:c>
      <x:c r="F215" t="str">
        <x:v>淺米色</x:v>
      </x:c>
      <x:c r="G215" t="str">
        <x:v>ライトベージュ</x:v>
      </x:c>
      <x:c r="H215" t="str">
        <x:v>#CCBFAF</x:v>
      </x:c>
      <x:c r="I215" t="str">
        <x:v>#000000</x:v>
      </x:c>
      <x:c r="J215" t="str">
        <x:v>https://www.carandache.com/content_files/uploaded_doc/product/10469/Colour_Chart_Pablo.pdf</x:v>
      </x:c>
    </x:row>
    <x:row r="216">
      <x:c r="A216" t="str">
        <x:v>PAB</x:v>
      </x:c>
      <x:c r="B216" t="str">
        <x:v>PABLO</x:v>
      </x:c>
      <x:c r="C216" t="n">
        <x:v>115</x:v>
      </x:c>
      <x:c r="D216" t="str">
        <x:v>025</x:v>
      </x:c>
      <x:c r="E216" t="str">
        <x:v>Green ochre</x:v>
      </x:c>
      <x:c r="F216" t="str">
        <x:v>綠赭色</x:v>
      </x:c>
      <x:c r="G216" t="str">
        <x:v>グリーンオーカー</x:v>
      </x:c>
      <x:c r="H216" t="str">
        <x:v>#D7A629</x:v>
      </x:c>
      <x:c r="I216" t="str">
        <x:v>#000000</x:v>
      </x:c>
      <x:c r="J216" t="str">
        <x:v>https://www.carandache.com/content_files/uploaded_doc/product/10469/Colour_Chart_Pablo.pdf</x:v>
      </x:c>
    </x:row>
    <x:row r="217">
      <x:c r="A217" t="str">
        <x:v>PAB</x:v>
      </x:c>
      <x:c r="B217" t="str">
        <x:v>PABLO</x:v>
      </x:c>
      <x:c r="C217" t="n">
        <x:v>116</x:v>
      </x:c>
      <x:c r="D217" t="str">
        <x:v>499</x:v>
      </x:c>
      <x:c r="E217" t="str">
        <x:v>Gold</x:v>
      </x:c>
      <x:c r="F217" t="str">
        <x:v>金色</x:v>
      </x:c>
      <x:c r="G217" t="str">
        <x:v>ゴールド</x:v>
      </x:c>
      <x:c r="H217" t="str">
        <x:v>#A59771</x:v>
      </x:c>
      <x:c r="I217" t="str">
        <x:v>#000000</x:v>
      </x:c>
      <x:c r="J217" t="str">
        <x:v>https://www.carandache.com/content_files/uploaded_doc/product/10469/Colour_Chart_Pablo.pdf</x:v>
      </x:c>
    </x:row>
    <x:row r="218">
      <x:c r="A218" t="str">
        <x:v>PAB</x:v>
      </x:c>
      <x:c r="B218" t="str">
        <x:v>PABLO</x:v>
      </x:c>
      <x:c r="C218" t="n">
        <x:v>117</x:v>
      </x:c>
      <x:c r="D218" t="str">
        <x:v>497</x:v>
      </x:c>
      <x:c r="E218" t="str">
        <x:v>Bronze</x:v>
      </x:c>
      <x:c r="F218" t="str">
        <x:v>青銅色</x:v>
      </x:c>
      <x:c r="G218" t="str">
        <x:v>ブロンズ</x:v>
      </x:c>
      <x:c r="H218" t="str">
        <x:v>#AB7F6F</x:v>
      </x:c>
      <x:c r="I218" t="str">
        <x:v>#000000</x:v>
      </x:c>
      <x:c r="J218" t="str">
        <x:v>https://www.carandache.com/content_files/uploaded_doc/product/10469/Colour_Chart_Pablo.pdf</x:v>
      </x:c>
    </x:row>
    <x:row r="219">
      <x:c r="A219" t="str">
        <x:v>PAB</x:v>
      </x:c>
      <x:c r="B219" t="str">
        <x:v>PABLO</x:v>
      </x:c>
      <x:c r="C219" t="n">
        <x:v>118</x:v>
      </x:c>
      <x:c r="D219" t="str">
        <x:v>498</x:v>
      </x:c>
      <x:c r="E219" t="str">
        <x:v>Silver</x:v>
      </x:c>
      <x:c r="F219" t="str">
        <x:v>銀色</x:v>
      </x:c>
      <x:c r="G219" t="str">
        <x:v>シルバー</x:v>
      </x:c>
      <x:c r="H219" t="str">
        <x:v>#969793</x:v>
      </x:c>
      <x:c r="I219" t="str">
        <x:v>#000000</x:v>
      </x:c>
      <x:c r="J219" t="str">
        <x:v>https://www.carandache.com/content_files/uploaded_doc/product/10469/Colour_Chart_Pablo.pdf</x:v>
      </x:c>
    </x:row>
    <x:row r="220">
      <x:c r="A220" t="str">
        <x:v>PAB</x:v>
      </x:c>
      <x:c r="B220" t="str">
        <x:v>PABLO</x:v>
      </x:c>
      <x:c r="C220" t="n">
        <x:v>119</x:v>
      </x:c>
      <x:c r="D220" t="str">
        <x:v>001</x:v>
      </x:c>
      <x:c r="E220" t="str">
        <x:v>White</x:v>
      </x:c>
      <x:c r="F220" t="str">
        <x:v>白色</x:v>
      </x:c>
      <x:c r="G220" t="str">
        <x:v>ホワイト</x:v>
      </x:c>
      <x:c r="H220" t="str">
        <x:v>#FEF2E7</x:v>
      </x:c>
      <x:c r="I220" t="str">
        <x:v>#000000</x:v>
      </x:c>
      <x:c r="J220" t="str">
        <x:v>https://www.carandache.com/content_files/uploaded_doc/product/10469/Colour_Chart_Pablo.pdf</x:v>
      </x:c>
    </x:row>
    <x:row r="221">
      <x:c r="A221" t="str">
        <x:v>PAB</x:v>
      </x:c>
      <x:c r="B221" t="str">
        <x:v>PABLO</x:v>
      </x:c>
      <x:c r="C221" t="n">
        <x:v>120</x:v>
      </x:c>
      <x:c r="D221" t="str">
        <x:v>009</x:v>
      </x:c>
      <x:c r="E221" t="str">
        <x:v>Black</x:v>
      </x:c>
      <x:c r="F221" t="str">
        <x:v>黑色</x:v>
      </x:c>
      <x:c r="G221" t="str">
        <x:v>ブラック</x:v>
      </x:c>
      <x:c r="H221" t="str">
        <x:v>#50514F</x:v>
      </x:c>
      <x:c r="I221" t="str">
        <x:v>#FFFFFF</x:v>
      </x:c>
      <x:c r="J221" t="str">
        <x:v>https://www.carandache.com/content_files/uploaded_doc/product/10469/Colour_Chart_Pablo.pdf</x:v>
      </x:c>
    </x:row>
    <x:row r="222">
      <x:c r="A222" t="str">
        <x:v>SUP</x:v>
      </x:c>
      <x:c r="B222" t="str">
        <x:v>SUPRACOLOR Soft Aquarelle</x:v>
      </x:c>
      <x:c r="C222" t="n">
        <x:v>1</x:v>
      </x:c>
      <x:c r="D222" t="str">
        <x:v>043</x:v>
      </x:c>
      <x:c r="E222" t="str">
        <x:v>Brownish orange</x:v>
      </x:c>
      <x:c r="F222" t="str">
        <x:v>褐橙色</x:v>
      </x:c>
      <x:c r="G222" t="str">
        <x:v>ブラウニッシュオレンジ</x:v>
      </x:c>
      <x:c r="H222" t="str">
        <x:v>#E9BBA1</x:v>
      </x:c>
      <x:c r="I222" t="str">
        <x:v>#000000</x:v>
      </x:c>
      <x:c r="J222" t="str">
        <x:v>https://www.carandache.com/content_files/uploaded_doc/product/11426/Colour_Chart_Supracolor-BD3.pdf</x:v>
      </x:c>
    </x:row>
    <x:row r="223">
      <x:c r="A223" t="str">
        <x:v>SUP</x:v>
      </x:c>
      <x:c r="B223" t="str">
        <x:v>SUPRACOLOR Soft Aquarelle</x:v>
      </x:c>
      <x:c r="C223" t="n">
        <x:v>2</x:v>
      </x:c>
      <x:c r="D223" t="str">
        <x:v>067</x:v>
      </x:c>
      <x:c r="E223" t="str">
        <x:v>Mahogany</x:v>
      </x:c>
      <x:c r="F223" t="str">
        <x:v>桃花心木色</x:v>
      </x:c>
      <x:c r="G223" t="str">
        <x:v>マホガニー</x:v>
      </x:c>
      <x:c r="H223" t="str">
        <x:v>#DE9F8D</x:v>
      </x:c>
      <x:c r="I223" t="str">
        <x:v>#000000</x:v>
      </x:c>
      <x:c r="J223" t="str">
        <x:v>https://www.carandache.com/content_files/uploaded_doc/product/11426/Colour_Chart_Supracolor-BD3.pdf</x:v>
      </x:c>
    </x:row>
    <x:row r="224">
      <x:c r="A224" t="str">
        <x:v>SUP</x:v>
      </x:c>
      <x:c r="B224" t="str">
        <x:v>SUPRACOLOR Soft Aquarelle</x:v>
      </x:c>
      <x:c r="C224" t="n">
        <x:v>3</x:v>
      </x:c>
      <x:c r="D224" t="str">
        <x:v>085</x:v>
      </x:c>
      <x:c r="E224" t="str">
        <x:v>Bordeaux red</x:v>
      </x:c>
      <x:c r="F224" t="str">
        <x:v>波爾多紅</x:v>
      </x:c>
      <x:c r="G224" t="str">
        <x:v>ボルドーレッド</x:v>
      </x:c>
      <x:c r="H224" t="str">
        <x:v>#F494AF</x:v>
      </x:c>
      <x:c r="I224" t="str">
        <x:v>#000000</x:v>
      </x:c>
      <x:c r="J224" t="str">
        <x:v>https://www.carandache.com/content_files/uploaded_doc/product/11426/Colour_Chart_Supracolor-BD3.pdf</x:v>
      </x:c>
    </x:row>
    <x:row r="225">
      <x:c r="A225" t="str">
        <x:v>SUP</x:v>
      </x:c>
      <x:c r="B225" t="str">
        <x:v>SUPRACOLOR Soft Aquarelle</x:v>
      </x:c>
      <x:c r="C225" t="n">
        <x:v>4</x:v>
      </x:c>
      <x:c r="D225" t="str">
        <x:v>075</x:v>
      </x:c>
      <x:c r="E225" t="str">
        <x:v>Indian red</x:v>
      </x:c>
      <x:c r="F225" t="str">
        <x:v>印度紅</x:v>
      </x:c>
      <x:c r="G225" t="str">
        <x:v>インディアンレッド</x:v>
      </x:c>
      <x:c r="H225" t="str">
        <x:v>#F6B7CB</x:v>
      </x:c>
      <x:c r="I225" t="str">
        <x:v>#000000</x:v>
      </x:c>
      <x:c r="J225" t="str">
        <x:v>https://www.carandache.com/content_files/uploaded_doc/product/11426/Colour_Chart_Supracolor-BD3.pdf</x:v>
      </x:c>
    </x:row>
    <x:row r="226">
      <x:c r="A226" t="str">
        <x:v>SUP</x:v>
      </x:c>
      <x:c r="B226" t="str">
        <x:v>SUPRACOLOR Soft Aquarelle</x:v>
      </x:c>
      <x:c r="C226" t="n">
        <x:v>5</x:v>
      </x:c>
      <x:c r="D226" t="str">
        <x:v>089</x:v>
      </x:c>
      <x:c r="E226" t="str">
        <x:v>Dark carmine</x:v>
      </x:c>
      <x:c r="F226" t="str">
        <x:v>深胭脂紅</x:v>
      </x:c>
      <x:c r="G226" t="str">
        <x:v>ダークカーマイン</x:v>
      </x:c>
      <x:c r="H226" t="str">
        <x:v>#F27899</x:v>
      </x:c>
      <x:c r="I226" t="str">
        <x:v>#000000</x:v>
      </x:c>
      <x:c r="J226" t="str">
        <x:v>https://www.carandache.com/content_files/uploaded_doc/product/11426/Colour_Chart_Supracolor-BD3.pdf</x:v>
      </x:c>
    </x:row>
    <x:row r="227">
      <x:c r="A227" t="str">
        <x:v>SUP</x:v>
      </x:c>
      <x:c r="B227" t="str">
        <x:v>SUPRACOLOR Soft Aquarelle</x:v>
      </x:c>
      <x:c r="C227" t="n">
        <x:v>6</x:v>
      </x:c>
      <x:c r="D227" t="str">
        <x:v>080</x:v>
      </x:c>
      <x:c r="E227" t="str">
        <x:v>Carmine Lake</x:v>
      </x:c>
      <x:c r="F227" t="str">
        <x:v>胭脂紅色淀</x:v>
      </x:c>
      <x:c r="G227" t="str">
        <x:v>カーマインレーキ</x:v>
      </x:c>
      <x:c r="H227" t="str">
        <x:v>#F078AF</x:v>
      </x:c>
      <x:c r="I227" t="str">
        <x:v>#000000</x:v>
      </x:c>
      <x:c r="J227" t="str">
        <x:v>https://www.carandache.com/content_files/uploaded_doc/product/11426/Colour_Chart_Supracolor-BD3.pdf</x:v>
      </x:c>
    </x:row>
    <x:row r="228">
      <x:c r="A228" t="str">
        <x:v>SUP</x:v>
      </x:c>
      <x:c r="B228" t="str">
        <x:v>SUPRACOLOR Soft Aquarelle</x:v>
      </x:c>
      <x:c r="C228" t="n">
        <x:v>7</x:v>
      </x:c>
      <x:c r="D228" t="str">
        <x:v>280</x:v>
      </x:c>
      <x:c r="E228" t="str">
        <x:v>Ruby red</x:v>
      </x:c>
      <x:c r="F228" t="str">
        <x:v>紅寶石紅</x:v>
      </x:c>
      <x:c r="G228" t="str">
        <x:v>ルビーレッド</x:v>
      </x:c>
      <x:c r="H228" t="str">
        <x:v>#F38BB4</x:v>
      </x:c>
      <x:c r="I228" t="str">
        <x:v>#000000</x:v>
      </x:c>
      <x:c r="J228" t="str">
        <x:v>https://www.carandache.com/content_files/uploaded_doc/product/11426/Colour_Chart_Supracolor-BD3.pdf</x:v>
      </x:c>
    </x:row>
    <x:row r="229">
      <x:c r="A229" t="str">
        <x:v>SUP</x:v>
      </x:c>
      <x:c r="B229" t="str">
        <x:v>SUPRACOLOR Soft Aquarelle</x:v>
      </x:c>
      <x:c r="C229" t="n">
        <x:v>8</x:v>
      </x:c>
      <x:c r="D229" t="str">
        <x:v>270</x:v>
      </x:c>
      <x:c r="E229" t="str">
        <x:v>Raspberry red</x:v>
      </x:c>
      <x:c r="F229" t="str">
        <x:v>覆盆子紅</x:v>
      </x:c>
      <x:c r="G229" t="str">
        <x:v>ラズベリーレッド</x:v>
      </x:c>
      <x:c r="H229" t="str">
        <x:v>#F592AC</x:v>
      </x:c>
      <x:c r="I229" t="str">
        <x:v>#000000</x:v>
      </x:c>
      <x:c r="J229" t="str">
        <x:v>https://www.carandache.com/content_files/uploaded_doc/product/11426/Colour_Chart_Supracolor-BD3.pdf</x:v>
      </x:c>
    </x:row>
    <x:row r="230">
      <x:c r="A230" t="str">
        <x:v>SUP</x:v>
      </x:c>
      <x:c r="B230" t="str">
        <x:v>SUPRACOLOR Soft Aquarelle</x:v>
      </x:c>
      <x:c r="C230" t="n">
        <x:v>9</x:v>
      </x:c>
      <x:c r="D230" t="str">
        <x:v>081</x:v>
      </x:c>
      <x:c r="E230" t="str">
        <x:v>Pink</x:v>
      </x:c>
      <x:c r="F230" t="str">
        <x:v>粉紅色</x:v>
      </x:c>
      <x:c r="G230" t="str">
        <x:v>ピンク</x:v>
      </x:c>
      <x:c r="H230" t="str">
        <x:v>#F6CBDF</x:v>
      </x:c>
      <x:c r="I230" t="str">
        <x:v>#000000</x:v>
      </x:c>
      <x:c r="J230" t="str">
        <x:v>https://www.carandache.com/content_files/uploaded_doc/product/11426/Colour_Chart_Supracolor-BD3.pdf</x:v>
      </x:c>
    </x:row>
    <x:row r="231">
      <x:c r="A231" t="str">
        <x:v>SUP</x:v>
      </x:c>
      <x:c r="B231" t="str">
        <x:v>SUPRACOLOR Soft Aquarelle</x:v>
      </x:c>
      <x:c r="C231" t="n">
        <x:v>10</x:v>
      </x:c>
      <x:c r="D231" t="str">
        <x:v>082</x:v>
      </x:c>
      <x:c r="E231" t="str">
        <x:v>Old pink</x:v>
      </x:c>
      <x:c r="F231" t="str">
        <x:v>復古粉紅</x:v>
      </x:c>
      <x:c r="G231" t="str">
        <x:v>オールドピンク</x:v>
      </x:c>
      <x:c r="H231" t="str">
        <x:v>#F7B8CF</x:v>
      </x:c>
      <x:c r="I231" t="str">
        <x:v>#000000</x:v>
      </x:c>
      <x:c r="J231" t="str">
        <x:v>https://www.carandache.com/content_files/uploaded_doc/product/11426/Colour_Chart_Supracolor-BD3.pdf</x:v>
      </x:c>
    </x:row>
    <x:row r="232">
      <x:c r="A232" t="str">
        <x:v>SUP</x:v>
      </x:c>
      <x:c r="B232" t="str">
        <x:v>SUPRACOLOR Soft Aquarelle</x:v>
      </x:c>
      <x:c r="C232" t="n">
        <x:v>11</x:v>
      </x:c>
      <x:c r="D232" t="str">
        <x:v>071</x:v>
      </x:c>
      <x:c r="E232" t="str">
        <x:v>Salmon pink</x:v>
      </x:c>
      <x:c r="F232" t="str">
        <x:v>鮭魚粉紅</x:v>
      </x:c>
      <x:c r="G232" t="str">
        <x:v>サーモンピンク</x:v>
      </x:c>
      <x:c r="H232" t="str">
        <x:v>#F9BFB4</x:v>
      </x:c>
      <x:c r="I232" t="str">
        <x:v>#000000</x:v>
      </x:c>
      <x:c r="J232" t="str">
        <x:v>https://www.carandache.com/content_files/uploaded_doc/product/11426/Colour_Chart_Supracolor-BD3.pdf</x:v>
      </x:c>
    </x:row>
    <x:row r="233">
      <x:c r="A233" t="str">
        <x:v>SUP</x:v>
      </x:c>
      <x:c r="B233" t="str">
        <x:v>SUPRACOLOR Soft Aquarelle</x:v>
      </x:c>
      <x:c r="C233" t="n">
        <x:v>12</x:v>
      </x:c>
      <x:c r="D233" t="str">
        <x:v>051</x:v>
      </x:c>
      <x:c r="E233" t="str">
        <x:v>Salmon</x:v>
      </x:c>
      <x:c r="F233" t="str">
        <x:v>鮭魚色</x:v>
      </x:c>
      <x:c r="G233" t="str">
        <x:v>サーモン</x:v>
      </x:c>
      <x:c r="H233" t="str">
        <x:v>#FBCDB5</x:v>
      </x:c>
      <x:c r="I233" t="str">
        <x:v>#000000</x:v>
      </x:c>
      <x:c r="J233" t="str">
        <x:v>https://www.carandache.com/content_files/uploaded_doc/product/11426/Colour_Chart_Supracolor-BD3.pdf</x:v>
      </x:c>
    </x:row>
    <x:row r="234">
      <x:c r="A234" t="str">
        <x:v>SUP</x:v>
      </x:c>
      <x:c r="B234" t="str">
        <x:v>SUPRACOLOR Soft Aquarelle</x:v>
      </x:c>
      <x:c r="C234" t="n">
        <x:v>13</x:v>
      </x:c>
      <x:c r="D234" t="str">
        <x:v>041</x:v>
      </x:c>
      <x:c r="E234" t="str">
        <x:v>Apricot</x:v>
      </x:c>
      <x:c r="F234" t="str">
        <x:v>杏色</x:v>
      </x:c>
      <x:c r="G234" t="str">
        <x:v>アプリコット</x:v>
      </x:c>
      <x:c r="H234" t="str">
        <x:v>#FFDE8C</x:v>
      </x:c>
      <x:c r="I234" t="str">
        <x:v>#000000</x:v>
      </x:c>
      <x:c r="J234" t="str">
        <x:v>https://www.carandache.com/content_files/uploaded_doc/product/11426/Colour_Chart_Supracolor-BD3.pdf</x:v>
      </x:c>
    </x:row>
    <x:row r="235">
      <x:c r="A235" t="str">
        <x:v>SUP</x:v>
      </x:c>
      <x:c r="B235" t="str">
        <x:v>SUPRACOLOR Soft Aquarelle</x:v>
      </x:c>
      <x:c r="C235" t="n">
        <x:v>14</x:v>
      </x:c>
      <x:c r="D235" t="str">
        <x:v>493</x:v>
      </x:c>
      <x:c r="E235" t="str">
        <x:v>Granite rose</x:v>
      </x:c>
      <x:c r="F235" t="str">
        <x:v>花崗岩粉紅</x:v>
      </x:c>
      <x:c r="G235" t="str">
        <x:v>グラナイトローズ</x:v>
      </x:c>
      <x:c r="H235" t="str">
        <x:v>#FCDBC7</x:v>
      </x:c>
      <x:c r="I235" t="str">
        <x:v>#000000</x:v>
      </x:c>
      <x:c r="J235" t="str">
        <x:v>https://www.carandache.com/content_files/uploaded_doc/product/11426/Colour_Chart_Supracolor-BD3.pdf</x:v>
      </x:c>
    </x:row>
    <x:row r="236">
      <x:c r="A236" t="str">
        <x:v>SUP</x:v>
      </x:c>
      <x:c r="B236" t="str">
        <x:v>SUPRACOLOR Soft Aquarelle</x:v>
      </x:c>
      <x:c r="C236" t="n">
        <x:v>15</x:v>
      </x:c>
      <x:c r="D236" t="str">
        <x:v>091</x:v>
      </x:c>
      <x:c r="E236" t="str">
        <x:v>Light purple</x:v>
      </x:c>
      <x:c r="F236" t="str">
        <x:v>淺紫色</x:v>
      </x:c>
      <x:c r="G236" t="str">
        <x:v>ライトパープル</x:v>
      </x:c>
      <x:c r="H236" t="str">
        <x:v>#F7BAD3</x:v>
      </x:c>
      <x:c r="I236" t="str">
        <x:v>#000000</x:v>
      </x:c>
      <x:c r="J236" t="str">
        <x:v>https://www.carandache.com/content_files/uploaded_doc/product/11426/Colour_Chart_Supracolor-BD3.pdf</x:v>
      </x:c>
    </x:row>
    <x:row r="237">
      <x:c r="A237" t="str">
        <x:v>SUP</x:v>
      </x:c>
      <x:c r="B237" t="str">
        <x:v>SUPRACOLOR Soft Aquarelle</x:v>
      </x:c>
      <x:c r="C237" t="n">
        <x:v>16</x:v>
      </x:c>
      <x:c r="D237" t="str">
        <x:v>350</x:v>
      </x:c>
      <x:c r="E237" t="str">
        <x:v>Purplish red</x:v>
      </x:c>
      <x:c r="F237" t="str">
        <x:v>紫紅色</x:v>
      </x:c>
      <x:c r="G237" t="str">
        <x:v>パープリッシュレッド</x:v>
      </x:c>
      <x:c r="H237" t="str">
        <x:v>#E56BA8</x:v>
      </x:c>
      <x:c r="I237" t="str">
        <x:v>#000000</x:v>
      </x:c>
      <x:c r="J237" t="str">
        <x:v>https://www.carandache.com/content_files/uploaded_doc/product/11426/Colour_Chart_Supracolor-BD3.pdf</x:v>
      </x:c>
    </x:row>
    <x:row r="238">
      <x:c r="A238" t="str">
        <x:v>SUP</x:v>
      </x:c>
      <x:c r="B238" t="str">
        <x:v>SUPRACOLOR Soft Aquarelle</x:v>
      </x:c>
      <x:c r="C238" t="n">
        <x:v>17</x:v>
      </x:c>
      <x:c r="D238" t="str">
        <x:v>090</x:v>
      </x:c>
      <x:c r="E238" t="str">
        <x:v>Purple</x:v>
      </x:c>
      <x:c r="F238" t="str">
        <x:v>紫色</x:v>
      </x:c>
      <x:c r="G238" t="str">
        <x:v>パープル</x:v>
      </x:c>
      <x:c r="H238" t="str">
        <x:v>#E6A6CA</x:v>
      </x:c>
      <x:c r="I238" t="str">
        <x:v>#000000</x:v>
      </x:c>
      <x:c r="J238" t="str">
        <x:v>https://www.carandache.com/content_files/uploaded_doc/product/11426/Colour_Chart_Supracolor-BD3.pdf</x:v>
      </x:c>
    </x:row>
    <x:row r="239">
      <x:c r="A239" t="str">
        <x:v>SUP</x:v>
      </x:c>
      <x:c r="B239" t="str">
        <x:v>SUPRACOLOR Soft Aquarelle</x:v>
      </x:c>
      <x:c r="C239" t="n">
        <x:v>18</x:v>
      </x:c>
      <x:c r="D239" t="str">
        <x:v>100</x:v>
      </x:c>
      <x:c r="E239" t="str">
        <x:v>Purple violet</x:v>
      </x:c>
      <x:c r="F239" t="str">
        <x:v>紫羅蘭</x:v>
      </x:c>
      <x:c r="G239" t="str">
        <x:v>パープルバイオレット</x:v>
      </x:c>
      <x:c r="H239" t="str">
        <x:v>#ECC7DC</x:v>
      </x:c>
      <x:c r="I239" t="str">
        <x:v>#000000</x:v>
      </x:c>
      <x:c r="J239" t="str">
        <x:v>https://www.carandache.com/content_files/uploaded_doc/product/11426/Colour_Chart_Supracolor-BD3.pdf</x:v>
      </x:c>
    </x:row>
    <x:row r="240">
      <x:c r="A240" t="str">
        <x:v>SUP</x:v>
      </x:c>
      <x:c r="B240" t="str">
        <x:v>SUPRACOLOR Soft Aquarelle</x:v>
      </x:c>
      <x:c r="C240" t="n">
        <x:v>19</x:v>
      </x:c>
      <x:c r="D240" t="str">
        <x:v>110</x:v>
      </x:c>
      <x:c r="E240" t="str">
        <x:v>Lilac</x:v>
      </x:c>
      <x:c r="F240" t="str">
        <x:v>丁香紫</x:v>
      </x:c>
      <x:c r="G240" t="str">
        <x:v>ライラック</x:v>
      </x:c>
      <x:c r="H240" t="str">
        <x:v>#E5A1C6</x:v>
      </x:c>
      <x:c r="I240" t="str">
        <x:v>#000000</x:v>
      </x:c>
      <x:c r="J240" t="str">
        <x:v>https://www.carandache.com/content_files/uploaded_doc/product/11426/Colour_Chart_Supracolor-BD3.pdf</x:v>
      </x:c>
    </x:row>
    <x:row r="241">
      <x:c r="A241" t="str">
        <x:v>SUP</x:v>
      </x:c>
      <x:c r="B241" t="str">
        <x:v>SUPRACOLOR Soft Aquarelle</x:v>
      </x:c>
      <x:c r="C241" t="n">
        <x:v>20</x:v>
      </x:c>
      <x:c r="D241" t="str">
        <x:v>099</x:v>
      </x:c>
      <x:c r="E241" t="str">
        <x:v>Aubergine</x:v>
      </x:c>
      <x:c r="F241" t="str">
        <x:v>茄紫色</x:v>
      </x:c>
      <x:c r="G241" t="str">
        <x:v>オーベルジーヌ</x:v>
      </x:c>
      <x:c r="H241" t="str">
        <x:v>#D8B6C0</x:v>
      </x:c>
      <x:c r="I241" t="str">
        <x:v>#000000</x:v>
      </x:c>
      <x:c r="J241" t="str">
        <x:v>https://www.carandache.com/content_files/uploaded_doc/product/11426/Colour_Chart_Supracolor-BD3.pdf</x:v>
      </x:c>
    </x:row>
    <x:row r="242">
      <x:c r="A242" t="str">
        <x:v>SUP</x:v>
      </x:c>
      <x:c r="B242" t="str">
        <x:v>SUPRACOLOR Soft Aquarelle</x:v>
      </x:c>
      <x:c r="C242" t="n">
        <x:v>21</x:v>
      </x:c>
      <x:c r="D242" t="str">
        <x:v>111</x:v>
      </x:c>
      <x:c r="E242" t="str">
        <x:v>Mauve</x:v>
      </x:c>
      <x:c r="F242" t="str">
        <x:v>淡紫色</x:v>
      </x:c>
      <x:c r="G242" t="str">
        <x:v>モーブ</x:v>
      </x:c>
      <x:c r="H242" t="str">
        <x:v>#F3BED7</x:v>
      </x:c>
      <x:c r="I242" t="str">
        <x:v>#000000</x:v>
      </x:c>
      <x:c r="J242" t="str">
        <x:v>https://www.carandache.com/content_files/uploaded_doc/product/11426/Colour_Chart_Supracolor-BD3.pdf</x:v>
      </x:c>
    </x:row>
    <x:row r="243">
      <x:c r="A243" t="str">
        <x:v>SUP</x:v>
      </x:c>
      <x:c r="B243" t="str">
        <x:v>SUPRACOLOR Soft Aquarelle</x:v>
      </x:c>
      <x:c r="C243" t="n">
        <x:v>22</x:v>
      </x:c>
      <x:c r="D243" t="str">
        <x:v>131</x:v>
      </x:c>
      <x:c r="E243" t="str">
        <x:v>Periwinkle blue</x:v>
      </x:c>
      <x:c r="F243" t="str">
        <x:v>長春花藍</x:v>
      </x:c>
      <x:c r="G243" t="str">
        <x:v>ペリウィンクルブルー</x:v>
      </x:c>
      <x:c r="H243" t="str">
        <x:v>#D8AFCE</x:v>
      </x:c>
      <x:c r="I243" t="str">
        <x:v>#000000</x:v>
      </x:c>
      <x:c r="J243" t="str">
        <x:v>https://www.carandache.com/content_files/uploaded_doc/product/11426/Colour_Chart_Supracolor-BD3.pdf</x:v>
      </x:c>
    </x:row>
    <x:row r="244">
      <x:c r="A244" t="str">
        <x:v>SUP</x:v>
      </x:c>
      <x:c r="B244" t="str">
        <x:v>SUPRACOLOR Soft Aquarelle</x:v>
      </x:c>
      <x:c r="C244" t="n">
        <x:v>23</x:v>
      </x:c>
      <x:c r="D244" t="str">
        <x:v>130</x:v>
      </x:c>
      <x:c r="E244" t="str">
        <x:v>Royal blue</x:v>
      </x:c>
      <x:c r="F244" t="str">
        <x:v>皇家藍</x:v>
      </x:c>
      <x:c r="G244" t="str">
        <x:v>ロイヤルブルー</x:v>
      </x:c>
      <x:c r="H244" t="str">
        <x:v>#9C8FC4</x:v>
      </x:c>
      <x:c r="I244" t="str">
        <x:v>#000000</x:v>
      </x:c>
      <x:c r="J244" t="str">
        <x:v>https://www.carandache.com/content_files/uploaded_doc/product/11426/Colour_Chart_Supracolor-BD3.pdf</x:v>
      </x:c>
    </x:row>
    <x:row r="245">
      <x:c r="A245" t="str">
        <x:v>SUP</x:v>
      </x:c>
      <x:c r="B245" t="str">
        <x:v>SUPRACOLOR Soft Aquarelle</x:v>
      </x:c>
      <x:c r="C245" t="n">
        <x:v>24</x:v>
      </x:c>
      <x:c r="D245" t="str">
        <x:v>120</x:v>
      </x:c>
      <x:c r="E245" t="str">
        <x:v>Violet</x:v>
      </x:c>
      <x:c r="F245" t="str">
        <x:v>紫羅蘭色</x:v>
      </x:c>
      <x:c r="G245" t="str">
        <x:v>バイオレット</x:v>
      </x:c>
      <x:c r="H245" t="str">
        <x:v>#9679B7</x:v>
      </x:c>
      <x:c r="I245" t="str">
        <x:v>#000000</x:v>
      </x:c>
      <x:c r="J245" t="str">
        <x:v>https://www.carandache.com/content_files/uploaded_doc/product/11426/Colour_Chart_Supracolor-BD3.pdf</x:v>
      </x:c>
    </x:row>
    <x:row r="246">
      <x:c r="A246" t="str">
        <x:v>SUP</x:v>
      </x:c>
      <x:c r="B246" t="str">
        <x:v>SUPRACOLOR Soft Aquarelle</x:v>
      </x:c>
      <x:c r="C246" t="n">
        <x:v>25</x:v>
      </x:c>
      <x:c r="D246" t="str">
        <x:v>139</x:v>
      </x:c>
      <x:c r="E246" t="str">
        <x:v>Indigo blue</x:v>
      </x:c>
      <x:c r="F246" t="str">
        <x:v>靛藍</x:v>
      </x:c>
      <x:c r="G246" t="str">
        <x:v>インディゴブルー</x:v>
      </x:c>
      <x:c r="H246" t="str">
        <x:v>#9C95C8</x:v>
      </x:c>
      <x:c r="I246" t="str">
        <x:v>#000000</x:v>
      </x:c>
      <x:c r="J246" t="str">
        <x:v>https://www.carandache.com/content_files/uploaded_doc/product/11426/Colour_Chart_Supracolor-BD3.pdf</x:v>
      </x:c>
    </x:row>
    <x:row r="247">
      <x:c r="A247" t="str">
        <x:v>SUP</x:v>
      </x:c>
      <x:c r="B247" t="str">
        <x:v>SUPRACOLOR Soft Aquarelle</x:v>
      </x:c>
      <x:c r="C247" t="n">
        <x:v>26</x:v>
      </x:c>
      <x:c r="D247" t="str">
        <x:v>159</x:v>
      </x:c>
      <x:c r="E247" t="str">
        <x:v>Prussian blue</x:v>
      </x:c>
      <x:c r="F247" t="str">
        <x:v>普魯士藍</x:v>
      </x:c>
      <x:c r="G247" t="str">
        <x:v>プルシャンブルー</x:v>
      </x:c>
      <x:c r="H247" t="str">
        <x:v>#5B9DD4</x:v>
      </x:c>
      <x:c r="I247" t="str">
        <x:v>#000000</x:v>
      </x:c>
      <x:c r="J247" t="str">
        <x:v>https://www.carandache.com/content_files/uploaded_doc/product/11426/Colour_Chart_Supracolor-BD3.pdf</x:v>
      </x:c>
    </x:row>
    <x:row r="248">
      <x:c r="A248" t="str">
        <x:v>SUP</x:v>
      </x:c>
      <x:c r="B248" t="str">
        <x:v>SUPRACOLOR Soft Aquarelle</x:v>
      </x:c>
      <x:c r="C248" t="n">
        <x:v>27</x:v>
      </x:c>
      <x:c r="D248" t="str">
        <x:v>140</x:v>
      </x:c>
      <x:c r="E248" t="str">
        <x:v>Ultramarine</x:v>
      </x:c>
      <x:c r="F248" t="str">
        <x:v>群青</x:v>
      </x:c>
      <x:c r="G248" t="str">
        <x:v>ウルトラマリン</x:v>
      </x:c>
      <x:c r="H248" t="str">
        <x:v>#6C9DD4</x:v>
      </x:c>
      <x:c r="I248" t="str">
        <x:v>#000000</x:v>
      </x:c>
      <x:c r="J248" t="str">
        <x:v>https://www.carandache.com/content_files/uploaded_doc/product/11426/Colour_Chart_Supracolor-BD3.pdf</x:v>
      </x:c>
    </x:row>
    <x:row r="249">
      <x:c r="A249" t="str">
        <x:v>SUP</x:v>
      </x:c>
      <x:c r="B249" t="str">
        <x:v>SUPRACOLOR Soft Aquarelle</x:v>
      </x:c>
      <x:c r="C249" t="n">
        <x:v>28</x:v>
      </x:c>
      <x:c r="D249" t="str">
        <x:v>149</x:v>
      </x:c>
      <x:c r="E249" t="str">
        <x:v>Night blue</x:v>
      </x:c>
      <x:c r="F249" t="str">
        <x:v>夜藍</x:v>
      </x:c>
      <x:c r="G249" t="str">
        <x:v>ナイトブルー</x:v>
      </x:c>
      <x:c r="H249" t="str">
        <x:v>#5B9DD4</x:v>
      </x:c>
      <x:c r="I249" t="str">
        <x:v>#000000</x:v>
      </x:c>
      <x:c r="J249" t="str">
        <x:v>https://www.carandache.com/content_files/uploaded_doc/product/11426/Colour_Chart_Supracolor-BD3.pdf</x:v>
      </x:c>
    </x:row>
    <x:row r="250">
      <x:c r="A250" t="str">
        <x:v>SUP</x:v>
      </x:c>
      <x:c r="B250" t="str">
        <x:v>SUPRACOLOR Soft Aquarelle</x:v>
      </x:c>
      <x:c r="C250" t="n">
        <x:v>29</x:v>
      </x:c>
      <x:c r="D250" t="str">
        <x:v>150</x:v>
      </x:c>
      <x:c r="E250" t="str">
        <x:v>Sapphire blue</x:v>
      </x:c>
      <x:c r="F250" t="str">
        <x:v>藍寶石藍</x:v>
      </x:c>
      <x:c r="G250" t="str">
        <x:v>サファイアブルー</x:v>
      </x:c>
      <x:c r="H250" t="str">
        <x:v>#5FC6EA</x:v>
      </x:c>
      <x:c r="I250" t="str">
        <x:v>#000000</x:v>
      </x:c>
      <x:c r="J250" t="str">
        <x:v>https://www.carandache.com/content_files/uploaded_doc/product/11426/Colour_Chart_Supracolor-BD3.pdf</x:v>
      </x:c>
    </x:row>
    <x:row r="251">
      <x:c r="A251" t="str">
        <x:v>SUP</x:v>
      </x:c>
      <x:c r="B251" t="str">
        <x:v>SUPRACOLOR Soft Aquarelle</x:v>
      </x:c>
      <x:c r="C251" t="n">
        <x:v>30</x:v>
      </x:c>
      <x:c r="D251" t="str">
        <x:v>260</x:v>
      </x:c>
      <x:c r="E251" t="str">
        <x:v>Blue</x:v>
      </x:c>
      <x:c r="F251" t="str">
        <x:v>藍色</x:v>
      </x:c>
      <x:c r="G251" t="str">
        <x:v>ブルー</x:v>
      </x:c>
      <x:c r="H251" t="str">
        <x:v>#54B1E3</x:v>
      </x:c>
      <x:c r="I251" t="str">
        <x:v>#000000</x:v>
      </x:c>
      <x:c r="J251" t="str">
        <x:v>https://www.carandache.com/content_files/uploaded_doc/product/11426/Colour_Chart_Supracolor-BD3.pdf</x:v>
      </x:c>
    </x:row>
    <x:row r="252">
      <x:c r="A252" t="str">
        <x:v>SUP</x:v>
      </x:c>
      <x:c r="B252" t="str">
        <x:v>SUPRACOLOR Soft Aquarelle</x:v>
      </x:c>
      <x:c r="C252" t="n">
        <x:v>31</x:v>
      </x:c>
      <x:c r="D252" t="str">
        <x:v>169</x:v>
      </x:c>
      <x:c r="E252" t="str">
        <x:v>Marine blue</x:v>
      </x:c>
      <x:c r="F252" t="str">
        <x:v>海軍藍</x:v>
      </x:c>
      <x:c r="G252" t="str">
        <x:v>マリンブルー</x:v>
      </x:c>
      <x:c r="H252" t="str">
        <x:v>#57C9EB</x:v>
      </x:c>
      <x:c r="I252" t="str">
        <x:v>#000000</x:v>
      </x:c>
      <x:c r="J252" t="str">
        <x:v>https://www.carandache.com/content_files/uploaded_doc/product/11426/Colour_Chart_Supracolor-BD3.pdf</x:v>
      </x:c>
    </x:row>
    <x:row r="253">
      <x:c r="A253" t="str">
        <x:v>SUP</x:v>
      </x:c>
      <x:c r="B253" t="str">
        <x:v>SUPRACOLOR Soft Aquarelle</x:v>
      </x:c>
      <x:c r="C253" t="n">
        <x:v>32</x:v>
      </x:c>
      <x:c r="D253" t="str">
        <x:v>145</x:v>
      </x:c>
      <x:c r="E253" t="str">
        <x:v>Bluish grey</x:v>
      </x:c>
      <x:c r="F253" t="str">
        <x:v>藍灰色</x:v>
      </x:c>
      <x:c r="G253" t="str">
        <x:v>ブルーグレー</x:v>
      </x:c>
      <x:c r="H253" t="str">
        <x:v>#8BC2EA</x:v>
      </x:c>
      <x:c r="I253" t="str">
        <x:v>#000000</x:v>
      </x:c>
      <x:c r="J253" t="str">
        <x:v>https://www.carandache.com/content_files/uploaded_doc/product/11426/Colour_Chart_Supracolor-BD3.pdf</x:v>
      </x:c>
    </x:row>
    <x:row r="254">
      <x:c r="A254" t="str">
        <x:v>SUP</x:v>
      </x:c>
      <x:c r="B254" t="str">
        <x:v>SUPRACOLOR Soft Aquarelle</x:v>
      </x:c>
      <x:c r="C254" t="n">
        <x:v>33</x:v>
      </x:c>
      <x:c r="D254" t="str">
        <x:v>370</x:v>
      </x:c>
      <x:c r="E254" t="str">
        <x:v>Gentian blue</x:v>
      </x:c>
      <x:c r="F254" t="str">
        <x:v>龍膽藍</x:v>
      </x:c>
      <x:c r="G254" t="str">
        <x:v>ゲンチアンブルー</x:v>
      </x:c>
      <x:c r="H254" t="str">
        <x:v>#9DD8E7</x:v>
      </x:c>
      <x:c r="I254" t="str">
        <x:v>#000000</x:v>
      </x:c>
      <x:c r="J254" t="str">
        <x:v>https://www.carandache.com/content_files/uploaded_doc/product/11426/Colour_Chart_Supracolor-BD3.pdf</x:v>
      </x:c>
    </x:row>
    <x:row r="255">
      <x:c r="A255" t="str">
        <x:v>SUP</x:v>
      </x:c>
      <x:c r="B255" t="str">
        <x:v>SUPRACOLOR Soft Aquarelle</x:v>
      </x:c>
      <x:c r="C255" t="n">
        <x:v>34</x:v>
      </x:c>
      <x:c r="D255" t="str">
        <x:v>141</x:v>
      </x:c>
      <x:c r="E255" t="str">
        <x:v>Sky blue</x:v>
      </x:c>
      <x:c r="F255" t="str">
        <x:v>天空藍</x:v>
      </x:c>
      <x:c r="G255" t="str">
        <x:v>スカイブルー</x:v>
      </x:c>
      <x:c r="H255" t="str">
        <x:v>#B6DFEE</x:v>
      </x:c>
      <x:c r="I255" t="str">
        <x:v>#000000</x:v>
      </x:c>
      <x:c r="J255" t="str">
        <x:v>https://www.carandache.com/content_files/uploaded_doc/product/11426/Colour_Chart_Supracolor-BD3.pdf</x:v>
      </x:c>
    </x:row>
    <x:row r="256">
      <x:c r="A256" t="str">
        <x:v>SUP</x:v>
      </x:c>
      <x:c r="B256" t="str">
        <x:v>SUPRACOLOR Soft Aquarelle</x:v>
      </x:c>
      <x:c r="C256" t="n">
        <x:v>35</x:v>
      </x:c>
      <x:c r="D256" t="str">
        <x:v>155</x:v>
      </x:c>
      <x:c r="E256" t="str">
        <x:v>Blue jeans</x:v>
      </x:c>
      <x:c r="F256" t="str">
        <x:v>牛仔藍</x:v>
      </x:c>
      <x:c r="G256" t="str">
        <x:v>ブルージーンズ</x:v>
      </x:c>
      <x:c r="H256" t="str">
        <x:v>#A2DAEC</x:v>
      </x:c>
      <x:c r="I256" t="str">
        <x:v>#000000</x:v>
      </x:c>
      <x:c r="J256" t="str">
        <x:v>https://www.carandache.com/content_files/uploaded_doc/product/11426/Colour_Chart_Supracolor-BD3.pdf</x:v>
      </x:c>
    </x:row>
    <x:row r="257">
      <x:c r="A257" t="str">
        <x:v>SUP</x:v>
      </x:c>
      <x:c r="B257" t="str">
        <x:v>SUPRACOLOR Soft Aquarelle</x:v>
      </x:c>
      <x:c r="C257" t="n">
        <x:v>36</x:v>
      </x:c>
      <x:c r="D257" t="str">
        <x:v>151</x:v>
      </x:c>
      <x:c r="E257" t="str">
        <x:v>Pastel blue</x:v>
      </x:c>
      <x:c r="F257" t="str">
        <x:v>粉彩藍</x:v>
      </x:c>
      <x:c r="G257" t="str">
        <x:v>パステルブルー</x:v>
      </x:c>
      <x:c r="H257" t="str">
        <x:v>#96D6EE</x:v>
      </x:c>
      <x:c r="I257" t="str">
        <x:v>#000000</x:v>
      </x:c>
      <x:c r="J257" t="str">
        <x:v>https://www.carandache.com/content_files/uploaded_doc/product/11426/Colour_Chart_Supracolor-BD3.pdf</x:v>
      </x:c>
    </x:row>
    <x:row r="258">
      <x:c r="A258" t="str">
        <x:v>SUP</x:v>
      </x:c>
      <x:c r="B258" t="str">
        <x:v>SUPRACOLOR Soft Aquarelle</x:v>
      </x:c>
      <x:c r="C258" t="n">
        <x:v>37</x:v>
      </x:c>
      <x:c r="D258" t="str">
        <x:v>161</x:v>
      </x:c>
      <x:c r="E258" t="str">
        <x:v>Light blue</x:v>
      </x:c>
      <x:c r="F258" t="str">
        <x:v>淺藍色</x:v>
      </x:c>
      <x:c r="G258" t="str">
        <x:v>ライトブルー</x:v>
      </x:c>
      <x:c r="H258" t="str">
        <x:v>#72CCEF</x:v>
      </x:c>
      <x:c r="I258" t="str">
        <x:v>#000000</x:v>
      </x:c>
      <x:c r="J258" t="str">
        <x:v>https://www.carandache.com/content_files/uploaded_doc/product/11426/Colour_Chart_Supracolor-BD3.pdf</x:v>
      </x:c>
    </x:row>
    <x:row r="259">
      <x:c r="A259" t="str">
        <x:v>SUP</x:v>
      </x:c>
      <x:c r="B259" t="str">
        <x:v>SUPRACOLOR Soft Aquarelle</x:v>
      </x:c>
      <x:c r="C259" t="n">
        <x:v>38</x:v>
      </x:c>
      <x:c r="D259" t="str">
        <x:v>171</x:v>
      </x:c>
      <x:c r="E259" t="str">
        <x:v>Turquoise blue</x:v>
      </x:c>
      <x:c r="F259" t="str">
        <x:v>土耳其藍</x:v>
      </x:c>
      <x:c r="G259" t="str">
        <x:v>ターコイズブルー</x:v>
      </x:c>
      <x:c r="H259" t="str">
        <x:v>#81CFD5</x:v>
      </x:c>
      <x:c r="I259" t="str">
        <x:v>#000000</x:v>
      </x:c>
      <x:c r="J259" t="str">
        <x:v>https://www.carandache.com/content_files/uploaded_doc/product/11426/Colour_Chart_Supracolor-BD3.pdf</x:v>
      </x:c>
    </x:row>
    <x:row r="260">
      <x:c r="A260" t="str">
        <x:v>SUP</x:v>
      </x:c>
      <x:c r="B260" t="str">
        <x:v>SUPRACOLOR Soft Aquarelle</x:v>
      </x:c>
      <x:c r="C260" t="n">
        <x:v>39</x:v>
      </x:c>
      <x:c r="D260" t="str">
        <x:v>181</x:v>
      </x:c>
      <x:c r="E260" t="str">
        <x:v>Light malachite green</x:v>
      </x:c>
      <x:c r="F260" t="str">
        <x:v>淺孔雀石綠</x:v>
      </x:c>
      <x:c r="G260" t="str">
        <x:v>ライトマラカイトグリーン</x:v>
      </x:c>
      <x:c r="H260" t="str">
        <x:v>#B6DEDB</x:v>
      </x:c>
      <x:c r="I260" t="str">
        <x:v>#000000</x:v>
      </x:c>
      <x:c r="J260" t="str">
        <x:v>https://www.carandache.com/content_files/uploaded_doc/product/11426/Colour_Chart_Supracolor-BD3.pdf</x:v>
      </x:c>
    </x:row>
    <x:row r="261">
      <x:c r="A261" t="str">
        <x:v>SUP</x:v>
      </x:c>
      <x:c r="B261" t="str">
        <x:v>SUPRACOLOR Soft Aquarelle</x:v>
      </x:c>
      <x:c r="C261" t="n">
        <x:v>40</x:v>
      </x:c>
      <x:c r="D261" t="str">
        <x:v>191</x:v>
      </x:c>
      <x:c r="E261" t="str">
        <x:v>Turquoise</x:v>
      </x:c>
      <x:c r="F261" t="str">
        <x:v>綠松石色</x:v>
      </x:c>
      <x:c r="G261" t="str">
        <x:v>ターコイズ</x:v>
      </x:c>
      <x:c r="H261" t="str">
        <x:v>#7BCBC4</x:v>
      </x:c>
      <x:c r="I261" t="str">
        <x:v>#000000</x:v>
      </x:c>
      <x:c r="J261" t="str">
        <x:v>https://www.carandache.com/content_files/uploaded_doc/product/11426/Colour_Chart_Supracolor-BD3.pdf</x:v>
      </x:c>
    </x:row>
    <x:row r="262">
      <x:c r="A262" t="str">
        <x:v>SUP</x:v>
      </x:c>
      <x:c r="B262" t="str">
        <x:v>SUPRACOLOR Soft Aquarelle</x:v>
      </x:c>
      <x:c r="C262" t="n">
        <x:v>41</x:v>
      </x:c>
      <x:c r="D262" t="str">
        <x:v>011</x:v>
      </x:c>
      <x:c r="E262" t="str">
        <x:v>Pale yellow</x:v>
      </x:c>
      <x:c r="F262" t="str">
        <x:v>淡黃色</x:v>
      </x:c>
      <x:c r="G262" t="str">
        <x:v>ペールイエロー</x:v>
      </x:c>
      <x:c r="H262" t="str">
        <x:v>#FAF4AF</x:v>
      </x:c>
      <x:c r="I262" t="str">
        <x:v>#000000</x:v>
      </x:c>
      <x:c r="J262" t="str">
        <x:v>https://www.carandache.com/content_files/uploaded_doc/product/11426/Colour_Chart_Supracolor-BD3.pdf</x:v>
      </x:c>
    </x:row>
    <x:row r="263">
      <x:c r="A263" t="str">
        <x:v>SUP</x:v>
      </x:c>
      <x:c r="B263" t="str">
        <x:v>SUPRACOLOR Soft Aquarelle</x:v>
      </x:c>
      <x:c r="C263" t="n">
        <x:v>42</x:v>
      </x:c>
      <x:c r="D263" t="str">
        <x:v>250</x:v>
      </x:c>
      <x:c r="E263" t="str">
        <x:v>Canary yellow</x:v>
      </x:c>
      <x:c r="F263" t="str">
        <x:v>金絲雀黃</x:v>
      </x:c>
      <x:c r="G263" t="str">
        <x:v>カナリアイエロー</x:v>
      </x:c>
      <x:c r="H263" t="str">
        <x:v>#FDF185</x:v>
      </x:c>
      <x:c r="I263" t="str">
        <x:v>#000000</x:v>
      </x:c>
      <x:c r="J263" t="str">
        <x:v>https://www.carandache.com/content_files/uploaded_doc/product/11426/Colour_Chart_Supracolor-BD3.pdf</x:v>
      </x:c>
    </x:row>
    <x:row r="264">
      <x:c r="A264" t="str">
        <x:v>SUP</x:v>
      </x:c>
      <x:c r="B264" t="str">
        <x:v>SUPRACOLOR Soft Aquarelle</x:v>
      </x:c>
      <x:c r="C264" t="n">
        <x:v>43</x:v>
      </x:c>
      <x:c r="D264" t="str">
        <x:v>240</x:v>
      </x:c>
      <x:c r="E264" t="str">
        <x:v>Lemon yellow</x:v>
      </x:c>
      <x:c r="F264" t="str">
        <x:v>檸檬黃</x:v>
      </x:c>
      <x:c r="G264" t="str">
        <x:v>レモンイエロー</x:v>
      </x:c>
      <x:c r="H264" t="str">
        <x:v>#F0EC7E</x:v>
      </x:c>
      <x:c r="I264" t="str">
        <x:v>#000000</x:v>
      </x:c>
      <x:c r="J264" t="str">
        <x:v>https://www.carandache.com/content_files/uploaded_doc/product/11426/Colour_Chart_Supracolor-BD3.pdf</x:v>
      </x:c>
    </x:row>
    <x:row r="265">
      <x:c r="A265" t="str">
        <x:v>SUP</x:v>
      </x:c>
      <x:c r="B265" t="str">
        <x:v>SUPRACOLOR Soft Aquarelle</x:v>
      </x:c>
      <x:c r="C265" t="n">
        <x:v>44</x:v>
      </x:c>
      <x:c r="D265" t="str">
        <x:v>021</x:v>
      </x:c>
      <x:c r="E265" t="str">
        <x:v>Naples yellow</x:v>
      </x:c>
      <x:c r="F265" t="str">
        <x:v>那不勒斯黃</x:v>
      </x:c>
      <x:c r="G265" t="str">
        <x:v>ネープルスイエロー</x:v>
      </x:c>
      <x:c r="H265" t="str">
        <x:v>#FFF491</x:v>
      </x:c>
      <x:c r="I265" t="str">
        <x:v>#000000</x:v>
      </x:c>
      <x:c r="J265" t="str">
        <x:v>https://www.carandache.com/content_files/uploaded_doc/product/11426/Colour_Chart_Supracolor-BD3.pdf</x:v>
      </x:c>
    </x:row>
    <x:row r="266">
      <x:c r="A266" t="str">
        <x:v>SUP</x:v>
      </x:c>
      <x:c r="B266" t="str">
        <x:v>SUPRACOLOR Soft Aquarelle</x:v>
      </x:c>
      <x:c r="C266" t="n">
        <x:v>45</x:v>
      </x:c>
      <x:c r="D266" t="str">
        <x:v>010</x:v>
      </x:c>
      <x:c r="E266" t="str">
        <x:v>Yellow</x:v>
      </x:c>
      <x:c r="F266" t="str">
        <x:v>黃色</x:v>
      </x:c>
      <x:c r="G266" t="str">
        <x:v>イエロー</x:v>
      </x:c>
      <x:c r="H266" t="str">
        <x:v>#FFF167</x:v>
      </x:c>
      <x:c r="I266" t="str">
        <x:v>#000000</x:v>
      </x:c>
      <x:c r="J266" t="str">
        <x:v>https://www.carandache.com/content_files/uploaded_doc/product/11426/Colour_Chart_Supracolor-BD3.pdf</x:v>
      </x:c>
    </x:row>
    <x:row r="267">
      <x:c r="A267" t="str">
        <x:v>SUP</x:v>
      </x:c>
      <x:c r="B267" t="str">
        <x:v>SUPRACOLOR Soft Aquarelle</x:v>
      </x:c>
      <x:c r="C267" t="n">
        <x:v>46</x:v>
      </x:c>
      <x:c r="D267" t="str">
        <x:v>020</x:v>
      </x:c>
      <x:c r="E267" t="str">
        <x:v>Golden yellow</x:v>
      </x:c>
      <x:c r="F267" t="str">
        <x:v>金黃色</x:v>
      </x:c>
      <x:c r="G267" t="str">
        <x:v>ゴールデンイエロー</x:v>
      </x:c>
      <x:c r="H267" t="str">
        <x:v>#FFF172</x:v>
      </x:c>
      <x:c r="I267" t="str">
        <x:v>#000000</x:v>
      </x:c>
      <x:c r="J267" t="str">
        <x:v>https://www.carandache.com/content_files/uploaded_doc/product/11426/Colour_Chart_Supracolor-BD3.pdf</x:v>
      </x:c>
    </x:row>
    <x:row r="268">
      <x:c r="A268" t="str">
        <x:v>SUP</x:v>
      </x:c>
      <x:c r="B268" t="str">
        <x:v>SUPRACOLOR Soft Aquarelle</x:v>
      </x:c>
      <x:c r="C268" t="n">
        <x:v>47</x:v>
      </x:c>
      <x:c r="D268" t="str">
        <x:v>300</x:v>
      </x:c>
      <x:c r="E268" t="str">
        <x:v>Fast orange</x:v>
      </x:c>
      <x:c r="F268" t="str">
        <x:v>耐久橙</x:v>
      </x:c>
      <x:c r="G268" t="str">
        <x:v>ファストオレンジ</x:v>
      </x:c>
      <x:c r="H268" t="str">
        <x:v>#FEDC6A</x:v>
      </x:c>
      <x:c r="I268" t="str">
        <x:v>#000000</x:v>
      </x:c>
      <x:c r="J268" t="str">
        <x:v>https://www.carandache.com/content_files/uploaded_doc/product/11426/Colour_Chart_Supracolor-BD3.pdf</x:v>
      </x:c>
    </x:row>
    <x:row r="269">
      <x:c r="A269" t="str">
        <x:v>SUP</x:v>
      </x:c>
      <x:c r="B269" t="str">
        <x:v>SUPRACOLOR Soft Aquarelle</x:v>
      </x:c>
      <x:c r="C269" t="n">
        <x:v>48</x:v>
      </x:c>
      <x:c r="D269" t="str">
        <x:v>030</x:v>
      </x:c>
      <x:c r="E269" t="str">
        <x:v>Orange</x:v>
      </x:c>
      <x:c r="F269" t="str">
        <x:v>橙色</x:v>
      </x:c>
      <x:c r="G269" t="str">
        <x:v>オレンジ</x:v>
      </x:c>
      <x:c r="H269" t="str">
        <x:v>#FECA4F</x:v>
      </x:c>
      <x:c r="I269" t="str">
        <x:v>#000000</x:v>
      </x:c>
      <x:c r="J269" t="str">
        <x:v>https://www.carandache.com/content_files/uploaded_doc/product/11426/Colour_Chart_Supracolor-BD3.pdf</x:v>
      </x:c>
    </x:row>
    <x:row r="270">
      <x:c r="A270" t="str">
        <x:v>SUP</x:v>
      </x:c>
      <x:c r="B270" t="str">
        <x:v>SUPRACOLOR Soft Aquarelle</x:v>
      </x:c>
      <x:c r="C270" t="n">
        <x:v>49</x:v>
      </x:c>
      <x:c r="D270" t="str">
        <x:v>040</x:v>
      </x:c>
      <x:c r="E270" t="str">
        <x:v>Reddish yellow</x:v>
      </x:c>
      <x:c r="F270" t="str">
        <x:v>紅黃色</x:v>
      </x:c>
      <x:c r="G270" t="str">
        <x:v>レディッシュイエロー</x:v>
      </x:c>
      <x:c r="H270" t="str">
        <x:v>#FCB662</x:v>
      </x:c>
      <x:c r="I270" t="str">
        <x:v>#000000</x:v>
      </x:c>
      <x:c r="J270" t="str">
        <x:v>https://www.carandache.com/content_files/uploaded_doc/product/11426/Colour_Chart_Supracolor-BD3.pdf</x:v>
      </x:c>
    </x:row>
    <x:row r="271">
      <x:c r="A271" t="str">
        <x:v>SUP</x:v>
      </x:c>
      <x:c r="B271" t="str">
        <x:v>SUPRACOLOR Soft Aquarelle</x:v>
      </x:c>
      <x:c r="C271" t="n">
        <x:v>50</x:v>
      </x:c>
      <x:c r="D271" t="str">
        <x:v>050</x:v>
      </x:c>
      <x:c r="E271" t="str">
        <x:v>Flame red</x:v>
      </x:c>
      <x:c r="F271" t="str">
        <x:v>火焰紅</x:v>
      </x:c>
      <x:c r="G271" t="str">
        <x:v>フレームレッド</x:v>
      </x:c>
      <x:c r="H271" t="str">
        <x:v>#FDC57A</x:v>
      </x:c>
      <x:c r="I271" t="str">
        <x:v>#000000</x:v>
      </x:c>
      <x:c r="J271" t="str">
        <x:v>https://www.carandache.com/content_files/uploaded_doc/product/11426/Colour_Chart_Supracolor-BD3.pdf</x:v>
      </x:c>
    </x:row>
    <x:row r="272">
      <x:c r="A272" t="str">
        <x:v>SUP</x:v>
      </x:c>
      <x:c r="B272" t="str">
        <x:v>SUPRACOLOR Soft Aquarelle</x:v>
      </x:c>
      <x:c r="C272" t="n">
        <x:v>51</x:v>
      </x:c>
      <x:c r="D272" t="str">
        <x:v>060</x:v>
      </x:c>
      <x:c r="E272" t="str">
        <x:v>Vermilion</x:v>
      </x:c>
      <x:c r="F272" t="str">
        <x:v>朱紅</x:v>
      </x:c>
      <x:c r="G272" t="str">
        <x:v>バーミリオン</x:v>
      </x:c>
      <x:c r="H272" t="str">
        <x:v>#F89F76</x:v>
      </x:c>
      <x:c r="I272" t="str">
        <x:v>#000000</x:v>
      </x:c>
      <x:c r="J272" t="str">
        <x:v>https://www.carandache.com/content_files/uploaded_doc/product/11426/Colour_Chart_Supracolor-BD3.pdf</x:v>
      </x:c>
    </x:row>
    <x:row r="273">
      <x:c r="A273" t="str">
        <x:v>SUP</x:v>
      </x:c>
      <x:c r="B273" t="str">
        <x:v>SUPRACOLOR Soft Aquarelle</x:v>
      </x:c>
      <x:c r="C273" t="n">
        <x:v>52</x:v>
      </x:c>
      <x:c r="D273" t="str">
        <x:v>070</x:v>
      </x:c>
      <x:c r="E273" t="str">
        <x:v>Scarlet</x:v>
      </x:c>
      <x:c r="F273" t="str">
        <x:v>猩紅</x:v>
      </x:c>
      <x:c r="G273" t="str">
        <x:v>スカーレット</x:v>
      </x:c>
      <x:c r="H273" t="str">
        <x:v>#F6947E</x:v>
      </x:c>
      <x:c r="I273" t="str">
        <x:v>#000000</x:v>
      </x:c>
      <x:c r="J273" t="str">
        <x:v>https://www.carandache.com/content_files/uploaded_doc/product/11426/Colour_Chart_Supracolor-BD3.pdf</x:v>
      </x:c>
    </x:row>
    <x:row r="274">
      <x:c r="A274" t="str">
        <x:v>SUP</x:v>
      </x:c>
      <x:c r="B274" t="str">
        <x:v>SUPRACOLOR Soft Aquarelle</x:v>
      </x:c>
      <x:c r="C274" t="n">
        <x:v>53</x:v>
      </x:c>
      <x:c r="D274" t="str">
        <x:v>069</x:v>
      </x:c>
      <x:c r="E274" t="str">
        <x:v>Burnt Siena</x:v>
      </x:c>
      <x:c r="F274" t="str">
        <x:v>熟赭紅</x:v>
      </x:c>
      <x:c r="G274" t="str">
        <x:v>バーントシェンナ</x:v>
      </x:c>
      <x:c r="H274" t="str">
        <x:v>#D28C7D</x:v>
      </x:c>
      <x:c r="I274" t="str">
        <x:v>#000000</x:v>
      </x:c>
      <x:c r="J274" t="str">
        <x:v>https://www.carandache.com/content_files/uploaded_doc/product/11426/Colour_Chart_Supracolor-BD3.pdf</x:v>
      </x:c>
    </x:row>
    <x:row r="275">
      <x:c r="A275" t="str">
        <x:v>SUP</x:v>
      </x:c>
      <x:c r="B275" t="str">
        <x:v>SUPRACOLOR Soft Aquarelle</x:v>
      </x:c>
      <x:c r="C275" t="n">
        <x:v>54</x:v>
      </x:c>
      <x:c r="D275" t="str">
        <x:v>059</x:v>
      </x:c>
      <x:c r="E275" t="str">
        <x:v>Brown</x:v>
      </x:c>
      <x:c r="F275" t="str">
        <x:v>棕色</x:v>
      </x:c>
      <x:c r="G275" t="str">
        <x:v>ブラウン</x:v>
      </x:c>
      <x:c r="H275" t="str">
        <x:v>#F49D81</x:v>
      </x:c>
      <x:c r="I275" t="str">
        <x:v>#000000</x:v>
      </x:c>
      <x:c r="J275" t="str">
        <x:v>https://www.carandache.com/content_files/uploaded_doc/product/11426/Colour_Chart_Supracolor-BD3.pdf</x:v>
      </x:c>
    </x:row>
    <x:row r="276">
      <x:c r="A276" t="str">
        <x:v>SUP</x:v>
      </x:c>
      <x:c r="B276" t="str">
        <x:v>SUPRACOLOR Soft Aquarelle</x:v>
      </x:c>
      <x:c r="C276" t="n">
        <x:v>55</x:v>
      </x:c>
      <x:c r="D276" t="str">
        <x:v>065</x:v>
      </x:c>
      <x:c r="E276" t="str">
        <x:v>Russet</x:v>
      </x:c>
      <x:c r="F276" t="str">
        <x:v>赤褐色</x:v>
      </x:c>
      <x:c r="G276" t="str">
        <x:v>ラセット</x:v>
      </x:c>
      <x:c r="H276" t="str">
        <x:v>#F7A576</x:v>
      </x:c>
      <x:c r="I276" t="str">
        <x:v>#000000</x:v>
      </x:c>
      <x:c r="J276" t="str">
        <x:v>https://www.carandache.com/content_files/uploaded_doc/product/11426/Colour_Chart_Supracolor-BD3.pdf</x:v>
      </x:c>
    </x:row>
    <x:row r="277">
      <x:c r="A277" t="str">
        <x:v>SUP</x:v>
      </x:c>
      <x:c r="B277" t="str">
        <x:v>SUPRACOLOR Soft Aquarelle</x:v>
      </x:c>
      <x:c r="C277" t="n">
        <x:v>56</x:v>
      </x:c>
      <x:c r="D277" t="str">
        <x:v>063</x:v>
      </x:c>
      <x:c r="E277" t="str">
        <x:v>English red</x:v>
      </x:c>
      <x:c r="F277" t="str">
        <x:v>英國紅</x:v>
      </x:c>
      <x:c r="G277" t="str">
        <x:v>イングリッシュレッド</x:v>
      </x:c>
      <x:c r="H277" t="str">
        <x:v>#F79779</x:v>
      </x:c>
      <x:c r="I277" t="str">
        <x:v>#000000</x:v>
      </x:c>
      <x:c r="J277" t="str">
        <x:v>https://www.carandache.com/content_files/uploaded_doc/product/11426/Colour_Chart_Supracolor-BD3.pdf</x:v>
      </x:c>
    </x:row>
    <x:row r="278">
      <x:c r="A278" t="str">
        <x:v>SUP</x:v>
      </x:c>
      <x:c r="B278" t="str">
        <x:v>SUPRACOLOR Soft Aquarelle</x:v>
      </x:c>
      <x:c r="C278" t="n">
        <x:v>57</x:v>
      </x:c>
      <x:c r="D278" t="str">
        <x:v>062</x:v>
      </x:c>
      <x:c r="E278" t="str">
        <x:v>Venetian red</x:v>
      </x:c>
      <x:c r="F278" t="str">
        <x:v>威尼斯紅</x:v>
      </x:c>
      <x:c r="G278" t="str">
        <x:v>ベネチアンレッド</x:v>
      </x:c>
      <x:c r="H278" t="str">
        <x:v>#F9AD85</x:v>
      </x:c>
      <x:c r="I278" t="str">
        <x:v>#000000</x:v>
      </x:c>
      <x:c r="J278" t="str">
        <x:v>https://www.carandache.com/content_files/uploaded_doc/product/11426/Colour_Chart_Supracolor-BD3.pdf</x:v>
      </x:c>
    </x:row>
    <x:row r="279">
      <x:c r="A279" t="str">
        <x:v>SUP</x:v>
      </x:c>
      <x:c r="B279" t="str">
        <x:v>SUPRACOLOR Soft Aquarelle</x:v>
      </x:c>
      <x:c r="C279" t="n">
        <x:v>58</x:v>
      </x:c>
      <x:c r="D279" t="str">
        <x:v>053</x:v>
      </x:c>
      <x:c r="E279" t="str">
        <x:v>Hazel</x:v>
      </x:c>
      <x:c r="F279" t="str">
        <x:v>榛果棕</x:v>
      </x:c>
      <x:c r="G279" t="str">
        <x:v>ヘーゼル</x:v>
      </x:c>
      <x:c r="H279" t="str">
        <x:v>#EFA66C</x:v>
      </x:c>
      <x:c r="I279" t="str">
        <x:v>#000000</x:v>
      </x:c>
      <x:c r="J279" t="str">
        <x:v>https://www.carandache.com/content_files/uploaded_doc/product/11426/Colour_Chart_Supracolor-BD3.pdf</x:v>
      </x:c>
    </x:row>
    <x:row r="280">
      <x:c r="A280" t="str">
        <x:v>SUP</x:v>
      </x:c>
      <x:c r="B280" t="str">
        <x:v>SUPRACOLOR Soft Aquarelle</x:v>
      </x:c>
      <x:c r="C280" t="n">
        <x:v>59</x:v>
      </x:c>
      <x:c r="D280" t="str">
        <x:v>057</x:v>
      </x:c>
      <x:c r="E280" t="str">
        <x:v>Chestnut</x:v>
      </x:c>
      <x:c r="F280" t="str">
        <x:v>栗棕色</x:v>
      </x:c>
      <x:c r="G280" t="str">
        <x:v>チェスナット</x:v>
      </x:c>
      <x:c r="H280" t="str">
        <x:v>#F5AC87</x:v>
      </x:c>
      <x:c r="I280" t="str">
        <x:v>#000000</x:v>
      </x:c>
      <x:c r="J280" t="str">
        <x:v>https://www.carandache.com/content_files/uploaded_doc/product/11426/Colour_Chart_Supracolor-BD3.pdf</x:v>
      </x:c>
    </x:row>
    <x:row r="281">
      <x:c r="A281" t="str">
        <x:v>SUP</x:v>
      </x:c>
      <x:c r="B281" t="str">
        <x:v>SUPRACOLOR Soft Aquarelle</x:v>
      </x:c>
      <x:c r="C281" t="n">
        <x:v>60</x:v>
      </x:c>
      <x:c r="D281" t="str">
        <x:v>055</x:v>
      </x:c>
      <x:c r="E281" t="str">
        <x:v>Cinnamon</x:v>
      </x:c>
      <x:c r="F281" t="str">
        <x:v>肉桂色</x:v>
      </x:c>
      <x:c r="G281" t="str">
        <x:v>シナモン</x:v>
      </x:c>
      <x:c r="H281" t="str">
        <x:v>#F7AF81</x:v>
      </x:c>
      <x:c r="I281" t="str">
        <x:v>#000000</x:v>
      </x:c>
      <x:c r="J281" t="str">
        <x:v>https://www.carandache.com/content_files/uploaded_doc/product/11426/Colour_Chart_Supracolor-BD3.pdf</x:v>
      </x:c>
    </x:row>
    <x:row r="282">
      <x:c r="A282" t="str">
        <x:v>SUP</x:v>
      </x:c>
      <x:c r="B282" t="str">
        <x:v>SUPRACOLOR Soft Aquarelle</x:v>
      </x:c>
      <x:c r="C282" t="n">
        <x:v>61</x:v>
      </x:c>
      <x:c r="D282" t="str">
        <x:v>037</x:v>
      </x:c>
      <x:c r="E282" t="str">
        <x:v>Brown ochre</x:v>
      </x:c>
      <x:c r="F282" t="str">
        <x:v>棕赭色</x:v>
      </x:c>
      <x:c r="G282" t="str">
        <x:v>ブラウンオーカー</x:v>
      </x:c>
      <x:c r="H282" t="str">
        <x:v>#E8AA74</x:v>
      </x:c>
      <x:c r="I282" t="str">
        <x:v>#000000</x:v>
      </x:c>
      <x:c r="J282" t="str">
        <x:v>https://www.carandache.com/content_files/uploaded_doc/product/11426/Colour_Chart_Supracolor-BD3.pdf</x:v>
      </x:c>
    </x:row>
    <x:row r="283">
      <x:c r="A283" t="str">
        <x:v>SUP</x:v>
      </x:c>
      <x:c r="B283" t="str">
        <x:v>SUPRACOLOR Soft Aquarelle</x:v>
      </x:c>
      <x:c r="C283" t="n">
        <x:v>62</x:v>
      </x:c>
      <x:c r="D283" t="str">
        <x:v>035</x:v>
      </x:c>
      <x:c r="E283" t="str">
        <x:v>Ochre</x:v>
      </x:c>
      <x:c r="F283" t="str">
        <x:v>赭色</x:v>
      </x:c>
      <x:c r="G283" t="str">
        <x:v>オーカー</x:v>
      </x:c>
      <x:c r="H283" t="str">
        <x:v>#FED48B</x:v>
      </x:c>
      <x:c r="I283" t="str">
        <x:v>#000000</x:v>
      </x:c>
      <x:c r="J283" t="str">
        <x:v>https://www.carandache.com/content_files/uploaded_doc/product/11426/Colour_Chart_Supracolor-BD3.pdf</x:v>
      </x:c>
    </x:row>
    <x:row r="284">
      <x:c r="A284" t="str">
        <x:v>SUP</x:v>
      </x:c>
      <x:c r="B284" t="str">
        <x:v>SUPRACOLOR Soft Aquarelle</x:v>
      </x:c>
      <x:c r="C284" t="n">
        <x:v>63</x:v>
      </x:c>
      <x:c r="D284" t="str">
        <x:v>033</x:v>
      </x:c>
      <x:c r="E284" t="str">
        <x:v>Golden ochre</x:v>
      </x:c>
      <x:c r="F284" t="str">
        <x:v>金赭色</x:v>
      </x:c>
      <x:c r="G284" t="str">
        <x:v>ゴールデンオーカー</x:v>
      </x:c>
      <x:c r="H284" t="str">
        <x:v>#FEDE8D</x:v>
      </x:c>
      <x:c r="I284" t="str">
        <x:v>#000000</x:v>
      </x:c>
      <x:c r="J284" t="str">
        <x:v>https://www.carandache.com/content_files/uploaded_doc/product/11426/Colour_Chart_Supracolor-BD3.pdf</x:v>
      </x:c>
    </x:row>
    <x:row r="285">
      <x:c r="A285" t="str">
        <x:v>SUP</x:v>
      </x:c>
      <x:c r="B285" t="str">
        <x:v>SUPRACOLOR Soft Aquarelle</x:v>
      </x:c>
      <x:c r="C285" t="n">
        <x:v>64</x:v>
      </x:c>
      <x:c r="D285" t="str">
        <x:v>032</x:v>
      </x:c>
      <x:c r="E285" t="str">
        <x:v>Light ochre</x:v>
      </x:c>
      <x:c r="F285" t="str">
        <x:v>淺赭色</x:v>
      </x:c>
      <x:c r="G285" t="str">
        <x:v>ライトオーカー</x:v>
      </x:c>
      <x:c r="H285" t="str">
        <x:v>#FFDF89</x:v>
      </x:c>
      <x:c r="I285" t="str">
        <x:v>#000000</x:v>
      </x:c>
      <x:c r="J285" t="str">
        <x:v>https://www.carandache.com/content_files/uploaded_doc/product/11426/Colour_Chart_Supracolor-BD3.pdf</x:v>
      </x:c>
    </x:row>
    <x:row r="286">
      <x:c r="A286" t="str">
        <x:v>SUP</x:v>
      </x:c>
      <x:c r="B286" t="str">
        <x:v>SUPRACOLOR Soft Aquarelle</x:v>
      </x:c>
      <x:c r="C286" t="n">
        <x:v>65</x:v>
      </x:c>
      <x:c r="D286" t="str">
        <x:v>031</x:v>
      </x:c>
      <x:c r="E286" t="str">
        <x:v>Orangish yellow</x:v>
      </x:c>
      <x:c r="F286" t="str">
        <x:v>橙黃色</x:v>
      </x:c>
      <x:c r="G286" t="str">
        <x:v>オレンジイエロー</x:v>
      </x:c>
      <x:c r="H286" t="str">
        <x:v>#FFDE7B</x:v>
      </x:c>
      <x:c r="I286" t="str">
        <x:v>#000000</x:v>
      </x:c>
      <x:c r="J286" t="str">
        <x:v>https://www.carandache.com/content_files/uploaded_doc/product/11426/Colour_Chart_Supracolor-BD3.pdf</x:v>
      </x:c>
    </x:row>
    <x:row r="287">
      <x:c r="A287" t="str">
        <x:v>SUP</x:v>
      </x:c>
      <x:c r="B287" t="str">
        <x:v>SUPRACOLOR Soft Aquarelle</x:v>
      </x:c>
      <x:c r="C287" t="n">
        <x:v>66</x:v>
      </x:c>
      <x:c r="D287" t="str">
        <x:v>491</x:v>
      </x:c>
      <x:c r="E287" t="str">
        <x:v>Cream</x:v>
      </x:c>
      <x:c r="F287" t="str">
        <x:v>奶油色</x:v>
      </x:c>
      <x:c r="G287" t="str">
        <x:v>クリーム</x:v>
      </x:c>
      <x:c r="H287" t="str">
        <x:v>#FFF1D5</x:v>
      </x:c>
      <x:c r="I287" t="str">
        <x:v>#000000</x:v>
      </x:c>
      <x:c r="J287" t="str">
        <x:v>https://www.carandache.com/content_files/uploaded_doc/product/11426/Colour_Chart_Supracolor-BD3.pdf</x:v>
      </x:c>
    </x:row>
    <x:row r="288">
      <x:c r="A288" t="str">
        <x:v>SUP</x:v>
      </x:c>
      <x:c r="B288" t="str">
        <x:v>SUPRACOLOR Soft Aquarelle</x:v>
      </x:c>
      <x:c r="C288" t="n">
        <x:v>67</x:v>
      </x:c>
      <x:c r="D288" t="str">
        <x:v>371</x:v>
      </x:c>
      <x:c r="E288" t="str">
        <x:v>Bluish pale</x:v>
      </x:c>
      <x:c r="F288" t="str">
        <x:v>淡藍色</x:v>
      </x:c>
      <x:c r="G288" t="str">
        <x:v>ペールブルー</x:v>
      </x:c>
      <x:c r="H288" t="str">
        <x:v>#C8E6EC</x:v>
      </x:c>
      <x:c r="I288" t="str">
        <x:v>#000000</x:v>
      </x:c>
      <x:c r="J288" t="str">
        <x:v>https://www.carandache.com/content_files/uploaded_doc/product/11426/Colour_Chart_Supracolor-BD3.pdf</x:v>
      </x:c>
    </x:row>
    <x:row r="289">
      <x:c r="A289" t="str">
        <x:v>SUP</x:v>
      </x:c>
      <x:c r="B289" t="str">
        <x:v>SUPRACOLOR Soft Aquarelle</x:v>
      </x:c>
      <x:c r="C289" t="n">
        <x:v>68</x:v>
      </x:c>
      <x:c r="D289" t="str">
        <x:v>002</x:v>
      </x:c>
      <x:c r="E289" t="str">
        <x:v>Silver grey</x:v>
      </x:c>
      <x:c r="F289" t="str">
        <x:v>銀灰色</x:v>
      </x:c>
      <x:c r="G289" t="str">
        <x:v>シルバーグレー</x:v>
      </x:c>
      <x:c r="H289" t="str">
        <x:v>#F5F0EC</x:v>
      </x:c>
      <x:c r="I289" t="str">
        <x:v>#000000</x:v>
      </x:c>
      <x:c r="J289" t="str">
        <x:v>https://www.carandache.com/content_files/uploaded_doc/product/11426/Colour_Chart_Supracolor-BD3.pdf</x:v>
      </x:c>
    </x:row>
    <x:row r="290">
      <x:c r="A290" t="str">
        <x:v>SUP</x:v>
      </x:c>
      <x:c r="B290" t="str">
        <x:v>SUPRACOLOR Soft Aquarelle</x:v>
      </x:c>
      <x:c r="C290" t="n">
        <x:v>69</x:v>
      </x:c>
      <x:c r="D290" t="str">
        <x:v>003</x:v>
      </x:c>
      <x:c r="E290" t="str">
        <x:v>Light grey</x:v>
      </x:c>
      <x:c r="F290" t="str">
        <x:v>淺灰色</x:v>
      </x:c>
      <x:c r="G290" t="str">
        <x:v>ライトグレー</x:v>
      </x:c>
      <x:c r="H290" t="str">
        <x:v>#E5E3DD</x:v>
      </x:c>
      <x:c r="I290" t="str">
        <x:v>#000000</x:v>
      </x:c>
      <x:c r="J290" t="str">
        <x:v>https://www.carandache.com/content_files/uploaded_doc/product/11426/Colour_Chart_Supracolor-BD3.pdf</x:v>
      </x:c>
    </x:row>
    <x:row r="291">
      <x:c r="A291" t="str">
        <x:v>SUP</x:v>
      </x:c>
      <x:c r="B291" t="str">
        <x:v>SUPRACOLOR Soft Aquarelle</x:v>
      </x:c>
      <x:c r="C291" t="n">
        <x:v>70</x:v>
      </x:c>
      <x:c r="D291" t="str">
        <x:v>004</x:v>
      </x:c>
      <x:c r="E291" t="str">
        <x:v>Steel grey</x:v>
      </x:c>
      <x:c r="F291" t="str">
        <x:v>鋼灰色</x:v>
      </x:c>
      <x:c r="G291" t="str">
        <x:v>スチールグレー</x:v>
      </x:c>
      <x:c r="H291" t="str">
        <x:v>#E1DCD9</x:v>
      </x:c>
      <x:c r="I291" t="str">
        <x:v>#000000</x:v>
      </x:c>
      <x:c r="J291" t="str">
        <x:v>https://www.carandache.com/content_files/uploaded_doc/product/11426/Colour_Chart_Supracolor-BD3.pdf</x:v>
      </x:c>
    </x:row>
    <x:row r="292">
      <x:c r="A292" t="str">
        <x:v>SUP</x:v>
      </x:c>
      <x:c r="B292" t="str">
        <x:v>SUPRACOLOR Soft Aquarelle</x:v>
      </x:c>
      <x:c r="C292" t="n">
        <x:v>71</x:v>
      </x:c>
      <x:c r="D292" t="str">
        <x:v>006</x:v>
      </x:c>
      <x:c r="E292" t="str">
        <x:v>Mouse grey</x:v>
      </x:c>
      <x:c r="F292" t="str">
        <x:v>鼠灰色</x:v>
      </x:c>
      <x:c r="G292" t="str">
        <x:v>マウスグレー</x:v>
      </x:c>
      <x:c r="H292" t="str">
        <x:v>#C0C6C2</x:v>
      </x:c>
      <x:c r="I292" t="str">
        <x:v>#000000</x:v>
      </x:c>
      <x:c r="J292" t="str">
        <x:v>https://www.carandache.com/content_files/uploaded_doc/product/11426/Colour_Chart_Supracolor-BD3.pdf</x:v>
      </x:c>
    </x:row>
    <x:row r="293">
      <x:c r="A293" t="str">
        <x:v>SUP</x:v>
      </x:c>
      <x:c r="B293" t="str">
        <x:v>SUPRACOLOR Soft Aquarelle</x:v>
      </x:c>
      <x:c r="C293" t="n">
        <x:v>72</x:v>
      </x:c>
      <x:c r="D293" t="str">
        <x:v>005</x:v>
      </x:c>
      <x:c r="E293" t="str">
        <x:v>Grey</x:v>
      </x:c>
      <x:c r="F293" t="str">
        <x:v>灰色</x:v>
      </x:c>
      <x:c r="G293" t="str">
        <x:v>グレー</x:v>
      </x:c>
      <x:c r="H293" t="str">
        <x:v>#CBCFCC</x:v>
      </x:c>
      <x:c r="I293" t="str">
        <x:v>#000000</x:v>
      </x:c>
      <x:c r="J293" t="str">
        <x:v>https://www.carandache.com/content_files/uploaded_doc/product/11426/Colour_Chart_Supracolor-BD3.pdf</x:v>
      </x:c>
    </x:row>
    <x:row r="294">
      <x:c r="A294" t="str">
        <x:v>SUP</x:v>
      </x:c>
      <x:c r="B294" t="str">
        <x:v>SUPRACOLOR Soft Aquarelle</x:v>
      </x:c>
      <x:c r="C294" t="n">
        <x:v>73</x:v>
      </x:c>
      <x:c r="D294" t="str">
        <x:v>007</x:v>
      </x:c>
      <x:c r="E294" t="str">
        <x:v>Dark grey</x:v>
      </x:c>
      <x:c r="F294" t="str">
        <x:v>深灰色</x:v>
      </x:c>
      <x:c r="G294" t="str">
        <x:v>ダークグレー</x:v>
      </x:c>
      <x:c r="H294" t="str">
        <x:v>#C7C8C1</x:v>
      </x:c>
      <x:c r="I294" t="str">
        <x:v>#000000</x:v>
      </x:c>
      <x:c r="J294" t="str">
        <x:v>https://www.carandache.com/content_files/uploaded_doc/product/11426/Colour_Chart_Supracolor-BD3.pdf</x:v>
      </x:c>
    </x:row>
    <x:row r="295">
      <x:c r="A295" t="str">
        <x:v>SUP</x:v>
      </x:c>
      <x:c r="B295" t="str">
        <x:v>SUPRACOLOR Soft Aquarelle</x:v>
      </x:c>
      <x:c r="C295" t="n">
        <x:v>74</x:v>
      </x:c>
      <x:c r="D295" t="str">
        <x:v>008</x:v>
      </x:c>
      <x:c r="E295" t="str">
        <x:v>Greyish black</x:v>
      </x:c>
      <x:c r="F295" t="str">
        <x:v>灰黑色</x:v>
      </x:c>
      <x:c r="G295" t="str">
        <x:v>グレイッシュブラック</x:v>
      </x:c>
      <x:c r="H295" t="str">
        <x:v>#9CA2A2</x:v>
      </x:c>
      <x:c r="I295" t="str">
        <x:v>#000000</x:v>
      </x:c>
      <x:c r="J295" t="str">
        <x:v>https://www.carandache.com/content_files/uploaded_doc/product/11426/Colour_Chart_Supracolor-BD3.pdf</x:v>
      </x:c>
    </x:row>
    <x:row r="296">
      <x:c r="A296" t="str">
        <x:v>SUP</x:v>
      </x:c>
      <x:c r="B296" t="str">
        <x:v>SUPRACOLOR Soft Aquarelle</x:v>
      </x:c>
      <x:c r="C296" t="n">
        <x:v>75</x:v>
      </x:c>
      <x:c r="D296" t="str">
        <x:v>495</x:v>
      </x:c>
      <x:c r="E296" t="str">
        <x:v>Slate grey</x:v>
      </x:c>
      <x:c r="F296" t="str">
        <x:v>板岩灰</x:v>
      </x:c>
      <x:c r="G296" t="str">
        <x:v>スレートグレー</x:v>
      </x:c>
      <x:c r="H296" t="str">
        <x:v>#9A9591</x:v>
      </x:c>
      <x:c r="I296" t="str">
        <x:v>#000000</x:v>
      </x:c>
      <x:c r="J296" t="str">
        <x:v>https://www.carandache.com/content_files/uploaded_doc/product/11426/Colour_Chart_Supracolor-BD3.pdf</x:v>
      </x:c>
    </x:row>
    <x:row r="297">
      <x:c r="A297" t="str">
        <x:v>SUP</x:v>
      </x:c>
      <x:c r="B297" t="str">
        <x:v>SUPRACOLOR Soft Aquarelle</x:v>
      </x:c>
      <x:c r="C297" t="n">
        <x:v>76</x:v>
      </x:c>
      <x:c r="D297" t="str">
        <x:v>496</x:v>
      </x:c>
      <x:c r="E297" t="str">
        <x:v>Ivory black</x:v>
      </x:c>
      <x:c r="F297" t="str">
        <x:v>象牙黑</x:v>
      </x:c>
      <x:c r="G297" t="str">
        <x:v>アイボリーブラック</x:v>
      </x:c>
      <x:c r="H297" t="str">
        <x:v>#A19B92</x:v>
      </x:c>
      <x:c r="I297" t="str">
        <x:v>#000000</x:v>
      </x:c>
      <x:c r="J297" t="str">
        <x:v>https://www.carandache.com/content_files/uploaded_doc/product/11426/Colour_Chart_Supracolor-BD3.pdf</x:v>
      </x:c>
    </x:row>
    <x:row r="298">
      <x:c r="A298" t="str">
        <x:v>SUP</x:v>
      </x:c>
      <x:c r="B298" t="str">
        <x:v>SUPRACOLOR Soft Aquarelle</x:v>
      </x:c>
      <x:c r="C298" t="n">
        <x:v>77</x:v>
      </x:c>
      <x:c r="D298" t="str">
        <x:v>409</x:v>
      </x:c>
      <x:c r="E298" t="str">
        <x:v>Charcoal grey</x:v>
      </x:c>
      <x:c r="F298" t="str">
        <x:v>炭灰色</x:v>
      </x:c>
      <x:c r="G298" t="str">
        <x:v>チャコールグレー</x:v>
      </x:c>
      <x:c r="H298" t="str">
        <x:v>#685E55</x:v>
      </x:c>
      <x:c r="I298" t="str">
        <x:v>#FFFFFF</x:v>
      </x:c>
      <x:c r="J298" t="str">
        <x:v>https://www.carandache.com/content_files/uploaded_doc/product/11426/Colour_Chart_Supracolor-BD3.pdf</x:v>
      </x:c>
    </x:row>
    <x:row r="299">
      <x:c r="A299" t="str">
        <x:v>SUP</x:v>
      </x:c>
      <x:c r="B299" t="str">
        <x:v>SUPRACOLOR Soft Aquarelle</x:v>
      </x:c>
      <x:c r="C299" t="n">
        <x:v>78</x:v>
      </x:c>
      <x:c r="D299" t="str">
        <x:v>407</x:v>
      </x:c>
      <x:c r="E299" t="str">
        <x:v>Sepia</x:v>
      </x:c>
      <x:c r="F299" t="str">
        <x:v>深褐色</x:v>
      </x:c>
      <x:c r="G299" t="str">
        <x:v>セピア</x:v>
      </x:c>
      <x:c r="H299" t="str">
        <x:v>#938E89</x:v>
      </x:c>
      <x:c r="I299" t="str">
        <x:v>#000000</x:v>
      </x:c>
      <x:c r="J299" t="str">
        <x:v>https://www.carandache.com/content_files/uploaded_doc/product/11426/Colour_Chart_Supracolor-BD3.pdf</x:v>
      </x:c>
    </x:row>
    <x:row r="300">
      <x:c r="A300" t="str">
        <x:v>SUP</x:v>
      </x:c>
      <x:c r="B300" t="str">
        <x:v>SUPRACOLOR Soft Aquarelle</x:v>
      </x:c>
      <x:c r="C300" t="n">
        <x:v>79</x:v>
      </x:c>
      <x:c r="D300" t="str">
        <x:v>047</x:v>
      </x:c>
      <x:c r="E300" t="str">
        <x:v>Bistre</x:v>
      </x:c>
      <x:c r="F300" t="str">
        <x:v>煙褐色</x:v>
      </x:c>
      <x:c r="G300" t="str">
        <x:v>ビスター</x:v>
      </x:c>
      <x:c r="H300" t="str">
        <x:v>#8B6755</x:v>
      </x:c>
      <x:c r="I300" t="str">
        <x:v>#FFFFFF</x:v>
      </x:c>
      <x:c r="J300" t="str">
        <x:v>https://www.carandache.com/content_files/uploaded_doc/product/11426/Colour_Chart_Supracolor-BD3.pdf</x:v>
      </x:c>
    </x:row>
    <x:row r="301">
      <x:c r="A301" t="str">
        <x:v>SUP</x:v>
      </x:c>
      <x:c r="B301" t="str">
        <x:v>SUPRACOLOR Soft Aquarelle</x:v>
      </x:c>
      <x:c r="C301" t="n">
        <x:v>80</x:v>
      </x:c>
      <x:c r="D301" t="str">
        <x:v>405</x:v>
      </x:c>
      <x:c r="E301" t="str">
        <x:v>Cocoa</x:v>
      </x:c>
      <x:c r="F301" t="str">
        <x:v>可可棕</x:v>
      </x:c>
      <x:c r="G301" t="str">
        <x:v>ココア</x:v>
      </x:c>
      <x:c r="H301" t="str">
        <x:v>#B89683</x:v>
      </x:c>
      <x:c r="I301" t="str">
        <x:v>#000000</x:v>
      </x:c>
      <x:c r="J301" t="str">
        <x:v>https://www.carandache.com/content_files/uploaded_doc/product/11426/Colour_Chart_Supracolor-BD3.pdf</x:v>
      </x:c>
    </x:row>
    <x:row r="302">
      <x:c r="A302" t="str">
        <x:v>SUP</x:v>
      </x:c>
      <x:c r="B302" t="str">
        <x:v>SUPRACOLOR Soft Aquarelle</x:v>
      </x:c>
      <x:c r="C302" t="n">
        <x:v>81</x:v>
      </x:c>
      <x:c r="D302" t="str">
        <x:v>160</x:v>
      </x:c>
      <x:c r="E302" t="str">
        <x:v>Cobalt blue (hue)</x:v>
      </x:c>
      <x:c r="F302" t="str">
        <x:v>鈷藍（色相）</x:v>
      </x:c>
      <x:c r="G302" t="str">
        <x:v>コバルトブルー（ヒュー）</x:v>
      </x:c>
      <x:c r="H302" t="str">
        <x:v>#08BBCF</x:v>
      </x:c>
      <x:c r="I302" t="str">
        <x:v>#000000</x:v>
      </x:c>
      <x:c r="J302" t="str">
        <x:v>https://www.carandache.com/content_files/uploaded_doc/product/11426/Colour_Chart_Supracolor-BD3.pdf</x:v>
      </x:c>
    </x:row>
    <x:row r="303">
      <x:c r="A303" t="str">
        <x:v>SUP</x:v>
      </x:c>
      <x:c r="B303" t="str">
        <x:v>SUPRACOLOR Soft Aquarelle</x:v>
      </x:c>
      <x:c r="C303" t="n">
        <x:v>82</x:v>
      </x:c>
      <x:c r="D303" t="str">
        <x:v>170</x:v>
      </x:c>
      <x:c r="E303" t="str">
        <x:v>Azurite blue</x:v>
      </x:c>
      <x:c r="F303" t="str">
        <x:v>藍銅礦藍</x:v>
      </x:c>
      <x:c r="G303" t="str">
        <x:v>アズライトブルー</x:v>
      </x:c>
      <x:c r="H303" t="str">
        <x:v>#2CBDBA</x:v>
      </x:c>
      <x:c r="I303" t="str">
        <x:v>#000000</x:v>
      </x:c>
      <x:c r="J303" t="str">
        <x:v>https://www.carandache.com/content_files/uploaded_doc/product/11426/Colour_Chart_Supracolor-BD3.pdf</x:v>
      </x:c>
    </x:row>
    <x:row r="304">
      <x:c r="A304" t="str">
        <x:v>SUP</x:v>
      </x:c>
      <x:c r="B304" t="str">
        <x:v>SUPRACOLOR Soft Aquarelle</x:v>
      </x:c>
      <x:c r="C304" t="n">
        <x:v>83</x:v>
      </x:c>
      <x:c r="D304" t="str">
        <x:v>180</x:v>
      </x:c>
      <x:c r="E304" t="str">
        <x:v>Malachite green</x:v>
      </x:c>
      <x:c r="F304" t="str">
        <x:v>孔雀石綠</x:v>
      </x:c>
      <x:c r="G304" t="str">
        <x:v>マラカイトグリーン</x:v>
      </x:c>
      <x:c r="H304" t="str">
        <x:v>#05AEB3</x:v>
      </x:c>
      <x:c r="I304" t="str">
        <x:v>#000000</x:v>
      </x:c>
      <x:c r="J304" t="str">
        <x:v>https://www.carandache.com/content_files/uploaded_doc/product/11426/Colour_Chart_Supracolor-BD3.pdf</x:v>
      </x:c>
    </x:row>
    <x:row r="305">
      <x:c r="A305" t="str">
        <x:v>SUP</x:v>
      </x:c>
      <x:c r="B305" t="str">
        <x:v>SUPRACOLOR Soft Aquarelle</x:v>
      </x:c>
      <x:c r="C305" t="n">
        <x:v>84</x:v>
      </x:c>
      <x:c r="D305" t="str">
        <x:v>190</x:v>
      </x:c>
      <x:c r="E305" t="str">
        <x:v>Greenish blue</x:v>
      </x:c>
      <x:c r="F305" t="str">
        <x:v>綠藍色</x:v>
      </x:c>
      <x:c r="G305" t="str">
        <x:v>グリーニッシュブルー</x:v>
      </x:c>
      <x:c r="H305" t="str">
        <x:v>#28BBAA</x:v>
      </x:c>
      <x:c r="I305" t="str">
        <x:v>#000000</x:v>
      </x:c>
      <x:c r="J305" t="str">
        <x:v>https://www.carandache.com/content_files/uploaded_doc/product/11426/Colour_Chart_Supracolor-BD3.pdf</x:v>
      </x:c>
    </x:row>
    <x:row r="306">
      <x:c r="A306" t="str">
        <x:v>SUP</x:v>
      </x:c>
      <x:c r="B306" t="str">
        <x:v>SUPRACOLOR Soft Aquarelle</x:v>
      </x:c>
      <x:c r="C306" t="n">
        <x:v>85</x:v>
      </x:c>
      <x:c r="D306" t="str">
        <x:v>195</x:v>
      </x:c>
      <x:c r="E306" t="str">
        <x:v>Opaline green</x:v>
      </x:c>
      <x:c r="F306" t="str">
        <x:v>乳白綠</x:v>
      </x:c>
      <x:c r="G306" t="str">
        <x:v>オパリングリーン</x:v>
      </x:c>
      <x:c r="H306" t="str">
        <x:v>#6CC7BD</x:v>
      </x:c>
      <x:c r="I306" t="str">
        <x:v>#000000</x:v>
      </x:c>
      <x:c r="J306" t="str">
        <x:v>https://www.carandache.com/content_files/uploaded_doc/product/11426/Colour_Chart_Supracolor-BD3.pdf</x:v>
      </x:c>
    </x:row>
    <x:row r="307">
      <x:c r="A307" t="str">
        <x:v>SUP</x:v>
      </x:c>
      <x:c r="B307" t="str">
        <x:v>SUPRACOLOR Soft Aquarelle</x:v>
      </x:c>
      <x:c r="C307" t="n">
        <x:v>86</x:v>
      </x:c>
      <x:c r="D307" t="str">
        <x:v>211</x:v>
      </x:c>
      <x:c r="E307" t="str">
        <x:v>Jade green</x:v>
      </x:c>
      <x:c r="F307" t="str">
        <x:v>玉綠色</x:v>
      </x:c>
      <x:c r="G307" t="str">
        <x:v>ジェードグリーン</x:v>
      </x:c>
      <x:c r="H307" t="str">
        <x:v>#B3DCC6</x:v>
      </x:c>
      <x:c r="I307" t="str">
        <x:v>#000000</x:v>
      </x:c>
      <x:c r="J307" t="str">
        <x:v>https://www.carandache.com/content_files/uploaded_doc/product/11426/Colour_Chart_Supracolor-BD3.pdf</x:v>
      </x:c>
    </x:row>
    <x:row r="308">
      <x:c r="A308" t="str">
        <x:v>SUP</x:v>
      </x:c>
      <x:c r="B308" t="str">
        <x:v>SUPRACOLOR Soft Aquarelle</x:v>
      </x:c>
      <x:c r="C308" t="n">
        <x:v>87</x:v>
      </x:c>
      <x:c r="D308" t="str">
        <x:v>215</x:v>
      </x:c>
      <x:c r="E308" t="str">
        <x:v>Greyish green</x:v>
      </x:c>
      <x:c r="F308" t="str">
        <x:v>灰綠色</x:v>
      </x:c>
      <x:c r="G308" t="str">
        <x:v>グレイッシュグリーン</x:v>
      </x:c>
      <x:c r="H308" t="str">
        <x:v>#93CCA5</x:v>
      </x:c>
      <x:c r="I308" t="str">
        <x:v>#000000</x:v>
      </x:c>
      <x:c r="J308" t="str">
        <x:v>https://www.carandache.com/content_files/uploaded_doc/product/11426/Colour_Chart_Supracolor-BD3.pdf</x:v>
      </x:c>
    </x:row>
    <x:row r="309">
      <x:c r="A309" t="str">
        <x:v>SUP</x:v>
      </x:c>
      <x:c r="B309" t="str">
        <x:v>SUPRACOLOR Soft Aquarelle</x:v>
      </x:c>
      <x:c r="C309" t="n">
        <x:v>88</x:v>
      </x:c>
      <x:c r="D309" t="str">
        <x:v>201</x:v>
      </x:c>
      <x:c r="E309" t="str">
        <x:v>Veronese green</x:v>
      </x:c>
      <x:c r="F309" t="str">
        <x:v>維羅內塞綠</x:v>
      </x:c>
      <x:c r="G309" t="str">
        <x:v>ベロネーゼグリーン</x:v>
      </x:c>
      <x:c r="H309" t="str">
        <x:v>#ABD9BA</x:v>
      </x:c>
      <x:c r="I309" t="str">
        <x:v>#000000</x:v>
      </x:c>
      <x:c r="J309" t="str">
        <x:v>https://www.carandache.com/content_files/uploaded_doc/product/11426/Colour_Chart_Supracolor-BD3.pdf</x:v>
      </x:c>
    </x:row>
    <x:row r="310">
      <x:c r="A310" t="str">
        <x:v>SUP</x:v>
      </x:c>
      <x:c r="B310" t="str">
        <x:v>SUPRACOLOR Soft Aquarelle</x:v>
      </x:c>
      <x:c r="C310" t="n">
        <x:v>89</x:v>
      </x:c>
      <x:c r="D310" t="str">
        <x:v>460</x:v>
      </x:c>
      <x:c r="E310" t="str">
        <x:v>Peacock green</x:v>
      </x:c>
      <x:c r="F310" t="str">
        <x:v>孔雀綠</x:v>
      </x:c>
      <x:c r="G310" t="str">
        <x:v>ピーコックグリーン</x:v>
      </x:c>
      <x:c r="H310" t="str">
        <x:v>#9AD2B0</x:v>
      </x:c>
      <x:c r="I310" t="str">
        <x:v>#000000</x:v>
      </x:c>
      <x:c r="J310" t="str">
        <x:v>https://www.carandache.com/content_files/uploaded_doc/product/11426/Colour_Chart_Supracolor-BD3.pdf</x:v>
      </x:c>
    </x:row>
    <x:row r="311">
      <x:c r="A311" t="str">
        <x:v>SUP</x:v>
      </x:c>
      <x:c r="B311" t="str">
        <x:v>SUPRACOLOR Soft Aquarelle</x:v>
      </x:c>
      <x:c r="C311" t="n">
        <x:v>90</x:v>
      </x:c>
      <x:c r="D311" t="str">
        <x:v>290</x:v>
      </x:c>
      <x:c r="E311" t="str">
        <x:v>Empire green</x:v>
      </x:c>
      <x:c r="F311" t="str">
        <x:v>帝國綠</x:v>
      </x:c>
      <x:c r="G311" t="str">
        <x:v>エンパイアグリーン</x:v>
      </x:c>
      <x:c r="H311" t="str">
        <x:v>#A8D6AB</x:v>
      </x:c>
      <x:c r="I311" t="str">
        <x:v>#000000</x:v>
      </x:c>
      <x:c r="J311" t="str">
        <x:v>https://www.carandache.com/content_files/uploaded_doc/product/11426/Colour_Chart_Supracolor-BD3.pdf</x:v>
      </x:c>
    </x:row>
    <x:row r="312">
      <x:c r="A312" t="str">
        <x:v>SUP</x:v>
      </x:c>
      <x:c r="B312" t="str">
        <x:v>SUPRACOLOR Soft Aquarelle</x:v>
      </x:c>
      <x:c r="C312" t="n">
        <x:v>91</x:v>
      </x:c>
      <x:c r="D312" t="str">
        <x:v>200</x:v>
      </x:c>
      <x:c r="E312" t="str">
        <x:v>Bluish green</x:v>
      </x:c>
      <x:c r="F312" t="str">
        <x:v>藍綠色</x:v>
      </x:c>
      <x:c r="G312" t="str">
        <x:v>ブルーイッシュグリーン</x:v>
      </x:c>
      <x:c r="H312" t="str">
        <x:v>#6CC49A</x:v>
      </x:c>
      <x:c r="I312" t="str">
        <x:v>#000000</x:v>
      </x:c>
      <x:c r="J312" t="str">
        <x:v>https://www.carandache.com/content_files/uploaded_doc/product/11426/Colour_Chart_Supracolor-BD3.pdf</x:v>
      </x:c>
    </x:row>
    <x:row r="313">
      <x:c r="A313" t="str">
        <x:v>SUP</x:v>
      </x:c>
      <x:c r="B313" t="str">
        <x:v>SUPRACOLOR Soft Aquarelle</x:v>
      </x:c>
      <x:c r="C313" t="n">
        <x:v>92</x:v>
      </x:c>
      <x:c r="D313" t="str">
        <x:v>229</x:v>
      </x:c>
      <x:c r="E313" t="str">
        <x:v>Dark green</x:v>
      </x:c>
      <x:c r="F313" t="str">
        <x:v>深綠色</x:v>
      </x:c>
      <x:c r="G313" t="str">
        <x:v>ダークグリーン</x:v>
      </x:c>
      <x:c r="H313" t="str">
        <x:v>#79CAAA</x:v>
      </x:c>
      <x:c r="I313" t="str">
        <x:v>#000000</x:v>
      </x:c>
      <x:c r="J313" t="str">
        <x:v>https://www.carandache.com/content_files/uploaded_doc/product/11426/Colour_Chart_Supracolor-BD3.pdf</x:v>
      </x:c>
    </x:row>
    <x:row r="314">
      <x:c r="A314" t="str">
        <x:v>SUP</x:v>
      </x:c>
      <x:c r="B314" t="str">
        <x:v>SUPRACOLOR Soft Aquarelle</x:v>
      </x:c>
      <x:c r="C314" t="n">
        <x:v>93</x:v>
      </x:c>
      <x:c r="D314" t="str">
        <x:v>239</x:v>
      </x:c>
      <x:c r="E314" t="str">
        <x:v>Spruce green</x:v>
      </x:c>
      <x:c r="F314" t="str">
        <x:v>雲杉綠</x:v>
      </x:c>
      <x:c r="G314" t="str">
        <x:v>スプルースグリーン</x:v>
      </x:c>
      <x:c r="H314" t="str">
        <x:v>#A9D3A4</x:v>
      </x:c>
      <x:c r="I314" t="str">
        <x:v>#000000</x:v>
      </x:c>
      <x:c r="J314" t="str">
        <x:v>https://www.carandache.com/content_files/uploaded_doc/product/11426/Colour_Chart_Supracolor-BD3.pdf</x:v>
      </x:c>
    </x:row>
    <x:row r="315">
      <x:c r="A315" t="str">
        <x:v>SUP</x:v>
      </x:c>
      <x:c r="B315" t="str">
        <x:v>SUPRACOLOR Soft Aquarelle</x:v>
      </x:c>
      <x:c r="C315" t="n">
        <x:v>94</x:v>
      </x:c>
      <x:c r="D315" t="str">
        <x:v>210</x:v>
      </x:c>
      <x:c r="E315" t="str">
        <x:v>Emerald green</x:v>
      </x:c>
      <x:c r="F315" t="str">
        <x:v>祖母綠</x:v>
      </x:c>
      <x:c r="G315" t="str">
        <x:v>エメラルドグリーン</x:v>
      </x:c>
      <x:c r="H315" t="str">
        <x:v>#B4DBB1</x:v>
      </x:c>
      <x:c r="I315" t="str">
        <x:v>#000000</x:v>
      </x:c>
      <x:c r="J315" t="str">
        <x:v>https://www.carandache.com/content_files/uploaded_doc/product/11426/Colour_Chart_Supracolor-BD3.pdf</x:v>
      </x:c>
    </x:row>
    <x:row r="316">
      <x:c r="A316" t="str">
        <x:v>SUP</x:v>
      </x:c>
      <x:c r="B316" t="str">
        <x:v>SUPRACOLOR Soft Aquarelle</x:v>
      </x:c>
      <x:c r="C316" t="n">
        <x:v>95</x:v>
      </x:c>
      <x:c r="D316" t="str">
        <x:v>220</x:v>
      </x:c>
      <x:c r="E316" t="str">
        <x:v>Grass green</x:v>
      </x:c>
      <x:c r="F316" t="str">
        <x:v>草綠色</x:v>
      </x:c>
      <x:c r="G316" t="str">
        <x:v>グラスグリーン</x:v>
      </x:c>
      <x:c r="H316" t="str">
        <x:v>#A2D396</x:v>
      </x:c>
      <x:c r="I316" t="str">
        <x:v>#000000</x:v>
      </x:c>
      <x:c r="J316" t="str">
        <x:v>https://www.carandache.com/content_files/uploaded_doc/product/11426/Colour_Chart_Supracolor-BD3.pdf</x:v>
      </x:c>
    </x:row>
    <x:row r="317">
      <x:c r="A317" t="str">
        <x:v>SUP</x:v>
      </x:c>
      <x:c r="B317" t="str">
        <x:v>SUPRACOLOR Soft Aquarelle</x:v>
      </x:c>
      <x:c r="C317" t="n">
        <x:v>96</x:v>
      </x:c>
      <x:c r="D317" t="str">
        <x:v>230</x:v>
      </x:c>
      <x:c r="E317" t="str">
        <x:v>Yellow green</x:v>
      </x:c>
      <x:c r="F317" t="str">
        <x:v>黃綠色</x:v>
      </x:c>
      <x:c r="G317" t="str">
        <x:v>イエローグリーン</x:v>
      </x:c>
      <x:c r="H317" t="str">
        <x:v>#CBE08F</x:v>
      </x:c>
      <x:c r="I317" t="str">
        <x:v>#000000</x:v>
      </x:c>
      <x:c r="J317" t="str">
        <x:v>https://www.carandache.com/content_files/uploaded_doc/product/11426/Colour_Chart_Supracolor-BD3.pdf</x:v>
      </x:c>
    </x:row>
    <x:row r="318">
      <x:c r="A318" t="str">
        <x:v>SUP</x:v>
      </x:c>
      <x:c r="B318" t="str">
        <x:v>SUPRACOLOR Soft Aquarelle</x:v>
      </x:c>
      <x:c r="C318" t="n">
        <x:v>97</x:v>
      </x:c>
      <x:c r="D318" t="str">
        <x:v>470</x:v>
      </x:c>
      <x:c r="E318" t="str">
        <x:v>Spring green</x:v>
      </x:c>
      <x:c r="F318" t="str">
        <x:v>春綠色</x:v>
      </x:c>
      <x:c r="G318" t="str">
        <x:v>スプリンググリーン</x:v>
      </x:c>
      <x:c r="H318" t="str">
        <x:v>#F0EE9A</x:v>
      </x:c>
      <x:c r="I318" t="str">
        <x:v>#000000</x:v>
      </x:c>
      <x:c r="J318" t="str">
        <x:v>https://www.carandache.com/content_files/uploaded_doc/product/11426/Colour_Chart_Supracolor-BD3.pdf</x:v>
      </x:c>
    </x:row>
    <x:row r="319">
      <x:c r="A319" t="str">
        <x:v>SUP</x:v>
      </x:c>
      <x:c r="B319" t="str">
        <x:v>SUPRACOLOR Soft Aquarelle</x:v>
      </x:c>
      <x:c r="C319" t="n">
        <x:v>98</x:v>
      </x:c>
      <x:c r="D319" t="str">
        <x:v>231</x:v>
      </x:c>
      <x:c r="E319" t="str">
        <x:v>Lime green</x:v>
      </x:c>
      <x:c r="F319" t="str">
        <x:v>萊姆綠</x:v>
      </x:c>
      <x:c r="G319" t="str">
        <x:v>ライムグリーン</x:v>
      </x:c>
      <x:c r="H319" t="str">
        <x:v>#F1F2BA</x:v>
      </x:c>
      <x:c r="I319" t="str">
        <x:v>#000000</x:v>
      </x:c>
      <x:c r="J319" t="str">
        <x:v>https://www.carandache.com/content_files/uploaded_doc/product/11426/Colour_Chart_Supracolor-BD3.pdf</x:v>
      </x:c>
    </x:row>
    <x:row r="320">
      <x:c r="A320" t="str">
        <x:v>SUP</x:v>
      </x:c>
      <x:c r="B320" t="str">
        <x:v>SUPRACOLOR Soft Aquarelle</x:v>
      </x:c>
      <x:c r="C320" t="n">
        <x:v>99</x:v>
      </x:c>
      <x:c r="D320" t="str">
        <x:v>221</x:v>
      </x:c>
      <x:c r="E320" t="str">
        <x:v>Light green</x:v>
      </x:c>
      <x:c r="F320" t="str">
        <x:v>淺綠色</x:v>
      </x:c>
      <x:c r="G320" t="str">
        <x:v>ライトグリーン</x:v>
      </x:c>
      <x:c r="H320" t="str">
        <x:v>#D5E49D</x:v>
      </x:c>
      <x:c r="I320" t="str">
        <x:v>#000000</x:v>
      </x:c>
      <x:c r="J320" t="str">
        <x:v>https://www.carandache.com/content_files/uploaded_doc/product/11426/Colour_Chart_Supracolor-BD3.pdf</x:v>
      </x:c>
    </x:row>
    <x:row r="321">
      <x:c r="A321" t="str">
        <x:v>SUP</x:v>
      </x:c>
      <x:c r="B321" t="str">
        <x:v>SUPRACOLOR Soft Aquarelle</x:v>
      </x:c>
      <x:c r="C321" t="n">
        <x:v>100</x:v>
      </x:c>
      <x:c r="D321" t="str">
        <x:v>241</x:v>
      </x:c>
      <x:c r="E321" t="str">
        <x:v>Light lemon yellow</x:v>
      </x:c>
      <x:c r="F321" t="str">
        <x:v>淺檸檬黃</x:v>
      </x:c>
      <x:c r="G321" t="str">
        <x:v>ライトレモンイエロー</x:v>
      </x:c>
      <x:c r="H321" t="str">
        <x:v>#FAF5C6</x:v>
      </x:c>
      <x:c r="I321" t="str">
        <x:v>#000000</x:v>
      </x:c>
      <x:c r="J321" t="str">
        <x:v>https://www.carandache.com/content_files/uploaded_doc/product/11426/Colour_Chart_Supracolor-BD3.pdf</x:v>
      </x:c>
    </x:row>
    <x:row r="322">
      <x:c r="A322" t="str">
        <x:v>SUP</x:v>
      </x:c>
      <x:c r="B322" t="str">
        <x:v>SUPRACOLOR Soft Aquarelle</x:v>
      </x:c>
      <x:c r="C322" t="n">
        <x:v>101</x:v>
      </x:c>
      <x:c r="D322" t="str">
        <x:v>015</x:v>
      </x:c>
      <x:c r="E322" t="str">
        <x:v>Olive yellow</x:v>
      </x:c>
      <x:c r="F322" t="str">
        <x:v>橄欖黃</x:v>
      </x:c>
      <x:c r="G322" t="str">
        <x:v>オリーブイエロー</x:v>
      </x:c>
      <x:c r="H322" t="str">
        <x:v>#E9EA89</x:v>
      </x:c>
      <x:c r="I322" t="str">
        <x:v>#000000</x:v>
      </x:c>
      <x:c r="J322" t="str">
        <x:v>https://www.carandache.com/content_files/uploaded_doc/product/11426/Colour_Chart_Supracolor-BD3.pdf</x:v>
      </x:c>
    </x:row>
    <x:row r="323">
      <x:c r="A323" t="str">
        <x:v>SUP</x:v>
      </x:c>
      <x:c r="B323" t="str">
        <x:v>SUPRACOLOR Soft Aquarelle</x:v>
      </x:c>
      <x:c r="C323" t="n">
        <x:v>102</x:v>
      </x:c>
      <x:c r="D323" t="str">
        <x:v>016</x:v>
      </x:c>
      <x:c r="E323" t="str">
        <x:v>Khaki green</x:v>
      </x:c>
      <x:c r="F323" t="str">
        <x:v>卡其綠</x:v>
      </x:c>
      <x:c r="G323" t="str">
        <x:v>カーキグリーン</x:v>
      </x:c>
      <x:c r="H323" t="str">
        <x:v>#EDE889</x:v>
      </x:c>
      <x:c r="I323" t="str">
        <x:v>#000000</x:v>
      </x:c>
      <x:c r="J323" t="str">
        <x:v>https://www.carandache.com/content_files/uploaded_doc/product/11426/Colour_Chart_Supracolor-BD3.pdf</x:v>
      </x:c>
    </x:row>
    <x:row r="324">
      <x:c r="A324" t="str">
        <x:v>SUP</x:v>
      </x:c>
      <x:c r="B324" t="str">
        <x:v>SUPRACOLOR Soft Aquarelle</x:v>
      </x:c>
      <x:c r="C324" t="n">
        <x:v>103</x:v>
      </x:c>
      <x:c r="D324" t="str">
        <x:v>245</x:v>
      </x:c>
      <x:c r="E324" t="str">
        <x:v>Light olive</x:v>
      </x:c>
      <x:c r="F324" t="str">
        <x:v>淺橄欖色</x:v>
      </x:c>
      <x:c r="G324" t="str">
        <x:v>ライトオリーブ</x:v>
      </x:c>
      <x:c r="H324" t="str">
        <x:v>#EEED95</x:v>
      </x:c>
      <x:c r="I324" t="str">
        <x:v>#000000</x:v>
      </x:c>
      <x:c r="J324" t="str">
        <x:v>https://www.carandache.com/content_files/uploaded_doc/product/11426/Colour_Chart_Supracolor-BD3.pdf</x:v>
      </x:c>
    </x:row>
    <x:row r="325">
      <x:c r="A325" t="str">
        <x:v>SUP</x:v>
      </x:c>
      <x:c r="B325" t="str">
        <x:v>SUPRACOLOR Soft Aquarelle</x:v>
      </x:c>
      <x:c r="C325" t="n">
        <x:v>104</x:v>
      </x:c>
      <x:c r="D325" t="str">
        <x:v>225</x:v>
      </x:c>
      <x:c r="E325" t="str">
        <x:v>Moss green</x:v>
      </x:c>
      <x:c r="F325" t="str">
        <x:v>苔綠色</x:v>
      </x:c>
      <x:c r="G325" t="str">
        <x:v>モスグリーン</x:v>
      </x:c>
      <x:c r="H325" t="str">
        <x:v>#CBDB94</x:v>
      </x:c>
      <x:c r="I325" t="str">
        <x:v>#000000</x:v>
      </x:c>
      <x:c r="J325" t="str">
        <x:v>https://www.carandache.com/content_files/uploaded_doc/product/11426/Colour_Chart_Supracolor-BD3.pdf</x:v>
      </x:c>
    </x:row>
    <x:row r="326">
      <x:c r="A326" t="str">
        <x:v>SUP</x:v>
      </x:c>
      <x:c r="B326" t="str">
        <x:v>SUPRACOLOR Soft Aquarelle</x:v>
      </x:c>
      <x:c r="C326" t="n">
        <x:v>105</x:v>
      </x:c>
      <x:c r="D326" t="str">
        <x:v>018</x:v>
      </x:c>
      <x:c r="E326" t="str">
        <x:v>Olive grey</x:v>
      </x:c>
      <x:c r="F326" t="str">
        <x:v>橄欖灰</x:v>
      </x:c>
      <x:c r="G326" t="str">
        <x:v>オリーブグレー</x:v>
      </x:c>
      <x:c r="H326" t="str">
        <x:v>#D4CC81</x:v>
      </x:c>
      <x:c r="I326" t="str">
        <x:v>#000000</x:v>
      </x:c>
      <x:c r="J326" t="str">
        <x:v>https://www.carandache.com/content_files/uploaded_doc/product/11426/Colour_Chart_Supracolor-BD3.pdf</x:v>
      </x:c>
    </x:row>
    <x:row r="327">
      <x:c r="A327" t="str">
        <x:v>SUP</x:v>
      </x:c>
      <x:c r="B327" t="str">
        <x:v>SUPRACOLOR Soft Aquarelle</x:v>
      </x:c>
      <x:c r="C327" t="n">
        <x:v>106</x:v>
      </x:c>
      <x:c r="D327" t="str">
        <x:v>249</x:v>
      </x:c>
      <x:c r="E327" t="str">
        <x:v>Olive</x:v>
      </x:c>
      <x:c r="F327" t="str">
        <x:v>深橄欖色</x:v>
      </x:c>
      <x:c r="G327" t="str">
        <x:v>ダークオリーブ</x:v>
      </x:c>
      <x:c r="H327" t="str">
        <x:v>#DFD992</x:v>
      </x:c>
      <x:c r="I327" t="str">
        <x:v>#000000</x:v>
      </x:c>
      <x:c r="J327" t="str">
        <x:v>https://www.carandache.com/content_files/uploaded_doc/product/11426/Colour_Chart_Supracolor-BD3.pdf</x:v>
      </x:c>
    </x:row>
    <x:row r="328">
      <x:c r="A328" t="str">
        <x:v>SUP</x:v>
      </x:c>
      <x:c r="B328" t="str">
        <x:v>SUPRACOLOR Soft Aquarelle</x:v>
      </x:c>
      <x:c r="C328" t="n">
        <x:v>107</x:v>
      </x:c>
      <x:c r="D328" t="str">
        <x:v>039</x:v>
      </x:c>
      <x:c r="E328" t="str">
        <x:v>Olive brown</x:v>
      </x:c>
      <x:c r="F328" t="str">
        <x:v>橄欖棕</x:v>
      </x:c>
      <x:c r="G328" t="str">
        <x:v>オリーブブラウン</x:v>
      </x:c>
      <x:c r="H328" t="str">
        <x:v>#EAB967</x:v>
      </x:c>
      <x:c r="I328" t="str">
        <x:v>#000000</x:v>
      </x:c>
      <x:c r="J328" t="str">
        <x:v>https://www.carandache.com/content_files/uploaded_doc/product/11426/Colour_Chart_Supracolor-BD3.pdf</x:v>
      </x:c>
    </x:row>
    <x:row r="329">
      <x:c r="A329" t="str">
        <x:v>SUP</x:v>
      </x:c>
      <x:c r="B329" t="str">
        <x:v>SUPRACOLOR Soft Aquarelle</x:v>
      </x:c>
      <x:c r="C329" t="n">
        <x:v>108</x:v>
      </x:c>
      <x:c r="D329" t="str">
        <x:v>019</x:v>
      </x:c>
      <x:c r="E329" t="str">
        <x:v>Olive black</x:v>
      </x:c>
      <x:c r="F329" t="str">
        <x:v>橄欖黑</x:v>
      </x:c>
      <x:c r="G329" t="str">
        <x:v>オリーブブラック</x:v>
      </x:c>
      <x:c r="H329" t="str">
        <x:v>#B6B06E</x:v>
      </x:c>
      <x:c r="I329" t="str">
        <x:v>#000000</x:v>
      </x:c>
      <x:c r="J329" t="str">
        <x:v>https://www.carandache.com/content_files/uploaded_doc/product/11426/Colour_Chart_Supracolor-BD3.pdf</x:v>
      </x:c>
    </x:row>
    <x:row r="330">
      <x:c r="A330" t="str">
        <x:v>SUP</x:v>
      </x:c>
      <x:c r="B330" t="str">
        <x:v>SUPRACOLOR Soft Aquarelle</x:v>
      </x:c>
      <x:c r="C330" t="n">
        <x:v>109</x:v>
      </x:c>
      <x:c r="D330" t="str">
        <x:v>049</x:v>
      </x:c>
      <x:c r="E330" t="str">
        <x:v>Umber</x:v>
      </x:c>
      <x:c r="F330" t="str">
        <x:v>褐土色</x:v>
      </x:c>
      <x:c r="G330" t="str">
        <x:v>アンバー</x:v>
      </x:c>
      <x:c r="H330" t="str">
        <x:v>#856349</x:v>
      </x:c>
      <x:c r="I330" t="str">
        <x:v>#FFFFFF</x:v>
      </x:c>
      <x:c r="J330" t="str">
        <x:v>https://www.carandache.com/content_files/uploaded_doc/product/11426/Colour_Chart_Supracolor-BD3.pdf</x:v>
      </x:c>
    </x:row>
    <x:row r="331">
      <x:c r="A331" t="str">
        <x:v>SUP</x:v>
      </x:c>
      <x:c r="B331" t="str">
        <x:v>SUPRACOLOR Soft Aquarelle</x:v>
      </x:c>
      <x:c r="C331" t="n">
        <x:v>110</x:v>
      </x:c>
      <x:c r="D331" t="str">
        <x:v>045</x:v>
      </x:c>
      <x:c r="E331" t="str">
        <x:v>Vandycke brown</x:v>
      </x:c>
      <x:c r="F331" t="str">
        <x:v>凡戴克棕</x:v>
      </x:c>
      <x:c r="G331" t="str">
        <x:v>ヴァンダイクブラウン</x:v>
      </x:c>
      <x:c r="H331" t="str">
        <x:v>#A77A64</x:v>
      </x:c>
      <x:c r="I331" t="str">
        <x:v>#000000</x:v>
      </x:c>
      <x:c r="J331" t="str">
        <x:v>https://www.carandache.com/content_files/uploaded_doc/product/11426/Colour_Chart_Supracolor-BD3.pdf</x:v>
      </x:c>
    </x:row>
    <x:row r="332">
      <x:c r="A332" t="str">
        <x:v>SUP</x:v>
      </x:c>
      <x:c r="B332" t="str">
        <x:v>SUPRACOLOR Soft Aquarelle</x:v>
      </x:c>
      <x:c r="C332" t="n">
        <x:v>111</x:v>
      </x:c>
      <x:c r="D332" t="str">
        <x:v>404</x:v>
      </x:c>
      <x:c r="E332" t="str">
        <x:v>Brownish beige</x:v>
      </x:c>
      <x:c r="F332" t="str">
        <x:v>褐米色</x:v>
      </x:c>
      <x:c r="G332" t="str">
        <x:v>ブラウニッシュベージュ</x:v>
      </x:c>
      <x:c r="H332" t="str">
        <x:v>#E0C3A8</x:v>
      </x:c>
      <x:c r="I332" t="str">
        <x:v>#000000</x:v>
      </x:c>
      <x:c r="J332" t="str">
        <x:v>https://www.carandache.com/content_files/uploaded_doc/product/11426/Colour_Chart_Supracolor-BD3.pdf</x:v>
      </x:c>
    </x:row>
    <x:row r="333">
      <x:c r="A333" t="str">
        <x:v>SUP</x:v>
      </x:c>
      <x:c r="B333" t="str">
        <x:v>SUPRACOLOR Soft Aquarelle</x:v>
      </x:c>
      <x:c r="C333" t="n">
        <x:v>112</x:v>
      </x:c>
      <x:c r="D333" t="str">
        <x:v>403</x:v>
      </x:c>
      <x:c r="E333" t="str">
        <x:v>Beige</x:v>
      </x:c>
      <x:c r="F333" t="str">
        <x:v>米色</x:v>
      </x:c>
      <x:c r="G333" t="str">
        <x:v>ベージュ</x:v>
      </x:c>
      <x:c r="H333" t="str">
        <x:v>#EED9C3</x:v>
      </x:c>
      <x:c r="I333" t="str">
        <x:v>#000000</x:v>
      </x:c>
      <x:c r="J333" t="str">
        <x:v>https://www.carandache.com/content_files/uploaded_doc/product/11426/Colour_Chart_Supracolor-BD3.pdf</x:v>
      </x:c>
    </x:row>
    <x:row r="334">
      <x:c r="A334" t="str">
        <x:v>SUP</x:v>
      </x:c>
      <x:c r="B334" t="str">
        <x:v>SUPRACOLOR Soft Aquarelle</x:v>
      </x:c>
      <x:c r="C334" t="n">
        <x:v>113</x:v>
      </x:c>
      <x:c r="D334" t="str">
        <x:v>401</x:v>
      </x:c>
      <x:c r="E334" t="str">
        <x:v>Ash grey</x:v>
      </x:c>
      <x:c r="F334" t="str">
        <x:v>灰燼灰</x:v>
      </x:c>
      <x:c r="G334" t="str">
        <x:v>アッシュグレー</x:v>
      </x:c>
      <x:c r="H334" t="str">
        <x:v>#FFEEDD</x:v>
      </x:c>
      <x:c r="I334" t="str">
        <x:v>#000000</x:v>
      </x:c>
      <x:c r="J334" t="str">
        <x:v>https://www.carandache.com/content_files/uploaded_doc/product/11426/Colour_Chart_Supracolor-BD3.pdf</x:v>
      </x:c>
    </x:row>
    <x:row r="335">
      <x:c r="A335" t="str">
        <x:v>SUP</x:v>
      </x:c>
      <x:c r="B335" t="str">
        <x:v>SUPRACOLOR Soft Aquarelle</x:v>
      </x:c>
      <x:c r="C335" t="n">
        <x:v>114</x:v>
      </x:c>
      <x:c r="D335" t="str">
        <x:v>402</x:v>
      </x:c>
      <x:c r="E335" t="str">
        <x:v>Light beige</x:v>
      </x:c>
      <x:c r="F335" t="str">
        <x:v>淺米色</x:v>
      </x:c>
      <x:c r="G335" t="str">
        <x:v>ライトベージュ</x:v>
      </x:c>
      <x:c r="H335" t="str">
        <x:v>#F8E5D3</x:v>
      </x:c>
      <x:c r="I335" t="str">
        <x:v>#000000</x:v>
      </x:c>
      <x:c r="J335" t="str">
        <x:v>https://www.carandache.com/content_files/uploaded_doc/product/11426/Colour_Chart_Supracolor-BD3.pdf</x:v>
      </x:c>
    </x:row>
    <x:row r="336">
      <x:c r="A336" t="str">
        <x:v>SUP</x:v>
      </x:c>
      <x:c r="B336" t="str">
        <x:v>SUPRACOLOR Soft Aquarelle</x:v>
      </x:c>
      <x:c r="C336" t="n">
        <x:v>115</x:v>
      </x:c>
      <x:c r="D336" t="str">
        <x:v>025</x:v>
      </x:c>
      <x:c r="E336" t="str">
        <x:v>Green ochre</x:v>
      </x:c>
      <x:c r="F336" t="str">
        <x:v>綠赭色</x:v>
      </x:c>
      <x:c r="G336" t="str">
        <x:v>グリーンオーカー</x:v>
      </x:c>
      <x:c r="H336" t="str">
        <x:v>#FDD574</x:v>
      </x:c>
      <x:c r="I336" t="str">
        <x:v>#000000</x:v>
      </x:c>
      <x:c r="J336" t="str">
        <x:v>https://www.carandache.com/content_files/uploaded_doc/product/11426/Colour_Chart_Supracolor-BD3.pdf</x:v>
      </x:c>
    </x:row>
    <x:row r="337">
      <x:c r="A337" t="str">
        <x:v>SUP</x:v>
      </x:c>
      <x:c r="B337" t="str">
        <x:v>SUPRACOLOR Soft Aquarelle</x:v>
      </x:c>
      <x:c r="C337" t="n">
        <x:v>116</x:v>
      </x:c>
      <x:c r="D337" t="str">
        <x:v>499</x:v>
      </x:c>
      <x:c r="E337" t="str">
        <x:v>Gold</x:v>
      </x:c>
      <x:c r="F337" t="str">
        <x:v>金色</x:v>
      </x:c>
      <x:c r="G337" t="str">
        <x:v>ゴールド</x:v>
      </x:c>
      <x:c r="H337" t="str">
        <x:v>#DFCA83</x:v>
      </x:c>
      <x:c r="I337" t="str">
        <x:v>#000000</x:v>
      </x:c>
      <x:c r="J337" t="str">
        <x:v>https://www.carandache.com/content_files/uploaded_doc/product/11426/Colour_Chart_Supracolor-BD3.pdf</x:v>
      </x:c>
    </x:row>
    <x:row r="338">
      <x:c r="A338" t="str">
        <x:v>SUP</x:v>
      </x:c>
      <x:c r="B338" t="str">
        <x:v>SUPRACOLOR Soft Aquarelle</x:v>
      </x:c>
      <x:c r="C338" t="n">
        <x:v>117</x:v>
      </x:c>
      <x:c r="D338" t="str">
        <x:v>497</x:v>
      </x:c>
      <x:c r="E338" t="str">
        <x:v>Bronze</x:v>
      </x:c>
      <x:c r="F338" t="str">
        <x:v>青銅色</x:v>
      </x:c>
      <x:c r="G338" t="str">
        <x:v>ブロンズ</x:v>
      </x:c>
      <x:c r="H338" t="str">
        <x:v>#EFA07D</x:v>
      </x:c>
      <x:c r="I338" t="str">
        <x:v>#000000</x:v>
      </x:c>
      <x:c r="J338" t="str">
        <x:v>https://www.carandache.com/content_files/uploaded_doc/product/11426/Colour_Chart_Supracolor-BD3.pdf</x:v>
      </x:c>
    </x:row>
    <x:row r="339">
      <x:c r="A339" t="str">
        <x:v>SUP</x:v>
      </x:c>
      <x:c r="B339" t="str">
        <x:v>SUPRACOLOR Soft Aquarelle</x:v>
      </x:c>
      <x:c r="C339" t="n">
        <x:v>118</x:v>
      </x:c>
      <x:c r="D339" t="str">
        <x:v>498</x:v>
      </x:c>
      <x:c r="E339" t="str">
        <x:v>Silver</x:v>
      </x:c>
      <x:c r="F339" t="str">
        <x:v>銀色</x:v>
      </x:c>
      <x:c r="G339" t="str">
        <x:v>シルバー</x:v>
      </x:c>
      <x:c r="H339" t="str">
        <x:v>#E0D6CF</x:v>
      </x:c>
      <x:c r="I339" t="str">
        <x:v>#000000</x:v>
      </x:c>
      <x:c r="J339" t="str">
        <x:v>https://www.carandache.com/content_files/uploaded_doc/product/11426/Colour_Chart_Supracolor-BD3.pdf</x:v>
      </x:c>
    </x:row>
    <x:row r="340">
      <x:c r="A340" t="str">
        <x:v>SUP</x:v>
      </x:c>
      <x:c r="B340" t="str">
        <x:v>SUPRACOLOR Soft Aquarelle</x:v>
      </x:c>
      <x:c r="C340" t="n">
        <x:v>119</x:v>
      </x:c>
      <x:c r="D340" t="str">
        <x:v>001</x:v>
      </x:c>
      <x:c r="E340" t="str">
        <x:v>White</x:v>
      </x:c>
      <x:c r="F340" t="str">
        <x:v>白色</x:v>
      </x:c>
      <x:c r="G340" t="str">
        <x:v>ホワイト</x:v>
      </x:c>
      <x:c r="H340" t="str">
        <x:v>#FBF8F6</x:v>
      </x:c>
      <x:c r="I340" t="str">
        <x:v>#000000</x:v>
      </x:c>
      <x:c r="J340" t="str">
        <x:v>https://www.carandache.com/content_files/uploaded_doc/product/11426/Colour_Chart_Supracolor-BD3.pdf</x:v>
      </x:c>
    </x:row>
    <x:row r="341">
      <x:c r="A341" t="str">
        <x:v>SUP</x:v>
      </x:c>
      <x:c r="B341" t="str">
        <x:v>SUPRACOLOR Soft Aquarelle</x:v>
      </x:c>
      <x:c r="C341" t="n">
        <x:v>120</x:v>
      </x:c>
      <x:c r="D341" t="str">
        <x:v>009</x:v>
      </x:c>
      <x:c r="E341" t="str">
        <x:v>Black</x:v>
      </x:c>
      <x:c r="F341" t="str">
        <x:v>黑色</x:v>
      </x:c>
      <x:c r="G341" t="str">
        <x:v>ブラック</x:v>
      </x:c>
      <x:c r="H341" s="55" t="str">
        <x:v>#323333</x:v>
      </x:c>
      <x:c r="I341" t="str">
        <x:v>#FFFFFF</x:v>
      </x:c>
      <x:c r="J341" t="str">
        <x:v>https://www.carandache.com/content_files/uploaded_doc/product/11426/Colour_Chart_Supracolor-BD3.pdf</x:v>
      </x:c>
    </x:row>
    <x:row r="342">
      <x:c r="A342" t="str">
        <x:v>MUS</x:v>
      </x:c>
      <x:c r="B342" t="str">
        <x:v>MUSEUM Aquarelle</x:v>
      </x:c>
      <x:c r="C342" t="n">
        <x:v>1</x:v>
      </x:c>
      <x:c r="D342" t="str">
        <x:v>001</x:v>
      </x:c>
      <x:c r="E342" t="str">
        <x:v>White</x:v>
      </x:c>
      <x:c r="F342" t="str">
        <x:v>白色</x:v>
      </x:c>
      <x:c r="G342" t="str">
        <x:v>ホワイト</x:v>
      </x:c>
      <x:c r="H342" t="str">
        <x:v>#EAE5E2</x:v>
      </x:c>
      <x:c r="I342" t="str">
        <x:v>#000000</x:v>
      </x:c>
      <x:c r="J342" t="str">
        <x:v>https://www.carandache.com/content_files/uploaded_doc/product/10986/Colour_Chart_Museum.pdf</x:v>
      </x:c>
    </x:row>
    <x:row r="343">
      <x:c r="A343" t="str">
        <x:v>MUS</x:v>
      </x:c>
      <x:c r="B343" t="str">
        <x:v>MUSEUM Aquarelle</x:v>
      </x:c>
      <x:c r="C343" t="n">
        <x:v>2</x:v>
      </x:c>
      <x:c r="D343" t="str">
        <x:v>242</x:v>
      </x:c>
      <x:c r="E343" t="str">
        <x:v>Primerose</x:v>
      </x:c>
      <x:c r="F343" t="str">
        <x:v>報春花黃</x:v>
      </x:c>
      <x:c r="G343" t="str">
        <x:v>プライムローズ</x:v>
      </x:c>
      <x:c r="H343" t="str">
        <x:v>#F2EABA</x:v>
      </x:c>
      <x:c r="I343" t="str">
        <x:v>#000000</x:v>
      </x:c>
      <x:c r="J343" t="str">
        <x:v>https://www.carandache.com/content_files/uploaded_doc/product/10986/Colour_Chart_Museum.pdf</x:v>
      </x:c>
    </x:row>
    <x:row r="344">
      <x:c r="A344" t="str">
        <x:v>MUS</x:v>
      </x:c>
      <x:c r="B344" t="str">
        <x:v>MUSEUM Aquarelle</x:v>
      </x:c>
      <x:c r="C344" t="n">
        <x:v>3</x:v>
      </x:c>
      <x:c r="D344" t="str">
        <x:v>821</x:v>
      </x:c>
      <x:c r="E344" t="str">
        <x:v>Naples ochre</x:v>
      </x:c>
      <x:c r="F344" t="str">
        <x:v>那不勒斯赭黃</x:v>
      </x:c>
      <x:c r="G344" t="str">
        <x:v>ネイプルスオーカー</x:v>
      </x:c>
      <x:c r="H344" t="str">
        <x:v>#ECD4A5</x:v>
      </x:c>
      <x:c r="I344" t="str">
        <x:v>#000000</x:v>
      </x:c>
      <x:c r="J344" t="str">
        <x:v>https://www.carandache.com/content_files/uploaded_doc/product/10986/Colour_Chart_Museum.pdf</x:v>
      </x:c>
    </x:row>
    <x:row r="345">
      <x:c r="A345" t="str">
        <x:v>MUS</x:v>
      </x:c>
      <x:c r="B345" t="str">
        <x:v>MUSEUM Aquarelle</x:v>
      </x:c>
      <x:c r="C345" t="n">
        <x:v>4</x:v>
      </x:c>
      <x:c r="D345" t="str">
        <x:v>240</x:v>
      </x:c>
      <x:c r="E345" t="str">
        <x:v>Lemon Yellow</x:v>
      </x:c>
      <x:c r="F345" t="str">
        <x:v>檸檬黃</x:v>
      </x:c>
      <x:c r="G345" t="str">
        <x:v>レモン イエロー</x:v>
      </x:c>
      <x:c r="H345" t="str">
        <x:v>#F8EB5E</x:v>
      </x:c>
      <x:c r="I345" t="str">
        <x:v>#000000</x:v>
      </x:c>
      <x:c r="J345" t="str">
        <x:v>https://www.carandache.com/content_files/uploaded_doc/product/10986/Colour_Chart_Museum.pdf</x:v>
      </x:c>
    </x:row>
    <x:row r="346">
      <x:c r="A346" t="str">
        <x:v>MUS</x:v>
      </x:c>
      <x:c r="B346" t="str">
        <x:v>MUSEUM Aquarelle</x:v>
      </x:c>
      <x:c r="C346" t="n">
        <x:v>5</x:v>
      </x:c>
      <x:c r="D346" t="str">
        <x:v>010</x:v>
      </x:c>
      <x:c r="E346" t="str">
        <x:v>Yellow</x:v>
      </x:c>
      <x:c r="F346" t="str">
        <x:v>黃色</x:v>
      </x:c>
      <x:c r="G346" t="str">
        <x:v>イエロー</x:v>
      </x:c>
      <x:c r="H346" t="str">
        <x:v>#F2E76C</x:v>
      </x:c>
      <x:c r="I346" t="str">
        <x:v>#000000</x:v>
      </x:c>
      <x:c r="J346" t="str">
        <x:v>https://www.carandache.com/content_files/uploaded_doc/product/10986/Colour_Chart_Museum.pdf</x:v>
      </x:c>
    </x:row>
    <x:row r="347">
      <x:c r="A347" t="str">
        <x:v>MUS</x:v>
      </x:c>
      <x:c r="B347" t="str">
        <x:v>MUSEUM Aquarelle</x:v>
      </x:c>
      <x:c r="C347" t="n">
        <x:v>6</x:v>
      </x:c>
      <x:c r="D347" t="str">
        <x:v>020</x:v>
      </x:c>
      <x:c r="E347" t="str">
        <x:v>Golden yellow</x:v>
      </x:c>
      <x:c r="F347" t="str">
        <x:v>金黃色</x:v>
      </x:c>
      <x:c r="G347" t="str">
        <x:v>紙の</x:v>
      </x:c>
      <x:c r="H347" t="str">
        <x:v>#F8D259</x:v>
      </x:c>
      <x:c r="I347" t="str">
        <x:v>#000000</x:v>
      </x:c>
      <x:c r="J347" t="str">
        <x:v>https://www.carandache.com/content_files/uploaded_doc/product/10986/Colour_Chart_Museum.pdf</x:v>
      </x:c>
    </x:row>
    <x:row r="348">
      <x:c r="A348" t="str">
        <x:v>MUS</x:v>
      </x:c>
      <x:c r="B348" t="str">
        <x:v>MUSEUM Aquarelle</x:v>
      </x:c>
      <x:c r="C348" t="n">
        <x:v>7</x:v>
      </x:c>
      <x:c r="D348" t="str">
        <x:v>530</x:v>
      </x:c>
      <x:c r="E348" t="str">
        <x:v>Gold Cadmium Yellow</x:v>
      </x:c>
      <x:c r="F348" t="str">
        <x:v>金鎘黃</x:v>
      </x:c>
      <x:c r="G348" t="str">
        <x:v>ゴールドカドミウムイエロー</x:v>
      </x:c>
      <x:c r="H348" t="str">
        <x:v>#FAE226</x:v>
      </x:c>
      <x:c r="I348" t="str">
        <x:v>#000000</x:v>
      </x:c>
      <x:c r="J348" t="str">
        <x:v>https://www.carandache.com/content_files/uploaded_doc/product/10986/Colour_Chart_Museum.pdf</x:v>
      </x:c>
    </x:row>
    <x:row r="349">
      <x:c r="A349" t="str">
        <x:v>MUS</x:v>
      </x:c>
      <x:c r="B349" t="str">
        <x:v>MUSEUM Aquarelle</x:v>
      </x:c>
      <x:c r="C349" t="n">
        <x:v>8</x:v>
      </x:c>
      <x:c r="D349" t="str">
        <x:v>030</x:v>
      </x:c>
      <x:c r="E349" t="str">
        <x:v>Orange</x:v>
      </x:c>
      <x:c r="F349" t="str">
        <x:v>橙色</x:v>
      </x:c>
      <x:c r="G349" t="str">
        <x:v>オレンジ</x:v>
      </x:c>
      <x:c r="H349" t="str">
        <x:v>#F6C278</x:v>
      </x:c>
      <x:c r="I349" t="str">
        <x:v>#000000</x:v>
      </x:c>
      <x:c r="J349" t="str">
        <x:v>https://www.carandache.com/content_files/uploaded_doc/product/10986/Colour_Chart_Museum.pdf</x:v>
      </x:c>
    </x:row>
    <x:row r="350">
      <x:c r="A350" t="str">
        <x:v>MUS</x:v>
      </x:c>
      <x:c r="B350" t="str">
        <x:v>MUSEUM Aquarelle</x:v>
      </x:c>
      <x:c r="C350" t="n">
        <x:v>9</x:v>
      </x:c>
      <x:c r="D350" t="str">
        <x:v>850</x:v>
      </x:c>
      <x:c r="E350" t="str">
        <x:v>Cornelian</x:v>
      </x:c>
      <x:c r="F350" t="str">
        <x:v>紅玉髓色</x:v>
      </x:c>
      <x:c r="G350" t="str">
        <x:v>コーネリアン</x:v>
      </x:c>
      <x:c r="H350" t="str">
        <x:v>#ED8727</x:v>
      </x:c>
      <x:c r="I350" t="str">
        <x:v>#000000</x:v>
      </x:c>
      <x:c r="J350" t="str">
        <x:v>https://www.carandache.com/content_files/uploaded_doc/product/10986/Colour_Chart_Museum.pdf</x:v>
      </x:c>
    </x:row>
    <x:row r="351">
      <x:c r="A351" t="str">
        <x:v>MUS</x:v>
      </x:c>
      <x:c r="B351" t="str">
        <x:v>MUSEUM Aquarelle</x:v>
      </x:c>
      <x:c r="C351" t="n">
        <x:v>10</x:v>
      </x:c>
      <x:c r="D351" t="str">
        <x:v>060</x:v>
      </x:c>
      <x:c r="E351" t="str">
        <x:v>Vermilion</x:v>
      </x:c>
      <x:c r="F351" t="str">
        <x:v>朱紅</x:v>
      </x:c>
      <x:c r="G351" t="str">
        <x:v>バーミリオン</x:v>
      </x:c>
      <x:c r="H351" t="str">
        <x:v>#DF5037</x:v>
      </x:c>
      <x:c r="I351" t="str">
        <x:v>#000000</x:v>
      </x:c>
      <x:c r="J351" t="str">
        <x:v>https://www.carandache.com/content_files/uploaded_doc/product/10986/Colour_Chart_Museum.pdf</x:v>
      </x:c>
    </x:row>
    <x:row r="352">
      <x:c r="A352" t="str">
        <x:v>MUS</x:v>
      </x:c>
      <x:c r="B352" t="str">
        <x:v>MUSEUM Aquarelle</x:v>
      </x:c>
      <x:c r="C352" t="n">
        <x:v>11</x:v>
      </x:c>
      <x:c r="D352" t="str">
        <x:v>560</x:v>
      </x:c>
      <x:c r="E352" t="str">
        <x:v>Light Cadmium Red</x:v>
      </x:c>
      <x:c r="F352" t="str">
        <x:v>淺鎘紅</x:v>
      </x:c>
      <x:c r="G352" t="str">
        <x:v>ライトカドミウムレッド</x:v>
      </x:c>
      <x:c r="H352" t="str">
        <x:v>#E44038</x:v>
      </x:c>
      <x:c r="I352" t="str">
        <x:v>#000000</x:v>
      </x:c>
      <x:c r="J352" t="str">
        <x:v>https://www.carandache.com/content_files/uploaded_doc/product/10986/Colour_Chart_Museum.pdf</x:v>
      </x:c>
    </x:row>
    <x:row r="353">
      <x:c r="A353" t="str">
        <x:v>MUS</x:v>
      </x:c>
      <x:c r="B353" t="str">
        <x:v>MUSEUM Aquarelle</x:v>
      </x:c>
      <x:c r="C353" t="n">
        <x:v>12</x:v>
      </x:c>
      <x:c r="D353" t="str">
        <x:v>070</x:v>
      </x:c>
      <x:c r="E353" t="str">
        <x:v>Scarlet</x:v>
      </x:c>
      <x:c r="F353" t="str">
        <x:v>猩紅</x:v>
      </x:c>
      <x:c r="G353" t="str">
        <x:v>スカーレット</x:v>
      </x:c>
      <x:c r="H353" t="str">
        <x:v>#DA0322</x:v>
      </x:c>
      <x:c r="I353" t="str">
        <x:v>#FFFFFF</x:v>
      </x:c>
      <x:c r="J353" t="str">
        <x:v>https://www.carandache.com/content_files/uploaded_doc/product/10986/Colour_Chart_Museum.pdf</x:v>
      </x:c>
    </x:row>
    <x:row r="354">
      <x:c r="A354" t="str">
        <x:v>MUS</x:v>
      </x:c>
      <x:c r="B354" t="str">
        <x:v>MUSEUM Aquarelle</x:v>
      </x:c>
      <x:c r="C354" t="n">
        <x:v>13</x:v>
      </x:c>
      <x:c r="D354" t="str">
        <x:v>571</x:v>
      </x:c>
      <x:c r="E354" t="str">
        <x:v>Anthraquinoid pink</x:v>
      </x:c>
      <x:c r="F354" t="str">
        <x:v>蒽醌粉紅</x:v>
      </x:c>
      <x:c r="G354" t="str">
        <x:v>アントラキノンピンク</x:v>
      </x:c>
      <x:c r="H354" t="str">
        <x:v>#F1ABA6</x:v>
      </x:c>
      <x:c r="I354" t="str">
        <x:v>#000000</x:v>
      </x:c>
      <x:c r="J354" t="str">
        <x:v>https://www.carandache.com/content_files/uploaded_doc/product/10986/Colour_Chart_Museum.pdf</x:v>
      </x:c>
    </x:row>
    <x:row r="355">
      <x:c r="A355" t="str">
        <x:v>MUS</x:v>
      </x:c>
      <x:c r="B355" t="str">
        <x:v>MUSEUM Aquarelle</x:v>
      </x:c>
      <x:c r="C355" t="n">
        <x:v>14</x:v>
      </x:c>
      <x:c r="D355" t="str">
        <x:v>599</x:v>
      </x:c>
      <x:c r="E355" t="str">
        <x:v>Crimson aubergine</x:v>
      </x:c>
      <x:c r="F355" t="str">
        <x:v>深紅茄紫</x:v>
      </x:c>
      <x:c r="G355" t="str">
        <x:v>クリムソンオーバージーン</x:v>
      </x:c>
      <x:c r="H355" t="str">
        <x:v>#B83B51</x:v>
      </x:c>
      <x:c r="I355" t="str">
        <x:v>#FFFFFF</x:v>
      </x:c>
      <x:c r="J355" t="str">
        <x:v>https://www.carandache.com/content_files/uploaded_doc/product/10986/Colour_Chart_Museum.pdf</x:v>
      </x:c>
    </x:row>
    <x:row r="356">
      <x:c r="A356" t="str">
        <x:v>MUS</x:v>
      </x:c>
      <x:c r="B356" t="str">
        <x:v>MUSEUM Aquarelle</x:v>
      </x:c>
      <x:c r="C356" t="n">
        <x:v>15</x:v>
      </x:c>
      <x:c r="D356" t="str">
        <x:v>575</x:v>
      </x:c>
      <x:c r="E356" t="str">
        <x:v>Carmine Lake</x:v>
      </x:c>
      <x:c r="F356" t="str">
        <x:v>胭脂紅色淀</x:v>
      </x:c>
      <x:c r="G356" t="str">
        <x:v>カーマインレーキ</x:v>
      </x:c>
      <x:c r="H356" t="str">
        <x:v>#773437</x:v>
      </x:c>
      <x:c r="I356" t="str">
        <x:v>#FFFFFF</x:v>
      </x:c>
      <x:c r="J356" t="str">
        <x:v>https://www.carandache.com/content_files/uploaded_doc/product/10986/Colour_Chart_Museum.pdf</x:v>
      </x:c>
    </x:row>
    <x:row r="357">
      <x:c r="A357" t="str">
        <x:v>MUS</x:v>
      </x:c>
      <x:c r="B357" t="str">
        <x:v>MUSEUM Aquarelle</x:v>
      </x:c>
      <x:c r="C357" t="n">
        <x:v>16</x:v>
      </x:c>
      <x:c r="D357" t="str">
        <x:v>583</x:v>
      </x:c>
      <x:c r="E357" t="str">
        <x:v>Violet Pink</x:v>
      </x:c>
      <x:c r="F357" t="str">
        <x:v>紫粉紅</x:v>
      </x:c>
      <x:c r="G357" t="str">
        <x:v>バイオレットピンク</x:v>
      </x:c>
      <x:c r="H357" t="str">
        <x:v>#E4A4AF</x:v>
      </x:c>
      <x:c r="I357" t="str">
        <x:v>#000000</x:v>
      </x:c>
      <x:c r="J357" t="str">
        <x:v>https://www.carandache.com/content_files/uploaded_doc/product/10986/Colour_Chart_Museum.pdf</x:v>
      </x:c>
    </x:row>
    <x:row r="358">
      <x:c r="A358" t="str">
        <x:v>MUS</x:v>
      </x:c>
      <x:c r="B358" t="str">
        <x:v>MUSEUM Aquarelle</x:v>
      </x:c>
      <x:c r="C358" t="n">
        <x:v>17</x:v>
      </x:c>
      <x:c r="D358" t="str">
        <x:v>106</x:v>
      </x:c>
      <x:c r="E358" t="str">
        <x:v>Dark plum</x:v>
      </x:c>
      <x:c r="F358" t="str">
        <x:v>深梅紫</x:v>
      </x:c>
      <x:c r="G358" t="str">
        <x:v>ダークプラム</x:v>
      </x:c>
      <x:c r="H358" t="str">
        <x:v>#A1587B</x:v>
      </x:c>
      <x:c r="I358" t="str">
        <x:v>#FFFFFF</x:v>
      </x:c>
      <x:c r="J358" t="str">
        <x:v>https://www.carandache.com/content_files/uploaded_doc/product/10986/Colour_Chart_Museum.pdf</x:v>
      </x:c>
    </x:row>
    <x:row r="359">
      <x:c r="A359" t="str">
        <x:v>MUS</x:v>
      </x:c>
      <x:c r="B359" t="str">
        <x:v>MUSEUM Aquarelle</x:v>
      </x:c>
      <x:c r="C359" t="n">
        <x:v>18</x:v>
      </x:c>
      <x:c r="D359" t="str">
        <x:v>350</x:v>
      </x:c>
      <x:c r="E359" t="str">
        <x:v>Purplish Red</x:v>
      </x:c>
      <x:c r="F359" t="str">
        <x:v>紫紅色</x:v>
      </x:c>
      <x:c r="G359" t="str">
        <x:v>パープリッシュ レッド</x:v>
      </x:c>
      <x:c r="H359" t="str">
        <x:v>#E23A82</x:v>
      </x:c>
      <x:c r="I359" t="str">
        <x:v>#000000</x:v>
      </x:c>
      <x:c r="J359" t="str">
        <x:v>https://www.carandache.com/content_files/uploaded_doc/product/10986/Colour_Chart_Museum.pdf</x:v>
      </x:c>
    </x:row>
    <x:row r="360">
      <x:c r="A360" t="str">
        <x:v>MUS</x:v>
      </x:c>
      <x:c r="B360" t="str">
        <x:v>MUSEUM Aquarelle</x:v>
      </x:c>
      <x:c r="C360" t="n">
        <x:v>19</x:v>
      </x:c>
      <x:c r="D360" t="str">
        <x:v>112</x:v>
      </x:c>
      <x:c r="E360" t="str">
        <x:v>Manganese violet</x:v>
      </x:c>
      <x:c r="F360" t="str">
        <x:v>錳紫</x:v>
      </x:c>
      <x:c r="G360" t="str">
        <x:v>マンガニーズバイオレット</x:v>
      </x:c>
      <x:c r="H360" t="str">
        <x:v>#C0A0C8</x:v>
      </x:c>
      <x:c r="I360" t="str">
        <x:v>#000000</x:v>
      </x:c>
      <x:c r="J360" t="str">
        <x:v>https://www.carandache.com/content_files/uploaded_doc/product/10986/Colour_Chart_Museum.pdf</x:v>
      </x:c>
    </x:row>
    <x:row r="361">
      <x:c r="A361" t="str">
        <x:v>MUS</x:v>
      </x:c>
      <x:c r="B361" t="str">
        <x:v>MUSEUM Aquarelle</x:v>
      </x:c>
      <x:c r="C361" t="n">
        <x:v>20</x:v>
      </x:c>
      <x:c r="D361" t="str">
        <x:v>131</x:v>
      </x:c>
      <x:c r="E361" t="str">
        <x:v>Periwinkle blue</x:v>
      </x:c>
      <x:c r="F361" t="str">
        <x:v>長春花藍</x:v>
      </x:c>
      <x:c r="G361" t="str">
        <x:v>ペリウィンクル ブルー</x:v>
      </x:c>
      <x:c r="H361" t="str">
        <x:v>#A46CA7</x:v>
      </x:c>
      <x:c r="I361" t="str">
        <x:v>#000000</x:v>
      </x:c>
      <x:c r="J361" t="str">
        <x:v>https://www.carandache.com/content_files/uploaded_doc/product/10986/Colour_Chart_Museum.pdf</x:v>
      </x:c>
    </x:row>
    <x:row r="362">
      <x:c r="A362" t="str">
        <x:v>MUS</x:v>
      </x:c>
      <x:c r="B362" t="str">
        <x:v>MUSEUM Aquarelle</x:v>
      </x:c>
      <x:c r="C362" t="n">
        <x:v>21</x:v>
      </x:c>
      <x:c r="D362" t="str">
        <x:v>120</x:v>
      </x:c>
      <x:c r="E362" t="str">
        <x:v>Violet</x:v>
      </x:c>
      <x:c r="F362" t="str">
        <x:v>紫羅蘭色</x:v>
      </x:c>
      <x:c r="G362" t="str">
        <x:v>バイオレット</x:v>
      </x:c>
      <x:c r="H362" t="str">
        <x:v>#433473</x:v>
      </x:c>
      <x:c r="I362" t="str">
        <x:v>#FFFFFF</x:v>
      </x:c>
      <x:c r="J362" t="str">
        <x:v>https://www.carandache.com/content_files/uploaded_doc/product/10986/Colour_Chart_Museum.pdf</x:v>
      </x:c>
    </x:row>
    <x:row r="363">
      <x:c r="A363" t="str">
        <x:v>MUS</x:v>
      </x:c>
      <x:c r="B363" t="str">
        <x:v>MUSEUM Aquarelle</x:v>
      </x:c>
      <x:c r="C363" t="n">
        <x:v>22</x:v>
      </x:c>
      <x:c r="D363" t="str">
        <x:v>630</x:v>
      </x:c>
      <x:c r="E363" t="str">
        <x:v>Ultramarine violet</x:v>
      </x:c>
      <x:c r="F363" t="str">
        <x:v>群青紫</x:v>
      </x:c>
      <x:c r="G363" t="str">
        <x:v>ウルトラマリンバイオレット</x:v>
      </x:c>
      <x:c r="H363" t="str">
        <x:v>#AFACCC</x:v>
      </x:c>
      <x:c r="I363" t="str">
        <x:v>#000000</x:v>
      </x:c>
      <x:c r="J363" t="str">
        <x:v>https://www.carandache.com/content_files/uploaded_doc/product/10986/Colour_Chart_Museum.pdf</x:v>
      </x:c>
    </x:row>
    <x:row r="364">
      <x:c r="A364" t="str">
        <x:v>MUS</x:v>
      </x:c>
      <x:c r="B364" t="str">
        <x:v>MUSEUM Aquarelle</x:v>
      </x:c>
      <x:c r="C364" t="n">
        <x:v>23</x:v>
      </x:c>
      <x:c r="D364" t="str">
        <x:v>661</x:v>
      </x:c>
      <x:c r="E364" t="str">
        <x:v>Light cobalt blue</x:v>
      </x:c>
      <x:c r="F364" t="str">
        <x:v>淺鈷藍</x:v>
      </x:c>
      <x:c r="G364" t="str">
        <x:v>ライトコバルトブルー</x:v>
      </x:c>
      <x:c r="H364" t="str">
        <x:v>#9EC8E5</x:v>
      </x:c>
      <x:c r="I364" t="str">
        <x:v>#000000</x:v>
      </x:c>
      <x:c r="J364" t="str">
        <x:v>https://www.carandache.com/content_files/uploaded_doc/product/10986/Colour_Chart_Museum.pdf</x:v>
      </x:c>
    </x:row>
    <x:row r="365">
      <x:c r="A365" t="str">
        <x:v>MUS</x:v>
      </x:c>
      <x:c r="B365" t="str">
        <x:v>MUSEUM Aquarelle</x:v>
      </x:c>
      <x:c r="C365" t="n">
        <x:v>24</x:v>
      </x:c>
      <x:c r="D365" t="str">
        <x:v>662</x:v>
      </x:c>
      <x:c r="E365" t="str">
        <x:v>Genuine cobalt Blue</x:v>
      </x:c>
      <x:c r="F365" t="str">
        <x:v>真鈷藍</x:v>
      </x:c>
      <x:c r="G365" t="str">
        <x:v>セルリアンブルー</x:v>
      </x:c>
      <x:c r="H365" t="str">
        <x:v>#6FA7D5</x:v>
      </x:c>
      <x:c r="I365" t="str">
        <x:v>#000000</x:v>
      </x:c>
      <x:c r="J365" t="str">
        <x:v>https://www.carandache.com/content_files/uploaded_doc/product/10986/Colour_Chart_Museum.pdf</x:v>
      </x:c>
    </x:row>
    <x:row r="366">
      <x:c r="A366" t="str">
        <x:v>MUS</x:v>
      </x:c>
      <x:c r="B366" t="str">
        <x:v>MUSEUM Aquarelle</x:v>
      </x:c>
      <x:c r="C366" t="n">
        <x:v>25</x:v>
      </x:c>
      <x:c r="D366" t="str">
        <x:v>660</x:v>
      </x:c>
      <x:c r="E366" t="str">
        <x:v>Middle Cobalt Blue</x:v>
      </x:c>
      <x:c r="F366" t="str">
        <x:v>中鈷藍</x:v>
      </x:c>
      <x:c r="G366" t="str">
        <x:v>ミドルコバルトブルー</x:v>
      </x:c>
      <x:c r="H366" t="str">
        <x:v>#3DAADA</x:v>
      </x:c>
      <x:c r="I366" t="str">
        <x:v>#000000</x:v>
      </x:c>
      <x:c r="J366" t="str">
        <x:v>https://www.carandache.com/content_files/uploaded_doc/product/10986/Colour_Chart_Museum.pdf</x:v>
      </x:c>
    </x:row>
    <x:row r="367">
      <x:c r="A367" t="str">
        <x:v>MUS</x:v>
      </x:c>
      <x:c r="B367" t="str">
        <x:v>MUSEUM Aquarelle</x:v>
      </x:c>
      <x:c r="C367" t="n">
        <x:v>26</x:v>
      </x:c>
      <x:c r="D367" t="str">
        <x:v>640</x:v>
      </x:c>
      <x:c r="E367" t="str">
        <x:v>Dark Ultramarine</x:v>
      </x:c>
      <x:c r="F367" t="str">
        <x:v>深群青</x:v>
      </x:c>
      <x:c r="G367" t="str">
        <x:v>ダークウルトラマリン</x:v>
      </x:c>
      <x:c r="H367" t="str">
        <x:v>#0B6CB1</x:v>
      </x:c>
      <x:c r="I367" t="str">
        <x:v>#FFFFFF</x:v>
      </x:c>
      <x:c r="J367" t="str">
        <x:v>https://www.carandache.com/content_files/uploaded_doc/product/10986/Colour_Chart_Museum.pdf</x:v>
      </x:c>
    </x:row>
    <x:row r="368">
      <x:c r="A368" t="str">
        <x:v>MUS</x:v>
      </x:c>
      <x:c r="B368" t="str">
        <x:v>MUSEUM Aquarelle</x:v>
      </x:c>
      <x:c r="C368" t="n">
        <x:v>27</x:v>
      </x:c>
      <x:c r="D368" t="str">
        <x:v>149</x:v>
      </x:c>
      <x:c r="E368" t="str">
        <x:v>Night blue</x:v>
      </x:c>
      <x:c r="F368" t="str">
        <x:v>夜藍</x:v>
      </x:c>
      <x:c r="G368" t="str">
        <x:v>ナイト ブルー</x:v>
      </x:c>
      <x:c r="H368" t="str">
        <x:v>#3260A6</x:v>
      </x:c>
      <x:c r="I368" t="str">
        <x:v>#FFFFFF</x:v>
      </x:c>
      <x:c r="J368" t="str">
        <x:v>https://www.carandache.com/content_files/uploaded_doc/product/10986/Colour_Chart_Museum.pdf</x:v>
      </x:c>
    </x:row>
    <x:row r="369">
      <x:c r="A369" t="str">
        <x:v>MUS</x:v>
      </x:c>
      <x:c r="B369" t="str">
        <x:v>MUSEUM Aquarelle</x:v>
      </x:c>
      <x:c r="C369" t="n">
        <x:v>28</x:v>
      </x:c>
      <x:c r="D369" t="str">
        <x:v>159</x:v>
      </x:c>
      <x:c r="E369" t="str">
        <x:v>Prussian Blue</x:v>
      </x:c>
      <x:c r="F369" t="str">
        <x:v>普魯士藍</x:v>
      </x:c>
      <x:c r="G369" t="str">
        <x:v>プルシャン ブルー</x:v>
      </x:c>
      <x:c r="H369" t="str">
        <x:v>#507FAC</x:v>
      </x:c>
      <x:c r="I369" t="str">
        <x:v>#000000</x:v>
      </x:c>
      <x:c r="J369" t="str">
        <x:v>https://www.carandache.com/content_files/uploaded_doc/product/10986/Colour_Chart_Museum.pdf</x:v>
      </x:c>
    </x:row>
    <x:row r="370">
      <x:c r="A370" t="str">
        <x:v>MUS</x:v>
      </x:c>
      <x:c r="B370" t="str">
        <x:v>MUSEUM Aquarelle</x:v>
      </x:c>
      <x:c r="C370" t="n">
        <x:v>29</x:v>
      </x:c>
      <x:c r="D370" t="str">
        <x:v>161</x:v>
      </x:c>
      <x:c r="E370" t="str">
        <x:v>Light blue</x:v>
      </x:c>
      <x:c r="F370" t="str">
        <x:v>淺藍色</x:v>
      </x:c>
      <x:c r="G370" t="str">
        <x:v>ライト ブルー</x:v>
      </x:c>
      <x:c r="H370" t="str">
        <x:v>#74C7E2</x:v>
      </x:c>
      <x:c r="I370" t="str">
        <x:v>#000000</x:v>
      </x:c>
      <x:c r="J370" t="str">
        <x:v>https://www.carandache.com/content_files/uploaded_doc/product/10986/Colour_Chart_Museum.pdf</x:v>
      </x:c>
    </x:row>
    <x:row r="371">
      <x:c r="A371" t="str">
        <x:v>MUS</x:v>
      </x:c>
      <x:c r="B371" t="str">
        <x:v>MUSEUM Aquarelle</x:v>
      </x:c>
      <x:c r="C371" t="n">
        <x:v>30</x:v>
      </x:c>
      <x:c r="D371" t="str">
        <x:v>162</x:v>
      </x:c>
      <x:c r="E371" t="str">
        <x:v>Phthalocyanine blue</x:v>
      </x:c>
      <x:c r="F371" t="str">
        <x:v>酞菁藍</x:v>
      </x:c>
      <x:c r="G371" t="str">
        <x:v>フタロシアニン ブルー</x:v>
      </x:c>
      <x:c r="H371" t="str">
        <x:v>#2CA8DD</x:v>
      </x:c>
      <x:c r="I371" t="str">
        <x:v>#000000</x:v>
      </x:c>
      <x:c r="J371" t="str">
        <x:v>https://www.carandache.com/content_files/uploaded_doc/product/10986/Colour_Chart_Museum.pdf</x:v>
      </x:c>
    </x:row>
    <x:row r="372">
      <x:c r="A372" t="str">
        <x:v>MUS</x:v>
      </x:c>
      <x:c r="B372" t="str">
        <x:v>MUSEUM Aquarelle</x:v>
      </x:c>
      <x:c r="C372" t="n">
        <x:v>31</x:v>
      </x:c>
      <x:c r="D372" t="str">
        <x:v>670</x:v>
      </x:c>
      <x:c r="E372" t="str">
        <x:v>Permanent Blue</x:v>
      </x:c>
      <x:c r="F372" t="str">
        <x:v>永固藍</x:v>
      </x:c>
      <x:c r="G372" t="str">
        <x:v>パーマネントブルー</x:v>
      </x:c>
      <x:c r="H372" t="str">
        <x:v>#1170A1</x:v>
      </x:c>
      <x:c r="I372" t="str">
        <x:v>#FFFFFF</x:v>
      </x:c>
      <x:c r="J372" t="str">
        <x:v>https://www.carandache.com/content_files/uploaded_doc/product/10986/Colour_Chart_Museum.pdf</x:v>
      </x:c>
    </x:row>
    <x:row r="373">
      <x:c r="A373" t="str">
        <x:v>MUS</x:v>
      </x:c>
      <x:c r="B373" t="str">
        <x:v>MUSEUM Aquarelle</x:v>
      </x:c>
      <x:c r="C373" t="n">
        <x:v>32</x:v>
      </x:c>
      <x:c r="D373" t="str">
        <x:v>185</x:v>
      </x:c>
      <x:c r="E373" t="str">
        <x:v>Ice blue</x:v>
      </x:c>
      <x:c r="F373" t="str">
        <x:v>冰藍</x:v>
      </x:c>
      <x:c r="G373" t="str">
        <x:v>アイス ブルー</x:v>
      </x:c>
      <x:c r="H373" t="str">
        <x:v>#0B98C5</x:v>
      </x:c>
      <x:c r="I373" t="str">
        <x:v>#000000</x:v>
      </x:c>
      <x:c r="J373" t="str">
        <x:v>https://www.carandache.com/content_files/uploaded_doc/product/10986/Colour_Chart_Museum.pdf</x:v>
      </x:c>
    </x:row>
    <x:row r="374">
      <x:c r="A374" t="str">
        <x:v>MUS</x:v>
      </x:c>
      <x:c r="B374" t="str">
        <x:v>MUSEUM Aquarelle</x:v>
      </x:c>
      <x:c r="C374" t="n">
        <x:v>33</x:v>
      </x:c>
      <x:c r="D374" t="str">
        <x:v>171</x:v>
      </x:c>
      <x:c r="E374" t="str">
        <x:v>Turquoise blue</x:v>
      </x:c>
      <x:c r="F374" t="str">
        <x:v>土耳其藍</x:v>
      </x:c>
      <x:c r="G374" t="str">
        <x:v>ターコイズ ブルー</x:v>
      </x:c>
      <x:c r="H374" t="str">
        <x:v>#25A6BE</x:v>
      </x:c>
      <x:c r="I374" t="str">
        <x:v>#000000</x:v>
      </x:c>
      <x:c r="J374" t="str">
        <x:v>https://www.carandache.com/content_files/uploaded_doc/product/10986/Colour_Chart_Museum.pdf</x:v>
      </x:c>
    </x:row>
    <x:row r="375">
      <x:c r="A375" t="str">
        <x:v>MUS</x:v>
      </x:c>
      <x:c r="B375" t="str">
        <x:v>MUSEUM Aquarelle</x:v>
      </x:c>
      <x:c r="C375" t="n">
        <x:v>34</x:v>
      </x:c>
      <x:c r="D375" t="str">
        <x:v>181</x:v>
      </x:c>
      <x:c r="E375" t="str">
        <x:v>Light malachite green</x:v>
      </x:c>
      <x:c r="F375" t="str">
        <x:v>淺孔雀石綠</x:v>
      </x:c>
      <x:c r="G375" t="str">
        <x:v>ライト マラカイト グリーン</x:v>
      </x:c>
      <x:c r="H375" t="str">
        <x:v>#9CCEBD</x:v>
      </x:c>
      <x:c r="I375" t="str">
        <x:v>#000000</x:v>
      </x:c>
      <x:c r="J375" t="str">
        <x:v>https://www.carandache.com/content_files/uploaded_doc/product/10986/Colour_Chart_Museum.pdf</x:v>
      </x:c>
    </x:row>
    <x:row r="376">
      <x:c r="A376" t="str">
        <x:v>MUS</x:v>
      </x:c>
      <x:c r="B376" t="str">
        <x:v>MUSEUM Aquarelle</x:v>
      </x:c>
      <x:c r="C376" t="n">
        <x:v>35</x:v>
      </x:c>
      <x:c r="D376" t="str">
        <x:v>182</x:v>
      </x:c>
      <x:c r="E376" t="str">
        <x:v>Cobalt green</x:v>
      </x:c>
      <x:c r="F376" t="str">
        <x:v>鈷綠</x:v>
      </x:c>
      <x:c r="G376" t="str">
        <x:v>コバルト グリーン</x:v>
      </x:c>
      <x:c r="H376" t="str">
        <x:v>#D3E6D7</x:v>
      </x:c>
      <x:c r="I376" t="str">
        <x:v>#000000</x:v>
      </x:c>
      <x:c r="J376" t="str">
        <x:v>https://www.carandache.com/content_files/uploaded_doc/product/10986/Colour_Chart_Museum.pdf</x:v>
      </x:c>
    </x:row>
    <x:row r="377">
      <x:c r="A377" t="str">
        <x:v>MUS</x:v>
      </x:c>
      <x:c r="B377" t="str">
        <x:v>MUSEUM Aquarelle</x:v>
      </x:c>
      <x:c r="C377" t="n">
        <x:v>36</x:v>
      </x:c>
      <x:c r="D377" t="str">
        <x:v>212</x:v>
      </x:c>
      <x:c r="E377" t="str">
        <x:v>Chromium oxyde green</x:v>
      </x:c>
      <x:c r="F377" t="str">
        <x:v>氧化鉻綠</x:v>
      </x:c>
      <x:c r="G377" t="str">
        <x:v>クロミウム オキサイド グリーン</x:v>
      </x:c>
      <x:c r="H377" t="str">
        <x:v>#9AC592</x:v>
      </x:c>
      <x:c r="I377" t="str">
        <x:v>#000000</x:v>
      </x:c>
      <x:c r="J377" t="str">
        <x:v>https://www.carandache.com/content_files/uploaded_doc/product/10986/Colour_Chart_Museum.pdf</x:v>
      </x:c>
    </x:row>
    <x:row r="378">
      <x:c r="A378" t="str">
        <x:v>MUS</x:v>
      </x:c>
      <x:c r="B378" t="str">
        <x:v>MUSEUM Aquarelle</x:v>
      </x:c>
      <x:c r="C378" t="n">
        <x:v>37</x:v>
      </x:c>
      <x:c r="D378" t="str">
        <x:v>225</x:v>
      </x:c>
      <x:c r="E378" t="str">
        <x:v>Moss green</x:v>
      </x:c>
      <x:c r="F378" t="str">
        <x:v>苔綠色</x:v>
      </x:c>
      <x:c r="G378" t="str">
        <x:v>モス グリーン</x:v>
      </x:c>
      <x:c r="H378" t="str">
        <x:v>#39854E</x:v>
      </x:c>
      <x:c r="I378" t="str">
        <x:v>#000000</x:v>
      </x:c>
      <x:c r="J378" t="str">
        <x:v>https://www.carandache.com/content_files/uploaded_doc/product/10986/Colour_Chart_Museum.pdf</x:v>
      </x:c>
    </x:row>
    <x:row r="379">
      <x:c r="A379" t="str">
        <x:v>MUS</x:v>
      </x:c>
      <x:c r="B379" t="str">
        <x:v>MUSEUM Aquarelle</x:v>
      </x:c>
      <x:c r="C379" t="n">
        <x:v>38</x:v>
      </x:c>
      <x:c r="D379" t="str">
        <x:v>719</x:v>
      </x:c>
      <x:c r="E379" t="str">
        <x:v>Dark phthalocyanine green</x:v>
      </x:c>
      <x:c r="F379" t="str">
        <x:v>深酞菁綠</x:v>
      </x:c>
      <x:c r="G379" t="str">
        <x:v>ダークフタロシアニングリーン</x:v>
      </x:c>
      <x:c r="H379" t="str">
        <x:v>#457450</x:v>
      </x:c>
      <x:c r="I379" t="str">
        <x:v>#FFFFFF</x:v>
      </x:c>
      <x:c r="J379" t="str">
        <x:v>https://www.carandache.com/content_files/uploaded_doc/product/10986/Colour_Chart_Museum.pdf</x:v>
      </x:c>
    </x:row>
    <x:row r="380">
      <x:c r="A380" t="str">
        <x:v>MUS</x:v>
      </x:c>
      <x:c r="B380" t="str">
        <x:v>MUSEUM Aquarelle</x:v>
      </x:c>
      <x:c r="C380" t="n">
        <x:v>39</x:v>
      </x:c>
      <x:c r="D380" t="str">
        <x:v>249</x:v>
      </x:c>
      <x:c r="E380" t="str">
        <x:v>Olive</x:v>
      </x:c>
      <x:c r="F380" t="str">
        <x:v>深橄欖色</x:v>
      </x:c>
      <x:c r="G380" t="str">
        <x:v>オリーブ</x:v>
      </x:c>
      <x:c r="H380" t="str">
        <x:v>#98B737</x:v>
      </x:c>
      <x:c r="I380" t="str">
        <x:v>#000000</x:v>
      </x:c>
      <x:c r="J380" t="str">
        <x:v>https://www.carandache.com/content_files/uploaded_doc/product/10986/Colour_Chart_Museum.pdf</x:v>
      </x:c>
    </x:row>
    <x:row r="381">
      <x:c r="A381" t="str">
        <x:v>MUS</x:v>
      </x:c>
      <x:c r="B381" t="str">
        <x:v>MUSEUM Aquarelle</x:v>
      </x:c>
      <x:c r="C381" t="n">
        <x:v>40</x:v>
      </x:c>
      <x:c r="D381" t="str">
        <x:v>245</x:v>
      </x:c>
      <x:c r="E381" t="str">
        <x:v>Light olive</x:v>
      </x:c>
      <x:c r="F381" t="str">
        <x:v>淺橄欖色</x:v>
      </x:c>
      <x:c r="G381" t="str">
        <x:v>ライト オリーブ</x:v>
      </x:c>
      <x:c r="H381" t="str">
        <x:v>#ACBB25</x:v>
      </x:c>
      <x:c r="I381" t="str">
        <x:v>#000000</x:v>
      </x:c>
      <x:c r="J381" t="str">
        <x:v>https://www.carandache.com/content_files/uploaded_doc/product/10986/Colour_Chart_Museum.pdf</x:v>
      </x:c>
    </x:row>
    <x:row r="382">
      <x:c r="A382" t="str">
        <x:v>MUS</x:v>
      </x:c>
      <x:c r="B382" t="str">
        <x:v>MUSEUM Aquarelle</x:v>
      </x:c>
      <x:c r="C382" t="n">
        <x:v>41</x:v>
      </x:c>
      <x:c r="D382" t="str">
        <x:v>025</x:v>
      </x:c>
      <x:c r="E382" t="str">
        <x:v>Green ochre</x:v>
      </x:c>
      <x:c r="F382" t="str">
        <x:v>綠赭色</x:v>
      </x:c>
      <x:c r="G382" t="str">
        <x:v>グリーンオーカー</x:v>
      </x:c>
      <x:c r="H382" t="str">
        <x:v>#F0C84A</x:v>
      </x:c>
      <x:c r="I382" t="str">
        <x:v>#000000</x:v>
      </x:c>
      <x:c r="J382" t="str">
        <x:v>https://www.carandache.com/content_files/uploaded_doc/product/10986/Colour_Chart_Museum.pdf</x:v>
      </x:c>
    </x:row>
    <x:row r="383">
      <x:c r="A383" t="str">
        <x:v>MUS</x:v>
      </x:c>
      <x:c r="B383" t="str">
        <x:v>MUSEUM Aquarelle</x:v>
      </x:c>
      <x:c r="C383" t="n">
        <x:v>42</x:v>
      </x:c>
      <x:c r="D383" t="str">
        <x:v>015</x:v>
      </x:c>
      <x:c r="E383" t="str">
        <x:v>Olive yellow</x:v>
      </x:c>
      <x:c r="F383" t="str">
        <x:v>橄欖黃</x:v>
      </x:c>
      <x:c r="G383" t="str">
        <x:v>オリーヴ イエロー</x:v>
      </x:c>
      <x:c r="H383" t="str">
        <x:v>#DEDA68</x:v>
      </x:c>
      <x:c r="I383" t="str">
        <x:v>#000000</x:v>
      </x:c>
      <x:c r="J383" t="str">
        <x:v>https://www.carandache.com/content_files/uploaded_doc/product/10986/Colour_Chart_Museum.pdf</x:v>
      </x:c>
    </x:row>
    <x:row r="384">
      <x:c r="A384" t="str">
        <x:v>MUS</x:v>
      </x:c>
      <x:c r="B384" t="str">
        <x:v>MUSEUM Aquarelle</x:v>
      </x:c>
      <x:c r="C384" t="n">
        <x:v>43</x:v>
      </x:c>
      <x:c r="D384" t="str">
        <x:v>470</x:v>
      </x:c>
      <x:c r="E384" t="str">
        <x:v>Spring Green</x:v>
      </x:c>
      <x:c r="F384" t="str">
        <x:v>春綠色</x:v>
      </x:c>
      <x:c r="G384" t="str">
        <x:v>スプリング グリーン</x:v>
      </x:c>
      <x:c r="H384" t="str">
        <x:v>#D7DD72</x:v>
      </x:c>
      <x:c r="I384" t="str">
        <x:v>#000000</x:v>
      </x:c>
      <x:c r="J384" t="str">
        <x:v>https://www.carandache.com/content_files/uploaded_doc/product/10986/Colour_Chart_Museum.pdf</x:v>
      </x:c>
    </x:row>
    <x:row r="385">
      <x:c r="A385" t="str">
        <x:v>MUS</x:v>
      </x:c>
      <x:c r="B385" t="str">
        <x:v>MUSEUM Aquarelle</x:v>
      </x:c>
      <x:c r="C385" t="n">
        <x:v>44</x:v>
      </x:c>
      <x:c r="D385" t="str">
        <x:v>720</x:v>
      </x:c>
      <x:c r="E385" t="str">
        <x:v>Bright Green</x:v>
      </x:c>
      <x:c r="F385" t="str">
        <x:v>亮綠色</x:v>
      </x:c>
      <x:c r="G385" t="str">
        <x:v>ブライトグリーン</x:v>
      </x:c>
      <x:c r="H385" t="str">
        <x:v>#64AF37</x:v>
      </x:c>
      <x:c r="I385" t="str">
        <x:v>#000000</x:v>
      </x:c>
      <x:c r="J385" t="str">
        <x:v>https://www.carandache.com/content_files/uploaded_doc/product/10986/Colour_Chart_Museum.pdf</x:v>
      </x:c>
    </x:row>
    <x:row r="386">
      <x:c r="A386" t="str">
        <x:v>MUS</x:v>
      </x:c>
      <x:c r="B386" t="str">
        <x:v>MUSEUM Aquarelle</x:v>
      </x:c>
      <x:c r="C386" t="n">
        <x:v>45</x:v>
      </x:c>
      <x:c r="D386" t="str">
        <x:v>220</x:v>
      </x:c>
      <x:c r="E386" t="str">
        <x:v>Grass Green</x:v>
      </x:c>
      <x:c r="F386" t="str">
        <x:v>草綠色</x:v>
      </x:c>
      <x:c r="G386" t="str">
        <x:v>グラス グリーン</x:v>
      </x:c>
      <x:c r="H386" t="str">
        <x:v>#7DB73E</x:v>
      </x:c>
      <x:c r="I386" t="str">
        <x:v>#000000</x:v>
      </x:c>
      <x:c r="J386" t="str">
        <x:v>https://www.carandache.com/content_files/uploaded_doc/product/10986/Colour_Chart_Museum.pdf</x:v>
      </x:c>
    </x:row>
    <x:row r="387">
      <x:c r="A387" t="str">
        <x:v>MUS</x:v>
      </x:c>
      <x:c r="B387" t="str">
        <x:v>MUSEUM Aquarelle</x:v>
      </x:c>
      <x:c r="C387" t="n">
        <x:v>46</x:v>
      </x:c>
      <x:c r="D387" t="str">
        <x:v>210</x:v>
      </x:c>
      <x:c r="E387" t="str">
        <x:v>Emerald green</x:v>
      </x:c>
      <x:c r="F387" t="str">
        <x:v>祖母綠</x:v>
      </x:c>
      <x:c r="G387" t="str">
        <x:v>エメラルド グリーン</x:v>
      </x:c>
      <x:c r="H387" t="str">
        <x:v>#60B163</x:v>
      </x:c>
      <x:c r="I387" t="str">
        <x:v>#000000</x:v>
      </x:c>
      <x:c r="J387" t="str">
        <x:v>https://www.carandache.com/content_files/uploaded_doc/product/10986/Colour_Chart_Museum.pdf</x:v>
      </x:c>
    </x:row>
    <x:row r="388">
      <x:c r="A388" t="str">
        <x:v>MUS</x:v>
      </x:c>
      <x:c r="B388" t="str">
        <x:v>MUSEUM Aquarelle</x:v>
      </x:c>
      <x:c r="C388" t="n">
        <x:v>47</x:v>
      </x:c>
      <x:c r="D388" t="str">
        <x:v>214</x:v>
      </x:c>
      <x:c r="E388" t="str">
        <x:v>Beryl green</x:v>
      </x:c>
      <x:c r="F388" t="str">
        <x:v>綠柱石綠</x:v>
      </x:c>
      <x:c r="G388" t="str">
        <x:v>ベリルグリーン</x:v>
      </x:c>
      <x:c r="H388" t="str">
        <x:v>#62B4A3</x:v>
      </x:c>
      <x:c r="I388" t="str">
        <x:v>#000000</x:v>
      </x:c>
      <x:c r="J388" t="str">
        <x:v>https://www.carandache.com/content_files/uploaded_doc/product/10986/Colour_Chart_Museum.pdf</x:v>
      </x:c>
    </x:row>
    <x:row r="389">
      <x:c r="A389" t="str">
        <x:v>MUS</x:v>
      </x:c>
      <x:c r="B389" t="str">
        <x:v>MUSEUM Aquarelle</x:v>
      </x:c>
      <x:c r="C389" t="n">
        <x:v>48</x:v>
      </x:c>
      <x:c r="D389" t="str">
        <x:v>710</x:v>
      </x:c>
      <x:c r="E389" t="str">
        <x:v>Phthalocyanine Green</x:v>
      </x:c>
      <x:c r="F389" t="str">
        <x:v>酞菁綠</x:v>
      </x:c>
      <x:c r="G389" t="str">
        <x:v>フタロシアニングリーン</x:v>
      </x:c>
      <x:c r="H389" t="str">
        <x:v>#299273</x:v>
      </x:c>
      <x:c r="I389" t="str">
        <x:v>#000000</x:v>
      </x:c>
      <x:c r="J389" t="str">
        <x:v>https://www.carandache.com/content_files/uploaded_doc/product/10986/Colour_Chart_Museum.pdf</x:v>
      </x:c>
    </x:row>
    <x:row r="390">
      <x:c r="A390" t="str">
        <x:v>MUS</x:v>
      </x:c>
      <x:c r="B390" t="str">
        <x:v>MUSEUM Aquarelle</x:v>
      </x:c>
      <x:c r="C390" t="n">
        <x:v>49</x:v>
      </x:c>
      <x:c r="D390" t="str">
        <x:v>739</x:v>
      </x:c>
      <x:c r="E390" t="str">
        <x:v>Dark sap green</x:v>
      </x:c>
      <x:c r="F390" t="str">
        <x:v>深樹液綠</x:v>
      </x:c>
      <x:c r="G390" t="str">
        <x:v>ダークサップグリーン</x:v>
      </x:c>
      <x:c r="H390" t="str">
        <x:v>#36A9A6</x:v>
      </x:c>
      <x:c r="I390" t="str">
        <x:v>#000000</x:v>
      </x:c>
      <x:c r="J390" t="str">
        <x:v>https://www.carandache.com/content_files/uploaded_doc/product/10986/Colour_Chart_Museum.pdf</x:v>
      </x:c>
    </x:row>
    <x:row r="391">
      <x:c r="A391" t="str">
        <x:v>MUS</x:v>
      </x:c>
      <x:c r="B391" t="str">
        <x:v>MUSEUM Aquarelle</x:v>
      </x:c>
      <x:c r="C391" t="n">
        <x:v>50</x:v>
      </x:c>
      <x:c r="D391" t="str">
        <x:v>736</x:v>
      </x:c>
      <x:c r="E391" t="str">
        <x:v>Brown Olive 50%</x:v>
      </x:c>
      <x:c r="F391" t="str">
        <x:v>棕橄欖色 50%</x:v>
      </x:c>
      <x:c r="G391" t="str">
        <x:v>ブラウンオリーブ50%</x:v>
      </x:c>
      <x:c r="H391" t="str">
        <x:v>#C6AA57</x:v>
      </x:c>
      <x:c r="I391" t="str">
        <x:v>#000000</x:v>
      </x:c>
      <x:c r="J391" t="str">
        <x:v>https://www.carandache.com/content_files/uploaded_doc/product/10986/Colour_Chart_Museum.pdf</x:v>
      </x:c>
    </x:row>
    <x:row r="392">
      <x:c r="A392" t="str">
        <x:v>MUS</x:v>
      </x:c>
      <x:c r="B392" t="str">
        <x:v>MUSEUM Aquarelle</x:v>
      </x:c>
      <x:c r="C392" t="n">
        <x:v>51</x:v>
      </x:c>
      <x:c r="D392" t="str">
        <x:v>039</x:v>
      </x:c>
      <x:c r="E392" t="str">
        <x:v>Olive brown</x:v>
      </x:c>
      <x:c r="F392" t="str">
        <x:v>橄欖棕</x:v>
      </x:c>
      <x:c r="G392" t="str">
        <x:v>オリーブ ブラウン</x:v>
      </x:c>
      <x:c r="H392" t="str">
        <x:v>#967A4E</x:v>
      </x:c>
      <x:c r="I392" t="str">
        <x:v>#000000</x:v>
      </x:c>
      <x:c r="J392" t="str">
        <x:v>https://www.carandache.com/content_files/uploaded_doc/product/10986/Colour_Chart_Museum.pdf</x:v>
      </x:c>
    </x:row>
    <x:row r="393">
      <x:c r="A393" t="str">
        <x:v>MUS</x:v>
      </x:c>
      <x:c r="B393" t="str">
        <x:v>MUSEUM Aquarelle</x:v>
      </x:c>
      <x:c r="C393" t="n">
        <x:v>52</x:v>
      </x:c>
      <x:c r="D393" t="str">
        <x:v>037</x:v>
      </x:c>
      <x:c r="E393" t="str">
        <x:v>Brown ochre</x:v>
      </x:c>
      <x:c r="F393" t="str">
        <x:v>棕赭色</x:v>
      </x:c>
      <x:c r="G393" t="str">
        <x:v>ブラウン オーカー</x:v>
      </x:c>
      <x:c r="H393" t="str">
        <x:v>#D87D46</x:v>
      </x:c>
      <x:c r="I393" t="str">
        <x:v>#000000</x:v>
      </x:c>
      <x:c r="J393" t="str">
        <x:v>https://www.carandache.com/content_files/uploaded_doc/product/10986/Colour_Chart_Museum.pdf</x:v>
      </x:c>
    </x:row>
    <x:row r="394">
      <x:c r="A394" t="str">
        <x:v>MUS</x:v>
      </x:c>
      <x:c r="B394" t="str">
        <x:v>MUSEUM Aquarelle</x:v>
      </x:c>
      <x:c r="C394" t="n">
        <x:v>53</x:v>
      </x:c>
      <x:c r="D394" t="str">
        <x:v>036</x:v>
      </x:c>
      <x:c r="E394" t="str">
        <x:v>Raw sienna</x:v>
      </x:c>
      <x:c r="F394" t="str">
        <x:v>生赭色</x:v>
      </x:c>
      <x:c r="G394" t="str">
        <x:v>ロｰシェンナ</x:v>
      </x:c>
      <x:c r="H394" t="str">
        <x:v>#F7CC8E</x:v>
      </x:c>
      <x:c r="I394" t="str">
        <x:v>#000000</x:v>
      </x:c>
      <x:c r="J394" t="str">
        <x:v>https://www.carandache.com/content_files/uploaded_doc/product/10986/Colour_Chart_Museum.pdf</x:v>
      </x:c>
    </x:row>
    <x:row r="395">
      <x:c r="A395" t="str">
        <x:v>MUS</x:v>
      </x:c>
      <x:c r="B395" t="str">
        <x:v>MUSEUM Aquarelle</x:v>
      </x:c>
      <x:c r="C395" t="n">
        <x:v>54</x:v>
      </x:c>
      <x:c r="D395" t="str">
        <x:v>034</x:v>
      </x:c>
      <x:c r="E395" t="str">
        <x:v>Yellow ochre</x:v>
      </x:c>
      <x:c r="F395" t="str">
        <x:v>黃赭色</x:v>
      </x:c>
      <x:c r="G395" t="str">
        <x:v>イエローオーカー</x:v>
      </x:c>
      <x:c r="H395" t="str">
        <x:v>#FAD996</x:v>
      </x:c>
      <x:c r="I395" t="str">
        <x:v>#000000</x:v>
      </x:c>
      <x:c r="J395" t="str">
        <x:v>https://www.carandache.com/content_files/uploaded_doc/product/10986/Colour_Chart_Museum.pdf</x:v>
      </x:c>
    </x:row>
    <x:row r="396">
      <x:c r="A396" t="str">
        <x:v>MUS</x:v>
      </x:c>
      <x:c r="B396" t="str">
        <x:v>MUSEUM Aquarelle</x:v>
      </x:c>
      <x:c r="C396" t="n">
        <x:v>55</x:v>
      </x:c>
      <x:c r="D396" t="str">
        <x:v>548</x:v>
      </x:c>
      <x:c r="E396" t="str">
        <x:v>Umber</x:v>
      </x:c>
      <x:c r="F396" t="str">
        <x:v>褐土色</x:v>
      </x:c>
      <x:c r="G396" t="str">
        <x:v>ジェニュインアンバー</x:v>
      </x:c>
      <x:c r="H396" t="str">
        <x:v>#D0A86E</x:v>
      </x:c>
      <x:c r="I396" t="str">
        <x:v>#000000</x:v>
      </x:c>
      <x:c r="J396" t="str">
        <x:v>https://www.carandache.com/content_files/uploaded_doc/product/10986/Colour_Chart_Museum.pdf</x:v>
      </x:c>
    </x:row>
    <x:row r="397">
      <x:c r="A397" t="str">
        <x:v>MUS</x:v>
      </x:c>
      <x:c r="B397" t="str">
        <x:v>MUSEUM Aquarelle</x:v>
      </x:c>
      <x:c r="C397" t="n">
        <x:v>56</x:v>
      </x:c>
      <x:c r="D397" t="str">
        <x:v>052</x:v>
      </x:c>
      <x:c r="E397" t="str">
        <x:v>Saffron</x:v>
      </x:c>
      <x:c r="F397" t="str">
        <x:v>藏紅花黃</x:v>
      </x:c>
      <x:c r="G397" t="str">
        <x:v>サフラン</x:v>
      </x:c>
      <x:c r="H397" t="str">
        <x:v>#F3B96D</x:v>
      </x:c>
      <x:c r="I397" t="str">
        <x:v>#000000</x:v>
      </x:c>
      <x:c r="J397" t="str">
        <x:v>https://www.carandache.com/content_files/uploaded_doc/product/10986/Colour_Chart_Museum.pdf</x:v>
      </x:c>
    </x:row>
    <x:row r="398">
      <x:c r="A398" t="str">
        <x:v>MUS</x:v>
      </x:c>
      <x:c r="B398" t="str">
        <x:v>MUSEUM Aquarelle</x:v>
      </x:c>
      <x:c r="C398" t="n">
        <x:v>57</x:v>
      </x:c>
      <x:c r="D398" t="str">
        <x:v>542</x:v>
      </x:c>
      <x:c r="E398" t="str">
        <x:v>Light flesh 10%</x:v>
      </x:c>
      <x:c r="F398" t="str">
        <x:v>淺膚色 10%</x:v>
      </x:c>
      <x:c r="G398" t="str">
        <x:v>ライトフレッシュ10%</x:v>
      </x:c>
      <x:c r="H398" t="str">
        <x:v>#F8E2C5</x:v>
      </x:c>
      <x:c r="I398" t="str">
        <x:v>#000000</x:v>
      </x:c>
      <x:c r="J398" t="str">
        <x:v>https://www.carandache.com/content_files/uploaded_doc/product/10986/Colour_Chart_Museum.pdf</x:v>
      </x:c>
    </x:row>
    <x:row r="399">
      <x:c r="A399" t="str">
        <x:v>MUS</x:v>
      </x:c>
      <x:c r="B399" t="str">
        <x:v>MUSEUM Aquarelle</x:v>
      </x:c>
      <x:c r="C399" t="n">
        <x:v>58</x:v>
      </x:c>
      <x:c r="D399" t="str">
        <x:v>041</x:v>
      </x:c>
      <x:c r="E399" t="str">
        <x:v>Apricot</x:v>
      </x:c>
      <x:c r="F399" t="str">
        <x:v>杏色</x:v>
      </x:c>
      <x:c r="G399" t="str">
        <x:v>アプリコット</x:v>
      </x:c>
      <x:c r="H399" t="str">
        <x:v>#F1AE71</x:v>
      </x:c>
      <x:c r="I399" t="str">
        <x:v>#000000</x:v>
      </x:c>
      <x:c r="J399" t="str">
        <x:v>https://www.carandache.com/content_files/uploaded_doc/product/10986/Colour_Chart_Museum.pdf</x:v>
      </x:c>
    </x:row>
    <x:row r="400">
      <x:c r="A400" t="str">
        <x:v>MUS</x:v>
      </x:c>
      <x:c r="B400" t="str">
        <x:v>MUSEUM Aquarelle</x:v>
      </x:c>
      <x:c r="C400" t="n">
        <x:v>59</x:v>
      </x:c>
      <x:c r="D400" t="str">
        <x:v>055</x:v>
      </x:c>
      <x:c r="E400" t="str">
        <x:v>Cinnamon</x:v>
      </x:c>
      <x:c r="F400" t="str">
        <x:v>肉桂色</x:v>
      </x:c>
      <x:c r="G400" t="str">
        <x:v>シナモン</x:v>
      </x:c>
      <x:c r="H400" t="str">
        <x:v>#BD6549</x:v>
      </x:c>
      <x:c r="I400" t="str">
        <x:v>#000000</x:v>
      </x:c>
      <x:c r="J400" t="str">
        <x:v>https://www.carandache.com/content_files/uploaded_doc/product/10986/Colour_Chart_Museum.pdf</x:v>
      </x:c>
    </x:row>
    <x:row r="401">
      <x:c r="A401" t="str">
        <x:v>MUS</x:v>
      </x:c>
      <x:c r="B401" t="str">
        <x:v>MUSEUM Aquarelle</x:v>
      </x:c>
      <x:c r="C401" t="n">
        <x:v>60</x:v>
      </x:c>
      <x:c r="D401" t="str">
        <x:v>077</x:v>
      </x:c>
      <x:c r="E401" t="str">
        <x:v>Burnt ochre</x:v>
      </x:c>
      <x:c r="F401" t="str">
        <x:v>熟赭色</x:v>
      </x:c>
      <x:c r="G401" t="str">
        <x:v>バーントオーカー</x:v>
      </x:c>
      <x:c r="H401" t="str">
        <x:v>#DA8356</x:v>
      </x:c>
      <x:c r="I401" t="str">
        <x:v>#000000</x:v>
      </x:c>
      <x:c r="J401" t="str">
        <x:v>https://www.carandache.com/content_files/uploaded_doc/product/10986/Colour_Chart_Museum.pdf</x:v>
      </x:c>
    </x:row>
    <x:row r="402">
      <x:c r="A402" t="str">
        <x:v>MUS</x:v>
      </x:c>
      <x:c r="B402" t="str">
        <x:v>MUSEUM Aquarelle</x:v>
      </x:c>
      <x:c r="C402" t="n">
        <x:v>61</x:v>
      </x:c>
      <x:c r="D402" t="str">
        <x:v>059</x:v>
      </x:c>
      <x:c r="E402" t="str">
        <x:v>Brown</x:v>
      </x:c>
      <x:c r="F402" t="str">
        <x:v>棕色</x:v>
      </x:c>
      <x:c r="G402" t="str">
        <x:v>ブラウン</x:v>
      </x:c>
      <x:c r="H402" t="str">
        <x:v>#863F38</x:v>
      </x:c>
      <x:c r="I402" t="str">
        <x:v>#FFFFFF</x:v>
      </x:c>
      <x:c r="J402" t="str">
        <x:v>https://www.carandache.com/content_files/uploaded_doc/product/10986/Colour_Chart_Museum.pdf</x:v>
      </x:c>
    </x:row>
    <x:row r="403">
      <x:c r="A403" t="str">
        <x:v>MUS</x:v>
      </x:c>
      <x:c r="B403" t="str">
        <x:v>MUSEUM Aquarelle</x:v>
      </x:c>
      <x:c r="C403" t="n">
        <x:v>62</x:v>
      </x:c>
      <x:c r="D403" t="str">
        <x:v>044</x:v>
      </x:c>
      <x:c r="E403" t="str">
        <x:v>Terracotta</x:v>
      </x:c>
      <x:c r="F403" t="str">
        <x:v>赤陶色</x:v>
      </x:c>
      <x:c r="G403" t="str">
        <x:v>テラコッタ</x:v>
      </x:c>
      <x:c r="H403" t="str">
        <x:v>#E78C7C</x:v>
      </x:c>
      <x:c r="I403" t="str">
        <x:v>#000000</x:v>
      </x:c>
      <x:c r="J403" t="str">
        <x:v>https://www.carandache.com/content_files/uploaded_doc/product/10986/Colour_Chart_Museum.pdf</x:v>
      </x:c>
    </x:row>
    <x:row r="404">
      <x:c r="A404" t="str">
        <x:v>MUS</x:v>
      </x:c>
      <x:c r="B404" t="str">
        <x:v>MUSEUM Aquarelle</x:v>
      </x:c>
      <x:c r="C404" t="n">
        <x:v>63</x:v>
      </x:c>
      <x:c r="D404" t="str">
        <x:v>065</x:v>
      </x:c>
      <x:c r="E404" t="str">
        <x:v>Russet</x:v>
      </x:c>
      <x:c r="F404" t="str">
        <x:v>赤褐色</x:v>
      </x:c>
      <x:c r="G404" t="str">
        <x:v>ラセット</x:v>
      </x:c>
      <x:c r="H404" t="str">
        <x:v>#E14A44</x:v>
      </x:c>
      <x:c r="I404" t="str">
        <x:v>#000000</x:v>
      </x:c>
      <x:c r="J404" t="str">
        <x:v>https://www.carandache.com/content_files/uploaded_doc/product/10986/Colour_Chart_Museum.pdf</x:v>
      </x:c>
    </x:row>
    <x:row r="405">
      <x:c r="A405" t="str">
        <x:v>MUS</x:v>
      </x:c>
      <x:c r="B405" t="str">
        <x:v>MUSEUM Aquarelle</x:v>
      </x:c>
      <x:c r="C405" t="n">
        <x:v>64</x:v>
      </x:c>
      <x:c r="D405" t="str">
        <x:v>866</x:v>
      </x:c>
      <x:c r="E405" t="str">
        <x:v>Burnt sienna 50%</x:v>
      </x:c>
      <x:c r="F405" t="str">
        <x:v>熟赭紅 50%</x:v>
      </x:c>
      <x:c r="G405" t="str">
        <x:v>バーントシェンナ50%</x:v>
      </x:c>
      <x:c r="H405" t="str">
        <x:v>#B96F6E</x:v>
      </x:c>
      <x:c r="I405" t="str">
        <x:v>#000000</x:v>
      </x:c>
      <x:c r="J405" t="str">
        <x:v>https://www.carandache.com/content_files/uploaded_doc/product/10986/Colour_Chart_Museum.pdf</x:v>
      </x:c>
    </x:row>
    <x:row r="406">
      <x:c r="A406" t="str">
        <x:v>MUS</x:v>
      </x:c>
      <x:c r="B406" t="str">
        <x:v>MUSEUM Aquarelle</x:v>
      </x:c>
      <x:c r="C406" t="n">
        <x:v>65</x:v>
      </x:c>
      <x:c r="D406" t="str">
        <x:v>057</x:v>
      </x:c>
      <x:c r="E406" t="str">
        <x:v>Chestnut</x:v>
      </x:c>
      <x:c r="F406" t="str">
        <x:v>栗棕色</x:v>
      </x:c>
      <x:c r="G406" t="str">
        <x:v>チェストナット</x:v>
      </x:c>
      <x:c r="H406" t="str">
        <x:v>#813437</x:v>
      </x:c>
      <x:c r="I406" t="str">
        <x:v>#FFFFFF</x:v>
      </x:c>
      <x:c r="J406" t="str">
        <x:v>https://www.carandache.com/content_files/uploaded_doc/product/10986/Colour_Chart_Museum.pdf</x:v>
      </x:c>
    </x:row>
    <x:row r="407">
      <x:c r="A407" t="str">
        <x:v>MUS</x:v>
      </x:c>
      <x:c r="B407" t="str">
        <x:v>MUSEUM Aquarelle</x:v>
      </x:c>
      <x:c r="C407" t="n">
        <x:v>66</x:v>
      </x:c>
      <x:c r="D407" t="str">
        <x:v>049</x:v>
      </x:c>
      <x:c r="E407" t="str">
        <x:v>Raw Umber</x:v>
      </x:c>
      <x:c r="F407" t="str">
        <x:v>生褐色</x:v>
      </x:c>
      <x:c r="G407" t="str">
        <x:v>ロー アンバー</x:v>
      </x:c>
      <x:c r="H407" t="str">
        <x:v>#7B5048</x:v>
      </x:c>
      <x:c r="I407" t="str">
        <x:v>#FFFFFF</x:v>
      </x:c>
      <x:c r="J407" t="str">
        <x:v>https://www.carandache.com/content_files/uploaded_doc/product/10986/Colour_Chart_Museum.pdf</x:v>
      </x:c>
    </x:row>
    <x:row r="408">
      <x:c r="A408" t="str">
        <x:v>MUS</x:v>
      </x:c>
      <x:c r="B408" t="str">
        <x:v>MUSEUM Aquarelle</x:v>
      </x:c>
      <x:c r="C408" t="n">
        <x:v>67</x:v>
      </x:c>
      <x:c r="D408" t="str">
        <x:v>046</x:v>
      </x:c>
      <x:c r="E408" t="str">
        <x:v>Cassel earth</x:v>
      </x:c>
      <x:c r="F408" t="str">
        <x:v>卡塞爾土色</x:v>
      </x:c>
      <x:c r="G408" t="str">
        <x:v>カッセルアース</x:v>
      </x:c>
      <x:c r="H408" t="str">
        <x:v>#8F6F58</x:v>
      </x:c>
      <x:c r="I408" t="str">
        <x:v>#000000</x:v>
      </x:c>
      <x:c r="J408" t="str">
        <x:v>https://www.carandache.com/content_files/uploaded_doc/product/10986/Colour_Chart_Museum.pdf</x:v>
      </x:c>
    </x:row>
    <x:row r="409">
      <x:c r="A409" t="str">
        <x:v>MUS</x:v>
      </x:c>
      <x:c r="B409" t="str">
        <x:v>MUSEUM Aquarelle</x:v>
      </x:c>
      <x:c r="C409" t="n">
        <x:v>68</x:v>
      </x:c>
      <x:c r="D409" t="str">
        <x:v>746</x:v>
      </x:c>
      <x:c r="E409" t="str">
        <x:v>Dark flesh 50%</x:v>
      </x:c>
      <x:c r="F409" t="str">
        <x:v>深膚色 50%</x:v>
      </x:c>
      <x:c r="G409" t="str">
        <x:v>ダークフレッシュ50%</x:v>
      </x:c>
      <x:c r="H409" t="str">
        <x:v>#A88065</x:v>
      </x:c>
      <x:c r="I409" t="str">
        <x:v>#000000</x:v>
      </x:c>
      <x:c r="J409" t="str">
        <x:v>https://www.carandache.com/content_files/uploaded_doc/product/10986/Colour_Chart_Museum.pdf</x:v>
      </x:c>
    </x:row>
    <x:row r="410">
      <x:c r="A410" t="str">
        <x:v>MUS</x:v>
      </x:c>
      <x:c r="B410" t="str">
        <x:v>MUSEUM Aquarelle</x:v>
      </x:c>
      <x:c r="C410" t="n">
        <x:v>69</x:v>
      </x:c>
      <x:c r="D410" t="str">
        <x:v>808</x:v>
      </x:c>
      <x:c r="E410" t="str">
        <x:v>French grey</x:v>
      </x:c>
      <x:c r="F410" t="str">
        <x:v>法國灰</x:v>
      </x:c>
      <x:c r="G410" t="str">
        <x:v>フレンチグレイ</x:v>
      </x:c>
      <x:c r="H410" t="str">
        <x:v>#725C4F</x:v>
      </x:c>
      <x:c r="I410" t="str">
        <x:v>#FFFFFF</x:v>
      </x:c>
      <x:c r="J410" t="str">
        <x:v>https://www.carandache.com/content_files/uploaded_doc/product/10986/Colour_Chart_Museum.pdf</x:v>
      </x:c>
    </x:row>
    <x:row r="411">
      <x:c r="A411" t="str">
        <x:v>MUS</x:v>
      </x:c>
      <x:c r="B411" t="str">
        <x:v>MUSEUM Aquarelle</x:v>
      </x:c>
      <x:c r="C411" t="n">
        <x:v>70</x:v>
      </x:c>
      <x:c r="D411" t="str">
        <x:v>906</x:v>
      </x:c>
      <x:c r="E411" t="str">
        <x:v>Sepia 50%</x:v>
      </x:c>
      <x:c r="F411" t="str">
        <x:v>深褐色 50%</x:v>
      </x:c>
      <x:c r="G411" t="str">
        <x:v>セピア50%</x:v>
      </x:c>
      <x:c r="H411" t="str">
        <x:v>#826063</x:v>
      </x:c>
      <x:c r="I411" t="str">
        <x:v>#FFFFFF</x:v>
      </x:c>
      <x:c r="J411" t="str">
        <x:v>https://www.carandache.com/content_files/uploaded_doc/product/10986/Colour_Chart_Museum.pdf</x:v>
      </x:c>
    </x:row>
    <x:row r="412">
      <x:c r="A412" t="str">
        <x:v>MUS</x:v>
      </x:c>
      <x:c r="B412" t="str">
        <x:v>MUSEUM Aquarelle</x:v>
      </x:c>
      <x:c r="C412" t="n">
        <x:v>71</x:v>
      </x:c>
      <x:c r="D412" t="str">
        <x:v>902</x:v>
      </x:c>
      <x:c r="E412" t="str">
        <x:v>Sepia 10%</x:v>
      </x:c>
      <x:c r="F412" t="str">
        <x:v>深褐色 10%</x:v>
      </x:c>
      <x:c r="G412" t="str">
        <x:v>セピア10%</x:v>
      </x:c>
      <x:c r="H412" t="str">
        <x:v>#B79995</x:v>
      </x:c>
      <x:c r="I412" t="str">
        <x:v>#000000</x:v>
      </x:c>
      <x:c r="J412" t="str">
        <x:v>https://www.carandache.com/content_files/uploaded_doc/product/10986/Colour_Chart_Museum.pdf</x:v>
      </x:c>
    </x:row>
    <x:row r="413">
      <x:c r="A413" t="str">
        <x:v>MUS</x:v>
      </x:c>
      <x:c r="B413" t="str">
        <x:v>MUSEUM Aquarelle</x:v>
      </x:c>
      <x:c r="C413" t="n">
        <x:v>72</x:v>
      </x:c>
      <x:c r="D413" t="str">
        <x:v>004</x:v>
      </x:c>
      <x:c r="E413" t="str">
        <x:v>Steel grey</x:v>
      </x:c>
      <x:c r="F413" t="str">
        <x:v>鋼灰色</x:v>
      </x:c>
      <x:c r="G413" t="str">
        <x:v>スチール グレイ</x:v>
      </x:c>
      <x:c r="H413" t="str">
        <x:v>#CFD0D4</x:v>
      </x:c>
      <x:c r="I413" t="str">
        <x:v>#000000</x:v>
      </x:c>
      <x:c r="J413" t="str">
        <x:v>https://www.carandache.com/content_files/uploaded_doc/product/10986/Colour_Chart_Museum.pdf</x:v>
      </x:c>
    </x:row>
    <x:row r="414">
      <x:c r="A414" t="str">
        <x:v>MUS</x:v>
      </x:c>
      <x:c r="B414" t="str">
        <x:v>MUSEUM Aquarelle</x:v>
      </x:c>
      <x:c r="C414" t="n">
        <x:v>73</x:v>
      </x:c>
      <x:c r="D414" t="str">
        <x:v>508</x:v>
      </x:c>
      <x:c r="E414" t="str">
        <x:v>Payne’s grey</x:v>
      </x:c>
      <x:c r="F414" t="str">
        <x:v>佩恩灰</x:v>
      </x:c>
      <x:c r="G414" t="str">
        <x:v>ペインズグレイ</x:v>
      </x:c>
      <x:c r="H414" t="str">
        <x:v>#6F7487</x:v>
      </x:c>
      <x:c r="I414" t="str">
        <x:v>#FFFFFF</x:v>
      </x:c>
      <x:c r="J414" t="str">
        <x:v>https://www.carandache.com/content_files/uploaded_doc/product/10986/Colour_Chart_Museum.pdf</x:v>
      </x:c>
    </x:row>
    <x:row r="415">
      <x:c r="A415" t="str">
        <x:v>MUS</x:v>
      </x:c>
      <x:c r="B415" t="str">
        <x:v>MUSEUM Aquarelle</x:v>
      </x:c>
      <x:c r="C415" t="n">
        <x:v>74</x:v>
      </x:c>
      <x:c r="D415" t="str">
        <x:v>495</x:v>
      </x:c>
      <x:c r="E415" t="str">
        <x:v>Slate grey</x:v>
      </x:c>
      <x:c r="F415" t="str">
        <x:v>板岩灰</x:v>
      </x:c>
      <x:c r="G415" t="str">
        <x:v>スレート グレイ</x:v>
      </x:c>
      <x:c r="H415" t="str">
        <x:v>#97948D</x:v>
      </x:c>
      <x:c r="I415" t="str">
        <x:v>#000000</x:v>
      </x:c>
      <x:c r="J415" t="str">
        <x:v>https://www.carandache.com/content_files/uploaded_doc/product/10986/Colour_Chart_Museum.pdf</x:v>
      </x:c>
    </x:row>
    <x:row r="416">
      <x:c r="A416" t="str">
        <x:v>MUS</x:v>
      </x:c>
      <x:c r="B416" t="str">
        <x:v>MUSEUM Aquarelle</x:v>
      </x:c>
      <x:c r="C416" t="n">
        <x:v>75</x:v>
      </x:c>
      <x:c r="D416" t="str">
        <x:v>496</x:v>
      </x:c>
      <x:c r="E416" t="str">
        <x:v>Ivory Black</x:v>
      </x:c>
      <x:c r="F416" t="str">
        <x:v>象牙黑</x:v>
      </x:c>
      <x:c r="G416" t="str">
        <x:v>アイボリ ブラック</x:v>
      </x:c>
      <x:c r="H416" t="str">
        <x:v>#423C37</x:v>
      </x:c>
      <x:c r="I416" t="str">
        <x:v>#FFFFFF</x:v>
      </x:c>
      <x:c r="J416" t="str">
        <x:v>https://www.carandache.com/content_files/uploaded_doc/product/10986/Colour_Chart_Museum.pdf</x:v>
      </x:c>
    </x:row>
    <x:row r="417">
      <x:c r="A417" t="str">
        <x:v>MUS</x:v>
      </x:c>
      <x:c r="B417" t="str">
        <x:v>MUSEUM Aquarelle</x:v>
      </x:c>
      <x:c r="C417" t="n">
        <x:v>76</x:v>
      </x:c>
      <x:c r="D417" t="str">
        <x:v>009</x:v>
      </x:c>
      <x:c r="E417" t="str">
        <x:v>Black</x:v>
      </x:c>
      <x:c r="F417" t="str">
        <x:v>黑色</x:v>
      </x:c>
      <x:c r="G417" t="str">
        <x:v>ブラック</x:v>
      </x:c>
      <x:c r="H417" t="str">
        <x:v>#696969</x:v>
      </x:c>
      <x:c r="I417" t="str">
        <x:v>#FFFFFF</x:v>
      </x:c>
      <x:c r="J417" t="str">
        <x:v>https://www.carandache.com/content_files/uploaded_doc/product/10986/Colour_Chart_Museum.pdf</x:v>
      </x:c>
    </x:row>
    <x:row r="418">
      <x:c r="A418" t="str">
        <x:v>NC2</x:v>
      </x:c>
      <x:c r="B418" t="str">
        <x:v>NEOCOLOR II Aquarelle</x:v>
      </x:c>
      <x:c r="C418" t="n">
        <x:v>1</x:v>
      </x:c>
      <x:c r="D418" t="str">
        <x:v>011</x:v>
      </x:c>
      <x:c r="E418" t="str">
        <x:v>Pale yellow</x:v>
      </x:c>
      <x:c r="F418" t="str">
        <x:v>淡黃色</x:v>
      </x:c>
      <x:c r="G418" t="str">
        <x:v>ペールイエロー</x:v>
      </x:c>
      <x:c r="H418" t="str">
        <x:v>#FFF7CA</x:v>
      </x:c>
      <x:c r="I418" t="str">
        <x:v>#000000</x:v>
      </x:c>
      <x:c r="J418" t="str">
        <x:v>https://www.carandache.com/content_files/uploaded_doc/product/10603/Colour_Chart_NeocolorII_841.pdf</x:v>
      </x:c>
    </x:row>
    <x:row r="419">
      <x:c r="A419" t="str">
        <x:v>NC2</x:v>
      </x:c>
      <x:c r="B419" t="str">
        <x:v>NEOCOLOR II Aquarelle</x:v>
      </x:c>
      <x:c r="C419" t="n">
        <x:v>2</x:v>
      </x:c>
      <x:c r="D419" t="str">
        <x:v>240</x:v>
      </x:c>
      <x:c r="E419" t="str">
        <x:v>Lemon yellow</x:v>
      </x:c>
      <x:c r="F419" t="str">
        <x:v>檸檬黃</x:v>
      </x:c>
      <x:c r="G419" t="str">
        <x:v>レモンイエロー</x:v>
      </x:c>
      <x:c r="H419" t="str">
        <x:v>#FDF299</x:v>
      </x:c>
      <x:c r="I419" t="str">
        <x:v>#000000</x:v>
      </x:c>
      <x:c r="J419" t="str">
        <x:v>https://www.carandache.com/content_files/uploaded_doc/product/10603/Colour_Chart_NeocolorII_841.pdf</x:v>
      </x:c>
    </x:row>
    <x:row r="420">
      <x:c r="A420" t="str">
        <x:v>NC2</x:v>
      </x:c>
      <x:c r="B420" t="str">
        <x:v>NEOCOLOR II Aquarelle</x:v>
      </x:c>
      <x:c r="C420" t="n">
        <x:v>3</x:v>
      </x:c>
      <x:c r="D420" t="str">
        <x:v>250</x:v>
      </x:c>
      <x:c r="E420" t="str">
        <x:v>Canary yellow</x:v>
      </x:c>
      <x:c r="F420" t="str">
        <x:v>金絲雀黃</x:v>
      </x:c>
      <x:c r="G420" t="str">
        <x:v>カナリアイエロー</x:v>
      </x:c>
      <x:c r="H420" t="str">
        <x:v>#FDF39B</x:v>
      </x:c>
      <x:c r="I420" t="str">
        <x:v>#000000</x:v>
      </x:c>
      <x:c r="J420" t="str">
        <x:v>https://www.carandache.com/content_files/uploaded_doc/product/10603/Colour_Chart_NeocolorII_841.pdf</x:v>
      </x:c>
    </x:row>
    <x:row r="421">
      <x:c r="A421" t="str">
        <x:v>NC2</x:v>
      </x:c>
      <x:c r="B421" t="str">
        <x:v>NEOCOLOR II Aquarelle</x:v>
      </x:c>
      <x:c r="C421" t="n">
        <x:v>4</x:v>
      </x:c>
      <x:c r="D421" t="str">
        <x:v>010</x:v>
      </x:c>
      <x:c r="E421" t="str">
        <x:v>Yellow</x:v>
      </x:c>
      <x:c r="F421" t="str">
        <x:v>黃色</x:v>
      </x:c>
      <x:c r="G421" t="str">
        <x:v>イエロー</x:v>
      </x:c>
      <x:c r="H421" t="str">
        <x:v>#FFEF57</x:v>
      </x:c>
      <x:c r="I421" t="str">
        <x:v>#000000</x:v>
      </x:c>
      <x:c r="J421" t="str">
        <x:v>https://www.carandache.com/content_files/uploaded_doc/product/10603/Colour_Chart_NeocolorII_841.pdf</x:v>
      </x:c>
    </x:row>
    <x:row r="422">
      <x:c r="A422" t="str">
        <x:v>NC2</x:v>
      </x:c>
      <x:c r="B422" t="str">
        <x:v>NEOCOLOR II Aquarelle</x:v>
      </x:c>
      <x:c r="C422" t="n">
        <x:v>5</x:v>
      </x:c>
      <x:c r="D422" t="str">
        <x:v>020</x:v>
      </x:c>
      <x:c r="E422" t="str">
        <x:v>Golden yellow</x:v>
      </x:c>
      <x:c r="F422" t="str">
        <x:v>金黃色</x:v>
      </x:c>
      <x:c r="G422" t="str">
        <x:v>ゴールデンイエロー</x:v>
      </x:c>
      <x:c r="H422" t="str">
        <x:v>#FFEA49</x:v>
      </x:c>
      <x:c r="I422" t="str">
        <x:v>#000000</x:v>
      </x:c>
      <x:c r="J422" t="str">
        <x:v>https://www.carandache.com/content_files/uploaded_doc/product/10603/Colour_Chart_NeocolorII_841.pdf</x:v>
      </x:c>
    </x:row>
    <x:row r="423">
      <x:c r="A423" t="str">
        <x:v>NC2</x:v>
      </x:c>
      <x:c r="B423" t="str">
        <x:v>NEOCOLOR II Aquarelle</x:v>
      </x:c>
      <x:c r="C423" t="n">
        <x:v>6</x:v>
      </x:c>
      <x:c r="D423" t="str">
        <x:v>030</x:v>
      </x:c>
      <x:c r="E423" t="str">
        <x:v>Orange</x:v>
      </x:c>
      <x:c r="F423" t="str">
        <x:v>橙色</x:v>
      </x:c>
      <x:c r="G423" t="str">
        <x:v>オレンジ</x:v>
      </x:c>
      <x:c r="H423" t="str">
        <x:v>#FFE757</x:v>
      </x:c>
      <x:c r="I423" t="str">
        <x:v>#000000</x:v>
      </x:c>
      <x:c r="J423" t="str">
        <x:v>https://www.carandache.com/content_files/uploaded_doc/product/10603/Colour_Chart_NeocolorII_841.pdf</x:v>
      </x:c>
    </x:row>
    <x:row r="424">
      <x:c r="A424" t="str">
        <x:v>NC2</x:v>
      </x:c>
      <x:c r="B424" t="str">
        <x:v>NEOCOLOR II Aquarelle</x:v>
      </x:c>
      <x:c r="C424" t="n">
        <x:v>7</x:v>
      </x:c>
      <x:c r="D424" t="str">
        <x:v>300</x:v>
      </x:c>
      <x:c r="E424" t="str">
        <x:v>Fast orange</x:v>
      </x:c>
      <x:c r="F424" t="str">
        <x:v>耐久橙</x:v>
      </x:c>
      <x:c r="G424" t="str">
        <x:v>ファストオレンジ</x:v>
      </x:c>
      <x:c r="H424" t="str">
        <x:v>#FCC647</x:v>
      </x:c>
      <x:c r="I424" t="str">
        <x:v>#000000</x:v>
      </x:c>
      <x:c r="J424" t="str">
        <x:v>https://www.carandache.com/content_files/uploaded_doc/product/10603/Colour_Chart_NeocolorII_841.pdf</x:v>
      </x:c>
    </x:row>
    <x:row r="425">
      <x:c r="A425" t="str">
        <x:v>NC2</x:v>
      </x:c>
      <x:c r="B425" t="str">
        <x:v>NEOCOLOR II Aquarelle</x:v>
      </x:c>
      <x:c r="C425" t="n">
        <x:v>8</x:v>
      </x:c>
      <x:c r="D425" t="str">
        <x:v>050</x:v>
      </x:c>
      <x:c r="E425" t="str">
        <x:v>Flame red</x:v>
      </x:c>
      <x:c r="F425" t="str">
        <x:v>火焰紅</x:v>
      </x:c>
      <x:c r="G425" t="str">
        <x:v>フレームレッド</x:v>
      </x:c>
      <x:c r="H425" t="str">
        <x:v>#FBC97D</x:v>
      </x:c>
      <x:c r="I425" t="str">
        <x:v>#000000</x:v>
      </x:c>
      <x:c r="J425" t="str">
        <x:v>https://www.carandache.com/content_files/uploaded_doc/product/10603/Colour_Chart_NeocolorII_841.pdf</x:v>
      </x:c>
    </x:row>
    <x:row r="426">
      <x:c r="A426" t="str">
        <x:v>NC2</x:v>
      </x:c>
      <x:c r="B426" t="str">
        <x:v>NEOCOLOR II Aquarelle</x:v>
      </x:c>
      <x:c r="C426" t="n">
        <x:v>9</x:v>
      </x:c>
      <x:c r="D426" t="str">
        <x:v>060</x:v>
      </x:c>
      <x:c r="E426" t="str">
        <x:v>Vermilion</x:v>
      </x:c>
      <x:c r="F426" t="str">
        <x:v>朱紅</x:v>
      </x:c>
      <x:c r="G426" t="str">
        <x:v>バーミリオン</x:v>
      </x:c>
      <x:c r="H426" t="str">
        <x:v>#F9D0C4</x:v>
      </x:c>
      <x:c r="I426" t="str">
        <x:v>#000000</x:v>
      </x:c>
      <x:c r="J426" t="str">
        <x:v>https://www.carandache.com/content_files/uploaded_doc/product/10603/Colour_Chart_NeocolorII_841.pdf</x:v>
      </x:c>
    </x:row>
    <x:row r="427">
      <x:c r="A427" t="str">
        <x:v>NC2</x:v>
      </x:c>
      <x:c r="B427" t="str">
        <x:v>NEOCOLOR II Aquarelle</x:v>
      </x:c>
      <x:c r="C427" t="n">
        <x:v>10</x:v>
      </x:c>
      <x:c r="D427" t="str">
        <x:v>560</x:v>
      </x:c>
      <x:c r="E427" t="str">
        <x:v>Light cadmium red</x:v>
      </x:c>
      <x:c r="F427" t="str">
        <x:v>淺鎘紅</x:v>
      </x:c>
      <x:c r="G427" t="str">
        <x:v>ライトカドミウムレッド</x:v>
      </x:c>
      <x:c r="H427" t="str">
        <x:v>#FCE2DE</x:v>
      </x:c>
      <x:c r="I427" t="str">
        <x:v>#000000</x:v>
      </x:c>
      <x:c r="J427" t="str">
        <x:v>https://www.carandache.com/content_files/uploaded_doc/product/10603/Colour_Chart_NeocolorII_841.pdf</x:v>
      </x:c>
    </x:row>
    <x:row r="428">
      <x:c r="A428" t="str">
        <x:v>NC2</x:v>
      </x:c>
      <x:c r="B428" t="str">
        <x:v>NEOCOLOR II Aquarelle</x:v>
      </x:c>
      <x:c r="C428" t="n">
        <x:v>11</x:v>
      </x:c>
      <x:c r="D428" t="str">
        <x:v>070</x:v>
      </x:c>
      <x:c r="E428" t="str">
        <x:v>Scarlet</x:v>
      </x:c>
      <x:c r="F428" t="str">
        <x:v>猩紅</x:v>
      </x:c>
      <x:c r="G428" t="str">
        <x:v>スカーレット</x:v>
      </x:c>
      <x:c r="H428" t="str">
        <x:v>#F8C6C6</x:v>
      </x:c>
      <x:c r="I428" t="str">
        <x:v>#000000</x:v>
      </x:c>
      <x:c r="J428" t="str">
        <x:v>https://www.carandache.com/content_files/uploaded_doc/product/10603/Colour_Chart_NeocolorII_841.pdf</x:v>
      </x:c>
    </x:row>
    <x:row r="429">
      <x:c r="A429" t="str">
        <x:v>NC2</x:v>
      </x:c>
      <x:c r="B429" t="str">
        <x:v>NEOCOLOR II Aquarelle</x:v>
      </x:c>
      <x:c r="C429" t="n">
        <x:v>12</x:v>
      </x:c>
      <x:c r="D429" t="str">
        <x:v>280</x:v>
      </x:c>
      <x:c r="E429" t="str">
        <x:v>Ruby red</x:v>
      </x:c>
      <x:c r="F429" t="str">
        <x:v>紅寶石紅</x:v>
      </x:c>
      <x:c r="G429" t="str">
        <x:v>ルビーレッド</x:v>
      </x:c>
      <x:c r="H429" t="str">
        <x:v>#F2A4AA</x:v>
      </x:c>
      <x:c r="I429" t="str">
        <x:v>#000000</x:v>
      </x:c>
      <x:c r="J429" t="str">
        <x:v>https://www.carandache.com/content_files/uploaded_doc/product/10603/Colour_Chart_NeocolorII_841.pdf</x:v>
      </x:c>
    </x:row>
    <x:row r="430">
      <x:c r="A430" t="str">
        <x:v>NC2</x:v>
      </x:c>
      <x:c r="B430" t="str">
        <x:v>NEOCOLOR II Aquarelle</x:v>
      </x:c>
      <x:c r="C430" t="n">
        <x:v>13</x:v>
      </x:c>
      <x:c r="D430" t="str">
        <x:v>080</x:v>
      </x:c>
      <x:c r="E430" t="str">
        <x:v>Carmine Lake</x:v>
      </x:c>
      <x:c r="F430" t="str">
        <x:v>胭脂紅色淀</x:v>
      </x:c>
      <x:c r="G430" t="str">
        <x:v>カーマインレーキ</x:v>
      </x:c>
      <x:c r="H430" t="str">
        <x:v>#F6C6D2</x:v>
      </x:c>
      <x:c r="I430" t="str">
        <x:v>#000000</x:v>
      </x:c>
      <x:c r="J430" t="str">
        <x:v>https://www.carandache.com/content_files/uploaded_doc/product/10603/Colour_Chart_NeocolorII_841.pdf</x:v>
      </x:c>
    </x:row>
    <x:row r="431">
      <x:c r="A431" t="str">
        <x:v>NC2</x:v>
      </x:c>
      <x:c r="B431" t="str">
        <x:v>NEOCOLOR II Aquarelle</x:v>
      </x:c>
      <x:c r="C431" t="n">
        <x:v>14</x:v>
      </x:c>
      <x:c r="D431" t="str">
        <x:v>589</x:v>
      </x:c>
      <x:c r="E431" t="str">
        <x:v>Crimson alizarin (hue)</x:v>
      </x:c>
      <x:c r="F431" t="str">
        <x:v>茜素深紅（色相）</x:v>
      </x:c>
      <x:c r="G431" t="str">
        <x:v>アリザリンクリムゾン（ヒュー）</x:v>
      </x:c>
      <x:c r="H431" t="str">
        <x:v>#E9907F</x:v>
      </x:c>
      <x:c r="I431" t="str">
        <x:v>#000000</x:v>
      </x:c>
      <x:c r="J431" t="str">
        <x:v>https://www.carandache.com/content_files/uploaded_doc/product/10603/Colour_Chart_NeocolorII_841.pdf</x:v>
      </x:c>
    </x:row>
    <x:row r="432">
      <x:c r="A432" t="str">
        <x:v>NC2</x:v>
      </x:c>
      <x:c r="B432" t="str">
        <x:v>NEOCOLOR II Aquarelle</x:v>
      </x:c>
      <x:c r="C432" t="n">
        <x:v>15</x:v>
      </x:c>
      <x:c r="D432" t="str">
        <x:v>069</x:v>
      </x:c>
      <x:c r="E432" t="str">
        <x:v>Burnt sienna</x:v>
      </x:c>
      <x:c r="F432" t="str">
        <x:v>熟赭紅</x:v>
      </x:c>
      <x:c r="G432" t="str">
        <x:v>バーントシェンナ</x:v>
      </x:c>
      <x:c r="H432" t="str">
        <x:v>#D28E7B</x:v>
      </x:c>
      <x:c r="I432" t="str">
        <x:v>#000000</x:v>
      </x:c>
      <x:c r="J432" t="str">
        <x:v>https://www.carandache.com/content_files/uploaded_doc/product/10603/Colour_Chart_NeocolorII_841.pdf</x:v>
      </x:c>
    </x:row>
    <x:row r="433">
      <x:c r="A433" t="str">
        <x:v>NC2</x:v>
      </x:c>
      <x:c r="B433" t="str">
        <x:v>NEOCOLOR II Aquarelle</x:v>
      </x:c>
      <x:c r="C433" t="n">
        <x:v>16</x:v>
      </x:c>
      <x:c r="D433" t="str">
        <x:v>063</x:v>
      </x:c>
      <x:c r="E433" t="str">
        <x:v>English red</x:v>
      </x:c>
      <x:c r="F433" t="str">
        <x:v>英國紅</x:v>
      </x:c>
      <x:c r="G433" t="str">
        <x:v>イングリッシュレッド</x:v>
      </x:c>
      <x:c r="H433" t="str">
        <x:v>#E68764</x:v>
      </x:c>
      <x:c r="I433" t="str">
        <x:v>#000000</x:v>
      </x:c>
      <x:c r="J433" t="str">
        <x:v>https://www.carandache.com/content_files/uploaded_doc/product/10603/Colour_Chart_NeocolorII_841.pdf</x:v>
      </x:c>
    </x:row>
    <x:row r="434">
      <x:c r="A434" t="str">
        <x:v>NC2</x:v>
      </x:c>
      <x:c r="B434" t="str">
        <x:v>NEOCOLOR II Aquarelle</x:v>
      </x:c>
      <x:c r="C434" t="n">
        <x:v>17</x:v>
      </x:c>
      <x:c r="D434" t="str">
        <x:v>052</x:v>
      </x:c>
      <x:c r="E434" t="str">
        <x:v>Saffron</x:v>
      </x:c>
      <x:c r="F434" t="str">
        <x:v>藏紅花黃</x:v>
      </x:c>
      <x:c r="G434" t="str">
        <x:v>サフラン</x:v>
      </x:c>
      <x:c r="H434" t="str">
        <x:v>#F29C54</x:v>
      </x:c>
      <x:c r="I434" t="str">
        <x:v>#000000</x:v>
      </x:c>
      <x:c r="J434" t="str">
        <x:v>https://www.carandache.com/content_files/uploaded_doc/product/10603/Colour_Chart_NeocolorII_841.pdf</x:v>
      </x:c>
    </x:row>
    <x:row r="435">
      <x:c r="A435" t="str">
        <x:v>NC2</x:v>
      </x:c>
      <x:c r="B435" t="str">
        <x:v>NEOCOLOR II Aquarelle</x:v>
      </x:c>
      <x:c r="C435" t="n">
        <x:v>18</x:v>
      </x:c>
      <x:c r="D435" t="str">
        <x:v>065</x:v>
      </x:c>
      <x:c r="E435" t="str">
        <x:v>Russet</x:v>
      </x:c>
      <x:c r="F435" t="str">
        <x:v>赤褐色</x:v>
      </x:c>
      <x:c r="G435" t="str">
        <x:v>ラセット</x:v>
      </x:c>
      <x:c r="H435" t="str">
        <x:v>#E78C55</x:v>
      </x:c>
      <x:c r="I435" t="str">
        <x:v>#000000</x:v>
      </x:c>
      <x:c r="J435" t="str">
        <x:v>https://www.carandache.com/content_files/uploaded_doc/product/10603/Colour_Chart_NeocolorII_841.pdf</x:v>
      </x:c>
    </x:row>
    <x:row r="436">
      <x:c r="A436" t="str">
        <x:v>NC2</x:v>
      </x:c>
      <x:c r="B436" t="str">
        <x:v>NEOCOLOR II Aquarelle</x:v>
      </x:c>
      <x:c r="C436" t="n">
        <x:v>19</x:v>
      </x:c>
      <x:c r="D436" t="str">
        <x:v>055</x:v>
      </x:c>
      <x:c r="E436" t="str">
        <x:v>Cinnamon</x:v>
      </x:c>
      <x:c r="F436" t="str">
        <x:v>肉桂色</x:v>
      </x:c>
      <x:c r="G436" t="str">
        <x:v>シナモン</x:v>
      </x:c>
      <x:c r="H436" t="str">
        <x:v>#EFB184</x:v>
      </x:c>
      <x:c r="I436" t="str">
        <x:v>#000000</x:v>
      </x:c>
      <x:c r="J436" t="str">
        <x:v>https://www.carandache.com/content_files/uploaded_doc/product/10603/Colour_Chart_NeocolorII_841.pdf</x:v>
      </x:c>
    </x:row>
    <x:row r="437">
      <x:c r="A437" t="str">
        <x:v>NC2</x:v>
      </x:c>
      <x:c r="B437" t="str">
        <x:v>NEOCOLOR II Aquarelle</x:v>
      </x:c>
      <x:c r="C437" t="n">
        <x:v>20</x:v>
      </x:c>
      <x:c r="D437" t="str">
        <x:v>036</x:v>
      </x:c>
      <x:c r="E437" t="str">
        <x:v>Raw sienna</x:v>
      </x:c>
      <x:c r="F437" t="str">
        <x:v>生赭色</x:v>
      </x:c>
      <x:c r="G437" t="str">
        <x:v>ローシェンナ</x:v>
      </x:c>
      <x:c r="H437" t="str">
        <x:v>#F7CD96</x:v>
      </x:c>
      <x:c r="I437" t="str">
        <x:v>#000000</x:v>
      </x:c>
      <x:c r="J437" t="str">
        <x:v>https://www.carandache.com/content_files/uploaded_doc/product/10603/Colour_Chart_NeocolorII_841.pdf</x:v>
      </x:c>
    </x:row>
    <x:row r="438">
      <x:c r="A438" t="str">
        <x:v>NC2</x:v>
      </x:c>
      <x:c r="B438" t="str">
        <x:v>NEOCOLOR II Aquarelle</x:v>
      </x:c>
      <x:c r="C438" t="n">
        <x:v>21</x:v>
      </x:c>
      <x:c r="D438" t="str">
        <x:v>033</x:v>
      </x:c>
      <x:c r="E438" t="str">
        <x:v>Golden ochre</x:v>
      </x:c>
      <x:c r="F438" t="str">
        <x:v>金赭色</x:v>
      </x:c>
      <x:c r="G438" t="str">
        <x:v>ゴールデンオーカー</x:v>
      </x:c>
      <x:c r="H438" t="str">
        <x:v>#FCCE75</x:v>
      </x:c>
      <x:c r="I438" t="str">
        <x:v>#000000</x:v>
      </x:c>
      <x:c r="J438" t="str">
        <x:v>https://www.carandache.com/content_files/uploaded_doc/product/10603/Colour_Chart_NeocolorII_841.pdf</x:v>
      </x:c>
    </x:row>
    <x:row r="439">
      <x:c r="A439" t="str">
        <x:v>NC2</x:v>
      </x:c>
      <x:c r="B439" t="str">
        <x:v>NEOCOLOR II Aquarelle</x:v>
      </x:c>
      <x:c r="C439" t="n">
        <x:v>22</x:v>
      </x:c>
      <x:c r="D439" t="str">
        <x:v>035</x:v>
      </x:c>
      <x:c r="E439" t="str">
        <x:v>Ochre</x:v>
      </x:c>
      <x:c r="F439" t="str">
        <x:v>赭色</x:v>
      </x:c>
      <x:c r="G439" t="str">
        <x:v>オーカー</x:v>
      </x:c>
      <x:c r="H439" t="str">
        <x:v>#F8BC65</x:v>
      </x:c>
      <x:c r="I439" t="str">
        <x:v>#000000</x:v>
      </x:c>
      <x:c r="J439" t="str">
        <x:v>https://www.carandache.com/content_files/uploaded_doc/product/10603/Colour_Chart_NeocolorII_841.pdf</x:v>
      </x:c>
    </x:row>
    <x:row r="440">
      <x:c r="A440" t="str">
        <x:v>NC2</x:v>
      </x:c>
      <x:c r="B440" t="str">
        <x:v>NEOCOLOR II Aquarelle</x:v>
      </x:c>
      <x:c r="C440" t="n">
        <x:v>23</x:v>
      </x:c>
      <x:c r="D440" t="str">
        <x:v>039</x:v>
      </x:c>
      <x:c r="E440" t="str">
        <x:v>Olive brown</x:v>
      </x:c>
      <x:c r="F440" t="str">
        <x:v>橄欖棕</x:v>
      </x:c>
      <x:c r="G440" t="str">
        <x:v>オリーブブラウン</x:v>
      </x:c>
      <x:c r="H440" t="str">
        <x:v>#D3A95A</x:v>
      </x:c>
      <x:c r="I440" t="str">
        <x:v>#000000</x:v>
      </x:c>
      <x:c r="J440" t="str">
        <x:v>https://www.carandache.com/content_files/uploaded_doc/product/10603/Colour_Chart_NeocolorII_841.pdf</x:v>
      </x:c>
    </x:row>
    <x:row r="441">
      <x:c r="A441" t="str">
        <x:v>NC2</x:v>
      </x:c>
      <x:c r="B441" t="str">
        <x:v>NEOCOLOR II Aquarelle</x:v>
      </x:c>
      <x:c r="C441" t="n">
        <x:v>24</x:v>
      </x:c>
      <x:c r="D441" t="str">
        <x:v>249</x:v>
      </x:c>
      <x:c r="E441" t="str">
        <x:v>Olive</x:v>
      </x:c>
      <x:c r="F441" t="str">
        <x:v>深橄欖色</x:v>
      </x:c>
      <x:c r="G441" t="str">
        <x:v>ダークオリーブ</x:v>
      </x:c>
      <x:c r="H441" t="str">
        <x:v>#C1AE5C</x:v>
      </x:c>
      <x:c r="I441" t="str">
        <x:v>#000000</x:v>
      </x:c>
      <x:c r="J441" t="str">
        <x:v>https://www.carandache.com/content_files/uploaded_doc/product/10603/Colour_Chart_NeocolorII_841.pdf</x:v>
      </x:c>
    </x:row>
    <x:row r="442">
      <x:c r="A442" t="str">
        <x:v>NC2</x:v>
      </x:c>
      <x:c r="B442" t="str">
        <x:v>NEOCOLOR II Aquarelle</x:v>
      </x:c>
      <x:c r="C442" t="n">
        <x:v>25</x:v>
      </x:c>
      <x:c r="D442" t="str">
        <x:v>049</x:v>
      </x:c>
      <x:c r="E442" t="str">
        <x:v>Umber</x:v>
      </x:c>
      <x:c r="F442" t="str">
        <x:v>褐土色</x:v>
      </x:c>
      <x:c r="G442" t="str">
        <x:v>アンバー</x:v>
      </x:c>
      <x:c r="H442" t="str">
        <x:v>#BCA581</x:v>
      </x:c>
      <x:c r="I442" t="str">
        <x:v>#000000</x:v>
      </x:c>
      <x:c r="J442" t="str">
        <x:v>https://www.carandache.com/content_files/uploaded_doc/product/10603/Colour_Chart_NeocolorII_841.pdf</x:v>
      </x:c>
    </x:row>
    <x:row r="443">
      <x:c r="A443" t="str">
        <x:v>NC2</x:v>
      </x:c>
      <x:c r="B443" t="str">
        <x:v>NEOCOLOR II Aquarelle</x:v>
      </x:c>
      <x:c r="C443" t="n">
        <x:v>26</x:v>
      </x:c>
      <x:c r="D443" t="str">
        <x:v>045</x:v>
      </x:c>
      <x:c r="E443" t="str">
        <x:v>Vandycke brown</x:v>
      </x:c>
      <x:c r="F443" t="str">
        <x:v>凡戴克棕</x:v>
      </x:c>
      <x:c r="G443" t="str">
        <x:v>ヴァンダイクブラウン</x:v>
      </x:c>
      <x:c r="H443" t="str">
        <x:v>#CCA789</x:v>
      </x:c>
      <x:c r="I443" t="str">
        <x:v>#000000</x:v>
      </x:c>
      <x:c r="J443" t="str">
        <x:v>https://www.carandache.com/content_files/uploaded_doc/product/10603/Colour_Chart_NeocolorII_841.pdf</x:v>
      </x:c>
    </x:row>
    <x:row r="444">
      <x:c r="A444" t="str">
        <x:v>NC2</x:v>
      </x:c>
      <x:c r="B444" t="str">
        <x:v>NEOCOLOR II Aquarelle</x:v>
      </x:c>
      <x:c r="C444" t="n">
        <x:v>27</x:v>
      </x:c>
      <x:c r="D444" t="str">
        <x:v>059</x:v>
      </x:c>
      <x:c r="E444" t="str">
        <x:v>Brown</x:v>
      </x:c>
      <x:c r="F444" t="str">
        <x:v>棕色</x:v>
      </x:c>
      <x:c r="G444" t="str">
        <x:v>ブラウン</x:v>
      </x:c>
      <x:c r="H444" t="str">
        <x:v>#DB9366</x:v>
      </x:c>
      <x:c r="I444" t="str">
        <x:v>#000000</x:v>
      </x:c>
      <x:c r="J444" t="str">
        <x:v>https://www.carandache.com/content_files/uploaded_doc/product/10603/Colour_Chart_NeocolorII_841.pdf</x:v>
      </x:c>
    </x:row>
    <x:row r="445">
      <x:c r="A445" t="str">
        <x:v>NC2</x:v>
      </x:c>
      <x:c r="B445" t="str">
        <x:v>NEOCOLOR II Aquarelle</x:v>
      </x:c>
      <x:c r="C445" t="n">
        <x:v>28</x:v>
      </x:c>
      <x:c r="D445" t="str">
        <x:v>028</x:v>
      </x:c>
      <x:c r="E445" t="str">
        <x:v>Toledo brown</x:v>
      </x:c>
      <x:c r="F445" t="str">
        <x:v>托雷多棕</x:v>
      </x:c>
      <x:c r="G445" t="str">
        <x:v>トレドブラウン</x:v>
      </x:c>
      <x:c r="H445" t="str">
        <x:v>#E9B596</x:v>
      </x:c>
      <x:c r="I445" t="str">
        <x:v>#000000</x:v>
      </x:c>
      <x:c r="J445" t="str">
        <x:v>https://www.carandache.com/content_files/uploaded_doc/product/10603/Colour_Chart_NeocolorII_841.pdf</x:v>
      </x:c>
    </x:row>
    <x:row r="446">
      <x:c r="A446" t="str">
        <x:v>NC2</x:v>
      </x:c>
      <x:c r="B446" t="str">
        <x:v>NEOCOLOR II Aquarelle</x:v>
      </x:c>
      <x:c r="C446" t="n">
        <x:v>29</x:v>
      </x:c>
      <x:c r="D446" t="str">
        <x:v>009</x:v>
      </x:c>
      <x:c r="E446" t="str">
        <x:v>Black</x:v>
      </x:c>
      <x:c r="F446" t="str">
        <x:v>黑色</x:v>
      </x:c>
      <x:c r="G446" t="str">
        <x:v>ブラック</x:v>
      </x:c>
      <x:c r="H446" s="57" t="str">
        <x:v>#393937</x:v>
      </x:c>
      <x:c r="I446" t="str">
        <x:v>#FFFFFF</x:v>
      </x:c>
      <x:c r="J446" t="str">
        <x:v>https://www.carandache.com/content_files/uploaded_doc/product/10603/Colour_Chart_NeocolorII_841.pdf</x:v>
      </x:c>
    </x:row>
    <x:row r="447">
      <x:c r="A447" t="str">
        <x:v>NC2</x:v>
      </x:c>
      <x:c r="B447" t="str">
        <x:v>NEOCOLOR II Aquarelle</x:v>
      </x:c>
      <x:c r="C447" t="n">
        <x:v>30</x:v>
      </x:c>
      <x:c r="D447" t="str">
        <x:v>409</x:v>
      </x:c>
      <x:c r="E447" t="str">
        <x:v>Charcoal grey</x:v>
      </x:c>
      <x:c r="F447" t="str">
        <x:v>炭灰色</x:v>
      </x:c>
      <x:c r="G447" t="str">
        <x:v>チャコールグレー</x:v>
      </x:c>
      <x:c r="H447" t="str">
        <x:v>#A19588</x:v>
      </x:c>
      <x:c r="I447" t="str">
        <x:v>#000000</x:v>
      </x:c>
      <x:c r="J447" t="str">
        <x:v>https://www.carandache.com/content_files/uploaded_doc/product/10603/Colour_Chart_NeocolorII_841.pdf</x:v>
      </x:c>
    </x:row>
    <x:row r="448">
      <x:c r="A448" t="str">
        <x:v>NC2</x:v>
      </x:c>
      <x:c r="B448" t="str">
        <x:v>NEOCOLOR II Aquarelle</x:v>
      </x:c>
      <x:c r="C448" t="n">
        <x:v>31</x:v>
      </x:c>
      <x:c r="D448" t="str">
        <x:v>407</x:v>
      </x:c>
      <x:c r="E448" t="str">
        <x:v>Sepia</x:v>
      </x:c>
      <x:c r="F448" t="str">
        <x:v>深褐色</x:v>
      </x:c>
      <x:c r="G448" t="str">
        <x:v>セピア</x:v>
      </x:c>
      <x:c r="H448" t="str">
        <x:v>#B2A48B</x:v>
      </x:c>
      <x:c r="I448" t="str">
        <x:v>#000000</x:v>
      </x:c>
      <x:c r="J448" t="str">
        <x:v>https://www.carandache.com/content_files/uploaded_doc/product/10603/Colour_Chart_NeocolorII_841.pdf</x:v>
      </x:c>
    </x:row>
    <x:row r="449">
      <x:c r="A449" t="str">
        <x:v>NC2</x:v>
      </x:c>
      <x:c r="B449" t="str">
        <x:v>NEOCOLOR II Aquarelle</x:v>
      </x:c>
      <x:c r="C449" t="n">
        <x:v>32</x:v>
      </x:c>
      <x:c r="D449" t="str">
        <x:v>508</x:v>
      </x:c>
      <x:c r="E449" t="str">
        <x:v>Payne’s grey</x:v>
      </x:c>
      <x:c r="F449" t="str">
        <x:v>佩恩灰</x:v>
      </x:c>
      <x:c r="G449" t="str">
        <x:v>ペインズグレー</x:v>
      </x:c>
      <x:c r="H449" t="str">
        <x:v>#DCD8D2</x:v>
      </x:c>
      <x:c r="I449" t="str">
        <x:v>#000000</x:v>
      </x:c>
      <x:c r="J449" t="str">
        <x:v>https://www.carandache.com/content_files/uploaded_doc/product/10603/Colour_Chart_NeocolorII_841.pdf</x:v>
      </x:c>
    </x:row>
    <x:row r="450">
      <x:c r="A450" t="str">
        <x:v>NC2</x:v>
      </x:c>
      <x:c r="B450" t="str">
        <x:v>NEOCOLOR II Aquarelle</x:v>
      </x:c>
      <x:c r="C450" t="n">
        <x:v>33</x:v>
      </x:c>
      <x:c r="D450" t="str">
        <x:v>008</x:v>
      </x:c>
      <x:c r="E450" t="str">
        <x:v>Greyish black</x:v>
      </x:c>
      <x:c r="F450" t="str">
        <x:v>灰黑色</x:v>
      </x:c>
      <x:c r="G450" t="str">
        <x:v>グレイッシュブラック</x:v>
      </x:c>
      <x:c r="H450" s="59" t="str">
        <x:v>#474C51</x:v>
      </x:c>
      <x:c r="I450" t="str">
        <x:v>#FFFFFF</x:v>
      </x:c>
      <x:c r="J450" t="str">
        <x:v>https://www.carandache.com/content_files/uploaded_doc/product/10603/Colour_Chart_NeocolorII_841.pdf</x:v>
      </x:c>
    </x:row>
    <x:row r="451">
      <x:c r="A451" t="str">
        <x:v>NC2</x:v>
      </x:c>
      <x:c r="B451" t="str">
        <x:v>NEOCOLOR II Aquarelle</x:v>
      </x:c>
      <x:c r="C451" t="n">
        <x:v>34</x:v>
      </x:c>
      <x:c r="D451" t="str">
        <x:v>007</x:v>
      </x:c>
      <x:c r="E451" t="str">
        <x:v>Dark grey</x:v>
      </x:c>
      <x:c r="F451" t="str">
        <x:v>深灰色</x:v>
      </x:c>
      <x:c r="G451" t="str">
        <x:v>ダークグレー</x:v>
      </x:c>
      <x:c r="H451" t="str">
        <x:v>#C4C1B7</x:v>
      </x:c>
      <x:c r="I451" t="str">
        <x:v>#000000</x:v>
      </x:c>
      <x:c r="J451" t="str">
        <x:v>https://www.carandache.com/content_files/uploaded_doc/product/10603/Colour_Chart_NeocolorII_841.pdf</x:v>
      </x:c>
    </x:row>
    <x:row r="452">
      <x:c r="A452" t="str">
        <x:v>NC2</x:v>
      </x:c>
      <x:c r="B452" t="str">
        <x:v>NEOCOLOR II Aquarelle</x:v>
      </x:c>
      <x:c r="C452" t="n">
        <x:v>35</x:v>
      </x:c>
      <x:c r="D452" t="str">
        <x:v>005</x:v>
      </x:c>
      <x:c r="E452" t="str">
        <x:v>Grey</x:v>
      </x:c>
      <x:c r="F452" t="str">
        <x:v>灰色</x:v>
      </x:c>
      <x:c r="G452" t="str">
        <x:v>グレー</x:v>
      </x:c>
      <x:c r="H452" t="str">
        <x:v>#BEC5BD</x:v>
      </x:c>
      <x:c r="I452" t="str">
        <x:v>#000000</x:v>
      </x:c>
      <x:c r="J452" t="str">
        <x:v>https://www.carandache.com/content_files/uploaded_doc/product/10603/Colour_Chart_NeocolorII_841.pdf</x:v>
      </x:c>
    </x:row>
    <x:row r="453">
      <x:c r="A453" t="str">
        <x:v>NC2</x:v>
      </x:c>
      <x:c r="B453" t="str">
        <x:v>NEOCOLOR II Aquarelle</x:v>
      </x:c>
      <x:c r="C453" t="n">
        <x:v>36</x:v>
      </x:c>
      <x:c r="D453" t="str">
        <x:v>403</x:v>
      </x:c>
      <x:c r="E453" t="str">
        <x:v>Beige</x:v>
      </x:c>
      <x:c r="F453" t="str">
        <x:v>米色</x:v>
      </x:c>
      <x:c r="G453" t="str">
        <x:v>ベージュ</x:v>
      </x:c>
      <x:c r="H453" t="str">
        <x:v>#DFC6AA</x:v>
      </x:c>
      <x:c r="I453" t="str">
        <x:v>#000000</x:v>
      </x:c>
      <x:c r="J453" t="str">
        <x:v>https://www.carandache.com/content_files/uploaded_doc/product/10603/Colour_Chart_NeocolorII_841.pdf</x:v>
      </x:c>
    </x:row>
    <x:row r="454">
      <x:c r="A454" t="str">
        <x:v>NC2</x:v>
      </x:c>
      <x:c r="B454" t="str">
        <x:v>NEOCOLOR II Aquarelle</x:v>
      </x:c>
      <x:c r="C454" t="n">
        <x:v>37</x:v>
      </x:c>
      <x:c r="D454" t="str">
        <x:v>003</x:v>
      </x:c>
      <x:c r="E454" t="str">
        <x:v>Light grey</x:v>
      </x:c>
      <x:c r="F454" t="str">
        <x:v>淺灰色</x:v>
      </x:c>
      <x:c r="G454" t="str">
        <x:v>ライトグレー</x:v>
      </x:c>
      <x:c r="H454" t="str">
        <x:v>#EFEAE2</x:v>
      </x:c>
      <x:c r="I454" t="str">
        <x:v>#000000</x:v>
      </x:c>
      <x:c r="J454" t="str">
        <x:v>https://www.carandache.com/content_files/uploaded_doc/product/10603/Colour_Chart_NeocolorII_841.pdf</x:v>
      </x:c>
    </x:row>
    <x:row r="455">
      <x:c r="A455" t="str">
        <x:v>NC2</x:v>
      </x:c>
      <x:c r="B455" t="str">
        <x:v>NEOCOLOR II Aquarelle</x:v>
      </x:c>
      <x:c r="C455" t="n">
        <x:v>38</x:v>
      </x:c>
      <x:c r="D455" t="str">
        <x:v>002</x:v>
      </x:c>
      <x:c r="E455" t="str">
        <x:v>Silver grey</x:v>
      </x:c>
      <x:c r="F455" t="str">
        <x:v>銀灰色</x:v>
      </x:c>
      <x:c r="G455" t="str">
        <x:v>シルバーグレー</x:v>
      </x:c>
      <x:c r="H455" t="str">
        <x:v>#F4ECE3</x:v>
      </x:c>
      <x:c r="I455" t="str">
        <x:v>#000000</x:v>
      </x:c>
      <x:c r="J455" t="str">
        <x:v>https://www.carandache.com/content_files/uploaded_doc/product/10603/Colour_Chart_NeocolorII_841.pdf</x:v>
      </x:c>
    </x:row>
    <x:row r="456">
      <x:c r="A456" t="str">
        <x:v>NC2</x:v>
      </x:c>
      <x:c r="B456" t="str">
        <x:v>NEOCOLOR II Aquarelle</x:v>
      </x:c>
      <x:c r="C456" t="n">
        <x:v>39</x:v>
      </x:c>
      <x:c r="D456" t="str">
        <x:v>001</x:v>
      </x:c>
      <x:c r="E456" t="str">
        <x:v>White</x:v>
      </x:c>
      <x:c r="F456" t="str">
        <x:v>白色</x:v>
      </x:c>
      <x:c r="G456" t="str">
        <x:v>ホワイト</x:v>
      </x:c>
      <x:c r="H456" t="str">
        <x:v>#FFF8EF</x:v>
      </x:c>
      <x:c r="I456" t="str">
        <x:v>#000000</x:v>
      </x:c>
      <x:c r="J456" t="str">
        <x:v>https://www.carandache.com/content_files/uploaded_doc/product/10603/Colour_Chart_NeocolorII_841.pdf</x:v>
      </x:c>
    </x:row>
    <x:row r="457">
      <x:c r="A457" t="str">
        <x:v>NC2</x:v>
      </x:c>
      <x:c r="B457" t="str">
        <x:v>NEOCOLOR II Aquarelle</x:v>
      </x:c>
      <x:c r="C457" t="n">
        <x:v>40</x:v>
      </x:c>
      <x:c r="D457" t="str">
        <x:v>498</x:v>
      </x:c>
      <x:c r="E457" t="str">
        <x:v>Silver</x:v>
      </x:c>
      <x:c r="F457" t="str">
        <x:v>銀色</x:v>
      </x:c>
      <x:c r="G457" t="str">
        <x:v>シルバー</x:v>
      </x:c>
      <x:c r="H457" t="str">
        <x:v>#DBD7CE</x:v>
      </x:c>
      <x:c r="I457" t="str">
        <x:v>#000000</x:v>
      </x:c>
      <x:c r="J457" t="str">
        <x:v>https://www.carandache.com/content_files/uploaded_doc/product/10603/Colour_Chart_NeocolorII_841.pdf</x:v>
      </x:c>
    </x:row>
    <x:row r="458">
      <x:c r="A458" t="str">
        <x:v>NC2</x:v>
      </x:c>
      <x:c r="B458" t="str">
        <x:v>NEOCOLOR II Aquarelle</x:v>
      </x:c>
      <x:c r="C458" t="n">
        <x:v>41</x:v>
      </x:c>
      <x:c r="D458" t="str">
        <x:v>499</x:v>
      </x:c>
      <x:c r="E458" t="str">
        <x:v>Gold</x:v>
      </x:c>
      <x:c r="F458" t="str">
        <x:v>金色</x:v>
      </x:c>
      <x:c r="G458" t="str">
        <x:v>ゴールド</x:v>
      </x:c>
      <x:c r="H458" t="str">
        <x:v>#DFC668</x:v>
      </x:c>
      <x:c r="I458" t="str">
        <x:v>#000000</x:v>
      </x:c>
      <x:c r="J458" t="str">
        <x:v>https://www.carandache.com/content_files/uploaded_doc/product/10603/Colour_Chart_NeocolorII_841.pdf</x:v>
      </x:c>
    </x:row>
    <x:row r="459">
      <x:c r="A459" t="str">
        <x:v>NC2</x:v>
      </x:c>
      <x:c r="B459" t="str">
        <x:v>NEOCOLOR II Aquarelle</x:v>
      </x:c>
      <x:c r="C459" t="n">
        <x:v>42</x:v>
      </x:c>
      <x:c r="D459" t="str">
        <x:v>497</x:v>
      </x:c>
      <x:c r="E459" t="str">
        <x:v>Bronze</x:v>
      </x:c>
      <x:c r="F459" t="str">
        <x:v>青銅色</x:v>
      </x:c>
      <x:c r="G459" t="str">
        <x:v>ブロンズ</x:v>
      </x:c>
      <x:c r="H459" t="str">
        <x:v>#D97E51</x:v>
      </x:c>
      <x:c r="I459" t="str">
        <x:v>#000000</x:v>
      </x:c>
      <x:c r="J459" t="str">
        <x:v>https://www.carandache.com/content_files/uploaded_doc/product/10603/Colour_Chart_NeocolorII_841.pdf</x:v>
      </x:c>
    </x:row>
    <x:row r="460">
      <x:c r="A460" t="str">
        <x:v>NC2</x:v>
      </x:c>
      <x:c r="B460" t="str">
        <x:v>NEOCOLOR II Aquarelle</x:v>
      </x:c>
      <x:c r="C460" t="n">
        <x:v>43</x:v>
      </x:c>
      <x:c r="D460" t="str">
        <x:v>521</x:v>
      </x:c>
      <x:c r="E460" t="str">
        <x:v>Sahara yellow</x:v>
      </x:c>
      <x:c r="F460" t="str">
        <x:v>撒哈拉黃</x:v>
      </x:c>
      <x:c r="G460" t="str">
        <x:v>サハライエロー</x:v>
      </x:c>
      <x:c r="H460" t="str">
        <x:v>#FFEF9C</x:v>
      </x:c>
      <x:c r="I460" t="str">
        <x:v>#000000</x:v>
      </x:c>
      <x:c r="J460" t="str">
        <x:v>https://www.carandache.com/content_files/uploaded_doc/product/10603/Colour_Chart_NeocolorII_841.pdf</x:v>
      </x:c>
    </x:row>
    <x:row r="461">
      <x:c r="A461" t="str">
        <x:v>NC2</x:v>
      </x:c>
      <x:c r="B461" t="str">
        <x:v>NEOCOLOR II Aquarelle</x:v>
      </x:c>
      <x:c r="C461" t="n">
        <x:v>44</x:v>
      </x:c>
      <x:c r="D461" t="str">
        <x:v>031</x:v>
      </x:c>
      <x:c r="E461" t="str">
        <x:v>Orangish yellow</x:v>
      </x:c>
      <x:c r="F461" t="str">
        <x:v>橙黃色</x:v>
      </x:c>
      <x:c r="G461" t="str">
        <x:v>オレンジイエロー</x:v>
      </x:c>
      <x:c r="H461" t="str">
        <x:v>#FFE791</x:v>
      </x:c>
      <x:c r="I461" t="str">
        <x:v>#000000</x:v>
      </x:c>
      <x:c r="J461" t="str">
        <x:v>https://www.carandache.com/content_files/uploaded_doc/product/10603/Colour_Chart_NeocolorII_841.pdf</x:v>
      </x:c>
    </x:row>
    <x:row r="462">
      <x:c r="A462" t="str">
        <x:v>NC2</x:v>
      </x:c>
      <x:c r="B462" t="str">
        <x:v>NEOCOLOR II Aquarelle</x:v>
      </x:c>
      <x:c r="C462" t="n">
        <x:v>45</x:v>
      </x:c>
      <x:c r="D462" t="str">
        <x:v>041</x:v>
      </x:c>
      <x:c r="E462" t="str">
        <x:v>Apricot</x:v>
      </x:c>
      <x:c r="F462" t="str">
        <x:v>杏色</x:v>
      </x:c>
      <x:c r="G462" t="str">
        <x:v>アプリコット</x:v>
      </x:c>
      <x:c r="H462" t="str">
        <x:v>#FCC67B</x:v>
      </x:c>
      <x:c r="I462" t="str">
        <x:v>#000000</x:v>
      </x:c>
      <x:c r="J462" t="str">
        <x:v>https://www.carandache.com/content_files/uploaded_doc/product/10603/Colour_Chart_NeocolorII_841.pdf</x:v>
      </x:c>
    </x:row>
    <x:row r="463">
      <x:c r="A463" t="str">
        <x:v>NC2</x:v>
      </x:c>
      <x:c r="B463" t="str">
        <x:v>NEOCOLOR II Aquarelle</x:v>
      </x:c>
      <x:c r="C463" t="n">
        <x:v>46</x:v>
      </x:c>
      <x:c r="D463" t="str">
        <x:v>042</x:v>
      </x:c>
      <x:c r="E463" t="str">
        <x:v>Desert rose</x:v>
      </x:c>
      <x:c r="F463" t="str">
        <x:v>沙漠玫瑰色</x:v>
      </x:c>
      <x:c r="G463" t="str">
        <x:v>デザートローズ</x:v>
      </x:c>
      <x:c r="H463" t="str">
        <x:v>#FEE5B9</x:v>
      </x:c>
      <x:c r="I463" t="str">
        <x:v>#000000</x:v>
      </x:c>
      <x:c r="J463" t="str">
        <x:v>https://www.carandache.com/content_files/uploaded_doc/product/10603/Colour_Chart_NeocolorII_841.pdf</x:v>
      </x:c>
    </x:row>
    <x:row r="464">
      <x:c r="A464" t="str">
        <x:v>NC2</x:v>
      </x:c>
      <x:c r="B464" t="str">
        <x:v>NEOCOLOR II Aquarelle</x:v>
      </x:c>
      <x:c r="C464" t="n">
        <x:v>47</x:v>
      </x:c>
      <x:c r="D464" t="str">
        <x:v>051</x:v>
      </x:c>
      <x:c r="E464" t="str">
        <x:v>Salmon</x:v>
      </x:c>
      <x:c r="F464" t="str">
        <x:v>鮭魚色</x:v>
      </x:c>
      <x:c r="G464" t="str">
        <x:v>サーモン</x:v>
      </x:c>
      <x:c r="H464" t="str">
        <x:v>#FDE9D2</x:v>
      </x:c>
      <x:c r="I464" t="str">
        <x:v>#000000</x:v>
      </x:c>
      <x:c r="J464" t="str">
        <x:v>https://www.carandache.com/content_files/uploaded_doc/product/10603/Colour_Chart_NeocolorII_841.pdf</x:v>
      </x:c>
    </x:row>
    <x:row r="465">
      <x:c r="A465" t="str">
        <x:v>NC2</x:v>
      </x:c>
      <x:c r="B465" t="str">
        <x:v>NEOCOLOR II Aquarelle</x:v>
      </x:c>
      <x:c r="C465" t="n">
        <x:v>48</x:v>
      </x:c>
      <x:c r="D465" t="str">
        <x:v>071</x:v>
      </x:c>
      <x:c r="E465" t="str">
        <x:v>Salmon pink</x:v>
      </x:c>
      <x:c r="F465" t="str">
        <x:v>鮭魚粉紅</x:v>
      </x:c>
      <x:c r="G465" t="str">
        <x:v>サーモンピンク</x:v>
      </x:c>
      <x:c r="H465" t="str">
        <x:v>#FBD8D4</x:v>
      </x:c>
      <x:c r="I465" t="str">
        <x:v>#000000</x:v>
      </x:c>
      <x:c r="J465" t="str">
        <x:v>https://www.carandache.com/content_files/uploaded_doc/product/10603/Colour_Chart_NeocolorII_841.pdf</x:v>
      </x:c>
    </x:row>
    <x:row r="466">
      <x:c r="A466" t="str">
        <x:v>NC2</x:v>
      </x:c>
      <x:c r="B466" t="str">
        <x:v>NEOCOLOR II Aquarelle</x:v>
      </x:c>
      <x:c r="C466" t="n">
        <x:v>49</x:v>
      </x:c>
      <x:c r="D466" t="str">
        <x:v>081</x:v>
      </x:c>
      <x:c r="E466" t="str">
        <x:v>Pink</x:v>
      </x:c>
      <x:c r="F466" t="str">
        <x:v>粉紅色</x:v>
      </x:c>
      <x:c r="G466" t="str">
        <x:v>ピンク</x:v>
      </x:c>
      <x:c r="H466" t="str">
        <x:v>#FADBDB</x:v>
      </x:c>
      <x:c r="I466" t="str">
        <x:v>#000000</x:v>
      </x:c>
      <x:c r="J466" t="str">
        <x:v>https://www.carandache.com/content_files/uploaded_doc/product/10603/Colour_Chart_NeocolorII_841.pdf</x:v>
      </x:c>
    </x:row>
    <x:row r="467">
      <x:c r="A467" t="str">
        <x:v>NC2</x:v>
      </x:c>
      <x:c r="B467" t="str">
        <x:v>NEOCOLOR II Aquarelle</x:v>
      </x:c>
      <x:c r="C467" t="n">
        <x:v>50</x:v>
      </x:c>
      <x:c r="D467" t="str">
        <x:v>090</x:v>
      </x:c>
      <x:c r="E467" t="str">
        <x:v>Purple</x:v>
      </x:c>
      <x:c r="F467" t="str">
        <x:v>紫色</x:v>
      </x:c>
      <x:c r="G467" t="str">
        <x:v>パープル</x:v>
      </x:c>
      <x:c r="H467" t="str">
        <x:v>#EB9BC0</x:v>
      </x:c>
      <x:c r="I467" t="str">
        <x:v>#000000</x:v>
      </x:c>
      <x:c r="J467" t="str">
        <x:v>https://www.carandache.com/content_files/uploaded_doc/product/10603/Colour_Chart_NeocolorII_841.pdf</x:v>
      </x:c>
    </x:row>
    <x:row r="468">
      <x:c r="A468" t="str">
        <x:v>NC2</x:v>
      </x:c>
      <x:c r="B468" t="str">
        <x:v>NEOCOLOR II Aquarelle</x:v>
      </x:c>
      <x:c r="C468" t="n">
        <x:v>51</x:v>
      </x:c>
      <x:c r="D468" t="str">
        <x:v>100</x:v>
      </x:c>
      <x:c r="E468" t="str">
        <x:v>Purple violet</x:v>
      </x:c>
      <x:c r="F468" t="str">
        <x:v>紫羅蘭</x:v>
      </x:c>
      <x:c r="G468" t="str">
        <x:v>パープルバイオレット</x:v>
      </x:c>
      <x:c r="H468" t="str">
        <x:v>#F8D4E2</x:v>
      </x:c>
      <x:c r="I468" t="str">
        <x:v>#000000</x:v>
      </x:c>
      <x:c r="J468" t="str">
        <x:v>https://www.carandache.com/content_files/uploaded_doc/product/10603/Colour_Chart_NeocolorII_841.pdf</x:v>
      </x:c>
    </x:row>
    <x:row r="469">
      <x:c r="A469" t="str">
        <x:v>NC2</x:v>
      </x:c>
      <x:c r="B469" t="str">
        <x:v>NEOCOLOR II Aquarelle</x:v>
      </x:c>
      <x:c r="C469" t="n">
        <x:v>52</x:v>
      </x:c>
      <x:c r="D469" t="str">
        <x:v>111</x:v>
      </x:c>
      <x:c r="E469" t="str">
        <x:v>Mauve</x:v>
      </x:c>
      <x:c r="F469" t="str">
        <x:v>淡紫色</x:v>
      </x:c>
      <x:c r="G469" t="str">
        <x:v>モーブ</x:v>
      </x:c>
      <x:c r="H469" t="str">
        <x:v>#FBE3E9</x:v>
      </x:c>
      <x:c r="I469" t="str">
        <x:v>#000000</x:v>
      </x:c>
      <x:c r="J469" t="str">
        <x:v>https://www.carandache.com/content_files/uploaded_doc/product/10603/Colour_Chart_NeocolorII_841.pdf</x:v>
      </x:c>
    </x:row>
    <x:row r="470">
      <x:c r="A470" t="str">
        <x:v>NC2</x:v>
      </x:c>
      <x:c r="B470" t="str">
        <x:v>NEOCOLOR II Aquarelle</x:v>
      </x:c>
      <x:c r="C470" t="n">
        <x:v>53</x:v>
      </x:c>
      <x:c r="D470" t="str">
        <x:v>110</x:v>
      </x:c>
      <x:c r="E470" t="str">
        <x:v>Lilac</x:v>
      </x:c>
      <x:c r="F470" t="str">
        <x:v>丁香紫</x:v>
      </x:c>
      <x:c r="G470" t="str">
        <x:v>ライラック</x:v>
      </x:c>
      <x:c r="H470" t="str">
        <x:v>#F8DFE5</x:v>
      </x:c>
      <x:c r="I470" t="str">
        <x:v>#000000</x:v>
      </x:c>
      <x:c r="J470" t="str">
        <x:v>https://www.carandache.com/content_files/uploaded_doc/product/10603/Colour_Chart_NeocolorII_841.pdf</x:v>
      </x:c>
    </x:row>
    <x:row r="471">
      <x:c r="A471" t="str">
        <x:v>NC2</x:v>
      </x:c>
      <x:c r="B471" t="str">
        <x:v>NEOCOLOR II Aquarelle</x:v>
      </x:c>
      <x:c r="C471" t="n">
        <x:v>54</x:v>
      </x:c>
      <x:c r="D471" t="str">
        <x:v>120</x:v>
      </x:c>
      <x:c r="E471" t="str">
        <x:v>Violet</x:v>
      </x:c>
      <x:c r="F471" t="str">
        <x:v>紫羅蘭色</x:v>
      </x:c>
      <x:c r="G471" t="str">
        <x:v>バイオレット</x:v>
      </x:c>
      <x:c r="H471" t="str">
        <x:v>#F2D1E3</x:v>
      </x:c>
      <x:c r="I471" t="str">
        <x:v>#000000</x:v>
      </x:c>
      <x:c r="J471" t="str">
        <x:v>https://www.carandache.com/content_files/uploaded_doc/product/10603/Colour_Chart_NeocolorII_841.pdf</x:v>
      </x:c>
    </x:row>
    <x:row r="472">
      <x:c r="A472" t="str">
        <x:v>NC2</x:v>
      </x:c>
      <x:c r="B472" t="str">
        <x:v>NEOCOLOR II Aquarelle</x:v>
      </x:c>
      <x:c r="C472" t="n">
        <x:v>55</x:v>
      </x:c>
      <x:c r="D472" t="str">
        <x:v>099</x:v>
      </x:c>
      <x:c r="E472" t="str">
        <x:v>Aubergine</x:v>
      </x:c>
      <x:c r="F472" t="str">
        <x:v>茄紫色</x:v>
      </x:c>
      <x:c r="G472" t="str">
        <x:v>オーベルジーヌ</x:v>
      </x:c>
      <x:c r="H472" t="str">
        <x:v>#F0DFE3</x:v>
      </x:c>
      <x:c r="I472" t="str">
        <x:v>#000000</x:v>
      </x:c>
      <x:c r="J472" t="str">
        <x:v>https://www.carandache.com/content_files/uploaded_doc/product/10603/Colour_Chart_NeocolorII_841.pdf</x:v>
      </x:c>
    </x:row>
    <x:row r="473">
      <x:c r="A473" t="str">
        <x:v>NC2</x:v>
      </x:c>
      <x:c r="B473" t="str">
        <x:v>NEOCOLOR II Aquarelle</x:v>
      </x:c>
      <x:c r="C473" t="n">
        <x:v>56</x:v>
      </x:c>
      <x:c r="D473" t="str">
        <x:v>139</x:v>
      </x:c>
      <x:c r="E473" t="str">
        <x:v>Indigo blue</x:v>
      </x:c>
      <x:c r="F473" t="str">
        <x:v>靛藍</x:v>
      </x:c>
      <x:c r="G473" t="str">
        <x:v>インディゴブルー</x:v>
      </x:c>
      <x:c r="H473" t="str">
        <x:v>#BDB7CE</x:v>
      </x:c>
      <x:c r="I473" t="str">
        <x:v>#000000</x:v>
      </x:c>
      <x:c r="J473" t="str">
        <x:v>https://www.carandache.com/content_files/uploaded_doc/product/10603/Colour_Chart_NeocolorII_841.pdf</x:v>
      </x:c>
    </x:row>
    <x:row r="474">
      <x:c r="A474" t="str">
        <x:v>NC2</x:v>
      </x:c>
      <x:c r="B474" t="str">
        <x:v>NEOCOLOR II Aquarelle</x:v>
      </x:c>
      <x:c r="C474" t="n">
        <x:v>57</x:v>
      </x:c>
      <x:c r="D474" t="str">
        <x:v>149</x:v>
      </x:c>
      <x:c r="E474" t="str">
        <x:v>Night blue</x:v>
      </x:c>
      <x:c r="F474" t="str">
        <x:v>夜藍</x:v>
      </x:c>
      <x:c r="G474" t="str">
        <x:v>ナイトブルー</x:v>
      </x:c>
      <x:c r="H474" t="str">
        <x:v>#CDDCEB</x:v>
      </x:c>
      <x:c r="I474" t="str">
        <x:v>#000000</x:v>
      </x:c>
      <x:c r="J474" t="str">
        <x:v>https://www.carandache.com/content_files/uploaded_doc/product/10603/Colour_Chart_NeocolorII_841.pdf</x:v>
      </x:c>
    </x:row>
    <x:row r="475">
      <x:c r="A475" t="str">
        <x:v>NC2</x:v>
      </x:c>
      <x:c r="B475" t="str">
        <x:v>NEOCOLOR II Aquarelle</x:v>
      </x:c>
      <x:c r="C475" t="n">
        <x:v>58</x:v>
      </x:c>
      <x:c r="D475" t="str">
        <x:v>159</x:v>
      </x:c>
      <x:c r="E475" t="str">
        <x:v>Prussian blue</x:v>
      </x:c>
      <x:c r="F475" t="str">
        <x:v>普魯士藍</x:v>
      </x:c>
      <x:c r="G475" t="str">
        <x:v>プルシャンブルー</x:v>
      </x:c>
      <x:c r="H475" t="str">
        <x:v>#C0DFEF</x:v>
      </x:c>
      <x:c r="I475" t="str">
        <x:v>#000000</x:v>
      </x:c>
      <x:c r="J475" t="str">
        <x:v>https://www.carandache.com/content_files/uploaded_doc/product/10603/Colour_Chart_NeocolorII_841.pdf</x:v>
      </x:c>
    </x:row>
    <x:row r="476">
      <x:c r="A476" t="str">
        <x:v>NC2</x:v>
      </x:c>
      <x:c r="B476" t="str">
        <x:v>NEOCOLOR II Aquarelle</x:v>
      </x:c>
      <x:c r="C476" t="n">
        <x:v>59</x:v>
      </x:c>
      <x:c r="D476" t="str">
        <x:v>130</x:v>
      </x:c>
      <x:c r="E476" t="str">
        <x:v>Royal blue</x:v>
      </x:c>
      <x:c r="F476" t="str">
        <x:v>皇家藍</x:v>
      </x:c>
      <x:c r="G476" t="str">
        <x:v>ロイヤルブルー</x:v>
      </x:c>
      <x:c r="H476" t="str">
        <x:v>#B9B8D9</x:v>
      </x:c>
      <x:c r="I476" t="str">
        <x:v>#000000</x:v>
      </x:c>
      <x:c r="J476" t="str">
        <x:v>https://www.carandache.com/content_files/uploaded_doc/product/10603/Colour_Chart_NeocolorII_841.pdf</x:v>
      </x:c>
    </x:row>
    <x:row r="477">
      <x:c r="A477" t="str">
        <x:v>NC2</x:v>
      </x:c>
      <x:c r="B477" t="str">
        <x:v>NEOCOLOR II Aquarelle</x:v>
      </x:c>
      <x:c r="C477" t="n">
        <x:v>60</x:v>
      </x:c>
      <x:c r="D477" t="str">
        <x:v>140</x:v>
      </x:c>
      <x:c r="E477" t="str">
        <x:v>Ultramarine</x:v>
      </x:c>
      <x:c r="F477" t="str">
        <x:v>群青</x:v>
      </x:c>
      <x:c r="G477" t="str">
        <x:v>ウルトラマリン</x:v>
      </x:c>
      <x:c r="H477" t="str">
        <x:v>#DFE2EC</x:v>
      </x:c>
      <x:c r="I477" t="str">
        <x:v>#000000</x:v>
      </x:c>
      <x:c r="J477" t="str">
        <x:v>https://www.carandache.com/content_files/uploaded_doc/product/10603/Colour_Chart_NeocolorII_841.pdf</x:v>
      </x:c>
    </x:row>
    <x:row r="478">
      <x:c r="A478" t="str">
        <x:v>NC2</x:v>
      </x:c>
      <x:c r="B478" t="str">
        <x:v>NEOCOLOR II Aquarelle</x:v>
      </x:c>
      <x:c r="C478" t="n">
        <x:v>61</x:v>
      </x:c>
      <x:c r="D478" t="str">
        <x:v>150</x:v>
      </x:c>
      <x:c r="E478" t="str">
        <x:v>Sapphire blue</x:v>
      </x:c>
      <x:c r="F478" t="str">
        <x:v>藍寶石藍</x:v>
      </x:c>
      <x:c r="G478" t="str">
        <x:v>サファイアブルー</x:v>
      </x:c>
      <x:c r="H478" t="str">
        <x:v>#EDF3F6</x:v>
      </x:c>
      <x:c r="I478" t="str">
        <x:v>#000000</x:v>
      </x:c>
      <x:c r="J478" t="str">
        <x:v>https://www.carandache.com/content_files/uploaded_doc/product/10603/Colour_Chart_NeocolorII_841.pdf</x:v>
      </x:c>
    </x:row>
    <x:row r="479">
      <x:c r="A479" t="str">
        <x:v>NC2</x:v>
      </x:c>
      <x:c r="B479" t="str">
        <x:v>NEOCOLOR II Aquarelle</x:v>
      </x:c>
      <x:c r="C479" t="n">
        <x:v>62</x:v>
      </x:c>
      <x:c r="D479" t="str">
        <x:v>260</x:v>
      </x:c>
      <x:c r="E479" t="str">
        <x:v>Blue</x:v>
      </x:c>
      <x:c r="F479" t="str">
        <x:v>藍色</x:v>
      </x:c>
      <x:c r="G479" t="str">
        <x:v>ブルー</x:v>
      </x:c>
      <x:c r="H479" t="str">
        <x:v>#DFEDF3</x:v>
      </x:c>
      <x:c r="I479" t="str">
        <x:v>#000000</x:v>
      </x:c>
      <x:c r="J479" t="str">
        <x:v>https://www.carandache.com/content_files/uploaded_doc/product/10603/Colour_Chart_NeocolorII_841.pdf</x:v>
      </x:c>
    </x:row>
    <x:row r="480">
      <x:c r="A480" t="str">
        <x:v>NC2</x:v>
      </x:c>
      <x:c r="B480" t="str">
        <x:v>NEOCOLOR II Aquarelle</x:v>
      </x:c>
      <x:c r="C480" t="n">
        <x:v>63</x:v>
      </x:c>
      <x:c r="D480" t="str">
        <x:v>160</x:v>
      </x:c>
      <x:c r="E480" t="str">
        <x:v>Cobalt blue (hue)</x:v>
      </x:c>
      <x:c r="F480" t="str">
        <x:v>鈷藍（色相）</x:v>
      </x:c>
      <x:c r="G480" t="str">
        <x:v>コバルトブルー（ヒュー）</x:v>
      </x:c>
      <x:c r="H480" t="str">
        <x:v>#D1E9ED</x:v>
      </x:c>
      <x:c r="I480" t="str">
        <x:v>#000000</x:v>
      </x:c>
      <x:c r="J480" t="str">
        <x:v>https://www.carandache.com/content_files/uploaded_doc/product/10603/Colour_Chart_NeocolorII_841.pdf</x:v>
      </x:c>
    </x:row>
    <x:row r="481">
      <x:c r="A481" t="str">
        <x:v>NC2</x:v>
      </x:c>
      <x:c r="B481" t="str">
        <x:v>NEOCOLOR II Aquarelle</x:v>
      </x:c>
      <x:c r="C481" t="n">
        <x:v>64</x:v>
      </x:c>
      <x:c r="D481" t="str">
        <x:v>161</x:v>
      </x:c>
      <x:c r="E481" t="str">
        <x:v>Light blue</x:v>
      </x:c>
      <x:c r="F481" t="str">
        <x:v>淺藍色</x:v>
      </x:c>
      <x:c r="G481" t="str">
        <x:v>ライトブルー</x:v>
      </x:c>
      <x:c r="H481" t="str">
        <x:v>#EEF4F4</x:v>
      </x:c>
      <x:c r="I481" t="str">
        <x:v>#000000</x:v>
      </x:c>
      <x:c r="J481" t="str">
        <x:v>https://www.carandache.com/content_files/uploaded_doc/product/10603/Colour_Chart_NeocolorII_841.pdf</x:v>
      </x:c>
    </x:row>
    <x:row r="482">
      <x:c r="A482" t="str">
        <x:v>NC2</x:v>
      </x:c>
      <x:c r="B482" t="str">
        <x:v>NEOCOLOR II Aquarelle</x:v>
      </x:c>
      <x:c r="C482" t="n">
        <x:v>65</x:v>
      </x:c>
      <x:c r="D482" t="str">
        <x:v>131</x:v>
      </x:c>
      <x:c r="E482" t="str">
        <x:v>Periwinkle blue</x:v>
      </x:c>
      <x:c r="F482" t="str">
        <x:v>長春花藍</x:v>
      </x:c>
      <x:c r="G482" t="str">
        <x:v>ペリウィンクルブルー</x:v>
      </x:c>
      <x:c r="H482" t="str">
        <x:v>#DECBE2</x:v>
      </x:c>
      <x:c r="I482" t="str">
        <x:v>#000000</x:v>
      </x:c>
      <x:c r="J482" t="str">
        <x:v>https://www.carandache.com/content_files/uploaded_doc/product/10603/Colour_Chart_NeocolorII_841.pdf</x:v>
      </x:c>
    </x:row>
    <x:row r="483">
      <x:c r="A483" t="str">
        <x:v>NC2</x:v>
      </x:c>
      <x:c r="B483" t="str">
        <x:v>NEOCOLOR II Aquarelle</x:v>
      </x:c>
      <x:c r="C483" t="n">
        <x:v>66</x:v>
      </x:c>
      <x:c r="D483" t="str">
        <x:v>141</x:v>
      </x:c>
      <x:c r="E483" t="str">
        <x:v>Sky blue</x:v>
      </x:c>
      <x:c r="F483" t="str">
        <x:v>天空藍</x:v>
      </x:c>
      <x:c r="G483" t="str">
        <x:v>スカイブルー</x:v>
      </x:c>
      <x:c r="H483" t="str">
        <x:v>#CCD4E8</x:v>
      </x:c>
      <x:c r="I483" t="str">
        <x:v>#000000</x:v>
      </x:c>
      <x:c r="J483" t="str">
        <x:v>https://www.carandache.com/content_files/uploaded_doc/product/10603/Colour_Chart_NeocolorII_841.pdf</x:v>
      </x:c>
    </x:row>
    <x:row r="484">
      <x:c r="A484" t="str">
        <x:v>NC2</x:v>
      </x:c>
      <x:c r="B484" t="str">
        <x:v>NEOCOLOR II Aquarelle</x:v>
      </x:c>
      <x:c r="C484" t="n">
        <x:v>67</x:v>
      </x:c>
      <x:c r="D484" t="str">
        <x:v>661</x:v>
      </x:c>
      <x:c r="E484" t="str">
        <x:v>Light cobalt blue</x:v>
      </x:c>
      <x:c r="F484" t="str">
        <x:v>淺鈷藍</x:v>
      </x:c>
      <x:c r="G484" t="str">
        <x:v>ライトコバルトブルー</x:v>
      </x:c>
      <x:c r="H484" t="str">
        <x:v>#F1F5F5</x:v>
      </x:c>
      <x:c r="I484" t="str">
        <x:v>#000000</x:v>
      </x:c>
      <x:c r="J484" t="str">
        <x:v>https://www.carandache.com/content_files/uploaded_doc/product/10603/Colour_Chart_NeocolorII_841.pdf</x:v>
      </x:c>
    </x:row>
    <x:row r="485">
      <x:c r="A485" t="str">
        <x:v>NC2</x:v>
      </x:c>
      <x:c r="B485" t="str">
        <x:v>NEOCOLOR II Aquarelle</x:v>
      </x:c>
      <x:c r="C485" t="n">
        <x:v>68</x:v>
      </x:c>
      <x:c r="D485" t="str">
        <x:v>171</x:v>
      </x:c>
      <x:c r="E485" t="str">
        <x:v>Turquoise blue</x:v>
      </x:c>
      <x:c r="F485" t="str">
        <x:v>土耳其藍</x:v>
      </x:c>
      <x:c r="G485" t="str">
        <x:v>ターコイズブルー</x:v>
      </x:c>
      <x:c r="H485" t="str">
        <x:v>#D7EBEA</x:v>
      </x:c>
      <x:c r="I485" t="str">
        <x:v>#000000</x:v>
      </x:c>
      <x:c r="J485" t="str">
        <x:v>https://www.carandache.com/content_files/uploaded_doc/product/10603/Colour_Chart_NeocolorII_841.pdf</x:v>
      </x:c>
    </x:row>
    <x:row r="486">
      <x:c r="A486" t="str">
        <x:v>NC2</x:v>
      </x:c>
      <x:c r="B486" t="str">
        <x:v>NEOCOLOR II Aquarelle</x:v>
      </x:c>
      <x:c r="C486" t="n">
        <x:v>69</x:v>
      </x:c>
      <x:c r="D486" t="str">
        <x:v>191</x:v>
      </x:c>
      <x:c r="E486" t="str">
        <x:v>Turquoise</x:v>
      </x:c>
      <x:c r="F486" t="str">
        <x:v>綠松石色</x:v>
      </x:c>
      <x:c r="G486" t="str">
        <x:v>ターコイズ</x:v>
      </x:c>
      <x:c r="H486" t="str">
        <x:v>#E0EFEB</x:v>
      </x:c>
      <x:c r="I486" t="str">
        <x:v>#000000</x:v>
      </x:c>
      <x:c r="J486" t="str">
        <x:v>https://www.carandache.com/content_files/uploaded_doc/product/10603/Colour_Chart_NeocolorII_841.pdf</x:v>
      </x:c>
    </x:row>
    <x:row r="487">
      <x:c r="A487" t="str">
        <x:v>NC2</x:v>
      </x:c>
      <x:c r="B487" t="str">
        <x:v>NEOCOLOR II Aquarelle</x:v>
      </x:c>
      <x:c r="C487" t="n">
        <x:v>70</x:v>
      </x:c>
      <x:c r="D487" t="str">
        <x:v>201</x:v>
      </x:c>
      <x:c r="E487" t="str">
        <x:v>Veronese green</x:v>
      </x:c>
      <x:c r="F487" t="str">
        <x:v>維羅內塞綠</x:v>
      </x:c>
      <x:c r="G487" t="str">
        <x:v>ベロネーゼグリーン</x:v>
      </x:c>
      <x:c r="H487" t="str">
        <x:v>#ABD4BB</x:v>
      </x:c>
      <x:c r="I487" t="str">
        <x:v>#000000</x:v>
      </x:c>
      <x:c r="J487" t="str">
        <x:v>https://www.carandache.com/content_files/uploaded_doc/product/10603/Colour_Chart_NeocolorII_841.pdf</x:v>
      </x:c>
    </x:row>
    <x:row r="488">
      <x:c r="A488" t="str">
        <x:v>NC2</x:v>
      </x:c>
      <x:c r="B488" t="str">
        <x:v>NEOCOLOR II Aquarelle</x:v>
      </x:c>
      <x:c r="C488" t="n">
        <x:v>71</x:v>
      </x:c>
      <x:c r="D488" t="str">
        <x:v>212</x:v>
      </x:c>
      <x:c r="E488" t="str">
        <x:v>Chromium oxyde green</x:v>
      </x:c>
      <x:c r="F488" t="str">
        <x:v>氧化鉻綠</x:v>
      </x:c>
      <x:c r="G488" t="str">
        <x:v>クロムオキサイドグリーン</x:v>
      </x:c>
      <x:c r="H488" t="str">
        <x:v>#CDD9A8</x:v>
      </x:c>
      <x:c r="I488" t="str">
        <x:v>#000000</x:v>
      </x:c>
      <x:c r="J488" t="str">
        <x:v>https://www.carandache.com/content_files/uploaded_doc/product/10603/Colour_Chart_NeocolorII_841.pdf</x:v>
      </x:c>
    </x:row>
    <x:row r="489">
      <x:c r="A489" t="str">
        <x:v>NC2</x:v>
      </x:c>
      <x:c r="B489" t="str">
        <x:v>NEOCOLOR II Aquarelle</x:v>
      </x:c>
      <x:c r="C489" t="n">
        <x:v>72</x:v>
      </x:c>
      <x:c r="D489" t="str">
        <x:v>225</x:v>
      </x:c>
      <x:c r="E489" t="str">
        <x:v>Moss green</x:v>
      </x:c>
      <x:c r="F489" t="str">
        <x:v>苔綠色</x:v>
      </x:c>
      <x:c r="G489" t="str">
        <x:v>モスグリーン</x:v>
      </x:c>
      <x:c r="H489" t="str">
        <x:v>#C9D088</x:v>
      </x:c>
      <x:c r="I489" t="str">
        <x:v>#000000</x:v>
      </x:c>
      <x:c r="J489" t="str">
        <x:v>https://www.carandache.com/content_files/uploaded_doc/product/10603/Colour_Chart_NeocolorII_841.pdf</x:v>
      </x:c>
    </x:row>
    <x:row r="490">
      <x:c r="A490" t="str">
        <x:v>NC2</x:v>
      </x:c>
      <x:c r="B490" t="str">
        <x:v>NEOCOLOR II Aquarelle</x:v>
      </x:c>
      <x:c r="C490" t="n">
        <x:v>73</x:v>
      </x:c>
      <x:c r="D490" t="str">
        <x:v>229</x:v>
      </x:c>
      <x:c r="E490" t="str">
        <x:v>Dark green</x:v>
      </x:c>
      <x:c r="F490" t="str">
        <x:v>深綠色</x:v>
      </x:c>
      <x:c r="G490" t="str">
        <x:v>ダークグリーン</x:v>
      </x:c>
      <x:c r="H490" t="str">
        <x:v>#BBDDCC</x:v>
      </x:c>
      <x:c r="I490" t="str">
        <x:v>#000000</x:v>
      </x:c>
      <x:c r="J490" t="str">
        <x:v>https://www.carandache.com/content_files/uploaded_doc/product/10603/Colour_Chart_NeocolorII_841.pdf</x:v>
      </x:c>
    </x:row>
    <x:row r="491">
      <x:c r="A491" t="str">
        <x:v>NC2</x:v>
      </x:c>
      <x:c r="B491" t="str">
        <x:v>NEOCOLOR II Aquarelle</x:v>
      </x:c>
      <x:c r="C491" t="n">
        <x:v>74</x:v>
      </x:c>
      <x:c r="D491" t="str">
        <x:v>190</x:v>
      </x:c>
      <x:c r="E491" t="str">
        <x:v>Greenish blue</x:v>
      </x:c>
      <x:c r="F491" t="str">
        <x:v>綠藍色</x:v>
      </x:c>
      <x:c r="G491" t="str">
        <x:v>グリーニッシュブルー</x:v>
      </x:c>
      <x:c r="H491" t="str">
        <x:v>#AAD8D5</x:v>
      </x:c>
      <x:c r="I491" t="str">
        <x:v>#000000</x:v>
      </x:c>
      <x:c r="J491" t="str">
        <x:v>https://www.carandache.com/content_files/uploaded_doc/product/10603/Colour_Chart_NeocolorII_841.pdf</x:v>
      </x:c>
    </x:row>
    <x:row r="492">
      <x:c r="A492" t="str">
        <x:v>NC2</x:v>
      </x:c>
      <x:c r="B492" t="str">
        <x:v>NEOCOLOR II Aquarelle</x:v>
      </x:c>
      <x:c r="C492" t="n">
        <x:v>75</x:v>
      </x:c>
      <x:c r="D492" t="str">
        <x:v>180</x:v>
      </x:c>
      <x:c r="E492" t="str">
        <x:v>Malachite green</x:v>
      </x:c>
      <x:c r="F492" t="str">
        <x:v>孔雀石綠</x:v>
      </x:c>
      <x:c r="G492" t="str">
        <x:v>マラカイトグリーン</x:v>
      </x:c>
      <x:c r="H492" t="str">
        <x:v>#DEEEEC</x:v>
      </x:c>
      <x:c r="I492" t="str">
        <x:v>#000000</x:v>
      </x:c>
      <x:c r="J492" t="str">
        <x:v>https://www.carandache.com/content_files/uploaded_doc/product/10603/Colour_Chart_NeocolorII_841.pdf</x:v>
      </x:c>
    </x:row>
    <x:row r="493">
      <x:c r="A493" t="str">
        <x:v>NC2</x:v>
      </x:c>
      <x:c r="B493" t="str">
        <x:v>NEOCOLOR II Aquarelle</x:v>
      </x:c>
      <x:c r="C493" t="n">
        <x:v>76</x:v>
      </x:c>
      <x:c r="D493" t="str">
        <x:v>210</x:v>
      </x:c>
      <x:c r="E493" t="str">
        <x:v>Emerald green</x:v>
      </x:c>
      <x:c r="F493" t="str">
        <x:v>祖母綠</x:v>
      </x:c>
      <x:c r="G493" t="str">
        <x:v>エメラルドグリーン</x:v>
      </x:c>
      <x:c r="H493" t="str">
        <x:v>#B7DAC9</x:v>
      </x:c>
      <x:c r="I493" t="str">
        <x:v>#000000</x:v>
      </x:c>
      <x:c r="J493" t="str">
        <x:v>https://www.carandache.com/content_files/uploaded_doc/product/10603/Colour_Chart_NeocolorII_841.pdf</x:v>
      </x:c>
    </x:row>
    <x:row r="494">
      <x:c r="A494" t="str">
        <x:v>NC2</x:v>
      </x:c>
      <x:c r="B494" t="str">
        <x:v>NEOCOLOR II Aquarelle</x:v>
      </x:c>
      <x:c r="C494" t="n">
        <x:v>77</x:v>
      </x:c>
      <x:c r="D494" t="str">
        <x:v>710</x:v>
      </x:c>
      <x:c r="E494" t="str">
        <x:v>Phthalocyanine green</x:v>
      </x:c>
      <x:c r="F494" t="str">
        <x:v>酞菁綠</x:v>
      </x:c>
      <x:c r="G494" t="str">
        <x:v>フタロシアニングリーン</x:v>
      </x:c>
      <x:c r="H494" t="str">
        <x:v>#84C8B7</x:v>
      </x:c>
      <x:c r="I494" t="str">
        <x:v>#000000</x:v>
      </x:c>
      <x:c r="J494" t="str">
        <x:v>https://www.carandache.com/content_files/uploaded_doc/product/10603/Colour_Chart_NeocolorII_841.pdf</x:v>
      </x:c>
    </x:row>
    <x:row r="495">
      <x:c r="A495" t="str">
        <x:v>NC2</x:v>
      </x:c>
      <x:c r="B495" t="str">
        <x:v>NEOCOLOR II Aquarelle</x:v>
      </x:c>
      <x:c r="C495" t="n">
        <x:v>78</x:v>
      </x:c>
      <x:c r="D495" t="str">
        <x:v>220</x:v>
      </x:c>
      <x:c r="E495" t="str">
        <x:v>Grass green</x:v>
      </x:c>
      <x:c r="F495" t="str">
        <x:v>草綠色</x:v>
      </x:c>
      <x:c r="G495" t="str">
        <x:v>グラスグリーン</x:v>
      </x:c>
      <x:c r="H495" t="str">
        <x:v>#D5E6CA</x:v>
      </x:c>
      <x:c r="I495" t="str">
        <x:v>#000000</x:v>
      </x:c>
      <x:c r="J495" t="str">
        <x:v>https://www.carandache.com/content_files/uploaded_doc/product/10603/Colour_Chart_NeocolorII_841.pdf</x:v>
      </x:c>
    </x:row>
    <x:row r="496">
      <x:c r="A496" t="str">
        <x:v>NC2</x:v>
      </x:c>
      <x:c r="B496" t="str">
        <x:v>NEOCOLOR II Aquarelle</x:v>
      </x:c>
      <x:c r="C496" t="n">
        <x:v>79</x:v>
      </x:c>
      <x:c r="D496" t="str">
        <x:v>720</x:v>
      </x:c>
      <x:c r="E496" t="str">
        <x:v>Bright green</x:v>
      </x:c>
      <x:c r="F496" t="str">
        <x:v>亮綠色</x:v>
      </x:c>
      <x:c r="G496" t="str">
        <x:v>ブライトグリーン</x:v>
      </x:c>
      <x:c r="H496" t="str">
        <x:v>#D7E6BC</x:v>
      </x:c>
      <x:c r="I496" t="str">
        <x:v>#000000</x:v>
      </x:c>
      <x:c r="J496" t="str">
        <x:v>https://www.carandache.com/content_files/uploaded_doc/product/10603/Colour_Chart_NeocolorII_841.pdf</x:v>
      </x:c>
    </x:row>
    <x:row r="497">
      <x:c r="A497" t="str">
        <x:v>NC2</x:v>
      </x:c>
      <x:c r="B497" t="str">
        <x:v>NEOCOLOR II Aquarelle</x:v>
      </x:c>
      <x:c r="C497" t="n">
        <x:v>80</x:v>
      </x:c>
      <x:c r="D497" t="str">
        <x:v>230</x:v>
      </x:c>
      <x:c r="E497" t="str">
        <x:v>Yellow green</x:v>
      </x:c>
      <x:c r="F497" t="str">
        <x:v>黃綠色</x:v>
      </x:c>
      <x:c r="G497" t="str">
        <x:v>イエローグリーン</x:v>
      </x:c>
      <x:c r="H497" t="str">
        <x:v>#E5EAB8</x:v>
      </x:c>
      <x:c r="I497" t="str">
        <x:v>#000000</x:v>
      </x:c>
      <x:c r="J497" t="str">
        <x:v>https://www.carandache.com/content_files/uploaded_doc/product/10603/Colour_Chart_NeocolorII_841.pdf</x:v>
      </x:c>
    </x:row>
    <x:row r="498">
      <x:c r="A498" t="str">
        <x:v>NC2</x:v>
      </x:c>
      <x:c r="B498" t="str">
        <x:v>NEOCOLOR II Aquarelle</x:v>
      </x:c>
      <x:c r="C498" t="n">
        <x:v>81</x:v>
      </x:c>
      <x:c r="D498" t="str">
        <x:v>245</x:v>
      </x:c>
      <x:c r="E498" t="str">
        <x:v>Light olive</x:v>
      </x:c>
      <x:c r="F498" t="str">
        <x:v>淺橄欖色</x:v>
      </x:c>
      <x:c r="G498" t="str">
        <x:v>ライトオリーブ</x:v>
      </x:c>
      <x:c r="H498" t="str">
        <x:v>#F3EB93</x:v>
      </x:c>
      <x:c r="I498" t="str">
        <x:v>#000000</x:v>
      </x:c>
      <x:c r="J498" t="str">
        <x:v>https://www.carandache.com/content_files/uploaded_doc/product/10603/Colour_Chart_NeocolorII_841.pdf</x:v>
      </x:c>
    </x:row>
    <x:row r="499">
      <x:c r="A499" t="str">
        <x:v>NC2</x:v>
      </x:c>
      <x:c r="B499" t="str">
        <x:v>NEOCOLOR II Aquarelle</x:v>
      </x:c>
      <x:c r="C499" t="n">
        <x:v>82</x:v>
      </x:c>
      <x:c r="D499" t="str">
        <x:v>730</x:v>
      </x:c>
      <x:c r="E499" t="str">
        <x:v>Chinese green</x:v>
      </x:c>
      <x:c r="F499" t="str">
        <x:v>中國綠</x:v>
      </x:c>
      <x:c r="G499" t="str">
        <x:v>チャイニーズグリーン</x:v>
      </x:c>
      <x:c r="H499" t="str">
        <x:v>#FAED8D</x:v>
      </x:c>
      <x:c r="I499" t="str">
        <x:v>#000000</x:v>
      </x:c>
      <x:c r="J499" t="str">
        <x:v>https://www.carandache.com/content_files/uploaded_doc/product/10603/Colour_Chart_NeocolorII_841.pdf</x:v>
      </x:c>
    </x:row>
    <x:row r="500">
      <x:c r="A500" t="str">
        <x:v>NC2</x:v>
      </x:c>
      <x:c r="B500" t="str">
        <x:v>NEOCOLOR II Aquarelle</x:v>
      </x:c>
      <x:c r="C500" t="n">
        <x:v>83</x:v>
      </x:c>
      <x:c r="D500" t="str">
        <x:v>231</x:v>
      </x:c>
      <x:c r="E500" t="str">
        <x:v>Lime green</x:v>
      </x:c>
      <x:c r="F500" t="str">
        <x:v>萊姆綠</x:v>
      </x:c>
      <x:c r="G500" t="str">
        <x:v>ライムグリーン</x:v>
      </x:c>
      <x:c r="H500" t="str">
        <x:v>#F3F1C6</x:v>
      </x:c>
      <x:c r="I500" t="str">
        <x:v>#000000</x:v>
      </x:c>
      <x:c r="J500" t="str">
        <x:v>https://www.carandache.com/content_files/uploaded_doc/product/10603/Colour_Chart_NeocolorII_841.pdf</x:v>
      </x:c>
    </x:row>
    <x:row r="501">
      <x:c r="A501" t="str">
        <x:v>NC2</x:v>
      </x:c>
      <x:c r="B501" t="str">
        <x:v>NEOCOLOR II Aquarelle</x:v>
      </x:c>
      <x:c r="C501" t="n">
        <x:v>84</x:v>
      </x:c>
      <x:c r="D501" t="str">
        <x:v>211</x:v>
      </x:c>
      <x:c r="E501" t="str">
        <x:v>Jade green</x:v>
      </x:c>
      <x:c r="F501" t="str">
        <x:v>玉綠色</x:v>
      </x:c>
      <x:c r="G501" t="str">
        <x:v>ジェードグリーン</x:v>
      </x:c>
      <x:c r="H501" t="str">
        <x:v>#EAF2E3</x:v>
      </x:c>
      <x:c r="I501" t="str">
        <x:v>#000000</x:v>
      </x:c>
      <x:c r="J501" t="str">
        <x:v>https://www.carandache.com/content_files/uploaded_doc/product/10603/Colour_Chart_NeocolorII_841.pdf</x:v>
      </x:c>
    </x:row>
    <x:row r="502">
      <x:c r="A502" t="str">
        <x:v>NEO</x:v>
      </x:c>
      <x:c r="B502" t="str">
        <x:v>NEOPASTEL</x:v>
      </x:c>
      <x:c r="C502" t="n">
        <x:v>1</x:v>
      </x:c>
      <x:c r="D502" t="str">
        <x:v>240</x:v>
      </x:c>
      <x:c r="E502" t="str">
        <x:v>Lemon Yellow</x:v>
      </x:c>
      <x:c r="F502" t="str">
        <x:v>檸檬黃</x:v>
      </x:c>
      <x:c r="G502" t="str">
        <x:v>レモンイエロー</x:v>
      </x:c>
      <x:c r="H502" t="str">
        <x:v>#FBE820</x:v>
      </x:c>
      <x:c r="I502" t="str">
        <x:v>#000000</x:v>
      </x:c>
      <x:c r="J502" t="str">
        <x:v>https://www.carandache.com/content_files/uploaded_doc/product/10595/Colour_Chart_NeoPastel.pdf</x:v>
      </x:c>
    </x:row>
    <x:row r="503">
      <x:c r="A503" t="str">
        <x:v>NEO</x:v>
      </x:c>
      <x:c r="B503" t="str">
        <x:v>NEOPASTEL</x:v>
      </x:c>
      <x:c r="C503" t="n">
        <x:v>2</x:v>
      </x:c>
      <x:c r="D503" t="str">
        <x:v>010</x:v>
      </x:c>
      <x:c r="E503" t="str">
        <x:v>Yellow</x:v>
      </x:c>
      <x:c r="F503" t="str">
        <x:v>黃色</x:v>
      </x:c>
      <x:c r="G503" t="str">
        <x:v>イエロー</x:v>
      </x:c>
      <x:c r="H503" t="str">
        <x:v>#F6D707</x:v>
      </x:c>
      <x:c r="I503" t="str">
        <x:v>#000000</x:v>
      </x:c>
      <x:c r="J503" t="str">
        <x:v>https://www.carandache.com/content_files/uploaded_doc/product/10595/Colour_Chart_NeoPastel.pdf</x:v>
      </x:c>
    </x:row>
    <x:row r="504">
      <x:c r="A504" t="str">
        <x:v>NEO</x:v>
      </x:c>
      <x:c r="B504" t="str">
        <x:v>NEOPASTEL</x:v>
      </x:c>
      <x:c r="C504" t="n">
        <x:v>3</x:v>
      </x:c>
      <x:c r="D504" t="str">
        <x:v>020</x:v>
      </x:c>
      <x:c r="E504" t="str">
        <x:v>Golden yellow</x:v>
      </x:c>
      <x:c r="F504" t="str">
        <x:v>金黃色</x:v>
      </x:c>
      <x:c r="G504" t="str">
        <x:v>ゴールデンイエロー</x:v>
      </x:c>
      <x:c r="H504" t="str">
        <x:v>#EEB209</x:v>
      </x:c>
      <x:c r="I504" t="str">
        <x:v>#000000</x:v>
      </x:c>
      <x:c r="J504" t="str">
        <x:v>https://www.carandache.com/content_files/uploaded_doc/product/10595/Colour_Chart_NeoPastel.pdf</x:v>
      </x:c>
    </x:row>
    <x:row r="505">
      <x:c r="A505" t="str">
        <x:v>NEO</x:v>
      </x:c>
      <x:c r="B505" t="str">
        <x:v>NEOPASTEL</x:v>
      </x:c>
      <x:c r="C505" t="n">
        <x:v>4</x:v>
      </x:c>
      <x:c r="D505" t="str">
        <x:v>030</x:v>
      </x:c>
      <x:c r="E505" t="str">
        <x:v>Orange</x:v>
      </x:c>
      <x:c r="F505" t="str">
        <x:v>橙色</x:v>
      </x:c>
      <x:c r="G505" t="str">
        <x:v>オレンジ</x:v>
      </x:c>
      <x:c r="H505" t="str">
        <x:v>#EE8C22</x:v>
      </x:c>
      <x:c r="I505" t="str">
        <x:v>#000000</x:v>
      </x:c>
      <x:c r="J505" t="str">
        <x:v>https://www.carandache.com/content_files/uploaded_doc/product/10595/Colour_Chart_NeoPastel.pdf</x:v>
      </x:c>
    </x:row>
    <x:row r="506">
      <x:c r="A506" t="str">
        <x:v>NEO</x:v>
      </x:c>
      <x:c r="B506" t="str">
        <x:v>NEOPASTEL</x:v>
      </x:c>
      <x:c r="C506" t="n">
        <x:v>5</x:v>
      </x:c>
      <x:c r="D506" t="str">
        <x:v>300</x:v>
      </x:c>
      <x:c r="E506" t="str">
        <x:v>Fast orange</x:v>
      </x:c>
      <x:c r="F506" t="str">
        <x:v>耐久橙</x:v>
      </x:c>
      <x:c r="G506" t="str">
        <x:v>ファストオレンジ</x:v>
      </x:c>
      <x:c r="H506" t="str">
        <x:v>#F19E1F</x:v>
      </x:c>
      <x:c r="I506" t="str">
        <x:v>#000000</x:v>
      </x:c>
      <x:c r="J506" t="str">
        <x:v>https://www.carandache.com/content_files/uploaded_doc/product/10595/Colour_Chart_NeoPastel.pdf</x:v>
      </x:c>
    </x:row>
    <x:row r="507">
      <x:c r="A507" t="str">
        <x:v>NEO</x:v>
      </x:c>
      <x:c r="B507" t="str">
        <x:v>NEOPASTEL</x:v>
      </x:c>
      <x:c r="C507" t="n">
        <x:v>6</x:v>
      </x:c>
      <x:c r="D507" t="str">
        <x:v>040</x:v>
      </x:c>
      <x:c r="E507" t="str">
        <x:v>Reddish yellow</x:v>
      </x:c>
      <x:c r="F507" t="str">
        <x:v>紅黃色</x:v>
      </x:c>
      <x:c r="G507" t="str">
        <x:v>レディッシュイエロー</x:v>
      </x:c>
      <x:c r="H507" t="str">
        <x:v>#E25C23</x:v>
      </x:c>
      <x:c r="I507" t="str">
        <x:v>#000000</x:v>
      </x:c>
      <x:c r="J507" t="str">
        <x:v>https://www.carandache.com/content_files/uploaded_doc/product/10595/Colour_Chart_NeoPastel.pdf</x:v>
      </x:c>
    </x:row>
    <x:row r="508">
      <x:c r="A508" t="str">
        <x:v>NEO</x:v>
      </x:c>
      <x:c r="B508" t="str">
        <x:v>NEOPASTEL</x:v>
      </x:c>
      <x:c r="C508" t="n">
        <x:v>7</x:v>
      </x:c>
      <x:c r="D508" t="str">
        <x:v>050</x:v>
      </x:c>
      <x:c r="E508" t="str">
        <x:v>Flame red</x:v>
      </x:c>
      <x:c r="F508" t="str">
        <x:v>火焰紅</x:v>
      </x:c>
      <x:c r="G508" t="str">
        <x:v>フレームレッド</x:v>
      </x:c>
      <x:c r="H508" t="str">
        <x:v>#EB8028</x:v>
      </x:c>
      <x:c r="I508" t="str">
        <x:v>#000000</x:v>
      </x:c>
      <x:c r="J508" t="str">
        <x:v>https://www.carandache.com/content_files/uploaded_doc/product/10595/Colour_Chart_NeoPastel.pdf</x:v>
      </x:c>
    </x:row>
    <x:row r="509">
      <x:c r="A509" t="str">
        <x:v>NEO</x:v>
      </x:c>
      <x:c r="B509" t="str">
        <x:v>NEOPASTEL</x:v>
      </x:c>
      <x:c r="C509" t="n">
        <x:v>8</x:v>
      </x:c>
      <x:c r="D509" t="str">
        <x:v>060</x:v>
      </x:c>
      <x:c r="E509" t="str">
        <x:v>Vermilion</x:v>
      </x:c>
      <x:c r="F509" t="str">
        <x:v>朱紅</x:v>
      </x:c>
      <x:c r="G509" t="str">
        <x:v>バーミリオン</x:v>
      </x:c>
      <x:c r="H509" t="str">
        <x:v>#DE5724</x:v>
      </x:c>
      <x:c r="I509" t="str">
        <x:v>#000000</x:v>
      </x:c>
      <x:c r="J509" t="str">
        <x:v>https://www.carandache.com/content_files/uploaded_doc/product/10595/Colour_Chart_NeoPastel.pdf</x:v>
      </x:c>
    </x:row>
    <x:row r="510">
      <x:c r="A510" t="str">
        <x:v>NEO</x:v>
      </x:c>
      <x:c r="B510" t="str">
        <x:v>NEOPASTEL</x:v>
      </x:c>
      <x:c r="C510" t="n">
        <x:v>9</x:v>
      </x:c>
      <x:c r="D510" t="str">
        <x:v>070</x:v>
      </x:c>
      <x:c r="E510" t="str">
        <x:v>Scarlet</x:v>
      </x:c>
      <x:c r="F510" t="str">
        <x:v>猩紅</x:v>
      </x:c>
      <x:c r="G510" t="str">
        <x:v>スカーレット</x:v>
      </x:c>
      <x:c r="H510" t="str">
        <x:v>#D40C30</x:v>
      </x:c>
      <x:c r="I510" t="str">
        <x:v>#FFFFFF</x:v>
      </x:c>
      <x:c r="J510" t="str">
        <x:v>https://www.carandache.com/content_files/uploaded_doc/product/10595/Colour_Chart_NeoPastel.pdf</x:v>
      </x:c>
    </x:row>
    <x:row r="511">
      <x:c r="A511" t="str">
        <x:v>NEO</x:v>
      </x:c>
      <x:c r="B511" t="str">
        <x:v>NEOPASTEL</x:v>
      </x:c>
      <x:c r="C511" t="n">
        <x:v>10</x:v>
      </x:c>
      <x:c r="D511" t="str">
        <x:v>280</x:v>
      </x:c>
      <x:c r="E511" t="str">
        <x:v>Ruby red</x:v>
      </x:c>
      <x:c r="F511" t="str">
        <x:v>紅寶石紅</x:v>
      </x:c>
      <x:c r="G511" t="str">
        <x:v>ルビーレッド</x:v>
      </x:c>
      <x:c r="H511" t="str">
        <x:v>#C3112B</x:v>
      </x:c>
      <x:c r="I511" t="str">
        <x:v>#FFFFFF</x:v>
      </x:c>
      <x:c r="J511" t="str">
        <x:v>https://www.carandache.com/content_files/uploaded_doc/product/10595/Colour_Chart_NeoPastel.pdf</x:v>
      </x:c>
    </x:row>
    <x:row r="512">
      <x:c r="A512" t="str">
        <x:v>NEO</x:v>
      </x:c>
      <x:c r="B512" t="str">
        <x:v>NEOPASTEL</x:v>
      </x:c>
      <x:c r="C512" t="n">
        <x:v>11</x:v>
      </x:c>
      <x:c r="D512" t="str">
        <x:v>270</x:v>
      </x:c>
      <x:c r="E512" t="str">
        <x:v>Raspberry red</x:v>
      </x:c>
      <x:c r="F512" t="str">
        <x:v>覆盆子紅</x:v>
      </x:c>
      <x:c r="G512" t="str">
        <x:v>ラズベリーレッド</x:v>
      </x:c>
      <x:c r="H512" t="str">
        <x:v>#DF4D67</x:v>
      </x:c>
      <x:c r="I512" t="str">
        <x:v>#000000</x:v>
      </x:c>
      <x:c r="J512" t="str">
        <x:v>https://www.carandache.com/content_files/uploaded_doc/product/10595/Colour_Chart_NeoPastel.pdf</x:v>
      </x:c>
    </x:row>
    <x:row r="513">
      <x:c r="A513" t="str">
        <x:v>NEO</x:v>
      </x:c>
      <x:c r="B513" t="str">
        <x:v>NEOPASTEL</x:v>
      </x:c>
      <x:c r="C513" t="n">
        <x:v>12</x:v>
      </x:c>
      <x:c r="D513" t="str">
        <x:v>075</x:v>
      </x:c>
      <x:c r="E513" t="str">
        <x:v>Indian red</x:v>
      </x:c>
      <x:c r="F513" t="str">
        <x:v>印度紅</x:v>
      </x:c>
      <x:c r="G513" t="str">
        <x:v>インディアンレッド</x:v>
      </x:c>
      <x:c r="H513" t="str">
        <x:v>#A12E39</x:v>
      </x:c>
      <x:c r="I513" t="str">
        <x:v>#FFFFFF</x:v>
      </x:c>
      <x:c r="J513" t="str">
        <x:v>https://www.carandache.com/content_files/uploaded_doc/product/10595/Colour_Chart_NeoPastel.pdf</x:v>
      </x:c>
    </x:row>
    <x:row r="514">
      <x:c r="A514" t="str">
        <x:v>NEO</x:v>
      </x:c>
      <x:c r="B514" t="str">
        <x:v>NEOPASTEL</x:v>
      </x:c>
      <x:c r="C514" t="n">
        <x:v>13</x:v>
      </x:c>
      <x:c r="D514" t="str">
        <x:v>080</x:v>
      </x:c>
      <x:c r="E514" t="str">
        <x:v>Carmine Lake</x:v>
      </x:c>
      <x:c r="F514" t="str">
        <x:v>胭脂紅色淀</x:v>
      </x:c>
      <x:c r="G514" t="str">
        <x:v>カーマインレーキ</x:v>
      </x:c>
      <x:c r="H514" t="str">
        <x:v>#AE0537</x:v>
      </x:c>
      <x:c r="I514" t="str">
        <x:v>#FFFFFF</x:v>
      </x:c>
      <x:c r="J514" t="str">
        <x:v>https://www.carandache.com/content_files/uploaded_doc/product/10595/Colour_Chart_NeoPastel.pdf</x:v>
      </x:c>
    </x:row>
    <x:row r="515">
      <x:c r="A515" t="str">
        <x:v>NEO</x:v>
      </x:c>
      <x:c r="B515" t="str">
        <x:v>NEOPASTEL</x:v>
      </x:c>
      <x:c r="C515" t="n">
        <x:v>14</x:v>
      </x:c>
      <x:c r="D515" t="str">
        <x:v>090</x:v>
      </x:c>
      <x:c r="E515" t="str">
        <x:v>Purple</x:v>
      </x:c>
      <x:c r="F515" t="str">
        <x:v>紫色</x:v>
      </x:c>
      <x:c r="G515" t="str">
        <x:v>パープル</x:v>
      </x:c>
      <x:c r="H515" t="str">
        <x:v>#B90E60</x:v>
      </x:c>
      <x:c r="I515" t="str">
        <x:v>#FFFFFF</x:v>
      </x:c>
      <x:c r="J515" t="str">
        <x:v>https://www.carandache.com/content_files/uploaded_doc/product/10595/Colour_Chart_NeoPastel.pdf</x:v>
      </x:c>
    </x:row>
    <x:row r="516">
      <x:c r="A516" t="str">
        <x:v>NEO</x:v>
      </x:c>
      <x:c r="B516" t="str">
        <x:v>NEOPASTEL</x:v>
      </x:c>
      <x:c r="C516" t="n">
        <x:v>15</x:v>
      </x:c>
      <x:c r="D516" t="str">
        <x:v>350</x:v>
      </x:c>
      <x:c r="E516" t="str">
        <x:v>Purplish Red</x:v>
      </x:c>
      <x:c r="F516" t="str">
        <x:v>紫紅色</x:v>
      </x:c>
      <x:c r="G516" t="str">
        <x:v>パープリッシュレッド</x:v>
      </x:c>
      <x:c r="H516" t="str">
        <x:v>#AB4289</x:v>
      </x:c>
      <x:c r="I516" t="str">
        <x:v>#FFFFFF</x:v>
      </x:c>
      <x:c r="J516" t="str">
        <x:v>https://www.carandache.com/content_files/uploaded_doc/product/10595/Colour_Chart_NeoPastel.pdf</x:v>
      </x:c>
    </x:row>
    <x:row r="517">
      <x:c r="A517" t="str">
        <x:v>NEO</x:v>
      </x:c>
      <x:c r="B517" t="str">
        <x:v>NEOPASTEL</x:v>
      </x:c>
      <x:c r="C517" t="n">
        <x:v>16</x:v>
      </x:c>
      <x:c r="D517" t="str">
        <x:v>110</x:v>
      </x:c>
      <x:c r="E517" t="str">
        <x:v>Lilac</x:v>
      </x:c>
      <x:c r="F517" t="str">
        <x:v>丁香紫</x:v>
      </x:c>
      <x:c r="G517" t="str">
        <x:v>ライラック</x:v>
      </x:c>
      <x:c r="H517" t="str">
        <x:v>#442C4A</x:v>
      </x:c>
      <x:c r="I517" t="str">
        <x:v>#FFFFFF</x:v>
      </x:c>
      <x:c r="J517" t="str">
        <x:v>https://www.carandache.com/content_files/uploaded_doc/product/10595/Colour_Chart_NeoPastel.pdf</x:v>
      </x:c>
    </x:row>
    <x:row r="518">
      <x:c r="A518" t="str">
        <x:v>NEO</x:v>
      </x:c>
      <x:c r="B518" t="str">
        <x:v>NEOPASTEL</x:v>
      </x:c>
      <x:c r="C518" t="n">
        <x:v>17</x:v>
      </x:c>
      <x:c r="D518" t="str">
        <x:v>120</x:v>
      </x:c>
      <x:c r="E518" t="str">
        <x:v>Violet</x:v>
      </x:c>
      <x:c r="F518" t="str">
        <x:v>紫羅蘭色</x:v>
      </x:c>
      <x:c r="G518" t="str">
        <x:v>バイオレット</x:v>
      </x:c>
      <x:c r="H518" t="str">
        <x:v>#2D1955</x:v>
      </x:c>
      <x:c r="I518" t="str">
        <x:v>#FFFFFF</x:v>
      </x:c>
      <x:c r="J518" t="str">
        <x:v>https://www.carandache.com/content_files/uploaded_doc/product/10595/Colour_Chart_NeoPastel.pdf</x:v>
      </x:c>
    </x:row>
    <x:row r="519">
      <x:c r="A519" t="str">
        <x:v>NEO</x:v>
      </x:c>
      <x:c r="B519" t="str">
        <x:v>NEOPASTEL</x:v>
      </x:c>
      <x:c r="C519" t="n">
        <x:v>18</x:v>
      </x:c>
      <x:c r="D519" t="str">
        <x:v>099</x:v>
      </x:c>
      <x:c r="E519" t="str">
        <x:v>Aubergine</x:v>
      </x:c>
      <x:c r="F519" t="str">
        <x:v>茄紫色</x:v>
      </x:c>
      <x:c r="G519" t="str">
        <x:v>オーベルジーヌ</x:v>
      </x:c>
      <x:c r="H519" t="str">
        <x:v>#8F508C</x:v>
      </x:c>
      <x:c r="I519" t="str">
        <x:v>#FFFFFF</x:v>
      </x:c>
      <x:c r="J519" t="str">
        <x:v>https://www.carandache.com/content_files/uploaded_doc/product/10595/Colour_Chart_NeoPastel.pdf</x:v>
      </x:c>
    </x:row>
    <x:row r="520">
      <x:c r="A520" t="str">
        <x:v>NEO</x:v>
      </x:c>
      <x:c r="B520" t="str">
        <x:v>NEOPASTEL</x:v>
      </x:c>
      <x:c r="C520" t="n">
        <x:v>19</x:v>
      </x:c>
      <x:c r="D520" t="str">
        <x:v>130</x:v>
      </x:c>
      <x:c r="E520" t="str">
        <x:v>Royal blue</x:v>
      </x:c>
      <x:c r="F520" t="str">
        <x:v>皇家藍</x:v>
      </x:c>
      <x:c r="G520" t="str">
        <x:v>ロイヤルブルー</x:v>
      </x:c>
      <x:c r="H520" t="str">
        <x:v>#04356C</x:v>
      </x:c>
      <x:c r="I520" t="str">
        <x:v>#FFFFFF</x:v>
      </x:c>
      <x:c r="J520" t="str">
        <x:v>https://www.carandache.com/content_files/uploaded_doc/product/10595/Colour_Chart_NeoPastel.pdf</x:v>
      </x:c>
    </x:row>
    <x:row r="521">
      <x:c r="A521" t="str">
        <x:v>NEO</x:v>
      </x:c>
      <x:c r="B521" t="str">
        <x:v>NEOPASTEL</x:v>
      </x:c>
      <x:c r="C521" t="n">
        <x:v>20</x:v>
      </x:c>
      <x:c r="D521" t="str">
        <x:v>140</x:v>
      </x:c>
      <x:c r="E521" t="str">
        <x:v>Ultramarine</x:v>
      </x:c>
      <x:c r="F521" t="str">
        <x:v>群青</x:v>
      </x:c>
      <x:c r="G521" t="str">
        <x:v>ウルトラマリン</x:v>
      </x:c>
      <x:c r="H521" t="str">
        <x:v>#143387</x:v>
      </x:c>
      <x:c r="I521" t="str">
        <x:v>#FFFFFF</x:v>
      </x:c>
      <x:c r="J521" t="str">
        <x:v>https://www.carandache.com/content_files/uploaded_doc/product/10595/Colour_Chart_NeoPastel.pdf</x:v>
      </x:c>
    </x:row>
    <x:row r="522">
      <x:c r="A522" t="str">
        <x:v>NEO</x:v>
      </x:c>
      <x:c r="B522" t="str">
        <x:v>NEOPASTEL</x:v>
      </x:c>
      <x:c r="C522" t="n">
        <x:v>21</x:v>
      </x:c>
      <x:c r="D522" t="str">
        <x:v>150</x:v>
      </x:c>
      <x:c r="E522" t="str">
        <x:v>Sapphire blue</x:v>
      </x:c>
      <x:c r="F522" t="str">
        <x:v>藍寶石藍</x:v>
      </x:c>
      <x:c r="G522" t="str">
        <x:v>サファイアブルー</x:v>
      </x:c>
      <x:c r="H522" t="str">
        <x:v>#044381</x:v>
      </x:c>
      <x:c r="I522" t="str">
        <x:v>#FFFFFF</x:v>
      </x:c>
      <x:c r="J522" t="str">
        <x:v>https://www.carandache.com/content_files/uploaded_doc/product/10595/Colour_Chart_NeoPastel.pdf</x:v>
      </x:c>
    </x:row>
    <x:row r="523">
      <x:c r="A523" t="str">
        <x:v>NEO</x:v>
      </x:c>
      <x:c r="B523" t="str">
        <x:v>NEOPASTEL</x:v>
      </x:c>
      <x:c r="C523" t="n">
        <x:v>22</x:v>
      </x:c>
      <x:c r="D523" t="str">
        <x:v>149</x:v>
      </x:c>
      <x:c r="E523" t="str">
        <x:v>Night blue</x:v>
      </x:c>
      <x:c r="F523" t="str">
        <x:v>夜藍</x:v>
      </x:c>
      <x:c r="G523" t="str">
        <x:v>ナイトブルー</x:v>
      </x:c>
      <x:c r="H523" t="str">
        <x:v>#193F74</x:v>
      </x:c>
      <x:c r="I523" t="str">
        <x:v>#FFFFFF</x:v>
      </x:c>
      <x:c r="J523" t="str">
        <x:v>https://www.carandache.com/content_files/uploaded_doc/product/10595/Colour_Chart_NeoPastel.pdf</x:v>
      </x:c>
    </x:row>
    <x:row r="524">
      <x:c r="A524" t="str">
        <x:v>NEO</x:v>
      </x:c>
      <x:c r="B524" t="str">
        <x:v>NEOPASTEL</x:v>
      </x:c>
      <x:c r="C524" t="n">
        <x:v>23</x:v>
      </x:c>
      <x:c r="D524" t="str">
        <x:v>139</x:v>
      </x:c>
      <x:c r="E524" t="str">
        <x:v>Indigo blue</x:v>
      </x:c>
      <x:c r="F524" t="str">
        <x:v>靛藍</x:v>
      </x:c>
      <x:c r="G524" t="str">
        <x:v>インディゴブルー</x:v>
      </x:c>
      <x:c r="H524" t="str">
        <x:v>#313A5C</x:v>
      </x:c>
      <x:c r="I524" t="str">
        <x:v>#FFFFFF</x:v>
      </x:c>
      <x:c r="J524" t="str">
        <x:v>https://www.carandache.com/content_files/uploaded_doc/product/10595/Colour_Chart_NeoPastel.pdf</x:v>
      </x:c>
    </x:row>
    <x:row r="525">
      <x:c r="A525" t="str">
        <x:v>NEO</x:v>
      </x:c>
      <x:c r="B525" t="str">
        <x:v>NEOPASTEL</x:v>
      </x:c>
      <x:c r="C525" t="n">
        <x:v>24</x:v>
      </x:c>
      <x:c r="D525" t="str">
        <x:v>159</x:v>
      </x:c>
      <x:c r="E525" t="str">
        <x:v>Prussian Blue</x:v>
      </x:c>
      <x:c r="F525" t="str">
        <x:v>普魯士藍</x:v>
      </x:c>
      <x:c r="G525" t="str">
        <x:v>プルシャンブルー</x:v>
      </x:c>
      <x:c r="H525" t="str">
        <x:v>#053862</x:v>
      </x:c>
      <x:c r="I525" t="str">
        <x:v>#FFFFFF</x:v>
      </x:c>
      <x:c r="J525" t="str">
        <x:v>https://www.carandache.com/content_files/uploaded_doc/product/10595/Colour_Chart_NeoPastel.pdf</x:v>
      </x:c>
    </x:row>
    <x:row r="526">
      <x:c r="A526" t="str">
        <x:v>NEO</x:v>
      </x:c>
      <x:c r="B526" t="str">
        <x:v>NEOPASTEL</x:v>
      </x:c>
      <x:c r="C526" t="n">
        <x:v>25</x:v>
      </x:c>
      <x:c r="D526" t="str">
        <x:v>260</x:v>
      </x:c>
      <x:c r="E526" t="str">
        <x:v>Blue</x:v>
      </x:c>
      <x:c r="F526" t="str">
        <x:v>藍色</x:v>
      </x:c>
      <x:c r="G526" t="str">
        <x:v>ブルー</x:v>
      </x:c>
      <x:c r="H526" t="str">
        <x:v>#034394</x:v>
      </x:c>
      <x:c r="I526" t="str">
        <x:v>#FFFFFF</x:v>
      </x:c>
      <x:c r="J526" t="str">
        <x:v>https://www.carandache.com/content_files/uploaded_doc/product/10595/Colour_Chart_NeoPastel.pdf</x:v>
      </x:c>
    </x:row>
    <x:row r="527">
      <x:c r="A527" t="str">
        <x:v>NEO</x:v>
      </x:c>
      <x:c r="B527" t="str">
        <x:v>NEOPASTEL</x:v>
      </x:c>
      <x:c r="C527" t="n">
        <x:v>26</x:v>
      </x:c>
      <x:c r="D527" t="str">
        <x:v>370</x:v>
      </x:c>
      <x:c r="E527" t="str">
        <x:v>Gentian blue</x:v>
      </x:c>
      <x:c r="F527" t="str">
        <x:v>龍膽藍</x:v>
      </x:c>
      <x:c r="G527" t="str">
        <x:v>ゲンチアンブルー</x:v>
      </x:c>
      <x:c r="H527" t="str">
        <x:v>#0367B1</x:v>
      </x:c>
      <x:c r="I527" t="str">
        <x:v>#FFFFFF</x:v>
      </x:c>
      <x:c r="J527" t="str">
        <x:v>https://www.carandache.com/content_files/uploaded_doc/product/10595/Colour_Chart_NeoPastel.pdf</x:v>
      </x:c>
    </x:row>
    <x:row r="528">
      <x:c r="A528" t="str">
        <x:v>NEO</x:v>
      </x:c>
      <x:c r="B528" t="str">
        <x:v>NEOPASTEL</x:v>
      </x:c>
      <x:c r="C528" t="n">
        <x:v>27</x:v>
      </x:c>
      <x:c r="D528" t="str">
        <x:v>160</x:v>
      </x:c>
      <x:c r="E528" t="str">
        <x:v>Cobalt Blue (hue)</x:v>
      </x:c>
      <x:c r="F528" t="str">
        <x:v>鈷藍（色相）</x:v>
      </x:c>
      <x:c r="G528" t="str">
        <x:v>コバルトブルー（ヒュー）</x:v>
      </x:c>
      <x:c r="H528" t="str">
        <x:v>#066093</x:v>
      </x:c>
      <x:c r="I528" t="str">
        <x:v>#FFFFFF</x:v>
      </x:c>
      <x:c r="J528" t="str">
        <x:v>https://www.carandache.com/content_files/uploaded_doc/product/10595/Colour_Chart_NeoPastel.pdf</x:v>
      </x:c>
    </x:row>
    <x:row r="529">
      <x:c r="A529" t="str">
        <x:v>NEO</x:v>
      </x:c>
      <x:c r="B529" t="str">
        <x:v>NEOPASTEL</x:v>
      </x:c>
      <x:c r="C529" t="n">
        <x:v>28</x:v>
      </x:c>
      <x:c r="D529" t="str">
        <x:v>170</x:v>
      </x:c>
      <x:c r="E529" t="str">
        <x:v>Azurite blue</x:v>
      </x:c>
      <x:c r="F529" t="str">
        <x:v>藍銅礦藍</x:v>
      </x:c>
      <x:c r="G529" t="str">
        <x:v>アズライトブルー</x:v>
      </x:c>
      <x:c r="H529" t="str">
        <x:v>#046C7B</x:v>
      </x:c>
      <x:c r="I529" t="str">
        <x:v>#FFFFFF</x:v>
      </x:c>
      <x:c r="J529" t="str">
        <x:v>https://www.carandache.com/content_files/uploaded_doc/product/10595/Colour_Chart_NeoPastel.pdf</x:v>
      </x:c>
    </x:row>
    <x:row r="530">
      <x:c r="A530" t="str">
        <x:v>NEO</x:v>
      </x:c>
      <x:c r="B530" t="str">
        <x:v>NEOPASTEL</x:v>
      </x:c>
      <x:c r="C530" t="n">
        <x:v>29</x:v>
      </x:c>
      <x:c r="D530" t="str">
        <x:v>180</x:v>
      </x:c>
      <x:c r="E530" t="str">
        <x:v>Malachite green</x:v>
      </x:c>
      <x:c r="F530" t="str">
        <x:v>孔雀石綠</x:v>
      </x:c>
      <x:c r="G530" t="str">
        <x:v>マラカイトグリーン</x:v>
      </x:c>
      <x:c r="H530" t="str">
        <x:v>#085F6E</x:v>
      </x:c>
      <x:c r="I530" t="str">
        <x:v>#FFFFFF</x:v>
      </x:c>
      <x:c r="J530" t="str">
        <x:v>https://www.carandache.com/content_files/uploaded_doc/product/10595/Colour_Chart_NeoPastel.pdf</x:v>
      </x:c>
    </x:row>
    <x:row r="531">
      <x:c r="A531" t="str">
        <x:v>NEO</x:v>
      </x:c>
      <x:c r="B531" t="str">
        <x:v>NEOPASTEL</x:v>
      </x:c>
      <x:c r="C531" t="n">
        <x:v>30</x:v>
      </x:c>
      <x:c r="D531" t="str">
        <x:v>190</x:v>
      </x:c>
      <x:c r="E531" t="str">
        <x:v>Greenish blue</x:v>
      </x:c>
      <x:c r="F531" t="str">
        <x:v>綠藍色</x:v>
      </x:c>
      <x:c r="G531" t="str">
        <x:v>グリーニッシュブルー</x:v>
      </x:c>
      <x:c r="H531" t="str">
        <x:v>#04675D</x:v>
      </x:c>
      <x:c r="I531" t="str">
        <x:v>#FFFFFF</x:v>
      </x:c>
      <x:c r="J531" t="str">
        <x:v>https://www.carandache.com/content_files/uploaded_doc/product/10595/Colour_Chart_NeoPastel.pdf</x:v>
      </x:c>
    </x:row>
    <x:row r="532">
      <x:c r="A532" t="str">
        <x:v>NEO</x:v>
      </x:c>
      <x:c r="B532" t="str">
        <x:v>NEOPASTEL</x:v>
      </x:c>
      <x:c r="C532" t="n">
        <x:v>31</x:v>
      </x:c>
      <x:c r="D532" t="str">
        <x:v>229</x:v>
      </x:c>
      <x:c r="E532" t="str">
        <x:v>Dark green</x:v>
      </x:c>
      <x:c r="F532" t="str">
        <x:v>深綠色</x:v>
      </x:c>
      <x:c r="G532" t="str">
        <x:v>ダークグリーン</x:v>
      </x:c>
      <x:c r="H532" t="str">
        <x:v>#06433A</x:v>
      </x:c>
      <x:c r="I532" t="str">
        <x:v>#FFFFFF</x:v>
      </x:c>
      <x:c r="J532" t="str">
        <x:v>https://www.carandache.com/content_files/uploaded_doc/product/10595/Colour_Chart_NeoPastel.pdf</x:v>
      </x:c>
    </x:row>
    <x:row r="533">
      <x:c r="A533" t="str">
        <x:v>NEO</x:v>
      </x:c>
      <x:c r="B533" t="str">
        <x:v>NEOPASTEL</x:v>
      </x:c>
      <x:c r="C533" t="n">
        <x:v>32</x:v>
      </x:c>
      <x:c r="D533" t="str">
        <x:v>210</x:v>
      </x:c>
      <x:c r="E533" t="str">
        <x:v>Emerald green</x:v>
      </x:c>
      <x:c r="F533" t="str">
        <x:v>祖母綠</x:v>
      </x:c>
      <x:c r="G533" t="str">
        <x:v>エメラルドグリーン</x:v>
      </x:c>
      <x:c r="H533" t="str">
        <x:v>#174E3A</x:v>
      </x:c>
      <x:c r="I533" t="str">
        <x:v>#FFFFFF</x:v>
      </x:c>
      <x:c r="J533" t="str">
        <x:v>https://www.carandache.com/content_files/uploaded_doc/product/10595/Colour_Chart_NeoPastel.pdf</x:v>
      </x:c>
    </x:row>
    <x:row r="534">
      <x:c r="A534" t="str">
        <x:v>NEO</x:v>
      </x:c>
      <x:c r="B534" t="str">
        <x:v>NEOPASTEL</x:v>
      </x:c>
      <x:c r="C534" t="n">
        <x:v>33</x:v>
      </x:c>
      <x:c r="D534" t="str">
        <x:v>200</x:v>
      </x:c>
      <x:c r="E534" t="str">
        <x:v>Bluish green</x:v>
      </x:c>
      <x:c r="F534" t="str">
        <x:v>藍綠色</x:v>
      </x:c>
      <x:c r="G534" t="str">
        <x:v>ブルーイッシュグリーン</x:v>
      </x:c>
      <x:c r="H534" t="str">
        <x:v>#04675A</x:v>
      </x:c>
      <x:c r="I534" t="str">
        <x:v>#FFFFFF</x:v>
      </x:c>
      <x:c r="J534" t="str">
        <x:v>https://www.carandache.com/content_files/uploaded_doc/product/10595/Colour_Chart_NeoPastel.pdf</x:v>
      </x:c>
    </x:row>
    <x:row r="535">
      <x:c r="A535" t="str">
        <x:v>NEO</x:v>
      </x:c>
      <x:c r="B535" t="str">
        <x:v>NEOPASTEL</x:v>
      </x:c>
      <x:c r="C535" t="n">
        <x:v>34</x:v>
      </x:c>
      <x:c r="D535" t="str">
        <x:v>195</x:v>
      </x:c>
      <x:c r="E535" t="str">
        <x:v>Opaline green</x:v>
      </x:c>
      <x:c r="F535" t="str">
        <x:v>乳白綠</x:v>
      </x:c>
      <x:c r="G535" t="str">
        <x:v>オパリングリーン</x:v>
      </x:c>
      <x:c r="H535" t="str">
        <x:v>#047E73</x:v>
      </x:c>
      <x:c r="I535" t="str">
        <x:v>#FFFFFF</x:v>
      </x:c>
      <x:c r="J535" t="str">
        <x:v>https://www.carandache.com/content_files/uploaded_doc/product/10595/Colour_Chart_NeoPastel.pdf</x:v>
      </x:c>
    </x:row>
    <x:row r="536">
      <x:c r="A536" t="str">
        <x:v>NEO</x:v>
      </x:c>
      <x:c r="B536" t="str">
        <x:v>NEOPASTEL</x:v>
      </x:c>
      <x:c r="C536" t="n">
        <x:v>35</x:v>
      </x:c>
      <x:c r="D536" t="str">
        <x:v>215</x:v>
      </x:c>
      <x:c r="E536" t="str">
        <x:v>Greyish green</x:v>
      </x:c>
      <x:c r="F536" t="str">
        <x:v>灰綠色</x:v>
      </x:c>
      <x:c r="G536" t="str">
        <x:v>グレイッシュグリーン</x:v>
      </x:c>
      <x:c r="H536" t="str">
        <x:v>#048969</x:v>
      </x:c>
      <x:c r="I536" t="str">
        <x:v>#000000</x:v>
      </x:c>
      <x:c r="J536" t="str">
        <x:v>https://www.carandache.com/content_files/uploaded_doc/product/10595/Colour_Chart_NeoPastel.pdf</x:v>
      </x:c>
    </x:row>
    <x:row r="537">
      <x:c r="A537" t="str">
        <x:v>NEO</x:v>
      </x:c>
      <x:c r="B537" t="str">
        <x:v>NEOPASTEL</x:v>
      </x:c>
      <x:c r="C537" t="n">
        <x:v>36</x:v>
      </x:c>
      <x:c r="D537" t="str">
        <x:v>220</x:v>
      </x:c>
      <x:c r="E537" t="str">
        <x:v>Grass Green</x:v>
      </x:c>
      <x:c r="F537" t="str">
        <x:v>草綠色</x:v>
      </x:c>
      <x:c r="G537" t="str">
        <x:v>グラスグリーン</x:v>
      </x:c>
      <x:c r="H537" t="str">
        <x:v>#2A973C</x:v>
      </x:c>
      <x:c r="I537" t="str">
        <x:v>#000000</x:v>
      </x:c>
      <x:c r="J537" t="str">
        <x:v>https://www.carandache.com/content_files/uploaded_doc/product/10595/Colour_Chart_NeoPastel.pdf</x:v>
      </x:c>
    </x:row>
    <x:row r="538">
      <x:c r="A538" t="str">
        <x:v>NEO</x:v>
      </x:c>
      <x:c r="B538" t="str">
        <x:v>NEOPASTEL</x:v>
      </x:c>
      <x:c r="C538" t="n">
        <x:v>37</x:v>
      </x:c>
      <x:c r="D538" t="str">
        <x:v>230</x:v>
      </x:c>
      <x:c r="E538" t="str">
        <x:v>Yellow Green</x:v>
      </x:c>
      <x:c r="F538" t="str">
        <x:v>黃綠色</x:v>
      </x:c>
      <x:c r="G538" t="str">
        <x:v>イエローグリーン</x:v>
      </x:c>
      <x:c r="H538" t="str">
        <x:v>#ADC01E</x:v>
      </x:c>
      <x:c r="I538" t="str">
        <x:v>#000000</x:v>
      </x:c>
      <x:c r="J538" t="str">
        <x:v>https://www.carandache.com/content_files/uploaded_doc/product/10595/Colour_Chart_NeoPastel.pdf</x:v>
      </x:c>
    </x:row>
    <x:row r="539">
      <x:c r="A539" t="str">
        <x:v>NEO</x:v>
      </x:c>
      <x:c r="B539" t="str">
        <x:v>NEOPASTEL</x:v>
      </x:c>
      <x:c r="C539" t="n">
        <x:v>38</x:v>
      </x:c>
      <x:c r="D539" t="str">
        <x:v>470</x:v>
      </x:c>
      <x:c r="E539" t="str">
        <x:v>Spring Green</x:v>
      </x:c>
      <x:c r="F539" t="str">
        <x:v>春綠色</x:v>
      </x:c>
      <x:c r="G539" t="str">
        <x:v>スプリンググリーン</x:v>
      </x:c>
      <x:c r="H539" t="str">
        <x:v>#95BF4A</x:v>
      </x:c>
      <x:c r="I539" t="str">
        <x:v>#000000</x:v>
      </x:c>
      <x:c r="J539" t="str">
        <x:v>https://www.carandache.com/content_files/uploaded_doc/product/10595/Colour_Chart_NeoPastel.pdf</x:v>
      </x:c>
    </x:row>
    <x:row r="540">
      <x:c r="A540" t="str">
        <x:v>NEO</x:v>
      </x:c>
      <x:c r="B540" t="str">
        <x:v>NEOPASTEL</x:v>
      </x:c>
      <x:c r="C540" t="n">
        <x:v>39</x:v>
      </x:c>
      <x:c r="D540" t="str">
        <x:v>231</x:v>
      </x:c>
      <x:c r="E540" t="str">
        <x:v>Lime green</x:v>
      </x:c>
      <x:c r="F540" t="str">
        <x:v>萊姆綠</x:v>
      </x:c>
      <x:c r="G540" t="str">
        <x:v>ライムグリーン</x:v>
      </x:c>
      <x:c r="H540" t="str">
        <x:v>#B5CD67</x:v>
      </x:c>
      <x:c r="I540" t="str">
        <x:v>#000000</x:v>
      </x:c>
      <x:c r="J540" t="str">
        <x:v>https://www.carandache.com/content_files/uploaded_doc/product/10595/Colour_Chart_NeoPastel.pdf</x:v>
      </x:c>
    </x:row>
    <x:row r="541">
      <x:c r="A541" t="str">
        <x:v>NEO</x:v>
      </x:c>
      <x:c r="B541" t="str">
        <x:v>NEOPASTEL</x:v>
      </x:c>
      <x:c r="C541" t="n">
        <x:v>40</x:v>
      </x:c>
      <x:c r="D541" t="str">
        <x:v>011</x:v>
      </x:c>
      <x:c r="E541" t="str">
        <x:v>Pale yellow</x:v>
      </x:c>
      <x:c r="F541" t="str">
        <x:v>淡黃色</x:v>
      </x:c>
      <x:c r="G541" t="str">
        <x:v>ペールイエロー</x:v>
      </x:c>
      <x:c r="H541" t="str">
        <x:v>#EFEAAF</x:v>
      </x:c>
      <x:c r="I541" t="str">
        <x:v>#000000</x:v>
      </x:c>
      <x:c r="J541" t="str">
        <x:v>https://www.carandache.com/content_files/uploaded_doc/product/10595/Colour_Chart_NeoPastel.pdf</x:v>
      </x:c>
    </x:row>
    <x:row r="542">
      <x:c r="A542" t="str">
        <x:v>NEO</x:v>
      </x:c>
      <x:c r="B542" t="str">
        <x:v>NEOPASTEL</x:v>
      </x:c>
      <x:c r="C542" t="n">
        <x:v>41</x:v>
      </x:c>
      <x:c r="D542" t="str">
        <x:v>031</x:v>
      </x:c>
      <x:c r="E542" t="str">
        <x:v>Orangish yellow</x:v>
      </x:c>
      <x:c r="F542" t="str">
        <x:v>橙黃色</x:v>
      </x:c>
      <x:c r="G542" t="str">
        <x:v>オレンジイエロー</x:v>
      </x:c>
      <x:c r="H542" t="str">
        <x:v>#F2B740</x:v>
      </x:c>
      <x:c r="I542" t="str">
        <x:v>#000000</x:v>
      </x:c>
      <x:c r="J542" t="str">
        <x:v>https://www.carandache.com/content_files/uploaded_doc/product/10595/Colour_Chart_NeoPastel.pdf</x:v>
      </x:c>
    </x:row>
    <x:row r="543">
      <x:c r="A543" t="str">
        <x:v>NEO</x:v>
      </x:c>
      <x:c r="B543" t="str">
        <x:v>NEOPASTEL</x:v>
      </x:c>
      <x:c r="C543" t="n">
        <x:v>42</x:v>
      </x:c>
      <x:c r="D543" t="str">
        <x:v>051</x:v>
      </x:c>
      <x:c r="E543" t="str">
        <x:v>Salmon</x:v>
      </x:c>
      <x:c r="F543" t="str">
        <x:v>鮭魚色</x:v>
      </x:c>
      <x:c r="G543" t="str">
        <x:v>サーモン</x:v>
      </x:c>
      <x:c r="H543" t="str">
        <x:v>#ECAB82</x:v>
      </x:c>
      <x:c r="I543" t="str">
        <x:v>#000000</x:v>
      </x:c>
      <x:c r="J543" t="str">
        <x:v>https://www.carandache.com/content_files/uploaded_doc/product/10595/Colour_Chart_NeoPastel.pdf</x:v>
      </x:c>
    </x:row>
    <x:row r="544">
      <x:c r="A544" t="str">
        <x:v>NEO</x:v>
      </x:c>
      <x:c r="B544" t="str">
        <x:v>NEOPASTEL</x:v>
      </x:c>
      <x:c r="C544" t="n">
        <x:v>43</x:v>
      </x:c>
      <x:c r="D544" t="str">
        <x:v>493</x:v>
      </x:c>
      <x:c r="E544" t="str">
        <x:v>Granite rose</x:v>
      </x:c>
      <x:c r="F544" t="str">
        <x:v>花崗岩粉紅</x:v>
      </x:c>
      <x:c r="G544" t="str">
        <x:v>グラナイトローズ</x:v>
      </x:c>
      <x:c r="H544" t="str">
        <x:v>#F1C8C1</x:v>
      </x:c>
      <x:c r="I544" t="str">
        <x:v>#000000</x:v>
      </x:c>
      <x:c r="J544" t="str">
        <x:v>https://www.carandache.com/content_files/uploaded_doc/product/10595/Colour_Chart_NeoPastel.pdf</x:v>
      </x:c>
    </x:row>
    <x:row r="545">
      <x:c r="A545" t="str">
        <x:v>NEO</x:v>
      </x:c>
      <x:c r="B545" t="str">
        <x:v>NEOPASTEL</x:v>
      </x:c>
      <x:c r="C545" t="n">
        <x:v>44</x:v>
      </x:c>
      <x:c r="D545" t="str">
        <x:v>071</x:v>
      </x:c>
      <x:c r="E545" t="str">
        <x:v>Salmon Pink</x:v>
      </x:c>
      <x:c r="F545" t="str">
        <x:v>鮭魚粉紅</x:v>
      </x:c>
      <x:c r="G545" t="str">
        <x:v>サーモンピンク</x:v>
      </x:c>
      <x:c r="H545" t="str">
        <x:v>#E9917A</x:v>
      </x:c>
      <x:c r="I545" t="str">
        <x:v>#000000</x:v>
      </x:c>
      <x:c r="J545" t="str">
        <x:v>https://www.carandache.com/content_files/uploaded_doc/product/10595/Colour_Chart_NeoPastel.pdf</x:v>
      </x:c>
    </x:row>
    <x:row r="546">
      <x:c r="A546" t="str">
        <x:v>NEO</x:v>
      </x:c>
      <x:c r="B546" t="str">
        <x:v>NEOPASTEL</x:v>
      </x:c>
      <x:c r="C546" t="n">
        <x:v>45</x:v>
      </x:c>
      <x:c r="D546" t="str">
        <x:v>081</x:v>
      </x:c>
      <x:c r="E546" t="str">
        <x:v>Pink</x:v>
      </x:c>
      <x:c r="F546" t="str">
        <x:v>粉紅色</x:v>
      </x:c>
      <x:c r="G546" t="str">
        <x:v>ピンク</x:v>
      </x:c>
      <x:c r="H546" t="str">
        <x:v>#DA808B</x:v>
      </x:c>
      <x:c r="I546" t="str">
        <x:v>#000000</x:v>
      </x:c>
      <x:c r="J546" t="str">
        <x:v>https://www.carandache.com/content_files/uploaded_doc/product/10595/Colour_Chart_NeoPastel.pdf</x:v>
      </x:c>
    </x:row>
    <x:row r="547">
      <x:c r="A547" t="str">
        <x:v>NEO</x:v>
      </x:c>
      <x:c r="B547" t="str">
        <x:v>NEOPASTEL</x:v>
      </x:c>
      <x:c r="C547" t="n">
        <x:v>46</x:v>
      </x:c>
      <x:c r="D547" t="str">
        <x:v>101</x:v>
      </x:c>
      <x:c r="E547" t="str">
        <x:v>Light purple violet</x:v>
      </x:c>
      <x:c r="F547" t="str">
        <x:v>淺紫羅蘭</x:v>
      </x:c>
      <x:c r="G547" t="str">
        <x:v>ライトパープルバイオレット</x:v>
      </x:c>
      <x:c r="H547" t="str">
        <x:v>#BC7EB0</x:v>
      </x:c>
      <x:c r="I547" t="str">
        <x:v>#000000</x:v>
      </x:c>
      <x:c r="J547" t="str">
        <x:v>https://www.carandache.com/content_files/uploaded_doc/product/10595/Colour_Chart_NeoPastel.pdf</x:v>
      </x:c>
    </x:row>
    <x:row r="548">
      <x:c r="A548" t="str">
        <x:v>NEO</x:v>
      </x:c>
      <x:c r="B548" t="str">
        <x:v>NEOPASTEL</x:v>
      </x:c>
      <x:c r="C548" t="n">
        <x:v>47</x:v>
      </x:c>
      <x:c r="D548" t="str">
        <x:v>111</x:v>
      </x:c>
      <x:c r="E548" t="str">
        <x:v>Mauve</x:v>
      </x:c>
      <x:c r="F548" t="str">
        <x:v>淡紫色</x:v>
      </x:c>
      <x:c r="G548" t="str">
        <x:v>モーブ</x:v>
      </x:c>
      <x:c r="H548" t="str">
        <x:v>#8D448F</x:v>
      </x:c>
      <x:c r="I548" t="str">
        <x:v>#FFFFFF</x:v>
      </x:c>
      <x:c r="J548" t="str">
        <x:v>https://www.carandache.com/content_files/uploaded_doc/product/10595/Colour_Chart_NeoPastel.pdf</x:v>
      </x:c>
    </x:row>
    <x:row r="549">
      <x:c r="A549" t="str">
        <x:v>NEO</x:v>
      </x:c>
      <x:c r="B549" t="str">
        <x:v>NEOPASTEL</x:v>
      </x:c>
      <x:c r="C549" t="n">
        <x:v>48</x:v>
      </x:c>
      <x:c r="D549" t="str">
        <x:v>131</x:v>
      </x:c>
      <x:c r="E549" t="str">
        <x:v>Periwinkle blue</x:v>
      </x:c>
      <x:c r="F549" t="str">
        <x:v>長春花藍</x:v>
      </x:c>
      <x:c r="G549" t="str">
        <x:v>ペリウィンクルブルー</x:v>
      </x:c>
      <x:c r="H549" t="str">
        <x:v>#56438C</x:v>
      </x:c>
      <x:c r="I549" t="str">
        <x:v>#FFFFFF</x:v>
      </x:c>
      <x:c r="J549" t="str">
        <x:v>https://www.carandache.com/content_files/uploaded_doc/product/10595/Colour_Chart_NeoPastel.pdf</x:v>
      </x:c>
    </x:row>
    <x:row r="550">
      <x:c r="A550" t="str">
        <x:v>NEO</x:v>
      </x:c>
      <x:c r="B550" t="str">
        <x:v>NEOPASTEL</x:v>
      </x:c>
      <x:c r="C550" t="n">
        <x:v>49</x:v>
      </x:c>
      <x:c r="D550" t="str">
        <x:v>141</x:v>
      </x:c>
      <x:c r="E550" t="str">
        <x:v>Sky blue</x:v>
      </x:c>
      <x:c r="F550" t="str">
        <x:v>天空藍</x:v>
      </x:c>
      <x:c r="G550" t="str">
        <x:v>スカイブルー</x:v>
      </x:c>
      <x:c r="H550" t="str">
        <x:v>#4F7CB9</x:v>
      </x:c>
      <x:c r="I550" t="str">
        <x:v>#000000</x:v>
      </x:c>
      <x:c r="J550" t="str">
        <x:v>https://www.carandache.com/content_files/uploaded_doc/product/10595/Colour_Chart_NeoPastel.pdf</x:v>
      </x:c>
    </x:row>
    <x:row r="551">
      <x:c r="A551" t="str">
        <x:v>NEO</x:v>
      </x:c>
      <x:c r="B551" t="str">
        <x:v>NEOPASTEL</x:v>
      </x:c>
      <x:c r="C551" t="n">
        <x:v>50</x:v>
      </x:c>
      <x:c r="D551" t="str">
        <x:v>155</x:v>
      </x:c>
      <x:c r="E551" t="str">
        <x:v>Blue jeans</x:v>
      </x:c>
      <x:c r="F551" t="str">
        <x:v>牛仔藍</x:v>
      </x:c>
      <x:c r="G551" t="str">
        <x:v>ブルージーンズ</x:v>
      </x:c>
      <x:c r="H551" t="str">
        <x:v>#04709F</x:v>
      </x:c>
      <x:c r="I551" t="str">
        <x:v>#FFFFFF</x:v>
      </x:c>
      <x:c r="J551" t="str">
        <x:v>https://www.carandache.com/content_files/uploaded_doc/product/10595/Colour_Chart_NeoPastel.pdf</x:v>
      </x:c>
    </x:row>
    <x:row r="552">
      <x:c r="A552" t="str">
        <x:v>NEO</x:v>
      </x:c>
      <x:c r="B552" t="str">
        <x:v>NEOPASTEL</x:v>
      </x:c>
      <x:c r="C552" t="n">
        <x:v>51</x:v>
      </x:c>
      <x:c r="D552" t="str">
        <x:v>161</x:v>
      </x:c>
      <x:c r="E552" t="str">
        <x:v>Light blue</x:v>
      </x:c>
      <x:c r="F552" t="str">
        <x:v>淺藍色</x:v>
      </x:c>
      <x:c r="G552" t="str">
        <x:v>ライトブルー</x:v>
      </x:c>
      <x:c r="H552" t="str">
        <x:v>#478CC5</x:v>
      </x:c>
      <x:c r="I552" t="str">
        <x:v>#000000</x:v>
      </x:c>
      <x:c r="J552" t="str">
        <x:v>https://www.carandache.com/content_files/uploaded_doc/product/10595/Colour_Chart_NeoPastel.pdf</x:v>
      </x:c>
    </x:row>
    <x:row r="553">
      <x:c r="A553" t="str">
        <x:v>NEO</x:v>
      </x:c>
      <x:c r="B553" t="str">
        <x:v>NEOPASTEL</x:v>
      </x:c>
      <x:c r="C553" t="n">
        <x:v>52</x:v>
      </x:c>
      <x:c r="D553" t="str">
        <x:v>171</x:v>
      </x:c>
      <x:c r="E553" t="str">
        <x:v>Turquoise blue</x:v>
      </x:c>
      <x:c r="F553" t="str">
        <x:v>土耳其藍</x:v>
      </x:c>
      <x:c r="G553" t="str">
        <x:v>ターコイズブルー</x:v>
      </x:c>
      <x:c r="H553" t="str">
        <x:v>#29A4B9</x:v>
      </x:c>
      <x:c r="I553" t="str">
        <x:v>#000000</x:v>
      </x:c>
      <x:c r="J553" t="str">
        <x:v>https://www.carandache.com/content_files/uploaded_doc/product/10595/Colour_Chart_NeoPastel.pdf</x:v>
      </x:c>
    </x:row>
    <x:row r="554">
      <x:c r="A554" t="str">
        <x:v>NEO</x:v>
      </x:c>
      <x:c r="B554" t="str">
        <x:v>NEOPASTEL</x:v>
      </x:c>
      <x:c r="C554" t="n">
        <x:v>53</x:v>
      </x:c>
      <x:c r="D554" t="str">
        <x:v>191</x:v>
      </x:c>
      <x:c r="E554" t="str">
        <x:v>Turquoise</x:v>
      </x:c>
      <x:c r="F554" t="str">
        <x:v>綠松石色</x:v>
      </x:c>
      <x:c r="G554" t="str">
        <x:v>ターコイズ</x:v>
      </x:c>
      <x:c r="H554" t="str">
        <x:v>#3DAE9D</x:v>
      </x:c>
      <x:c r="I554" t="str">
        <x:v>#000000</x:v>
      </x:c>
      <x:c r="J554" t="str">
        <x:v>https://www.carandache.com/content_files/uploaded_doc/product/10595/Colour_Chart_NeoPastel.pdf</x:v>
      </x:c>
    </x:row>
    <x:row r="555">
      <x:c r="A555" t="str">
        <x:v>NEO</x:v>
      </x:c>
      <x:c r="B555" t="str">
        <x:v>NEOPASTEL</x:v>
      </x:c>
      <x:c r="C555" t="n">
        <x:v>54</x:v>
      </x:c>
      <x:c r="D555" t="str">
        <x:v>211</x:v>
      </x:c>
      <x:c r="E555" t="str">
        <x:v>Jade green</x:v>
      </x:c>
      <x:c r="F555" t="str">
        <x:v>玉綠色</x:v>
      </x:c>
      <x:c r="G555" t="str">
        <x:v>ジェードグリーン</x:v>
      </x:c>
      <x:c r="H555" t="str">
        <x:v>#5BB7A4</x:v>
      </x:c>
      <x:c r="I555" t="str">
        <x:v>#000000</x:v>
      </x:c>
      <x:c r="J555" t="str">
        <x:v>https://www.carandache.com/content_files/uploaded_doc/product/10595/Colour_Chart_NeoPastel.pdf</x:v>
      </x:c>
    </x:row>
    <x:row r="556">
      <x:c r="A556" t="str">
        <x:v>NEO</x:v>
      </x:c>
      <x:c r="B556" t="str">
        <x:v>NEOPASTEL</x:v>
      </x:c>
      <x:c r="C556" t="n">
        <x:v>55</x:v>
      </x:c>
      <x:c r="D556" t="str">
        <x:v>201</x:v>
      </x:c>
      <x:c r="E556" t="str">
        <x:v>Veronese green</x:v>
      </x:c>
      <x:c r="F556" t="str">
        <x:v>維羅內塞綠</x:v>
      </x:c>
      <x:c r="G556" t="str">
        <x:v>ベロネーゼグリーン</x:v>
      </x:c>
      <x:c r="H556" t="str">
        <x:v>#0E8F62</x:v>
      </x:c>
      <x:c r="I556" t="str">
        <x:v>#000000</x:v>
      </x:c>
      <x:c r="J556" t="str">
        <x:v>https://www.carandache.com/content_files/uploaded_doc/product/10595/Colour_Chart_NeoPastel.pdf</x:v>
      </x:c>
    </x:row>
    <x:row r="557">
      <x:c r="A557" t="str">
        <x:v>NEO</x:v>
      </x:c>
      <x:c r="B557" t="str">
        <x:v>NEOPASTEL</x:v>
      </x:c>
      <x:c r="C557" t="n">
        <x:v>56</x:v>
      </x:c>
      <x:c r="D557" t="str">
        <x:v>015</x:v>
      </x:c>
      <x:c r="E557" t="str">
        <x:v>Olive yellow</x:v>
      </x:c>
      <x:c r="F557" t="str">
        <x:v>橄欖黃</x:v>
      </x:c>
      <x:c r="G557" t="str">
        <x:v>オリーブイエロー</x:v>
      </x:c>
      <x:c r="H557" t="str">
        <x:v>#ACAC2B</x:v>
      </x:c>
      <x:c r="I557" t="str">
        <x:v>#000000</x:v>
      </x:c>
      <x:c r="J557" t="str">
        <x:v>https://www.carandache.com/content_files/uploaded_doc/product/10595/Colour_Chart_NeoPastel.pdf</x:v>
      </x:c>
    </x:row>
    <x:row r="558">
      <x:c r="A558" t="str">
        <x:v>NEO</x:v>
      </x:c>
      <x:c r="B558" t="str">
        <x:v>NEOPASTEL</x:v>
      </x:c>
      <x:c r="C558" t="n">
        <x:v>57</x:v>
      </x:c>
      <x:c r="D558" t="str">
        <x:v>245</x:v>
      </x:c>
      <x:c r="E558" t="str">
        <x:v>Light olive</x:v>
      </x:c>
      <x:c r="F558" t="str">
        <x:v>淺橄欖色</x:v>
      </x:c>
      <x:c r="G558" t="str">
        <x:v>ライトオリーブ</x:v>
      </x:c>
      <x:c r="H558" t="str">
        <x:v>#94A237</x:v>
      </x:c>
      <x:c r="I558" t="str">
        <x:v>#000000</x:v>
      </x:c>
      <x:c r="J558" t="str">
        <x:v>https://www.carandache.com/content_files/uploaded_doc/product/10595/Colour_Chart_NeoPastel.pdf</x:v>
      </x:c>
    </x:row>
    <x:row r="559">
      <x:c r="A559" t="str">
        <x:v>NEO</x:v>
      </x:c>
      <x:c r="B559" t="str">
        <x:v>NEOPASTEL</x:v>
      </x:c>
      <x:c r="C559" t="n">
        <x:v>58</x:v>
      </x:c>
      <x:c r="D559" t="str">
        <x:v>016</x:v>
      </x:c>
      <x:c r="E559" t="str">
        <x:v>Khaki green</x:v>
      </x:c>
      <x:c r="F559" t="str">
        <x:v>卡其綠</x:v>
      </x:c>
      <x:c r="G559" t="str">
        <x:v>カーキグリーン</x:v>
      </x:c>
      <x:c r="H559" t="str">
        <x:v>#768547</x:v>
      </x:c>
      <x:c r="I559" t="str">
        <x:v>#000000</x:v>
      </x:c>
      <x:c r="J559" t="str">
        <x:v>https://www.carandache.com/content_files/uploaded_doc/product/10595/Colour_Chart_NeoPastel.pdf</x:v>
      </x:c>
    </x:row>
    <x:row r="560">
      <x:c r="A560" t="str">
        <x:v>NEO</x:v>
      </x:c>
      <x:c r="B560" t="str">
        <x:v>NEOPASTEL</x:v>
      </x:c>
      <x:c r="C560" t="n">
        <x:v>59</x:v>
      </x:c>
      <x:c r="D560" t="str">
        <x:v>249</x:v>
      </x:c>
      <x:c r="E560" t="str">
        <x:v>Olive</x:v>
      </x:c>
      <x:c r="F560" t="str">
        <x:v>深橄欖色</x:v>
      </x:c>
      <x:c r="G560" t="str">
        <x:v>ダークオリーブ</x:v>
      </x:c>
      <x:c r="H560" t="str">
        <x:v>#A99126</x:v>
      </x:c>
      <x:c r="I560" t="str">
        <x:v>#000000</x:v>
      </x:c>
      <x:c r="J560" t="str">
        <x:v>https://www.carandache.com/content_files/uploaded_doc/product/10595/Colour_Chart_NeoPastel.pdf</x:v>
      </x:c>
    </x:row>
    <x:row r="561">
      <x:c r="A561" t="str">
        <x:v>NEO</x:v>
      </x:c>
      <x:c r="B561" t="str">
        <x:v>NEOPASTEL</x:v>
      </x:c>
      <x:c r="C561" t="n">
        <x:v>60</x:v>
      </x:c>
      <x:c r="D561" t="str">
        <x:v>225</x:v>
      </x:c>
      <x:c r="E561" t="str">
        <x:v>Moss green</x:v>
      </x:c>
      <x:c r="F561" t="str">
        <x:v>苔綠色</x:v>
      </x:c>
      <x:c r="G561" t="str">
        <x:v>モスグリーン</x:v>
      </x:c>
      <x:c r="H561" t="str">
        <x:v>#306530</x:v>
      </x:c>
      <x:c r="I561" t="str">
        <x:v>#FFFFFF</x:v>
      </x:c>
      <x:c r="J561" t="str">
        <x:v>https://www.carandache.com/content_files/uploaded_doc/product/10595/Colour_Chart_NeoPastel.pdf</x:v>
      </x:c>
    </x:row>
    <x:row r="562">
      <x:c r="A562" t="str">
        <x:v>NEO</x:v>
      </x:c>
      <x:c r="B562" t="str">
        <x:v>NEOPASTEL</x:v>
      </x:c>
      <x:c r="C562" t="n">
        <x:v>61</x:v>
      </x:c>
      <x:c r="D562" t="str">
        <x:v>019</x:v>
      </x:c>
      <x:c r="E562" t="str">
        <x:v>Olive black</x:v>
      </x:c>
      <x:c r="F562" t="str">
        <x:v>橄欖黑</x:v>
      </x:c>
      <x:c r="G562" t="str">
        <x:v>オリーブブラック</x:v>
      </x:c>
      <x:c r="H562" t="str">
        <x:v>#333836</x:v>
      </x:c>
      <x:c r="I562" t="str">
        <x:v>#FFFFFF</x:v>
      </x:c>
      <x:c r="J562" t="str">
        <x:v>https://www.carandache.com/content_files/uploaded_doc/product/10595/Colour_Chart_NeoPastel.pdf</x:v>
      </x:c>
    </x:row>
    <x:row r="563">
      <x:c r="A563" t="str">
        <x:v>NEO</x:v>
      </x:c>
      <x:c r="B563" t="str">
        <x:v>NEOPASTEL</x:v>
      </x:c>
      <x:c r="C563" t="n">
        <x:v>62</x:v>
      </x:c>
      <x:c r="D563" t="str">
        <x:v>018</x:v>
      </x:c>
      <x:c r="E563" t="str">
        <x:v>Olive grey</x:v>
      </x:c>
      <x:c r="F563" t="str">
        <x:v>橄欖灰</x:v>
      </x:c>
      <x:c r="G563" t="str">
        <x:v>オリーブグレー</x:v>
      </x:c>
      <x:c r="H563" t="str">
        <x:v>#4F6549</x:v>
      </x:c>
      <x:c r="I563" t="str">
        <x:v>#FFFFFF</x:v>
      </x:c>
      <x:c r="J563" t="str">
        <x:v>https://www.carandache.com/content_files/uploaded_doc/product/10595/Colour_Chart_NeoPastel.pdf</x:v>
      </x:c>
    </x:row>
    <x:row r="564">
      <x:c r="A564" t="str">
        <x:v>NEO</x:v>
      </x:c>
      <x:c r="B564" t="str">
        <x:v>NEOPASTEL</x:v>
      </x:c>
      <x:c r="C564" t="n">
        <x:v>63</x:v>
      </x:c>
      <x:c r="D564" t="str">
        <x:v>039</x:v>
      </x:c>
      <x:c r="E564" t="str">
        <x:v>Olive brown</x:v>
      </x:c>
      <x:c r="F564" t="str">
        <x:v>橄欖棕</x:v>
      </x:c>
      <x:c r="G564" t="str">
        <x:v>オリーブブラウン</x:v>
      </x:c>
      <x:c r="H564" t="str">
        <x:v>#746237</x:v>
      </x:c>
      <x:c r="I564" t="str">
        <x:v>#FFFFFF</x:v>
      </x:c>
      <x:c r="J564" t="str">
        <x:v>https://www.carandache.com/content_files/uploaded_doc/product/10595/Colour_Chart_NeoPastel.pdf</x:v>
      </x:c>
    </x:row>
    <x:row r="565">
      <x:c r="A565" t="str">
        <x:v>NEO</x:v>
      </x:c>
      <x:c r="B565" t="str">
        <x:v>NEOPASTEL</x:v>
      </x:c>
      <x:c r="C565" t="n">
        <x:v>64</x:v>
      </x:c>
      <x:c r="D565" t="str">
        <x:v>037</x:v>
      </x:c>
      <x:c r="E565" t="str">
        <x:v>Brown ochre</x:v>
      </x:c>
      <x:c r="F565" t="str">
        <x:v>棕赭色</x:v>
      </x:c>
      <x:c r="G565" t="str">
        <x:v>ブラウンオーカー</x:v>
      </x:c>
      <x:c r="H565" t="str">
        <x:v>#876538</x:v>
      </x:c>
      <x:c r="I565" t="str">
        <x:v>#FFFFFF</x:v>
      </x:c>
      <x:c r="J565" t="str">
        <x:v>https://www.carandache.com/content_files/uploaded_doc/product/10595/Colour_Chart_NeoPastel.pdf</x:v>
      </x:c>
    </x:row>
    <x:row r="566">
      <x:c r="A566" t="str">
        <x:v>NEO</x:v>
      </x:c>
      <x:c r="B566" t="str">
        <x:v>NEOPASTEL</x:v>
      </x:c>
      <x:c r="C566" t="n">
        <x:v>65</x:v>
      </x:c>
      <x:c r="D566" t="str">
        <x:v>035</x:v>
      </x:c>
      <x:c r="E566" t="str">
        <x:v>Ochre</x:v>
      </x:c>
      <x:c r="F566" t="str">
        <x:v>赭色</x:v>
      </x:c>
      <x:c r="G566" t="str">
        <x:v>オーカー</x:v>
      </x:c>
      <x:c r="H566" t="str">
        <x:v>#AB7817</x:v>
      </x:c>
      <x:c r="I566" t="str">
        <x:v>#000000</x:v>
      </x:c>
      <x:c r="J566" t="str">
        <x:v>https://www.carandache.com/content_files/uploaded_doc/product/10595/Colour_Chart_NeoPastel.pdf</x:v>
      </x:c>
    </x:row>
    <x:row r="567">
      <x:c r="A567" t="str">
        <x:v>NEO</x:v>
      </x:c>
      <x:c r="B567" t="str">
        <x:v>NEOPASTEL</x:v>
      </x:c>
      <x:c r="C567" t="n">
        <x:v>66</x:v>
      </x:c>
      <x:c r="D567" t="str">
        <x:v>033</x:v>
      </x:c>
      <x:c r="E567" t="str">
        <x:v>Golden ochre</x:v>
      </x:c>
      <x:c r="F567" t="str">
        <x:v>金赭色</x:v>
      </x:c>
      <x:c r="G567" t="str">
        <x:v>ゴールデンオーカー</x:v>
      </x:c>
      <x:c r="H567" t="str">
        <x:v>#D09014</x:v>
      </x:c>
      <x:c r="I567" t="str">
        <x:v>#000000</x:v>
      </x:c>
      <x:c r="J567" t="str">
        <x:v>https://www.carandache.com/content_files/uploaded_doc/product/10595/Colour_Chart_NeoPastel.pdf</x:v>
      </x:c>
    </x:row>
    <x:row r="568">
      <x:c r="A568" t="str">
        <x:v>NEO</x:v>
      </x:c>
      <x:c r="B568" t="str">
        <x:v>NEOPASTEL</x:v>
      </x:c>
      <x:c r="C568" t="n">
        <x:v>67</x:v>
      </x:c>
      <x:c r="D568" t="str">
        <x:v>065</x:v>
      </x:c>
      <x:c r="E568" t="str">
        <x:v>Russet</x:v>
      </x:c>
      <x:c r="F568" t="str">
        <x:v>赤褐色</x:v>
      </x:c>
      <x:c r="G568" t="str">
        <x:v>ラセット</x:v>
      </x:c>
      <x:c r="H568" t="str">
        <x:v>#893D1A</x:v>
      </x:c>
      <x:c r="I568" t="str">
        <x:v>#FFFFFF</x:v>
      </x:c>
      <x:c r="J568" t="str">
        <x:v>https://www.carandache.com/content_files/uploaded_doc/product/10595/Colour_Chart_NeoPastel.pdf</x:v>
      </x:c>
    </x:row>
    <x:row r="569">
      <x:c r="A569" t="str">
        <x:v>NEO</x:v>
      </x:c>
      <x:c r="B569" t="str">
        <x:v>NEOPASTEL</x:v>
      </x:c>
      <x:c r="C569" t="n">
        <x:v>68</x:v>
      </x:c>
      <x:c r="D569" t="str">
        <x:v>063</x:v>
      </x:c>
      <x:c r="E569" t="str">
        <x:v>English red</x:v>
      </x:c>
      <x:c r="F569" t="str">
        <x:v>英國紅</x:v>
      </x:c>
      <x:c r="G569" t="str">
        <x:v>イングリッシュレッド</x:v>
      </x:c>
      <x:c r="H569" t="str">
        <x:v>#8F4838</x:v>
      </x:c>
      <x:c r="I569" t="str">
        <x:v>#FFFFFF</x:v>
      </x:c>
      <x:c r="J569" t="str">
        <x:v>https://www.carandache.com/content_files/uploaded_doc/product/10595/Colour_Chart_NeoPastel.pdf</x:v>
      </x:c>
    </x:row>
    <x:row r="570">
      <x:c r="A570" t="str">
        <x:v>NEO</x:v>
      </x:c>
      <x:c r="B570" t="str">
        <x:v>NEOPASTEL</x:v>
      </x:c>
      <x:c r="C570" t="n">
        <x:v>69</x:v>
      </x:c>
      <x:c r="D570" t="str">
        <x:v>055</x:v>
      </x:c>
      <x:c r="E570" t="str">
        <x:v>Cinnamon</x:v>
      </x:c>
      <x:c r="F570" t="str">
        <x:v>肉桂色</x:v>
      </x:c>
      <x:c r="G570" t="str">
        <x:v>シナモン</x:v>
      </x:c>
      <x:c r="H570" t="str">
        <x:v>#83583C</x:v>
      </x:c>
      <x:c r="I570" t="str">
        <x:v>#FFFFFF</x:v>
      </x:c>
      <x:c r="J570" t="str">
        <x:v>https://www.carandache.com/content_files/uploaded_doc/product/10595/Colour_Chart_NeoPastel.pdf</x:v>
      </x:c>
    </x:row>
    <x:row r="571">
      <x:c r="A571" t="str">
        <x:v>NEO</x:v>
      </x:c>
      <x:c r="B571" t="str">
        <x:v>NEOPASTEL</x:v>
      </x:c>
      <x:c r="C571" t="n">
        <x:v>70</x:v>
      </x:c>
      <x:c r="D571" t="str">
        <x:v>057</x:v>
      </x:c>
      <x:c r="E571" t="str">
        <x:v>Chestnut</x:v>
      </x:c>
      <x:c r="F571" t="str">
        <x:v>栗棕色</x:v>
      </x:c>
      <x:c r="G571" t="str">
        <x:v>チェスナット</x:v>
      </x:c>
      <x:c r="H571" t="str">
        <x:v>#5E3633</x:v>
      </x:c>
      <x:c r="I571" t="str">
        <x:v>#FFFFFF</x:v>
      </x:c>
      <x:c r="J571" t="str">
        <x:v>https://www.carandache.com/content_files/uploaded_doc/product/10595/Colour_Chart_NeoPastel.pdf</x:v>
      </x:c>
    </x:row>
    <x:row r="572">
      <x:c r="A572" t="str">
        <x:v>NEO</x:v>
      </x:c>
      <x:c r="B572" t="str">
        <x:v>NEOPASTEL</x:v>
      </x:c>
      <x:c r="C572" t="n">
        <x:v>71</x:v>
      </x:c>
      <x:c r="D572" t="str">
        <x:v>069</x:v>
      </x:c>
      <x:c r="E572" t="str">
        <x:v>Burnt sienna</x:v>
      </x:c>
      <x:c r="F572" t="str">
        <x:v>熟赭紅</x:v>
      </x:c>
      <x:c r="G572" t="str">
        <x:v>バーントシェンナ</x:v>
      </x:c>
      <x:c r="H572" t="str">
        <x:v>#7E4843</x:v>
      </x:c>
      <x:c r="I572" t="str">
        <x:v>#FFFFFF</x:v>
      </x:c>
      <x:c r="J572" t="str">
        <x:v>https://www.carandache.com/content_files/uploaded_doc/product/10595/Colour_Chart_NeoPastel.pdf</x:v>
      </x:c>
    </x:row>
    <x:row r="573">
      <x:c r="A573" t="str">
        <x:v>NEO</x:v>
      </x:c>
      <x:c r="B573" t="str">
        <x:v>NEOPASTEL</x:v>
      </x:c>
      <x:c r="C573" t="n">
        <x:v>72</x:v>
      </x:c>
      <x:c r="D573" t="str">
        <x:v>059</x:v>
      </x:c>
      <x:c r="E573" t="str">
        <x:v>Brown</x:v>
      </x:c>
      <x:c r="F573" t="str">
        <x:v>棕色</x:v>
      </x:c>
      <x:c r="G573" t="str">
        <x:v>ブラウン</x:v>
      </x:c>
      <x:c r="H573" t="str">
        <x:v>#634537</x:v>
      </x:c>
      <x:c r="I573" t="str">
        <x:v>#FFFFFF</x:v>
      </x:c>
      <x:c r="J573" t="str">
        <x:v>https://www.carandache.com/content_files/uploaded_doc/product/10595/Colour_Chart_NeoPastel.pdf</x:v>
      </x:c>
    </x:row>
    <x:row r="574">
      <x:c r="A574" t="str">
        <x:v>NEO</x:v>
      </x:c>
      <x:c r="B574" t="str">
        <x:v>NEOPASTEL</x:v>
      </x:c>
      <x:c r="C574" t="n">
        <x:v>73</x:v>
      </x:c>
      <x:c r="D574" t="str">
        <x:v>496</x:v>
      </x:c>
      <x:c r="E574" t="str">
        <x:v>Ivory Black</x:v>
      </x:c>
      <x:c r="F574" t="str">
        <x:v>象牙黑</x:v>
      </x:c>
      <x:c r="G574" t="str">
        <x:v>アイボリーブラック</x:v>
      </x:c>
      <x:c r="H574" t="str">
        <x:v>#323436</x:v>
      </x:c>
      <x:c r="I574" t="str">
        <x:v>#FFFFFF</x:v>
      </x:c>
      <x:c r="J574" t="str">
        <x:v>https://www.carandache.com/content_files/uploaded_doc/product/10595/Colour_Chart_NeoPastel.pdf</x:v>
      </x:c>
    </x:row>
    <x:row r="575">
      <x:c r="A575" t="str">
        <x:v>NEO</x:v>
      </x:c>
      <x:c r="B575" t="str">
        <x:v>NEOPASTEL</x:v>
      </x:c>
      <x:c r="C575" t="n">
        <x:v>74</x:v>
      </x:c>
      <x:c r="D575" t="str">
        <x:v>495</x:v>
      </x:c>
      <x:c r="E575" t="str">
        <x:v>Slate grey</x:v>
      </x:c>
      <x:c r="F575" t="str">
        <x:v>板岩灰</x:v>
      </x:c>
      <x:c r="G575" t="str">
        <x:v>スレートグレー</x:v>
      </x:c>
      <x:c r="H575" t="str">
        <x:v>#4D504F</x:v>
      </x:c>
      <x:c r="I575" t="str">
        <x:v>#FFFFFF</x:v>
      </x:c>
      <x:c r="J575" t="str">
        <x:v>https://www.carandache.com/content_files/uploaded_doc/product/10595/Colour_Chart_NeoPastel.pdf</x:v>
      </x:c>
    </x:row>
    <x:row r="576">
      <x:c r="A576" t="str">
        <x:v>NEO</x:v>
      </x:c>
      <x:c r="B576" t="str">
        <x:v>NEOPASTEL</x:v>
      </x:c>
      <x:c r="C576" t="n">
        <x:v>75</x:v>
      </x:c>
      <x:c r="D576" t="str">
        <x:v>049</x:v>
      </x:c>
      <x:c r="E576" t="str">
        <x:v>Raw Umber</x:v>
      </x:c>
      <x:c r="F576" t="str">
        <x:v>生褐色</x:v>
      </x:c>
      <x:c r="G576" t="str">
        <x:v>ローアンバー</x:v>
      </x:c>
      <x:c r="H576" t="str">
        <x:v>#554841</x:v>
      </x:c>
      <x:c r="I576" t="str">
        <x:v>#FFFFFF</x:v>
      </x:c>
      <x:c r="J576" t="str">
        <x:v>https://www.carandache.com/content_files/uploaded_doc/product/10595/Colour_Chart_NeoPastel.pdf</x:v>
      </x:c>
    </x:row>
    <x:row r="577">
      <x:c r="A577" t="str">
        <x:v>NEO</x:v>
      </x:c>
      <x:c r="B577" t="str">
        <x:v>NEOPASTEL</x:v>
      </x:c>
      <x:c r="C577" t="n">
        <x:v>76</x:v>
      </x:c>
      <x:c r="D577" t="str">
        <x:v>045</x:v>
      </x:c>
      <x:c r="E577" t="str">
        <x:v>Vandycke brown</x:v>
      </x:c>
      <x:c r="F577" t="str">
        <x:v>凡戴克棕</x:v>
      </x:c>
      <x:c r="G577" t="str">
        <x:v>ヴァンダイクブラウン</x:v>
      </x:c>
      <x:c r="H577" t="str">
        <x:v>#635650</x:v>
      </x:c>
      <x:c r="I577" t="str">
        <x:v>#FFFFFF</x:v>
      </x:c>
      <x:c r="J577" t="str">
        <x:v>https://www.carandache.com/content_files/uploaded_doc/product/10595/Colour_Chart_NeoPastel.pdf</x:v>
      </x:c>
    </x:row>
    <x:row r="578">
      <x:c r="A578" t="str">
        <x:v>NEO</x:v>
      </x:c>
      <x:c r="B578" t="str">
        <x:v>NEOPASTEL</x:v>
      </x:c>
      <x:c r="C578" t="n">
        <x:v>77</x:v>
      </x:c>
      <x:c r="D578" t="str">
        <x:v>407</x:v>
      </x:c>
      <x:c r="E578" t="str">
        <x:v>Sepia</x:v>
      </x:c>
      <x:c r="F578" t="str">
        <x:v>深褐色</x:v>
      </x:c>
      <x:c r="G578" t="str">
        <x:v>セピア</x:v>
      </x:c>
      <x:c r="H578" t="str">
        <x:v>#363737</x:v>
      </x:c>
      <x:c r="I578" t="str">
        <x:v>#FFFFFF</x:v>
      </x:c>
      <x:c r="J578" t="str">
        <x:v>https://www.carandache.com/content_files/uploaded_doc/product/10595/Colour_Chart_NeoPastel.pdf</x:v>
      </x:c>
    </x:row>
    <x:row r="579">
      <x:c r="A579" t="str">
        <x:v>NEO</x:v>
      </x:c>
      <x:c r="B579" t="str">
        <x:v>NEOPASTEL</x:v>
      </x:c>
      <x:c r="C579" t="n">
        <x:v>78</x:v>
      </x:c>
      <x:c r="D579" t="str">
        <x:v>047</x:v>
      </x:c>
      <x:c r="E579" t="str">
        <x:v>Bistre</x:v>
      </x:c>
      <x:c r="F579" t="str">
        <x:v>煙褐色</x:v>
      </x:c>
      <x:c r="G579" t="str">
        <x:v>ビスター</x:v>
      </x:c>
      <x:c r="H579" t="str">
        <x:v>#755337</x:v>
      </x:c>
      <x:c r="I579" t="str">
        <x:v>#FFFFFF</x:v>
      </x:c>
      <x:c r="J579" t="str">
        <x:v>https://www.carandache.com/content_files/uploaded_doc/product/10595/Colour_Chart_NeoPastel.pdf</x:v>
      </x:c>
    </x:row>
    <x:row r="580">
      <x:c r="A580" t="str">
        <x:v>NEO</x:v>
      </x:c>
      <x:c r="B580" t="str">
        <x:v>NEOPASTEL</x:v>
      </x:c>
      <x:c r="C580" t="n">
        <x:v>79</x:v>
      </x:c>
      <x:c r="D580" t="str">
        <x:v>067</x:v>
      </x:c>
      <x:c r="E580" t="str">
        <x:v>Mahogany</x:v>
      </x:c>
      <x:c r="F580" t="str">
        <x:v>桃花心木色</x:v>
      </x:c>
      <x:c r="G580" t="str">
        <x:v>マホガニー</x:v>
      </x:c>
      <x:c r="H580" t="str">
        <x:v>#614B43</x:v>
      </x:c>
      <x:c r="I580" t="str">
        <x:v>#FFFFFF</x:v>
      </x:c>
      <x:c r="J580" t="str">
        <x:v>https://www.carandache.com/content_files/uploaded_doc/product/10595/Colour_Chart_NeoPastel.pdf</x:v>
      </x:c>
    </x:row>
    <x:row r="581">
      <x:c r="A581" t="str">
        <x:v>NEO</x:v>
      </x:c>
      <x:c r="B581" t="str">
        <x:v>NEOPASTEL</x:v>
      </x:c>
      <x:c r="C581" t="n">
        <x:v>80</x:v>
      </x:c>
      <x:c r="D581" t="str">
        <x:v>405</x:v>
      </x:c>
      <x:c r="E581" t="str">
        <x:v>Cocoa</x:v>
      </x:c>
      <x:c r="F581" t="str">
        <x:v>可可棕</x:v>
      </x:c>
      <x:c r="G581" t="str">
        <x:v>ココア</x:v>
      </x:c>
      <x:c r="H581" t="str">
        <x:v>#6B6163</x:v>
      </x:c>
      <x:c r="I581" t="str">
        <x:v>#FFFFFF</x:v>
      </x:c>
      <x:c r="J581" t="str">
        <x:v>https://www.carandache.com/content_files/uploaded_doc/product/10595/Colour_Chart_NeoPastel.pdf</x:v>
      </x:c>
    </x:row>
    <x:row r="582">
      <x:c r="A582" t="str">
        <x:v>NEO</x:v>
      </x:c>
      <x:c r="B582" t="str">
        <x:v>NEOPASTEL</x:v>
      </x:c>
      <x:c r="C582" t="n">
        <x:v>81</x:v>
      </x:c>
      <x:c r="D582" t="str">
        <x:v>403</x:v>
      </x:c>
      <x:c r="E582" t="str">
        <x:v>Beige</x:v>
      </x:c>
      <x:c r="F582" t="str">
        <x:v>米色</x:v>
      </x:c>
      <x:c r="G582" t="str">
        <x:v>ベージュ</x:v>
      </x:c>
      <x:c r="H582" t="str">
        <x:v>#9C9190</x:v>
      </x:c>
      <x:c r="I582" t="str">
        <x:v>#000000</x:v>
      </x:c>
      <x:c r="J582" t="str">
        <x:v>https://www.carandache.com/content_files/uploaded_doc/product/10595/Colour_Chart_NeoPastel.pdf</x:v>
      </x:c>
    </x:row>
    <x:row r="583">
      <x:c r="A583" t="str">
        <x:v>NEO</x:v>
      </x:c>
      <x:c r="B583" t="str">
        <x:v>NEOPASTEL</x:v>
      </x:c>
      <x:c r="C583" t="n">
        <x:v>82</x:v>
      </x:c>
      <x:c r="D583" t="str">
        <x:v>402</x:v>
      </x:c>
      <x:c r="E583" t="str">
        <x:v>Light beige</x:v>
      </x:c>
      <x:c r="F583" t="str">
        <x:v>淺米色</x:v>
      </x:c>
      <x:c r="G583" t="str">
        <x:v>ライトベージュ</x:v>
      </x:c>
      <x:c r="H583" t="str">
        <x:v>#C2BABC</x:v>
      </x:c>
      <x:c r="I583" t="str">
        <x:v>#000000</x:v>
      </x:c>
      <x:c r="J583" t="str">
        <x:v>https://www.carandache.com/content_files/uploaded_doc/product/10595/Colour_Chart_NeoPastel.pdf</x:v>
      </x:c>
    </x:row>
    <x:row r="584">
      <x:c r="A584" t="str">
        <x:v>NEO</x:v>
      </x:c>
      <x:c r="B584" t="str">
        <x:v>NEOPASTEL</x:v>
      </x:c>
      <x:c r="C584" t="n">
        <x:v>83</x:v>
      </x:c>
      <x:c r="D584" t="str">
        <x:v>401</x:v>
      </x:c>
      <x:c r="E584" t="str">
        <x:v>Ash grey</x:v>
      </x:c>
      <x:c r="F584" t="str">
        <x:v>灰燼灰</x:v>
      </x:c>
      <x:c r="G584" t="str">
        <x:v>アッシュグレー</x:v>
      </x:c>
      <x:c r="H584" t="str">
        <x:v>#C9CFBA</x:v>
      </x:c>
      <x:c r="I584" t="str">
        <x:v>#000000</x:v>
      </x:c>
      <x:c r="J584" t="str">
        <x:v>https://www.carandache.com/content_files/uploaded_doc/product/10595/Colour_Chart_NeoPastel.pdf</x:v>
      </x:c>
    </x:row>
    <x:row r="585">
      <x:c r="A585" t="str">
        <x:v>NEO</x:v>
      </x:c>
      <x:c r="B585" t="str">
        <x:v>NEOPASTEL</x:v>
      </x:c>
      <x:c r="C585" t="n">
        <x:v>84</x:v>
      </x:c>
      <x:c r="D585" t="str">
        <x:v>491</x:v>
      </x:c>
      <x:c r="E585" t="str">
        <x:v>Cream</x:v>
      </x:c>
      <x:c r="F585" t="str">
        <x:v>奶油色</x:v>
      </x:c>
      <x:c r="G585" t="str">
        <x:v>クリーム</x:v>
      </x:c>
      <x:c r="H585" t="str">
        <x:v>#F2DCCC</x:v>
      </x:c>
      <x:c r="I585" t="str">
        <x:v>#000000</x:v>
      </x:c>
      <x:c r="J585" t="str">
        <x:v>https://www.carandache.com/content_files/uploaded_doc/product/10595/Colour_Chart_NeoPastel.pdf</x:v>
      </x:c>
    </x:row>
    <x:row r="586">
      <x:c r="A586" t="str">
        <x:v>NEO</x:v>
      </x:c>
      <x:c r="B586" t="str">
        <x:v>NEOPASTEL</x:v>
      </x:c>
      <x:c r="C586" t="n">
        <x:v>85</x:v>
      </x:c>
      <x:c r="D586" t="str">
        <x:v>001</x:v>
      </x:c>
      <x:c r="E586" t="str">
        <x:v>White</x:v>
      </x:c>
      <x:c r="F586" t="str">
        <x:v>白色</x:v>
      </x:c>
      <x:c r="G586" t="str">
        <x:v>ホワイト</x:v>
      </x:c>
      <x:c r="H586" t="str">
        <x:v>#F0ECED</x:v>
      </x:c>
      <x:c r="I586" t="str">
        <x:v>#000000</x:v>
      </x:c>
      <x:c r="J586" t="str">
        <x:v>https://www.carandache.com/content_files/uploaded_doc/product/10595/Colour_Chart_NeoPastel.pdf</x:v>
      </x:c>
    </x:row>
    <x:row r="587">
      <x:c r="A587" t="str">
        <x:v>NEO</x:v>
      </x:c>
      <x:c r="B587" t="str">
        <x:v>NEOPASTEL</x:v>
      </x:c>
      <x:c r="C587" t="n">
        <x:v>86</x:v>
      </x:c>
      <x:c r="D587" t="str">
        <x:v>002</x:v>
      </x:c>
      <x:c r="E587" t="str">
        <x:v>Silver grey</x:v>
      </x:c>
      <x:c r="F587" t="str">
        <x:v>銀灰色</x:v>
      </x:c>
      <x:c r="G587" t="str">
        <x:v>シルバーグレー</x:v>
      </x:c>
      <x:c r="H587" t="str">
        <x:v>#BFD3DA</x:v>
      </x:c>
      <x:c r="I587" t="str">
        <x:v>#000000</x:v>
      </x:c>
      <x:c r="J587" t="str">
        <x:v>https://www.carandache.com/content_files/uploaded_doc/product/10595/Colour_Chart_NeoPastel.pdf</x:v>
      </x:c>
    </x:row>
    <x:row r="588">
      <x:c r="A588" t="str">
        <x:v>NEO</x:v>
      </x:c>
      <x:c r="B588" t="str">
        <x:v>NEOPASTEL</x:v>
      </x:c>
      <x:c r="C588" t="n">
        <x:v>87</x:v>
      </x:c>
      <x:c r="D588" t="str">
        <x:v>003</x:v>
      </x:c>
      <x:c r="E588" t="str">
        <x:v>Light grey</x:v>
      </x:c>
      <x:c r="F588" t="str">
        <x:v>淺灰色</x:v>
      </x:c>
      <x:c r="G588" t="str">
        <x:v>ライトグレー</x:v>
      </x:c>
      <x:c r="H588" t="str">
        <x:v>#94A8B1</x:v>
      </x:c>
      <x:c r="I588" t="str">
        <x:v>#000000</x:v>
      </x:c>
      <x:c r="J588" t="str">
        <x:v>https://www.carandache.com/content_files/uploaded_doc/product/10595/Colour_Chart_NeoPastel.pdf</x:v>
      </x:c>
    </x:row>
    <x:row r="589">
      <x:c r="A589" t="str">
        <x:v>NEO</x:v>
      </x:c>
      <x:c r="B589" t="str">
        <x:v>NEOPASTEL</x:v>
      </x:c>
      <x:c r="C589" t="n">
        <x:v>88</x:v>
      </x:c>
      <x:c r="D589" t="str">
        <x:v>004</x:v>
      </x:c>
      <x:c r="E589" t="str">
        <x:v>Steel grey</x:v>
      </x:c>
      <x:c r="F589" t="str">
        <x:v>鋼灰色</x:v>
      </x:c>
      <x:c r="G589" t="str">
        <x:v>スチールグレー</x:v>
      </x:c>
      <x:c r="H589" t="str">
        <x:v>#778D9A</x:v>
      </x:c>
      <x:c r="I589" t="str">
        <x:v>#000000</x:v>
      </x:c>
      <x:c r="J589" t="str">
        <x:v>https://www.carandache.com/content_files/uploaded_doc/product/10595/Colour_Chart_NeoPastel.pdf</x:v>
      </x:c>
    </x:row>
    <x:row r="590">
      <x:c r="A590" t="str">
        <x:v>NEO</x:v>
      </x:c>
      <x:c r="B590" t="str">
        <x:v>NEOPASTEL</x:v>
      </x:c>
      <x:c r="C590" t="n">
        <x:v>89</x:v>
      </x:c>
      <x:c r="D590" t="str">
        <x:v>005</x:v>
      </x:c>
      <x:c r="E590" t="str">
        <x:v>Grey</x:v>
      </x:c>
      <x:c r="F590" t="str">
        <x:v>灰色</x:v>
      </x:c>
      <x:c r="G590" t="str">
        <x:v>グレー</x:v>
      </x:c>
      <x:c r="H590" t="str">
        <x:v>#6C7989</x:v>
      </x:c>
      <x:c r="I590" t="str">
        <x:v>#000000</x:v>
      </x:c>
      <x:c r="J590" t="str">
        <x:v>https://www.carandache.com/content_files/uploaded_doc/product/10595/Colour_Chart_NeoPastel.pdf</x:v>
      </x:c>
    </x:row>
    <x:row r="591">
      <x:c r="A591" t="str">
        <x:v>NEO</x:v>
      </x:c>
      <x:c r="B591" t="str">
        <x:v>NEOPASTEL</x:v>
      </x:c>
      <x:c r="C591" t="n">
        <x:v>90</x:v>
      </x:c>
      <x:c r="D591" t="str">
        <x:v>006</x:v>
      </x:c>
      <x:c r="E591" t="str">
        <x:v>Mouse grey</x:v>
      </x:c>
      <x:c r="F591" t="str">
        <x:v>鼠灰色</x:v>
      </x:c>
      <x:c r="G591" t="str">
        <x:v>マウスグレー</x:v>
      </x:c>
      <x:c r="H591" t="str">
        <x:v>#547B8F</x:v>
      </x:c>
      <x:c r="I591" t="str">
        <x:v>#000000</x:v>
      </x:c>
      <x:c r="J591" t="str">
        <x:v>https://www.carandache.com/content_files/uploaded_doc/product/10595/Colour_Chart_NeoPastel.pdf</x:v>
      </x:c>
    </x:row>
    <x:row r="592">
      <x:c r="A592" t="str">
        <x:v>NEO</x:v>
      </x:c>
      <x:c r="B592" t="str">
        <x:v>NEOPASTEL</x:v>
      </x:c>
      <x:c r="C592" t="n">
        <x:v>91</x:v>
      </x:c>
      <x:c r="D592" t="str">
        <x:v>007</x:v>
      </x:c>
      <x:c r="E592" t="str">
        <x:v>Dark grey</x:v>
      </x:c>
      <x:c r="F592" t="str">
        <x:v>深灰色</x:v>
      </x:c>
      <x:c r="G592" t="str">
        <x:v>ダークグレー</x:v>
      </x:c>
      <x:c r="H592" t="str">
        <x:v>#666F83</x:v>
      </x:c>
      <x:c r="I592" t="str">
        <x:v>#FFFFFF</x:v>
      </x:c>
      <x:c r="J592" t="str">
        <x:v>https://www.carandache.com/content_files/uploaded_doc/product/10595/Colour_Chart_NeoPastel.pdf</x:v>
      </x:c>
    </x:row>
    <x:row r="593">
      <x:c r="A593" t="str">
        <x:v>NEO</x:v>
      </x:c>
      <x:c r="B593" t="str">
        <x:v>NEOPASTEL</x:v>
      </x:c>
      <x:c r="C593" t="n">
        <x:v>92</x:v>
      </x:c>
      <x:c r="D593" t="str">
        <x:v>008</x:v>
      </x:c>
      <x:c r="E593" t="str">
        <x:v>Greyish black</x:v>
      </x:c>
      <x:c r="F593" t="str">
        <x:v>灰黑色</x:v>
      </x:c>
      <x:c r="G593" t="str">
        <x:v>グレイッシュブラック</x:v>
      </x:c>
      <x:c r="H593" t="str">
        <x:v>#354650</x:v>
      </x:c>
      <x:c r="I593" t="str">
        <x:v>#FFFFFF</x:v>
      </x:c>
      <x:c r="J593" t="str">
        <x:v>https://www.carandache.com/content_files/uploaded_doc/product/10595/Colour_Chart_NeoPastel.pdf</x:v>
      </x:c>
    </x:row>
    <x:row r="594">
      <x:c r="A594" t="str">
        <x:v>NEO</x:v>
      </x:c>
      <x:c r="B594" t="str">
        <x:v>NEOPASTEL</x:v>
      </x:c>
      <x:c r="C594" t="n">
        <x:v>93</x:v>
      </x:c>
      <x:c r="D594" t="str">
        <x:v>009</x:v>
      </x:c>
      <x:c r="E594" t="str">
        <x:v>Black</x:v>
      </x:c>
      <x:c r="F594" t="str">
        <x:v>黑色</x:v>
      </x:c>
      <x:c r="G594" t="str">
        <x:v>ブラック</x:v>
      </x:c>
      <x:c r="H594" t="str">
        <x:v>#323437</x:v>
      </x:c>
      <x:c r="I594" t="str">
        <x:v>#FFFFFF</x:v>
      </x:c>
      <x:c r="J594" t="str">
        <x:v>https://www.carandache.com/content_files/uploaded_doc/product/10595/Colour_Chart_NeoPastel.pdf</x:v>
      </x:c>
    </x:row>
    <x:row r="595">
      <x:c r="A595" t="str">
        <x:v>NEO</x:v>
      </x:c>
      <x:c r="B595" t="str">
        <x:v>NEOPASTEL</x:v>
      </x:c>
      <x:c r="C595" t="n">
        <x:v>94</x:v>
      </x:c>
      <x:c r="D595" t="str">
        <x:v>498</x:v>
      </x:c>
      <x:c r="E595" t="str">
        <x:v>Silver</x:v>
      </x:c>
      <x:c r="F595" t="str">
        <x:v>銀色</x:v>
      </x:c>
      <x:c r="G595" t="str">
        <x:v>シルバー</x:v>
      </x:c>
      <x:c r="H595" t="str">
        <x:v>#9DA39D</x:v>
      </x:c>
      <x:c r="I595" t="str">
        <x:v>#000000</x:v>
      </x:c>
      <x:c r="J595" t="str">
        <x:v>https://www.carandache.com/content_files/uploaded_doc/product/10595/Colour_Chart_NeoPastel.pdf</x:v>
      </x:c>
    </x:row>
    <x:row r="596">
      <x:c r="A596" t="str">
        <x:v>NEO</x:v>
      </x:c>
      <x:c r="B596" t="str">
        <x:v>NEOPASTEL</x:v>
      </x:c>
      <x:c r="C596" t="n">
        <x:v>95</x:v>
      </x:c>
      <x:c r="D596" t="str">
        <x:v>497</x:v>
      </x:c>
      <x:c r="E596" t="str">
        <x:v>Bronze</x:v>
      </x:c>
      <x:c r="F596" t="str">
        <x:v>青銅色</x:v>
      </x:c>
      <x:c r="G596" t="str">
        <x:v>ブロンズ</x:v>
      </x:c>
      <x:c r="H596" t="str">
        <x:v>#98614C</x:v>
      </x:c>
      <x:c r="I596" t="str">
        <x:v>#FFFFFF</x:v>
      </x:c>
      <x:c r="J596" t="str">
        <x:v>https://www.carandache.com/content_files/uploaded_doc/product/10595/Colour_Chart_NeoPastel.pdf</x:v>
      </x:c>
    </x:row>
    <x:row r="597">
      <x:c r="A597" t="str">
        <x:v>NEO</x:v>
      </x:c>
      <x:c r="B597" t="str">
        <x:v>NEOPASTEL</x:v>
      </x:c>
      <x:c r="C597" t="n">
        <x:v>96</x:v>
      </x:c>
      <x:c r="D597" t="str">
        <x:v>499</x:v>
      </x:c>
      <x:c r="E597" t="str">
        <x:v>Gold</x:v>
      </x:c>
      <x:c r="F597" t="str">
        <x:v>金色</x:v>
      </x:c>
      <x:c r="G597" t="str">
        <x:v>ゴールド</x:v>
      </x:c>
      <x:c r="H597" t="str">
        <x:v>#9E9042</x:v>
      </x:c>
      <x:c r="I597" t="str">
        <x:v>#000000</x:v>
      </x:c>
      <x:c r="J597" t="str">
        <x:v>https://www.carandache.com/content_files/uploaded_doc/product/10595/Colour_Chart_NeoPastel.pdf</x:v>
      </x:c>
    </x:row>
    <x:row r="598">
      <x:c r="A598" t="str">
        <x:v>PSTP</x:v>
      </x:c>
      <x:c r="B598" t="str">
        <x:v>PASTEL PENCILS</x:v>
      </x:c>
      <x:c r="C598" t="n">
        <x:v>1</x:v>
      </x:c>
      <x:c r="D598" t="str">
        <x:v>901</x:v>
      </x:c>
      <x:c r="E598" t="str">
        <x:v>Chinese White</x:v>
      </x:c>
      <x:c r="F598" t="str">
        <x:v>中國白</x:v>
      </x:c>
      <x:c r="G598" t="str">
        <x:v>チャイニーズホワイト</x:v>
      </x:c>
      <x:c r="H598" t="str">
        <x:v>#EEEDEE</x:v>
      </x:c>
      <x:c r="I598" t="str">
        <x:v>#000000</x:v>
      </x:c>
      <x:c r="J598" t="str">
        <x:v>https://www.carandache.com/content_files/uploaded_doc/product/10985/Colour_Chart_Pastel_Pencil.pdf</x:v>
      </x:c>
    </x:row>
    <x:row r="599">
      <x:c r="A599" t="str">
        <x:v>PSTP</x:v>
      </x:c>
      <x:c r="B599" t="str">
        <x:v>PASTEL PENCILS</x:v>
      </x:c>
      <x:c r="C599" t="n">
        <x:v>2</x:v>
      </x:c>
      <x:c r="D599" t="str">
        <x:v>811</x:v>
      </x:c>
      <x:c r="E599" t="str">
        <x:v>Bismuth white</x:v>
      </x:c>
      <x:c r="F599" t="str">
        <x:v>鉍白</x:v>
      </x:c>
      <x:c r="G599" t="str">
        <x:v>ビスマスホワイト</x:v>
      </x:c>
      <x:c r="H599" t="str">
        <x:v>#D9D6CB</x:v>
      </x:c>
      <x:c r="I599" t="str">
        <x:v>#000000</x:v>
      </x:c>
      <x:c r="J599" t="str">
        <x:v>https://www.carandache.com/content_files/uploaded_doc/product/10985/Colour_Chart_Pastel_Pencil.pdf</x:v>
      </x:c>
    </x:row>
    <x:row r="600">
      <x:c r="A600" t="str">
        <x:v>PSTP</x:v>
      </x:c>
      <x:c r="B600" t="str">
        <x:v>PASTEL PENCILS</x:v>
      </x:c>
      <x:c r="C600" t="n">
        <x:v>3</x:v>
      </x:c>
      <x:c r="D600" t="str">
        <x:v>011</x:v>
      </x:c>
      <x:c r="E600" t="str">
        <x:v>Pale yellow</x:v>
      </x:c>
      <x:c r="F600" t="str">
        <x:v>淡黃色</x:v>
      </x:c>
      <x:c r="G600" t="str">
        <x:v>ペールイエロー</x:v>
      </x:c>
      <x:c r="H600" t="str">
        <x:v>#F4ECC7</x:v>
      </x:c>
      <x:c r="I600" t="str">
        <x:v>#000000</x:v>
      </x:c>
      <x:c r="J600" t="str">
        <x:v>https://www.carandache.com/content_files/uploaded_doc/product/10985/Colour_Chart_Pastel_Pencil.pdf</x:v>
      </x:c>
    </x:row>
    <x:row r="601">
      <x:c r="A601" t="str">
        <x:v>PSTP</x:v>
      </x:c>
      <x:c r="B601" t="str">
        <x:v>PASTEL PENCILS</x:v>
      </x:c>
      <x:c r="C601" t="n">
        <x:v>4</x:v>
      </x:c>
      <x:c r="D601" t="str">
        <x:v>241</x:v>
      </x:c>
      <x:c r="E601" t="str">
        <x:v>Light lemon yellow</x:v>
      </x:c>
      <x:c r="F601" t="str">
        <x:v>淺檸檬黃</x:v>
      </x:c>
      <x:c r="G601" t="str">
        <x:v>ライトレモンイエロー</x:v>
      </x:c>
      <x:c r="H601" t="str">
        <x:v>#E2DF9C</x:v>
      </x:c>
      <x:c r="I601" t="str">
        <x:v>#000000</x:v>
      </x:c>
      <x:c r="J601" t="str">
        <x:v>https://www.carandache.com/content_files/uploaded_doc/product/10985/Colour_Chart_Pastel_Pencil.pdf</x:v>
      </x:c>
    </x:row>
    <x:row r="602">
      <x:c r="A602" t="str">
        <x:v>PSTP</x:v>
      </x:c>
      <x:c r="B602" t="str">
        <x:v>PASTEL PENCILS</x:v>
      </x:c>
      <x:c r="C602" t="n">
        <x:v>5</x:v>
      </x:c>
      <x:c r="D602" t="str">
        <x:v>821</x:v>
      </x:c>
      <x:c r="E602" t="str">
        <x:v>Naples ochre</x:v>
      </x:c>
      <x:c r="F602" t="str">
        <x:v>那不勒斯赭黃</x:v>
      </x:c>
      <x:c r="G602" t="str">
        <x:v>ネープルスオーカー</x:v>
      </x:c>
      <x:c r="H602" t="str">
        <x:v>#E9D48F</x:v>
      </x:c>
      <x:c r="I602" t="str">
        <x:v>#000000</x:v>
      </x:c>
      <x:c r="J602" t="str">
        <x:v>https://www.carandache.com/content_files/uploaded_doc/product/10985/Colour_Chart_Pastel_Pencil.pdf</x:v>
      </x:c>
    </x:row>
    <x:row r="603">
      <x:c r="A603" t="str">
        <x:v>PSTP</x:v>
      </x:c>
      <x:c r="B603" t="str">
        <x:v>PASTEL PENCILS</x:v>
      </x:c>
      <x:c r="C603" t="n">
        <x:v>6</x:v>
      </x:c>
      <x:c r="D603" t="str">
        <x:v>240</x:v>
      </x:c>
      <x:c r="E603" t="str">
        <x:v>Lemon Yellow</x:v>
      </x:c>
      <x:c r="F603" t="str">
        <x:v>檸檬黃</x:v>
      </x:c>
      <x:c r="G603" t="str">
        <x:v>レモンイエロー</x:v>
      </x:c>
      <x:c r="H603" t="str">
        <x:v>#E3D35B</x:v>
      </x:c>
      <x:c r="I603" t="str">
        <x:v>#000000</x:v>
      </x:c>
      <x:c r="J603" t="str">
        <x:v>https://www.carandache.com/content_files/uploaded_doc/product/10985/Colour_Chart_Pastel_Pencil.pdf</x:v>
      </x:c>
    </x:row>
    <x:row r="604">
      <x:c r="A604" t="str">
        <x:v>PSTP</x:v>
      </x:c>
      <x:c r="B604" t="str">
        <x:v>PASTEL PENCILS</x:v>
      </x:c>
      <x:c r="C604" t="n">
        <x:v>7</x:v>
      </x:c>
      <x:c r="D604" t="str">
        <x:v>820</x:v>
      </x:c>
      <x:c r="E604" t="str">
        <x:v>Golden Bismuth yellow</x:v>
      </x:c>
      <x:c r="F604" t="str">
        <x:v>金鉍黃</x:v>
      </x:c>
      <x:c r="G604" t="str">
        <x:v>ゴールデンビスマスイエロー</x:v>
      </x:c>
      <x:c r="H604" t="str">
        <x:v>#DFBE50</x:v>
      </x:c>
      <x:c r="I604" t="str">
        <x:v>#000000</x:v>
      </x:c>
      <x:c r="J604" t="str">
        <x:v>https://www.carandache.com/content_files/uploaded_doc/product/10985/Colour_Chart_Pastel_Pencil.pdf</x:v>
      </x:c>
    </x:row>
    <x:row r="605">
      <x:c r="A605" t="str">
        <x:v>PSTP</x:v>
      </x:c>
      <x:c r="B605" t="str">
        <x:v>PASTEL PENCILS</x:v>
      </x:c>
      <x:c r="C605" t="n">
        <x:v>8</x:v>
      </x:c>
      <x:c r="D605" t="str">
        <x:v>512</x:v>
      </x:c>
      <x:c r="E605" t="str">
        <x:v>Light cadmium yellow</x:v>
      </x:c>
      <x:c r="F605" t="str">
        <x:v>淺鎘黃</x:v>
      </x:c>
      <x:c r="G605" t="str">
        <x:v>ライトカドミウムイエロー</x:v>
      </x:c>
      <x:c r="H605" t="str">
        <x:v>#CFB930</x:v>
      </x:c>
      <x:c r="I605" t="str">
        <x:v>#000000</x:v>
      </x:c>
      <x:c r="J605" t="str">
        <x:v>https://www.carandache.com/content_files/uploaded_doc/product/10985/Colour_Chart_Pastel_Pencil.pdf</x:v>
      </x:c>
    </x:row>
    <x:row r="606">
      <x:c r="A606" t="str">
        <x:v>PSTP</x:v>
      </x:c>
      <x:c r="B606" t="str">
        <x:v>PASTEL PENCILS</x:v>
      </x:c>
      <x:c r="C606" t="n">
        <x:v>9</x:v>
      </x:c>
      <x:c r="D606" t="str">
        <x:v>530</x:v>
      </x:c>
      <x:c r="E606" t="str">
        <x:v>Gold Cadmium Yellow</x:v>
      </x:c>
      <x:c r="F606" t="str">
        <x:v>金鎘黃</x:v>
      </x:c>
      <x:c r="G606" t="str">
        <x:v>ゴールドカドミウムイエロー</x:v>
      </x:c>
      <x:c r="H606" t="str">
        <x:v>#DCB61F</x:v>
      </x:c>
      <x:c r="I606" t="str">
        <x:v>#000000</x:v>
      </x:c>
      <x:c r="J606" t="str">
        <x:v>https://www.carandache.com/content_files/uploaded_doc/product/10985/Colour_Chart_Pastel_Pencil.pdf</x:v>
      </x:c>
    </x:row>
    <x:row r="607">
      <x:c r="A607" t="str">
        <x:v>PSTP</x:v>
      </x:c>
      <x:c r="B607" t="str">
        <x:v>PASTEL PENCILS</x:v>
      </x:c>
      <x:c r="C607" t="n">
        <x:v>10</x:v>
      </x:c>
      <x:c r="D607" t="str">
        <x:v>300</x:v>
      </x:c>
      <x:c r="E607" t="str">
        <x:v>Fast orange</x:v>
      </x:c>
      <x:c r="F607" t="str">
        <x:v>耐久橙</x:v>
      </x:c>
      <x:c r="G607" t="str">
        <x:v>ファストオレンジ</x:v>
      </x:c>
      <x:c r="H607" t="str">
        <x:v>#D9951C</x:v>
      </x:c>
      <x:c r="I607" t="str">
        <x:v>#000000</x:v>
      </x:c>
      <x:c r="J607" t="str">
        <x:v>https://www.carandache.com/content_files/uploaded_doc/product/10985/Colour_Chart_Pastel_Pencil.pdf</x:v>
      </x:c>
    </x:row>
    <x:row r="608">
      <x:c r="A608" t="str">
        <x:v>PSTP</x:v>
      </x:c>
      <x:c r="B608" t="str">
        <x:v>PASTEL PENCILS</x:v>
      </x:c>
      <x:c r="C608" t="n">
        <x:v>11</x:v>
      </x:c>
      <x:c r="D608" t="str">
        <x:v>050</x:v>
      </x:c>
      <x:c r="E608" t="str">
        <x:v>Flame red</x:v>
      </x:c>
      <x:c r="F608" t="str">
        <x:v>火焰紅</x:v>
      </x:c>
      <x:c r="G608" t="str">
        <x:v>フレームレッド</x:v>
      </x:c>
      <x:c r="H608" t="str">
        <x:v>#D36234</x:v>
      </x:c>
      <x:c r="I608" t="str">
        <x:v>#000000</x:v>
      </x:c>
      <x:c r="J608" t="str">
        <x:v>https://www.carandache.com/content_files/uploaded_doc/product/10985/Colour_Chart_Pastel_Pencil.pdf</x:v>
      </x:c>
    </x:row>
    <x:row r="609">
      <x:c r="A609" t="str">
        <x:v>PSTP</x:v>
      </x:c>
      <x:c r="B609" t="str">
        <x:v>PASTEL PENCILS</x:v>
      </x:c>
      <x:c r="C609" t="n">
        <x:v>12</x:v>
      </x:c>
      <x:c r="D609" t="str">
        <x:v>060</x:v>
      </x:c>
      <x:c r="E609" t="str">
        <x:v>Vermilion</x:v>
      </x:c>
      <x:c r="F609" t="str">
        <x:v>朱紅</x:v>
      </x:c>
      <x:c r="G609" t="str">
        <x:v>バーミリオン</x:v>
      </x:c>
      <x:c r="H609" t="str">
        <x:v>#D34733</x:v>
      </x:c>
      <x:c r="I609" t="str">
        <x:v>#000000</x:v>
      </x:c>
      <x:c r="J609" t="str">
        <x:v>https://www.carandache.com/content_files/uploaded_doc/product/10985/Colour_Chart_Pastel_Pencil.pdf</x:v>
      </x:c>
    </x:row>
    <x:row r="610">
      <x:c r="A610" t="str">
        <x:v>PSTP</x:v>
      </x:c>
      <x:c r="B610" t="str">
        <x:v>PASTEL PENCILS</x:v>
      </x:c>
      <x:c r="C610" t="n">
        <x:v>13</x:v>
      </x:c>
      <x:c r="D610" t="str">
        <x:v>581</x:v>
      </x:c>
      <x:c r="E610" t="str">
        <x:v>Pink white</x:v>
      </x:c>
      <x:c r="F610" t="str">
        <x:v>粉白色</x:v>
      </x:c>
      <x:c r="G610" t="str">
        <x:v>ピンクホワイト</x:v>
      </x:c>
      <x:c r="H610" t="str">
        <x:v>#C2B9B3</x:v>
      </x:c>
      <x:c r="I610" t="str">
        <x:v>#000000</x:v>
      </x:c>
      <x:c r="J610" t="str">
        <x:v>https://www.carandache.com/content_files/uploaded_doc/product/10985/Colour_Chart_Pastel_Pencil.pdf</x:v>
      </x:c>
    </x:row>
    <x:row r="611">
      <x:c r="A611" t="str">
        <x:v>PSTP</x:v>
      </x:c>
      <x:c r="B611" t="str">
        <x:v>PASTEL PENCILS</x:v>
      </x:c>
      <x:c r="C611" t="n">
        <x:v>14</x:v>
      </x:c>
      <x:c r="D611" t="str">
        <x:v>583</x:v>
      </x:c>
      <x:c r="E611" t="str">
        <x:v>Violet pink</x:v>
      </x:c>
      <x:c r="F611" t="str">
        <x:v>紫粉紅</x:v>
      </x:c>
      <x:c r="G611" t="str">
        <x:v>バイオレットピンク</x:v>
      </x:c>
      <x:c r="H611" t="str">
        <x:v>#A56769</x:v>
      </x:c>
      <x:c r="I611" t="str">
        <x:v>#000000</x:v>
      </x:c>
      <x:c r="J611" t="str">
        <x:v>https://www.carandache.com/content_files/uploaded_doc/product/10985/Colour_Chart_Pastel_Pencil.pdf</x:v>
      </x:c>
    </x:row>
    <x:row r="612">
      <x:c r="A612" t="str">
        <x:v>PSTP</x:v>
      </x:c>
      <x:c r="B612" t="str">
        <x:v>PASTEL PENCILS</x:v>
      </x:c>
      <x:c r="C612" t="n">
        <x:v>15</x:v>
      </x:c>
      <x:c r="D612" t="str">
        <x:v>070</x:v>
      </x:c>
      <x:c r="E612" t="str">
        <x:v>Scarlet</x:v>
      </x:c>
      <x:c r="F612" t="str">
        <x:v>猩紅</x:v>
      </x:c>
      <x:c r="G612" t="str">
        <x:v>スカーレット</x:v>
      </x:c>
      <x:c r="H612" t="str">
        <x:v>#BE1B2F</x:v>
      </x:c>
      <x:c r="I612" t="str">
        <x:v>#FFFFFF</x:v>
      </x:c>
      <x:c r="J612" t="str">
        <x:v>https://www.carandache.com/content_files/uploaded_doc/product/10985/Colour_Chart_Pastel_Pencil.pdf</x:v>
      </x:c>
    </x:row>
    <x:row r="613">
      <x:c r="A613" t="str">
        <x:v>PSTP</x:v>
      </x:c>
      <x:c r="B613" t="str">
        <x:v>PASTEL PENCILS</x:v>
      </x:c>
      <x:c r="C613" t="n">
        <x:v>16</x:v>
      </x:c>
      <x:c r="D613" t="str">
        <x:v>080</x:v>
      </x:c>
      <x:c r="E613" t="str">
        <x:v>Carmine Lake</x:v>
      </x:c>
      <x:c r="F613" t="str">
        <x:v>胭脂紅色淀</x:v>
      </x:c>
      <x:c r="G613" t="str">
        <x:v>カーマインレーキ</x:v>
      </x:c>
      <x:c r="H613" t="str">
        <x:v>#B81D33</x:v>
      </x:c>
      <x:c r="I613" t="str">
        <x:v>#FFFFFF</x:v>
      </x:c>
      <x:c r="J613" t="str">
        <x:v>https://www.carandache.com/content_files/uploaded_doc/product/10985/Colour_Chart_Pastel_Pencil.pdf</x:v>
      </x:c>
    </x:row>
    <x:row r="614">
      <x:c r="A614" t="str">
        <x:v>PSTP</x:v>
      </x:c>
      <x:c r="B614" t="str">
        <x:v>PASTEL PENCILS</x:v>
      </x:c>
      <x:c r="C614" t="n">
        <x:v>17</x:v>
      </x:c>
      <x:c r="D614" t="str">
        <x:v>585</x:v>
      </x:c>
      <x:c r="E614" t="str">
        <x:v>Perylene brown</x:v>
      </x:c>
      <x:c r="F614" t="str">
        <x:v>苝棕</x:v>
      </x:c>
      <x:c r="G614" t="str">
        <x:v>ペリレンブラウン</x:v>
      </x:c>
      <x:c r="H614" t="str">
        <x:v>#A1353D</x:v>
      </x:c>
      <x:c r="I614" t="str">
        <x:v>#FFFFFF</x:v>
      </x:c>
      <x:c r="J614" t="str">
        <x:v>https://www.carandache.com/content_files/uploaded_doc/product/10985/Colour_Chart_Pastel_Pencil.pdf</x:v>
      </x:c>
    </x:row>
    <x:row r="615">
      <x:c r="A615" t="str">
        <x:v>PSTP</x:v>
      </x:c>
      <x:c r="B615" t="str">
        <x:v>PASTEL PENCILS</x:v>
      </x:c>
      <x:c r="C615" t="n">
        <x:v>18</x:v>
      </x:c>
      <x:c r="D615" t="str">
        <x:v>105</x:v>
      </x:c>
      <x:c r="E615" t="str">
        <x:v>Plum</x:v>
      </x:c>
      <x:c r="F615" t="str">
        <x:v>梅紫色</x:v>
      </x:c>
      <x:c r="G615" t="str">
        <x:v>プラム</x:v>
      </x:c>
      <x:c r="H615" t="str">
        <x:v>#5E374E</x:v>
      </x:c>
      <x:c r="I615" t="str">
        <x:v>#FFFFFF</x:v>
      </x:c>
      <x:c r="J615" t="str">
        <x:v>https://www.carandache.com/content_files/uploaded_doc/product/10985/Colour_Chart_Pastel_Pencil.pdf</x:v>
      </x:c>
    </x:row>
    <x:row r="616">
      <x:c r="A616" t="str">
        <x:v>PSTP</x:v>
      </x:c>
      <x:c r="B616" t="str">
        <x:v>PASTEL PENCILS</x:v>
      </x:c>
      <x:c r="C616" t="n">
        <x:v>19</x:v>
      </x:c>
      <x:c r="D616" t="str">
        <x:v>099</x:v>
      </x:c>
      <x:c r="E616" t="str">
        <x:v>Aubergine</x:v>
      </x:c>
      <x:c r="F616" t="str">
        <x:v>茄紫色</x:v>
      </x:c>
      <x:c r="G616" t="str">
        <x:v>オーベルジーヌ</x:v>
      </x:c>
      <x:c r="H616" t="str">
        <x:v>#99538F</x:v>
      </x:c>
      <x:c r="I616" t="str">
        <x:v>#FFFFFF</x:v>
      </x:c>
      <x:c r="J616" t="str">
        <x:v>https://www.carandache.com/content_files/uploaded_doc/product/10985/Colour_Chart_Pastel_Pencil.pdf</x:v>
      </x:c>
    </x:row>
    <x:row r="617">
      <x:c r="A617" t="str">
        <x:v>PSTP</x:v>
      </x:c>
      <x:c r="B617" t="str">
        <x:v>PASTEL PENCILS</x:v>
      </x:c>
      <x:c r="C617" t="n">
        <x:v>20</x:v>
      </x:c>
      <x:c r="D617" t="str">
        <x:v>350</x:v>
      </x:c>
      <x:c r="E617" t="str">
        <x:v>Purplish Red</x:v>
      </x:c>
      <x:c r="F617" t="str">
        <x:v>紫紅色</x:v>
      </x:c>
      <x:c r="G617" t="str">
        <x:v>パープリッシュレッド</x:v>
      </x:c>
      <x:c r="H617" t="str">
        <x:v>#984778</x:v>
      </x:c>
      <x:c r="I617" t="str">
        <x:v>#FFFFFF</x:v>
      </x:c>
      <x:c r="J617" t="str">
        <x:v>https://www.carandache.com/content_files/uploaded_doc/product/10985/Colour_Chart_Pastel_Pencil.pdf</x:v>
      </x:c>
    </x:row>
    <x:row r="618">
      <x:c r="A618" t="str">
        <x:v>PSTP</x:v>
      </x:c>
      <x:c r="B618" t="str">
        <x:v>PASTEL PENCILS</x:v>
      </x:c>
      <x:c r="C618" t="n">
        <x:v>21</x:v>
      </x:c>
      <x:c r="D618" t="str">
        <x:v>631</x:v>
      </x:c>
      <x:c r="E618" t="str">
        <x:v>Light ultramarine violet</x:v>
      </x:c>
      <x:c r="F618" t="str">
        <x:v>淺群青紫</x:v>
      </x:c>
      <x:c r="G618" t="str">
        <x:v>ライトウルトラマリンバイオレット</x:v>
      </x:c>
      <x:c r="H618" t="str">
        <x:v>#A095A7</x:v>
      </x:c>
      <x:c r="I618" t="str">
        <x:v>#000000</x:v>
      </x:c>
      <x:c r="J618" t="str">
        <x:v>https://www.carandache.com/content_files/uploaded_doc/product/10985/Colour_Chart_Pastel_Pencil.pdf</x:v>
      </x:c>
    </x:row>
    <x:row r="619">
      <x:c r="A619" t="str">
        <x:v>PSTP</x:v>
      </x:c>
      <x:c r="B619" t="str">
        <x:v>PASTEL PENCILS</x:v>
      </x:c>
      <x:c r="C619" t="n">
        <x:v>22</x:v>
      </x:c>
      <x:c r="D619" t="str">
        <x:v>083</x:v>
      </x:c>
      <x:c r="E619" t="str">
        <x:v>Ultramarine pink</x:v>
      </x:c>
      <x:c r="F619" t="str">
        <x:v>群青粉紅</x:v>
      </x:c>
      <x:c r="G619" t="str">
        <x:v>ウルトラマリンピンク</x:v>
      </x:c>
      <x:c r="H619" t="str">
        <x:v>#B895B0</x:v>
      </x:c>
      <x:c r="I619" t="str">
        <x:v>#000000</x:v>
      </x:c>
      <x:c r="J619" t="str">
        <x:v>https://www.carandache.com/content_files/uploaded_doc/product/10985/Colour_Chart_Pastel_Pencil.pdf</x:v>
      </x:c>
    </x:row>
    <x:row r="620">
      <x:c r="A620" t="str">
        <x:v>PSTP</x:v>
      </x:c>
      <x:c r="B620" t="str">
        <x:v>PASTEL PENCILS</x:v>
      </x:c>
      <x:c r="C620" t="n">
        <x:v>23</x:v>
      </x:c>
      <x:c r="D620" t="str">
        <x:v>582</x:v>
      </x:c>
      <x:c r="E620" t="str">
        <x:v>Portrait pink</x:v>
      </x:c>
      <x:c r="F620" t="str">
        <x:v>肖像粉紅</x:v>
      </x:c>
      <x:c r="G620" t="str">
        <x:v>ポートレートピンク</x:v>
      </x:c>
      <x:c r="H620" t="str">
        <x:v>#C95462</x:v>
      </x:c>
      <x:c r="I620" t="str">
        <x:v>#000000</x:v>
      </x:c>
      <x:c r="J620" t="str">
        <x:v>https://www.carandache.com/content_files/uploaded_doc/product/10985/Colour_Chart_Pastel_Pencil.pdf</x:v>
      </x:c>
    </x:row>
    <x:row r="621">
      <x:c r="A621" t="str">
        <x:v>PSTP</x:v>
      </x:c>
      <x:c r="B621" t="str">
        <x:v>PASTEL PENCILS</x:v>
      </x:c>
      <x:c r="C621" t="n">
        <x:v>24</x:v>
      </x:c>
      <x:c r="D621" t="str">
        <x:v>571</x:v>
      </x:c>
      <x:c r="E621" t="str">
        <x:v>Anthraquinoid pink</x:v>
      </x:c>
      <x:c r="F621" t="str">
        <x:v>蒽醌粉紅</x:v>
      </x:c>
      <x:c r="G621" t="str">
        <x:v>アントラキノイドピンク</x:v>
      </x:c>
      <x:c r="H621" t="str">
        <x:v>#CF5F56</x:v>
      </x:c>
      <x:c r="I621" t="str">
        <x:v>#000000</x:v>
      </x:c>
      <x:c r="J621" t="str">
        <x:v>https://www.carandache.com/content_files/uploaded_doc/product/10985/Colour_Chart_Pastel_Pencil.pdf</x:v>
      </x:c>
    </x:row>
    <x:row r="622">
      <x:c r="A622" t="str">
        <x:v>PSTP</x:v>
      </x:c>
      <x:c r="B622" t="str">
        <x:v>PASTEL PENCILS</x:v>
      </x:c>
      <x:c r="C622" t="n">
        <x:v>25</x:v>
      </x:c>
      <x:c r="D622" t="str">
        <x:v>871</x:v>
      </x:c>
      <x:c r="E622" t="str">
        <x:v>Azurite white</x:v>
      </x:c>
      <x:c r="F622" t="str">
        <x:v>藍銅礦白</x:v>
      </x:c>
      <x:c r="G622" t="str">
        <x:v>アズライトホワイト</x:v>
      </x:c>
      <x:c r="H622" t="str">
        <x:v>#B8B3B1</x:v>
      </x:c>
      <x:c r="I622" t="str">
        <x:v>#000000</x:v>
      </x:c>
      <x:c r="J622" t="str">
        <x:v>https://www.carandache.com/content_files/uploaded_doc/product/10985/Colour_Chart_Pastel_Pencil.pdf</x:v>
      </x:c>
    </x:row>
    <x:row r="623">
      <x:c r="A623" t="str">
        <x:v>PSTP</x:v>
      </x:c>
      <x:c r="B623" t="str">
        <x:v>PASTEL PENCILS</x:v>
      </x:c>
      <x:c r="C623" t="n">
        <x:v>26</x:v>
      </x:c>
      <x:c r="D623" t="str">
        <x:v>661</x:v>
      </x:c>
      <x:c r="E623" t="str">
        <x:v>Cobalt blue 5%</x:v>
      </x:c>
      <x:c r="F623" t="str">
        <x:v>鈷藍 5%</x:v>
      </x:c>
      <x:c r="G623" t="str">
        <x:v>コバルトブルー 5%</x:v>
      </x:c>
      <x:c r="H623" t="str">
        <x:v>#A8C4D8</x:v>
      </x:c>
      <x:c r="I623" t="str">
        <x:v>#000000</x:v>
      </x:c>
      <x:c r="J623" t="str">
        <x:v>https://www.carandache.com/content_files/uploaded_doc/product/10985/Colour_Chart_Pastel_Pencil.pdf</x:v>
      </x:c>
    </x:row>
    <x:row r="624">
      <x:c r="A624" t="str">
        <x:v>PSTP</x:v>
      </x:c>
      <x:c r="B624" t="str">
        <x:v>PASTEL PENCILS</x:v>
      </x:c>
      <x:c r="C624" t="n">
        <x:v>27</x:v>
      </x:c>
      <x:c r="D624" t="str">
        <x:v>662</x:v>
      </x:c>
      <x:c r="E624" t="str">
        <x:v>Cobalt blue 10%</x:v>
      </x:c>
      <x:c r="F624" t="str">
        <x:v>鈷藍 10%</x:v>
      </x:c>
      <x:c r="G624" t="str">
        <x:v>コバルトブルー 10%</x:v>
      </x:c>
      <x:c r="H624" t="str">
        <x:v>#A7C4DC</x:v>
      </x:c>
      <x:c r="I624" t="str">
        <x:v>#000000</x:v>
      </x:c>
      <x:c r="J624" t="str">
        <x:v>https://www.carandache.com/content_files/uploaded_doc/product/10985/Colour_Chart_Pastel_Pencil.pdf</x:v>
      </x:c>
    </x:row>
    <x:row r="625">
      <x:c r="A625" t="str">
        <x:v>PSTP</x:v>
      </x:c>
      <x:c r="B625" t="str">
        <x:v>PASTEL PENCILS</x:v>
      </x:c>
      <x:c r="C625" t="n">
        <x:v>28</x:v>
      </x:c>
      <x:c r="D625" t="str">
        <x:v>664</x:v>
      </x:c>
      <x:c r="E625" t="str">
        <x:v>Cobalt blue 30%</x:v>
      </x:c>
      <x:c r="F625" t="str">
        <x:v>鈷藍 30%</x:v>
      </x:c>
      <x:c r="G625" t="str">
        <x:v>コバルトブルー 30%</x:v>
      </x:c>
      <x:c r="H625" t="str">
        <x:v>#74A7D3</x:v>
      </x:c>
      <x:c r="I625" t="str">
        <x:v>#000000</x:v>
      </x:c>
      <x:c r="J625" t="str">
        <x:v>https://www.carandache.com/content_files/uploaded_doc/product/10985/Colour_Chart_Pastel_Pencil.pdf</x:v>
      </x:c>
    </x:row>
    <x:row r="626">
      <x:c r="A626" t="str">
        <x:v>PSTP</x:v>
      </x:c>
      <x:c r="B626" t="str">
        <x:v>PASTEL PENCILS</x:v>
      </x:c>
      <x:c r="C626" t="n">
        <x:v>29</x:v>
      </x:c>
      <x:c r="D626" t="str">
        <x:v>140</x:v>
      </x:c>
      <x:c r="E626" t="str">
        <x:v>Ultramarine</x:v>
      </x:c>
      <x:c r="F626" t="str">
        <x:v>群青</x:v>
      </x:c>
      <x:c r="G626" t="str">
        <x:v>ウルトラマリン</x:v>
      </x:c>
      <x:c r="H626" t="str">
        <x:v>#2E79B2</x:v>
      </x:c>
      <x:c r="I626" t="str">
        <x:v>#FFFFFF</x:v>
      </x:c>
      <x:c r="J626" t="str">
        <x:v>https://www.carandache.com/content_files/uploaded_doc/product/10985/Colour_Chart_Pastel_Pencil.pdf</x:v>
      </x:c>
    </x:row>
    <x:row r="627">
      <x:c r="A627" t="str">
        <x:v>PSTP</x:v>
      </x:c>
      <x:c r="B627" t="str">
        <x:v>PASTEL PENCILS</x:v>
      </x:c>
      <x:c r="C627" t="n">
        <x:v>30</x:v>
      </x:c>
      <x:c r="D627" t="str">
        <x:v>162</x:v>
      </x:c>
      <x:c r="E627" t="str">
        <x:v>Phthalocyanine blue</x:v>
      </x:c>
      <x:c r="F627" t="str">
        <x:v>酞菁藍</x:v>
      </x:c>
      <x:c r="G627" t="str">
        <x:v>フタロシアニンブルー</x:v>
      </x:c>
      <x:c r="H627" t="str">
        <x:v>#18669D</x:v>
      </x:c>
      <x:c r="I627" t="str">
        <x:v>#FFFFFF</x:v>
      </x:c>
      <x:c r="J627" t="str">
        <x:v>https://www.carandache.com/content_files/uploaded_doc/product/10985/Colour_Chart_Pastel_Pencil.pdf</x:v>
      </x:c>
    </x:row>
    <x:row r="628">
      <x:c r="A628" t="str">
        <x:v>PSTP</x:v>
      </x:c>
      <x:c r="B628" t="str">
        <x:v>PASTEL PENCILS</x:v>
      </x:c>
      <x:c r="C628" t="n">
        <x:v>31</x:v>
      </x:c>
      <x:c r="D628" t="str">
        <x:v>145</x:v>
      </x:c>
      <x:c r="E628" t="str">
        <x:v>Bluish grey</x:v>
      </x:c>
      <x:c r="F628" t="str">
        <x:v>藍灰色</x:v>
      </x:c>
      <x:c r="G628" t="str">
        <x:v>ブルーグレー</x:v>
      </x:c>
      <x:c r="H628" t="str">
        <x:v>#4B5581</x:v>
      </x:c>
      <x:c r="I628" t="str">
        <x:v>#FFFFFF</x:v>
      </x:c>
      <x:c r="J628" t="str">
        <x:v>https://www.carandache.com/content_files/uploaded_doc/product/10985/Colour_Chart_Pastel_Pencil.pdf</x:v>
      </x:c>
    </x:row>
    <x:row r="629">
      <x:c r="A629" t="str">
        <x:v>PSTP</x:v>
      </x:c>
      <x:c r="B629" t="str">
        <x:v>PASTEL PENCILS</x:v>
      </x:c>
      <x:c r="C629" t="n">
        <x:v>32</x:v>
      </x:c>
      <x:c r="D629" t="str">
        <x:v>120</x:v>
      </x:c>
      <x:c r="E629" t="str">
        <x:v>Violet</x:v>
      </x:c>
      <x:c r="F629" t="str">
        <x:v>紫羅蘭色</x:v>
      </x:c>
      <x:c r="G629" t="str">
        <x:v>バイオレット</x:v>
      </x:c>
      <x:c r="H629" t="str">
        <x:v>#533274</x:v>
      </x:c>
      <x:c r="I629" t="str">
        <x:v>#FFFFFF</x:v>
      </x:c>
      <x:c r="J629" t="str">
        <x:v>https://www.carandache.com/content_files/uploaded_doc/product/10985/Colour_Chart_Pastel_Pencil.pdf</x:v>
      </x:c>
    </x:row>
    <x:row r="630">
      <x:c r="A630" t="str">
        <x:v>PSTP</x:v>
      </x:c>
      <x:c r="B630" t="str">
        <x:v>PASTEL PENCILS</x:v>
      </x:c>
      <x:c r="C630" t="n">
        <x:v>33</x:v>
      </x:c>
      <x:c r="D630" t="str">
        <x:v>620</x:v>
      </x:c>
      <x:c r="E630" t="str">
        <x:v>Cobalt Violet</x:v>
      </x:c>
      <x:c r="F630" t="str">
        <x:v>鈷紫</x:v>
      </x:c>
      <x:c r="G630" t="str">
        <x:v>コバルトバイオレット</x:v>
      </x:c>
      <x:c r="H630" t="str">
        <x:v>#46377E</x:v>
      </x:c>
      <x:c r="I630" t="str">
        <x:v>#FFFFFF</x:v>
      </x:c>
      <x:c r="J630" t="str">
        <x:v>https://www.carandache.com/content_files/uploaded_doc/product/10985/Colour_Chart_Pastel_Pencil.pdf</x:v>
      </x:c>
    </x:row>
    <x:row r="631">
      <x:c r="A631" t="str">
        <x:v>PSTP</x:v>
      </x:c>
      <x:c r="B631" t="str">
        <x:v>PASTEL PENCILS</x:v>
      </x:c>
      <x:c r="C631" t="n">
        <x:v>34</x:v>
      </x:c>
      <x:c r="D631" t="str">
        <x:v>149</x:v>
      </x:c>
      <x:c r="E631" t="str">
        <x:v>Night blue</x:v>
      </x:c>
      <x:c r="F631" t="str">
        <x:v>夜藍</x:v>
      </x:c>
      <x:c r="G631" t="str">
        <x:v>ナイトブルー</x:v>
      </x:c>
      <x:c r="H631" t="str">
        <x:v>#343C5C</x:v>
      </x:c>
      <x:c r="I631" t="str">
        <x:v>#FFFFFF</x:v>
      </x:c>
      <x:c r="J631" t="str">
        <x:v>https://www.carandache.com/content_files/uploaded_doc/product/10985/Colour_Chart_Pastel_Pencil.pdf</x:v>
      </x:c>
    </x:row>
    <x:row r="632">
      <x:c r="A632" t="str">
        <x:v>PSTP</x:v>
      </x:c>
      <x:c r="B632" t="str">
        <x:v>PASTEL PENCILS</x:v>
      </x:c>
      <x:c r="C632" t="n">
        <x:v>35</x:v>
      </x:c>
      <x:c r="D632" t="str">
        <x:v>185</x:v>
      </x:c>
      <x:c r="E632" t="str">
        <x:v>Ice blue</x:v>
      </x:c>
      <x:c r="F632" t="str">
        <x:v>冰藍</x:v>
      </x:c>
      <x:c r="G632" t="str">
        <x:v>アイスブルー</x:v>
      </x:c>
      <x:c r="H632" t="str">
        <x:v>#296784</x:v>
      </x:c>
      <x:c r="I632" t="str">
        <x:v>#FFFFFF</x:v>
      </x:c>
      <x:c r="J632" t="str">
        <x:v>https://www.carandache.com/content_files/uploaded_doc/product/10985/Colour_Chart_Pastel_Pencil.pdf</x:v>
      </x:c>
    </x:row>
    <x:row r="633">
      <x:c r="A633" t="str">
        <x:v>PSTP</x:v>
      </x:c>
      <x:c r="B633" t="str">
        <x:v>PASTEL PENCILS</x:v>
      </x:c>
      <x:c r="C633" t="n">
        <x:v>36</x:v>
      </x:c>
      <x:c r="D633" t="str">
        <x:v>161</x:v>
      </x:c>
      <x:c r="E633" t="str">
        <x:v>Light blue</x:v>
      </x:c>
      <x:c r="F633" t="str">
        <x:v>淺藍色</x:v>
      </x:c>
      <x:c r="G633" t="str">
        <x:v>ライトブルー</x:v>
      </x:c>
      <x:c r="H633" t="str">
        <x:v>#67B9D5</x:v>
      </x:c>
      <x:c r="I633" t="str">
        <x:v>#000000</x:v>
      </x:c>
      <x:c r="J633" t="str">
        <x:v>https://www.carandache.com/content_files/uploaded_doc/product/10985/Colour_Chart_Pastel_Pencil.pdf</x:v>
      </x:c>
    </x:row>
    <x:row r="634">
      <x:c r="A634" t="str">
        <x:v>PSTP</x:v>
      </x:c>
      <x:c r="B634" t="str">
        <x:v>PASTEL PENCILS</x:v>
      </x:c>
      <x:c r="C634" t="n">
        <x:v>37</x:v>
      </x:c>
      <x:c r="D634" t="str">
        <x:v>730</x:v>
      </x:c>
      <x:c r="E634" t="str">
        <x:v>Chinese green</x:v>
      </x:c>
      <x:c r="F634" t="str">
        <x:v>中國綠</x:v>
      </x:c>
      <x:c r="G634" t="str">
        <x:v>チャイニーズグリーン</x:v>
      </x:c>
      <x:c r="H634" t="str">
        <x:v>#DFD765</x:v>
      </x:c>
      <x:c r="I634" t="str">
        <x:v>#000000</x:v>
      </x:c>
      <x:c r="J634" t="str">
        <x:v>https://www.carandache.com/content_files/uploaded_doc/product/10985/Colour_Chart_Pastel_Pencil.pdf</x:v>
      </x:c>
    </x:row>
    <x:row r="635">
      <x:c r="A635" t="str">
        <x:v>PSTP</x:v>
      </x:c>
      <x:c r="B635" t="str">
        <x:v>PASTEL PENCILS</x:v>
      </x:c>
      <x:c r="C635" t="n">
        <x:v>38</x:v>
      </x:c>
      <x:c r="D635" t="str">
        <x:v>232</x:v>
      </x:c>
      <x:c r="E635" t="str">
        <x:v>Middle moss green 10%</x:v>
      </x:c>
      <x:c r="F635" t="str">
        <x:v>中苔綠 10%</x:v>
      </x:c>
      <x:c r="G635" t="str">
        <x:v>ミドルモスグリーン 10%</x:v>
      </x:c>
      <x:c r="H635" t="str">
        <x:v>#AFB22A</x:v>
      </x:c>
      <x:c r="I635" t="str">
        <x:v>#000000</x:v>
      </x:c>
      <x:c r="J635" t="str">
        <x:v>https://www.carandache.com/content_files/uploaded_doc/product/10985/Colour_Chart_Pastel_Pencil.pdf</x:v>
      </x:c>
    </x:row>
    <x:row r="636">
      <x:c r="A636" t="str">
        <x:v>PSTP</x:v>
      </x:c>
      <x:c r="B636" t="str">
        <x:v>PASTEL PENCILS</x:v>
      </x:c>
      <x:c r="C636" t="n">
        <x:v>39</x:v>
      </x:c>
      <x:c r="D636" t="str">
        <x:v>243</x:v>
      </x:c>
      <x:c r="E636" t="str">
        <x:v>Light olive 20%</x:v>
      </x:c>
      <x:c r="F636" t="str">
        <x:v>淺橄欖色 20%</x:v>
      </x:c>
      <x:c r="G636" t="str">
        <x:v>ライトオリーブ 20%</x:v>
      </x:c>
      <x:c r="H636" t="str">
        <x:v>#ACC160</x:v>
      </x:c>
      <x:c r="I636" t="str">
        <x:v>#000000</x:v>
      </x:c>
      <x:c r="J636" t="str">
        <x:v>https://www.carandache.com/content_files/uploaded_doc/product/10985/Colour_Chart_Pastel_Pencil.pdf</x:v>
      </x:c>
    </x:row>
    <x:row r="637">
      <x:c r="A637" t="str">
        <x:v>PSTP</x:v>
      </x:c>
      <x:c r="B637" t="str">
        <x:v>PASTEL PENCILS</x:v>
      </x:c>
      <x:c r="C637" t="n">
        <x:v>40</x:v>
      </x:c>
      <x:c r="D637" t="str">
        <x:v>245</x:v>
      </x:c>
      <x:c r="E637" t="str">
        <x:v>Light olive 40%</x:v>
      </x:c>
      <x:c r="F637" t="str">
        <x:v>淺橄欖色 40%</x:v>
      </x:c>
      <x:c r="G637" t="str">
        <x:v>ライトオリーブ 40%</x:v>
      </x:c>
      <x:c r="H637" t="str">
        <x:v>#7A8834</x:v>
      </x:c>
      <x:c r="I637" t="str">
        <x:v>#000000</x:v>
      </x:c>
      <x:c r="J637" t="str">
        <x:v>https://www.carandache.com/content_files/uploaded_doc/product/10985/Colour_Chart_Pastel_Pencil.pdf</x:v>
      </x:c>
    </x:row>
    <x:row r="638">
      <x:c r="A638" t="str">
        <x:v>PSTP</x:v>
      </x:c>
      <x:c r="B638" t="str">
        <x:v>PASTEL PENCILS</x:v>
      </x:c>
      <x:c r="C638" t="n">
        <x:v>41</x:v>
      </x:c>
      <x:c r="D638" t="str">
        <x:v>017</x:v>
      </x:c>
      <x:c r="E638" t="str">
        <x:v>Light reseda</x:v>
      </x:c>
      <x:c r="F638" t="str">
        <x:v>淺木犀草綠</x:v>
      </x:c>
      <x:c r="G638" t="str">
        <x:v>ライトレセダ</x:v>
      </x:c>
      <x:c r="H638" t="str">
        <x:v>#7E7447</x:v>
      </x:c>
      <x:c r="I638" t="str">
        <x:v>#FFFFFF</x:v>
      </x:c>
      <x:c r="J638" t="str">
        <x:v>https://www.carandache.com/content_files/uploaded_doc/product/10985/Colour_Chart_Pastel_Pencil.pdf</x:v>
      </x:c>
    </x:row>
    <x:row r="639">
      <x:c r="A639" t="str">
        <x:v>PSTP</x:v>
      </x:c>
      <x:c r="B639" t="str">
        <x:v>PASTEL PENCILS</x:v>
      </x:c>
      <x:c r="C639" t="n">
        <x:v>42</x:v>
      </x:c>
      <x:c r="D639" t="str">
        <x:v>234</x:v>
      </x:c>
      <x:c r="E639" t="str">
        <x:v>Middle moss green 30%</x:v>
      </x:c>
      <x:c r="F639" t="str">
        <x:v>中苔綠 30%</x:v>
      </x:c>
      <x:c r="G639" t="str">
        <x:v>ミドルモスグリーン 30%</x:v>
      </x:c>
      <x:c r="H639" t="str">
        <x:v>#498532</x:v>
      </x:c>
      <x:c r="I639" t="str">
        <x:v>#000000</x:v>
      </x:c>
      <x:c r="J639" t="str">
        <x:v>https://www.carandache.com/content_files/uploaded_doc/product/10985/Colour_Chart_Pastel_Pencil.pdf</x:v>
      </x:c>
    </x:row>
    <x:row r="640">
      <x:c r="A640" t="str">
        <x:v>PSTP</x:v>
      </x:c>
      <x:c r="B640" t="str">
        <x:v>PASTEL PENCILS</x:v>
      </x:c>
      <x:c r="C640" t="n">
        <x:v>43</x:v>
      </x:c>
      <x:c r="D640" t="str">
        <x:v>225</x:v>
      </x:c>
      <x:c r="E640" t="str">
        <x:v>Moss green</x:v>
      </x:c>
      <x:c r="F640" t="str">
        <x:v>苔綠色</x:v>
      </x:c>
      <x:c r="G640" t="str">
        <x:v>モスグリーン</x:v>
      </x:c>
      <x:c r="H640" t="str">
        <x:v>#23653B</x:v>
      </x:c>
      <x:c r="I640" t="str">
        <x:v>#FFFFFF</x:v>
      </x:c>
      <x:c r="J640" t="str">
        <x:v>https://www.carandache.com/content_files/uploaded_doc/product/10985/Colour_Chart_Pastel_Pencil.pdf</x:v>
      </x:c>
    </x:row>
    <x:row r="641">
      <x:c r="A641" t="str">
        <x:v>PSTP</x:v>
      </x:c>
      <x:c r="B641" t="str">
        <x:v>PASTEL PENCILS</x:v>
      </x:c>
      <x:c r="C641" t="n">
        <x:v>44</x:v>
      </x:c>
      <x:c r="D641" t="str">
        <x:v>229</x:v>
      </x:c>
      <x:c r="E641" t="str">
        <x:v>Dark green</x:v>
      </x:c>
      <x:c r="F641" t="str">
        <x:v>深綠色</x:v>
      </x:c>
      <x:c r="G641" t="str">
        <x:v>ダークグリーン</x:v>
      </x:c>
      <x:c r="H641" t="str">
        <x:v>#435734</x:v>
      </x:c>
      <x:c r="I641" t="str">
        <x:v>#FFFFFF</x:v>
      </x:c>
      <x:c r="J641" t="str">
        <x:v>https://www.carandache.com/content_files/uploaded_doc/product/10985/Colour_Chart_Pastel_Pencil.pdf</x:v>
      </x:c>
    </x:row>
    <x:row r="642">
      <x:c r="A642" t="str">
        <x:v>PSTP</x:v>
      </x:c>
      <x:c r="B642" t="str">
        <x:v>PASTEL PENCILS</x:v>
      </x:c>
      <x:c r="C642" t="n">
        <x:v>45</x:v>
      </x:c>
      <x:c r="D642" t="str">
        <x:v>718</x:v>
      </x:c>
      <x:c r="E642" t="str">
        <x:v>Middle phthalocyanine green</x:v>
      </x:c>
      <x:c r="F642" t="str">
        <x:v>中酞菁綠</x:v>
      </x:c>
      <x:c r="G642" t="str">
        <x:v>ミドルフタロシアニングリーン</x:v>
      </x:c>
      <x:c r="H642" t="str">
        <x:v>#35503D</x:v>
      </x:c>
      <x:c r="I642" t="str">
        <x:v>#FFFFFF</x:v>
      </x:c>
      <x:c r="J642" t="str">
        <x:v>https://www.carandache.com/content_files/uploaded_doc/product/10985/Colour_Chart_Pastel_Pencil.pdf</x:v>
      </x:c>
    </x:row>
    <x:row r="643">
      <x:c r="A643" t="str">
        <x:v>PSTP</x:v>
      </x:c>
      <x:c r="B643" t="str">
        <x:v>PASTEL PENCILS</x:v>
      </x:c>
      <x:c r="C643" t="n">
        <x:v>46</x:v>
      </x:c>
      <x:c r="D643" t="str">
        <x:v>719</x:v>
      </x:c>
      <x:c r="E643" t="str">
        <x:v>Dark phthalocyanine green</x:v>
      </x:c>
      <x:c r="F643" t="str">
        <x:v>深酞菁綠</x:v>
      </x:c>
      <x:c r="G643" t="str">
        <x:v>ダークフタロシアニングリーン</x:v>
      </x:c>
      <x:c r="H643" t="str">
        <x:v>#38463B</x:v>
      </x:c>
      <x:c r="I643" t="str">
        <x:v>#FFFFFF</x:v>
      </x:c>
      <x:c r="J643" t="str">
        <x:v>https://www.carandache.com/content_files/uploaded_doc/product/10985/Colour_Chart_Pastel_Pencil.pdf</x:v>
      </x:c>
    </x:row>
    <x:row r="644">
      <x:c r="A644" t="str">
        <x:v>PSTP</x:v>
      </x:c>
      <x:c r="B644" t="str">
        <x:v>PASTEL PENCILS</x:v>
      </x:c>
      <x:c r="C644" t="n">
        <x:v>47</x:v>
      </x:c>
      <x:c r="D644" t="str">
        <x:v>180</x:v>
      </x:c>
      <x:c r="E644" t="str">
        <x:v>Malachite green</x:v>
      </x:c>
      <x:c r="F644" t="str">
        <x:v>孔雀石綠</x:v>
      </x:c>
      <x:c r="G644" t="str">
        <x:v>マラカイトグリーン</x:v>
      </x:c>
      <x:c r="H644" t="str">
        <x:v>#0B5E6C</x:v>
      </x:c>
      <x:c r="I644" t="str">
        <x:v>#FFFFFF</x:v>
      </x:c>
      <x:c r="J644" t="str">
        <x:v>https://www.carandache.com/content_files/uploaded_doc/product/10985/Colour_Chart_Pastel_Pencil.pdf</x:v>
      </x:c>
    </x:row>
    <x:row r="645">
      <x:c r="A645" t="str">
        <x:v>PSTP</x:v>
      </x:c>
      <x:c r="B645" t="str">
        <x:v>PASTEL PENCILS</x:v>
      </x:c>
      <x:c r="C645" t="n">
        <x:v>48</x:v>
      </x:c>
      <x:c r="D645" t="str">
        <x:v>214</x:v>
      </x:c>
      <x:c r="E645" t="str">
        <x:v>Beryl green</x:v>
      </x:c>
      <x:c r="F645" t="str">
        <x:v>綠柱石綠</x:v>
      </x:c>
      <x:c r="G645" t="str">
        <x:v>ベリルグリーン</x:v>
      </x:c>
      <x:c r="H645" t="str">
        <x:v>#15928A</x:v>
      </x:c>
      <x:c r="I645" t="str">
        <x:v>#000000</x:v>
      </x:c>
      <x:c r="J645" t="str">
        <x:v>https://www.carandache.com/content_files/uploaded_doc/product/10985/Colour_Chart_Pastel_Pencil.pdf</x:v>
      </x:c>
    </x:row>
    <x:row r="646">
      <x:c r="A646" t="str">
        <x:v>PSTP</x:v>
      </x:c>
      <x:c r="B646" t="str">
        <x:v>PASTEL PENCILS</x:v>
      </x:c>
      <x:c r="C646" t="n">
        <x:v>49</x:v>
      </x:c>
      <x:c r="D646" t="str">
        <x:v>711</x:v>
      </x:c>
      <x:c r="E646" t="str">
        <x:v>Earth green</x:v>
      </x:c>
      <x:c r="F646" t="str">
        <x:v>土綠色</x:v>
      </x:c>
      <x:c r="G646" t="str">
        <x:v>アースグリーン</x:v>
      </x:c>
      <x:c r="H646" t="str">
        <x:v>#B8C4B5</x:v>
      </x:c>
      <x:c r="I646" t="str">
        <x:v>#000000</x:v>
      </x:c>
      <x:c r="J646" t="str">
        <x:v>https://www.carandache.com/content_files/uploaded_doc/product/10985/Colour_Chart_Pastel_Pencil.pdf</x:v>
      </x:c>
    </x:row>
    <x:row r="647">
      <x:c r="A647" t="str">
        <x:v>PSTP</x:v>
      </x:c>
      <x:c r="B647" t="str">
        <x:v>PASTEL PENCILS</x:v>
      </x:c>
      <x:c r="C647" t="n">
        <x:v>50</x:v>
      </x:c>
      <x:c r="D647" t="str">
        <x:v>712</x:v>
      </x:c>
      <x:c r="E647" t="str">
        <x:v>Verdigris</x:v>
      </x:c>
      <x:c r="F647" t="str">
        <x:v>銅綠</x:v>
      </x:c>
      <x:c r="G647" t="str">
        <x:v>バーディグリス</x:v>
      </x:c>
      <x:c r="H647" t="str">
        <x:v>#C0C9BF</x:v>
      </x:c>
      <x:c r="I647" t="str">
        <x:v>#000000</x:v>
      </x:c>
      <x:c r="J647" t="str">
        <x:v>https://www.carandache.com/content_files/uploaded_doc/product/10985/Colour_Chart_Pastel_Pencil.pdf</x:v>
      </x:c>
    </x:row>
    <x:row r="648">
      <x:c r="A648" t="str">
        <x:v>PSTP</x:v>
      </x:c>
      <x:c r="B648" t="str">
        <x:v>PASTEL PENCILS</x:v>
      </x:c>
      <x:c r="C648" t="n">
        <x:v>51</x:v>
      </x:c>
      <x:c r="D648" t="str">
        <x:v>212</x:v>
      </x:c>
      <x:c r="E648" t="str">
        <x:v>Chromium oxyde green</x:v>
      </x:c>
      <x:c r="F648" t="str">
        <x:v>氧化鉻綠</x:v>
      </x:c>
      <x:c r="G648" t="str">
        <x:v>クロムオキサイドグリーン</x:v>
      </x:c>
      <x:c r="H648" t="str">
        <x:v>#859F7C</x:v>
      </x:c>
      <x:c r="I648" t="str">
        <x:v>#000000</x:v>
      </x:c>
      <x:c r="J648" t="str">
        <x:v>https://www.carandache.com/content_files/uploaded_doc/product/10985/Colour_Chart_Pastel_Pencil.pdf</x:v>
      </x:c>
    </x:row>
    <x:row r="649">
      <x:c r="A649" t="str">
        <x:v>PSTP</x:v>
      </x:c>
      <x:c r="B649" t="str">
        <x:v>PASTEL PENCILS</x:v>
      </x:c>
      <x:c r="C649" t="n">
        <x:v>52</x:v>
      </x:c>
      <x:c r="D649" t="str">
        <x:v>732</x:v>
      </x:c>
      <x:c r="E649" t="str">
        <x:v>Brown Olive 10%</x:v>
      </x:c>
      <x:c r="F649" t="str">
        <x:v>棕橄欖色 10%</x:v>
      </x:c>
      <x:c r="G649" t="str">
        <x:v>ブラウンオリーブ 10%</x:v>
      </x:c>
      <x:c r="H649" t="str">
        <x:v>#C7C0A4</x:v>
      </x:c>
      <x:c r="I649" t="str">
        <x:v>#000000</x:v>
      </x:c>
      <x:c r="J649" t="str">
        <x:v>https://www.carandache.com/content_files/uploaded_doc/product/10985/Colour_Chart_Pastel_Pencil.pdf</x:v>
      </x:c>
    </x:row>
    <x:row r="650">
      <x:c r="A650" t="str">
        <x:v>PSTP</x:v>
      </x:c>
      <x:c r="B650" t="str">
        <x:v>PASTEL PENCILS</x:v>
      </x:c>
      <x:c r="C650" t="n">
        <x:v>53</x:v>
      </x:c>
      <x:c r="D650" t="str">
        <x:v>736</x:v>
      </x:c>
      <x:c r="E650" t="str">
        <x:v>Brown Olive 50%</x:v>
      </x:c>
      <x:c r="F650" t="str">
        <x:v>棕橄欖色 50%</x:v>
      </x:c>
      <x:c r="G650" t="str">
        <x:v>ブラウンオリーブ 50%</x:v>
      </x:c>
      <x:c r="H650" t="str">
        <x:v>#AD9461</x:v>
      </x:c>
      <x:c r="I650" t="str">
        <x:v>#000000</x:v>
      </x:c>
      <x:c r="J650" t="str">
        <x:v>https://www.carandache.com/content_files/uploaded_doc/product/10985/Colour_Chart_Pastel_Pencil.pdf</x:v>
      </x:c>
    </x:row>
    <x:row r="651">
      <x:c r="A651" t="str">
        <x:v>PSTP</x:v>
      </x:c>
      <x:c r="B651" t="str">
        <x:v>PASTEL PENCILS</x:v>
      </x:c>
      <x:c r="C651" t="n">
        <x:v>54</x:v>
      </x:c>
      <x:c r="D651" t="str">
        <x:v>039</x:v>
      </x:c>
      <x:c r="E651" t="str">
        <x:v>Olive brown</x:v>
      </x:c>
      <x:c r="F651" t="str">
        <x:v>橄欖棕</x:v>
      </x:c>
      <x:c r="G651" t="str">
        <x:v>オリーブブラウン</x:v>
      </x:c>
      <x:c r="H651" t="str">
        <x:v>#977D42</x:v>
      </x:c>
      <x:c r="I651" t="str">
        <x:v>#000000</x:v>
      </x:c>
      <x:c r="J651" t="str">
        <x:v>https://www.carandache.com/content_files/uploaded_doc/product/10985/Colour_Chart_Pastel_Pencil.pdf</x:v>
      </x:c>
    </x:row>
    <x:row r="652">
      <x:c r="A652" t="str">
        <x:v>PSTP</x:v>
      </x:c>
      <x:c r="B652" t="str">
        <x:v>PASTEL PENCILS</x:v>
      </x:c>
      <x:c r="C652" t="n">
        <x:v>55</x:v>
      </x:c>
      <x:c r="D652" t="str">
        <x:v>033</x:v>
      </x:c>
      <x:c r="E652" t="str">
        <x:v>Golden ochre</x:v>
      </x:c>
      <x:c r="F652" t="str">
        <x:v>金赭色</x:v>
      </x:c>
      <x:c r="G652" t="str">
        <x:v>ゴールデンオーカー</x:v>
      </x:c>
      <x:c r="H652" t="str">
        <x:v>#B07D21</x:v>
      </x:c>
      <x:c r="I652" t="str">
        <x:v>#000000</x:v>
      </x:c>
      <x:c r="J652" t="str">
        <x:v>https://www.carandache.com/content_files/uploaded_doc/product/10985/Colour_Chart_Pastel_Pencil.pdf</x:v>
      </x:c>
    </x:row>
    <x:row r="653">
      <x:c r="A653" t="str">
        <x:v>PSTP</x:v>
      </x:c>
      <x:c r="B653" t="str">
        <x:v>PASTEL PENCILS</x:v>
      </x:c>
      <x:c r="C653" t="n">
        <x:v>56</x:v>
      </x:c>
      <x:c r="D653" t="str">
        <x:v>035</x:v>
      </x:c>
      <x:c r="E653" t="str">
        <x:v>Ochre</x:v>
      </x:c>
      <x:c r="F653" t="str">
        <x:v>赭色</x:v>
      </x:c>
      <x:c r="G653" t="str">
        <x:v>オーカー</x:v>
      </x:c>
      <x:c r="H653" t="str">
        <x:v>#D6A116</x:v>
      </x:c>
      <x:c r="I653" t="str">
        <x:v>#000000</x:v>
      </x:c>
      <x:c r="J653" t="str">
        <x:v>https://www.carandache.com/content_files/uploaded_doc/product/10985/Colour_Chart_Pastel_Pencil.pdf</x:v>
      </x:c>
    </x:row>
    <x:row r="654">
      <x:c r="A654" t="str">
        <x:v>PSTP</x:v>
      </x:c>
      <x:c r="B654" t="str">
        <x:v>PASTEL PENCILS</x:v>
      </x:c>
      <x:c r="C654" t="n">
        <x:v>57</x:v>
      </x:c>
      <x:c r="D654" t="str">
        <x:v>036</x:v>
      </x:c>
      <x:c r="E654" t="str">
        <x:v>Raw sienna</x:v>
      </x:c>
      <x:c r="F654" t="str">
        <x:v>生赭色</x:v>
      </x:c>
      <x:c r="G654" t="str">
        <x:v>ローシェンナ</x:v>
      </x:c>
      <x:c r="H654" t="str">
        <x:v>#AD7D32</x:v>
      </x:c>
      <x:c r="I654" t="str">
        <x:v>#000000</x:v>
      </x:c>
      <x:c r="J654" t="str">
        <x:v>https://www.carandache.com/content_files/uploaded_doc/product/10985/Colour_Chart_Pastel_Pencil.pdf</x:v>
      </x:c>
    </x:row>
    <x:row r="655">
      <x:c r="A655" t="str">
        <x:v>PSTP</x:v>
      </x:c>
      <x:c r="B655" t="str">
        <x:v>PASTEL PENCILS</x:v>
      </x:c>
      <x:c r="C655" t="n">
        <x:v>58</x:v>
      </x:c>
      <x:c r="D655" t="str">
        <x:v>047</x:v>
      </x:c>
      <x:c r="E655" t="str">
        <x:v>Bistre</x:v>
      </x:c>
      <x:c r="F655" t="str">
        <x:v>煙褐色</x:v>
      </x:c>
      <x:c r="G655" t="str">
        <x:v>ビスター</x:v>
      </x:c>
      <x:c r="H655" t="str">
        <x:v>#896039</x:v>
      </x:c>
      <x:c r="I655" t="str">
        <x:v>#FFFFFF</x:v>
      </x:c>
      <x:c r="J655" t="str">
        <x:v>https://www.carandache.com/content_files/uploaded_doc/product/10985/Colour_Chart_Pastel_Pencil.pdf</x:v>
      </x:c>
    </x:row>
    <x:row r="656">
      <x:c r="A656" t="str">
        <x:v>PSTP</x:v>
      </x:c>
      <x:c r="B656" t="str">
        <x:v>PASTEL PENCILS</x:v>
      </x:c>
      <x:c r="C656" t="n">
        <x:v>59</x:v>
      </x:c>
      <x:c r="D656" t="str">
        <x:v>746</x:v>
      </x:c>
      <x:c r="E656" t="str">
        <x:v>Dark flesh 50%</x:v>
      </x:c>
      <x:c r="F656" t="str">
        <x:v>深膚色 50%</x:v>
      </x:c>
      <x:c r="G656" t="str">
        <x:v>ダークフレッシュ 50%</x:v>
      </x:c>
      <x:c r="H656" t="str">
        <x:v>#9A7D72</x:v>
      </x:c>
      <x:c r="I656" t="str">
        <x:v>#000000</x:v>
      </x:c>
      <x:c r="J656" t="str">
        <x:v>https://www.carandache.com/content_files/uploaded_doc/product/10985/Colour_Chart_Pastel_Pencil.pdf</x:v>
      </x:c>
    </x:row>
    <x:row r="657">
      <x:c r="A657" t="str">
        <x:v>PSTP</x:v>
      </x:c>
      <x:c r="B657" t="str">
        <x:v>PASTEL PENCILS</x:v>
      </x:c>
      <x:c r="C657" t="n">
        <x:v>60</x:v>
      </x:c>
      <x:c r="D657" t="str">
        <x:v>745</x:v>
      </x:c>
      <x:c r="E657" t="str">
        <x:v>Dark flesh 40%</x:v>
      </x:c>
      <x:c r="F657" t="str">
        <x:v>深膚色 40%</x:v>
      </x:c>
      <x:c r="G657" t="str">
        <x:v>ダークフレッシュ 40%</x:v>
      </x:c>
      <x:c r="H657" t="str">
        <x:v>#A37F6F</x:v>
      </x:c>
      <x:c r="I657" t="str">
        <x:v>#000000</x:v>
      </x:c>
      <x:c r="J657" t="str">
        <x:v>https://www.carandache.com/content_files/uploaded_doc/product/10985/Colour_Chart_Pastel_Pencil.pdf</x:v>
      </x:c>
    </x:row>
    <x:row r="658">
      <x:c r="A658" t="str">
        <x:v>PSTP</x:v>
      </x:c>
      <x:c r="B658" t="str">
        <x:v>PASTEL PENCILS</x:v>
      </x:c>
      <x:c r="C658" t="n">
        <x:v>61</x:v>
      </x:c>
      <x:c r="D658" t="str">
        <x:v>541</x:v>
      </x:c>
      <x:c r="E658" t="str">
        <x:v>Light flesh 5%</x:v>
      </x:c>
      <x:c r="F658" t="str">
        <x:v>淺膚色 5%</x:v>
      </x:c>
      <x:c r="G658" t="str">
        <x:v>ライトフレッシュ 5%</x:v>
      </x:c>
      <x:c r="H658" t="str">
        <x:v>#E6DAC5</x:v>
      </x:c>
      <x:c r="I658" t="str">
        <x:v>#000000</x:v>
      </x:c>
      <x:c r="J658" t="str">
        <x:v>https://www.carandache.com/content_files/uploaded_doc/product/10985/Colour_Chart_Pastel_Pencil.pdf</x:v>
      </x:c>
    </x:row>
    <x:row r="659">
      <x:c r="A659" t="str">
        <x:v>PSTP</x:v>
      </x:c>
      <x:c r="B659" t="str">
        <x:v>PASTEL PENCILS</x:v>
      </x:c>
      <x:c r="C659" t="n">
        <x:v>62</x:v>
      </x:c>
      <x:c r="D659" t="str">
        <x:v>542</x:v>
      </x:c>
      <x:c r="E659" t="str">
        <x:v>Light flesh 10%</x:v>
      </x:c>
      <x:c r="F659" t="str">
        <x:v>淺膚色 10%</x:v>
      </x:c>
      <x:c r="G659" t="str">
        <x:v>ライトフレッシュ 10%</x:v>
      </x:c>
      <x:c r="H659" t="str">
        <x:v>#E5CA9F</x:v>
      </x:c>
      <x:c r="I659" t="str">
        <x:v>#000000</x:v>
      </x:c>
      <x:c r="J659" t="str">
        <x:v>https://www.carandache.com/content_files/uploaded_doc/product/10985/Colour_Chart_Pastel_Pencil.pdf</x:v>
      </x:c>
    </x:row>
    <x:row r="660">
      <x:c r="A660" t="str">
        <x:v>PSTP</x:v>
      </x:c>
      <x:c r="B660" t="str">
        <x:v>PASTEL PENCILS</x:v>
      </x:c>
      <x:c r="C660" t="n">
        <x:v>63</x:v>
      </x:c>
      <x:c r="D660" t="str">
        <x:v>042</x:v>
      </x:c>
      <x:c r="E660" t="str">
        <x:v>Flesh</x:v>
      </x:c>
      <x:c r="F660" t="str">
        <x:v>膚色</x:v>
      </x:c>
      <x:c r="G660" t="str">
        <x:v>フレッシュ</x:v>
      </x:c>
      <x:c r="H660" t="str">
        <x:v>#EDBB88</x:v>
      </x:c>
      <x:c r="I660" t="str">
        <x:v>#000000</x:v>
      </x:c>
      <x:c r="J660" t="str">
        <x:v>https://www.carandache.com/content_files/uploaded_doc/product/10985/Colour_Chart_Pastel_Pencil.pdf</x:v>
      </x:c>
    </x:row>
    <x:row r="661">
      <x:c r="A661" t="str">
        <x:v>PSTP</x:v>
      </x:c>
      <x:c r="B661" t="str">
        <x:v>PASTEL PENCILS</x:v>
      </x:c>
      <x:c r="C661" t="n">
        <x:v>64</x:v>
      </x:c>
      <x:c r="D661" t="str">
        <x:v>052</x:v>
      </x:c>
      <x:c r="E661" t="str">
        <x:v>Saffron</x:v>
      </x:c>
      <x:c r="F661" t="str">
        <x:v>藏紅花黃</x:v>
      </x:c>
      <x:c r="G661" t="str">
        <x:v>サフラン</x:v>
      </x:c>
      <x:c r="H661" t="str">
        <x:v>#CD8543</x:v>
      </x:c>
      <x:c r="I661" t="str">
        <x:v>#000000</x:v>
      </x:c>
      <x:c r="J661" t="str">
        <x:v>https://www.carandache.com/content_files/uploaded_doc/product/10985/Colour_Chart_Pastel_Pencil.pdf</x:v>
      </x:c>
    </x:row>
    <x:row r="662">
      <x:c r="A662" t="str">
        <x:v>PSTP</x:v>
      </x:c>
      <x:c r="B662" t="str">
        <x:v>PASTEL PENCILS</x:v>
      </x:c>
      <x:c r="C662" t="n">
        <x:v>65</x:v>
      </x:c>
      <x:c r="D662" t="str">
        <x:v>068</x:v>
      </x:c>
      <x:c r="E662" t="str">
        <x:v>Herculanum red</x:v>
      </x:c>
      <x:c r="F662" t="str">
        <x:v>赫庫蘭尼姆紅</x:v>
      </x:c>
      <x:c r="G662" t="str">
        <x:v>ヘルクラネウムレッド</x:v>
      </x:c>
      <x:c r="H662" t="str">
        <x:v>#EDAA95</x:v>
      </x:c>
      <x:c r="I662" t="str">
        <x:v>#000000</x:v>
      </x:c>
      <x:c r="J662" t="str">
        <x:v>https://www.carandache.com/content_files/uploaded_doc/product/10985/Colour_Chart_Pastel_Pencil.pdf</x:v>
      </x:c>
    </x:row>
    <x:row r="663">
      <x:c r="A663" t="str">
        <x:v>PSTP</x:v>
      </x:c>
      <x:c r="B663" t="str">
        <x:v>PASTEL PENCILS</x:v>
      </x:c>
      <x:c r="C663" t="n">
        <x:v>66</x:v>
      </x:c>
      <x:c r="D663" t="str">
        <x:v>741</x:v>
      </x:c>
      <x:c r="E663" t="str">
        <x:v>Dark flesh 5%</x:v>
      </x:c>
      <x:c r="F663" t="str">
        <x:v>深膚色 5%</x:v>
      </x:c>
      <x:c r="G663" t="str">
        <x:v>ダークフレッシュ 5%</x:v>
      </x:c>
      <x:c r="H663" t="str">
        <x:v>#CF9E87</x:v>
      </x:c>
      <x:c r="I663" t="str">
        <x:v>#000000</x:v>
      </x:c>
      <x:c r="J663" t="str">
        <x:v>https://www.carandache.com/content_files/uploaded_doc/product/10985/Colour_Chart_Pastel_Pencil.pdf</x:v>
      </x:c>
    </x:row>
    <x:row r="664">
      <x:c r="A664" t="str">
        <x:v>PSTP</x:v>
      </x:c>
      <x:c r="B664" t="str">
        <x:v>PASTEL PENCILS</x:v>
      </x:c>
      <x:c r="C664" t="n">
        <x:v>67</x:v>
      </x:c>
      <x:c r="D664" t="str">
        <x:v>044</x:v>
      </x:c>
      <x:c r="E664" t="str">
        <x:v>Terracotta</x:v>
      </x:c>
      <x:c r="F664" t="str">
        <x:v>赤陶色</x:v>
      </x:c>
      <x:c r="G664" t="str">
        <x:v>テラコッタ</x:v>
      </x:c>
      <x:c r="H664" t="str">
        <x:v>#C56C52</x:v>
      </x:c>
      <x:c r="I664" t="str">
        <x:v>#000000</x:v>
      </x:c>
      <x:c r="J664" t="str">
        <x:v>https://www.carandache.com/content_files/uploaded_doc/product/10985/Colour_Chart_Pastel_Pencil.pdf</x:v>
      </x:c>
    </x:row>
    <x:row r="665">
      <x:c r="A665" t="str">
        <x:v>PSTP</x:v>
      </x:c>
      <x:c r="B665" t="str">
        <x:v>PASTEL PENCILS</x:v>
      </x:c>
      <x:c r="C665" t="n">
        <x:v>68</x:v>
      </x:c>
      <x:c r="D665" t="str">
        <x:v>066</x:v>
      </x:c>
      <x:c r="E665" t="str">
        <x:v>Raw Russet</x:v>
      </x:c>
      <x:c r="F665" t="str">
        <x:v>生赤褐</x:v>
      </x:c>
      <x:c r="G665" t="str">
        <x:v>ローラセット</x:v>
      </x:c>
      <x:c r="H665" t="str">
        <x:v>#B84523</x:v>
      </x:c>
      <x:c r="I665" t="str">
        <x:v>#FFFFFF</x:v>
      </x:c>
      <x:c r="J665" t="str">
        <x:v>https://www.carandache.com/content_files/uploaded_doc/product/10985/Colour_Chart_Pastel_Pencil.pdf</x:v>
      </x:c>
    </x:row>
    <x:row r="666">
      <x:c r="A666" t="str">
        <x:v>PSTP</x:v>
      </x:c>
      <x:c r="B666" t="str">
        <x:v>PASTEL PENCILS</x:v>
      </x:c>
      <x:c r="C666" t="n">
        <x:v>69</x:v>
      </x:c>
      <x:c r="D666" t="str">
        <x:v>064</x:v>
      </x:c>
      <x:c r="E666" t="str">
        <x:v>Medium russet</x:v>
      </x:c>
      <x:c r="F666" t="str">
        <x:v>中度赤褐</x:v>
      </x:c>
      <x:c r="G666" t="str">
        <x:v>ミディアムラセット</x:v>
      </x:c>
      <x:c r="H666" t="str">
        <x:v>#A54820</x:v>
      </x:c>
      <x:c r="I666" t="str">
        <x:v>#FFFFFF</x:v>
      </x:c>
      <x:c r="J666" t="str">
        <x:v>https://www.carandache.com/content_files/uploaded_doc/product/10985/Colour_Chart_Pastel_Pencil.pdf</x:v>
      </x:c>
    </x:row>
    <x:row r="667">
      <x:c r="A667" t="str">
        <x:v>PSTP</x:v>
      </x:c>
      <x:c r="B667" t="str">
        <x:v>PASTEL PENCILS</x:v>
      </x:c>
      <x:c r="C667" t="n">
        <x:v>70</x:v>
      </x:c>
      <x:c r="D667" t="str">
        <x:v>069</x:v>
      </x:c>
      <x:c r="E667" t="str">
        <x:v>Burnt sienna</x:v>
      </x:c>
      <x:c r="F667" t="str">
        <x:v>熟赭紅</x:v>
      </x:c>
      <x:c r="G667" t="str">
        <x:v>バーントシェンナ</x:v>
      </x:c>
      <x:c r="H667" t="str">
        <x:v>#85413A</x:v>
      </x:c>
      <x:c r="I667" t="str">
        <x:v>#FFFFFF</x:v>
      </x:c>
      <x:c r="J667" t="str">
        <x:v>https://www.carandache.com/content_files/uploaded_doc/product/10985/Colour_Chart_Pastel_Pencil.pdf</x:v>
      </x:c>
    </x:row>
    <x:row r="668">
      <x:c r="A668" t="str">
        <x:v>PSTP</x:v>
      </x:c>
      <x:c r="B668" t="str">
        <x:v>PASTEL PENCILS</x:v>
      </x:c>
      <x:c r="C668" t="n">
        <x:v>71</x:v>
      </x:c>
      <x:c r="D668" t="str">
        <x:v>089</x:v>
      </x:c>
      <x:c r="E668" t="str">
        <x:v>Dark carmine</x:v>
      </x:c>
      <x:c r="F668" t="str">
        <x:v>深胭脂紅</x:v>
      </x:c>
      <x:c r="G668" t="str">
        <x:v>ダークカーマイン</x:v>
      </x:c>
      <x:c r="H668" t="str">
        <x:v>#6E303A</x:v>
      </x:c>
      <x:c r="I668" t="str">
        <x:v>#FFFFFF</x:v>
      </x:c>
      <x:c r="J668" t="str">
        <x:v>https://www.carandache.com/content_files/uploaded_doc/product/10985/Colour_Chart_Pastel_Pencil.pdf</x:v>
      </x:c>
    </x:row>
    <x:row r="669">
      <x:c r="A669" t="str">
        <x:v>PSTP</x:v>
      </x:c>
      <x:c r="B669" t="str">
        <x:v>PASTEL PENCILS</x:v>
      </x:c>
      <x:c r="C669" t="n">
        <x:v>72</x:v>
      </x:c>
      <x:c r="D669" t="str">
        <x:v>093</x:v>
      </x:c>
      <x:c r="E669" t="str">
        <x:v>Violet grey</x:v>
      </x:c>
      <x:c r="F669" t="str">
        <x:v>紫灰色</x:v>
      </x:c>
      <x:c r="G669" t="str">
        <x:v>バイオレットグレー</x:v>
      </x:c>
      <x:c r="H669" t="str">
        <x:v>#635556</x:v>
      </x:c>
      <x:c r="I669" t="str">
        <x:v>#FFFFFF</x:v>
      </x:c>
      <x:c r="J669" t="str">
        <x:v>https://www.carandache.com/content_files/uploaded_doc/product/10985/Colour_Chart_Pastel_Pencil.pdf</x:v>
      </x:c>
    </x:row>
    <x:row r="670">
      <x:c r="A670" t="str">
        <x:v>PSTP</x:v>
      </x:c>
      <x:c r="B670" t="str">
        <x:v>PASTEL PENCILS</x:v>
      </x:c>
      <x:c r="C670" t="n">
        <x:v>73</x:v>
      </x:c>
      <x:c r="D670" t="str">
        <x:v>802</x:v>
      </x:c>
      <x:c r="E670" t="str">
        <x:v>French grey 10%</x:v>
      </x:c>
      <x:c r="F670" t="str">
        <x:v>法國灰 10%</x:v>
      </x:c>
      <x:c r="G670" t="str">
        <x:v>フレンチグレー 10%</x:v>
      </x:c>
      <x:c r="H670" t="str">
        <x:v>#A19B97</x:v>
      </x:c>
      <x:c r="I670" t="str">
        <x:v>#000000</x:v>
      </x:c>
      <x:c r="J670" t="str">
        <x:v>https://www.carandache.com/content_files/uploaded_doc/product/10985/Colour_Chart_Pastel_Pencil.pdf</x:v>
      </x:c>
    </x:row>
    <x:row r="671">
      <x:c r="A671" t="str">
        <x:v>PSTP</x:v>
      </x:c>
      <x:c r="B671" t="str">
        <x:v>PASTEL PENCILS</x:v>
      </x:c>
      <x:c r="C671" t="n">
        <x:v>74</x:v>
      </x:c>
      <x:c r="D671" t="str">
        <x:v>002</x:v>
      </x:c>
      <x:c r="E671" t="str">
        <x:v>Silver grey</x:v>
      </x:c>
      <x:c r="F671" t="str">
        <x:v>銀灰色</x:v>
      </x:c>
      <x:c r="G671" t="str">
        <x:v>シルバーグレー</x:v>
      </x:c>
      <x:c r="H671" t="str">
        <x:v>#C6D1D7</x:v>
      </x:c>
      <x:c r="I671" t="str">
        <x:v>#000000</x:v>
      </x:c>
      <x:c r="J671" t="str">
        <x:v>https://www.carandache.com/content_files/uploaded_doc/product/10985/Colour_Chart_Pastel_Pencil.pdf</x:v>
      </x:c>
    </x:row>
    <x:row r="672">
      <x:c r="A672" t="str">
        <x:v>PSTP</x:v>
      </x:c>
      <x:c r="B672" t="str">
        <x:v>PASTEL PENCILS</x:v>
      </x:c>
      <x:c r="C672" t="n">
        <x:v>75</x:v>
      </x:c>
      <x:c r="D672" t="str">
        <x:v>003</x:v>
      </x:c>
      <x:c r="E672" t="str">
        <x:v>Light grey</x:v>
      </x:c>
      <x:c r="F672" t="str">
        <x:v>淺灰色</x:v>
      </x:c>
      <x:c r="G672" t="str">
        <x:v>ライトグレー</x:v>
      </x:c>
      <x:c r="H672" t="str">
        <x:v>#9DAFBA</x:v>
      </x:c>
      <x:c r="I672" t="str">
        <x:v>#000000</x:v>
      </x:c>
      <x:c r="J672" t="str">
        <x:v>https://www.carandache.com/content_files/uploaded_doc/product/10985/Colour_Chart_Pastel_Pencil.pdf</x:v>
      </x:c>
    </x:row>
    <x:row r="673">
      <x:c r="A673" t="str">
        <x:v>PSTP</x:v>
      </x:c>
      <x:c r="B673" t="str">
        <x:v>PASTEL PENCILS</x:v>
      </x:c>
      <x:c r="C673" t="n">
        <x:v>76</x:v>
      </x:c>
      <x:c r="D673" t="str">
        <x:v>004</x:v>
      </x:c>
      <x:c r="E673" t="str">
        <x:v>Steel grey</x:v>
      </x:c>
      <x:c r="F673" t="str">
        <x:v>鋼灰色</x:v>
      </x:c>
      <x:c r="G673" t="str">
        <x:v>スチールグレー</x:v>
      </x:c>
      <x:c r="H673" t="str">
        <x:v>#909BA7</x:v>
      </x:c>
      <x:c r="I673" t="str">
        <x:v>#000000</x:v>
      </x:c>
      <x:c r="J673" t="str">
        <x:v>https://www.carandache.com/content_files/uploaded_doc/product/10985/Colour_Chart_Pastel_Pencil.pdf</x:v>
      </x:c>
    </x:row>
    <x:row r="674">
      <x:c r="A674" t="str">
        <x:v>PSTP</x:v>
      </x:c>
      <x:c r="B674" t="str">
        <x:v>PASTEL PENCILS</x:v>
      </x:c>
      <x:c r="C674" t="n">
        <x:v>77</x:v>
      </x:c>
      <x:c r="D674" t="str">
        <x:v>506</x:v>
      </x:c>
      <x:c r="E674" t="str">
        <x:v>Payne’s grey 50%</x:v>
      </x:c>
      <x:c r="F674" t="str">
        <x:v>佩恩灰 50%</x:v>
      </x:c>
      <x:c r="G674" t="str">
        <x:v>ペインズグレー 50%</x:v>
      </x:c>
      <x:c r="H674" t="str">
        <x:v>#536278</x:v>
      </x:c>
      <x:c r="I674" t="str">
        <x:v>#FFFFFF</x:v>
      </x:c>
      <x:c r="J674" t="str">
        <x:v>https://www.carandache.com/content_files/uploaded_doc/product/10985/Colour_Chart_Pastel_Pencil.pdf</x:v>
      </x:c>
    </x:row>
    <x:row r="675">
      <x:c r="A675" t="str">
        <x:v>PSTP</x:v>
      </x:c>
      <x:c r="B675" t="str">
        <x:v>PASTEL PENCILS</x:v>
      </x:c>
      <x:c r="C675" t="n">
        <x:v>78</x:v>
      </x:c>
      <x:c r="D675" t="str">
        <x:v>008</x:v>
      </x:c>
      <x:c r="E675" t="str">
        <x:v>Greyish black</x:v>
      </x:c>
      <x:c r="F675" t="str">
        <x:v>灰黑色</x:v>
      </x:c>
      <x:c r="G675" t="str">
        <x:v>グレイッシュブラック</x:v>
      </x:c>
      <x:c r="H675" t="str">
        <x:v>#3B4752</x:v>
      </x:c>
      <x:c r="I675" t="str">
        <x:v>#FFFFFF</x:v>
      </x:c>
      <x:c r="J675" t="str">
        <x:v>https://www.carandache.com/content_files/uploaded_doc/product/10985/Colour_Chart_Pastel_Pencil.pdf</x:v>
      </x:c>
    </x:row>
    <x:row r="676">
      <x:c r="A676" t="str">
        <x:v>PSTP</x:v>
      </x:c>
      <x:c r="B676" t="str">
        <x:v>PASTEL PENCILS</x:v>
      </x:c>
      <x:c r="C676" t="n">
        <x:v>79</x:v>
      </x:c>
      <x:c r="D676" t="str">
        <x:v>808</x:v>
      </x:c>
      <x:c r="E676" t="str">
        <x:v>French grey</x:v>
      </x:c>
      <x:c r="F676" t="str">
        <x:v>法國灰</x:v>
      </x:c>
      <x:c r="G676" t="str">
        <x:v>フレンチグレー</x:v>
      </x:c>
      <x:c r="H676" t="str">
        <x:v>#6E665A</x:v>
      </x:c>
      <x:c r="I676" t="str">
        <x:v>#FFFFFF</x:v>
      </x:c>
      <x:c r="J676" t="str">
        <x:v>https://www.carandache.com/content_files/uploaded_doc/product/10985/Colour_Chart_Pastel_Pencil.pdf</x:v>
      </x:c>
    </x:row>
    <x:row r="677">
      <x:c r="A677" t="str">
        <x:v>PSTP</x:v>
      </x:c>
      <x:c r="B677" t="str">
        <x:v>PASTEL PENCILS</x:v>
      </x:c>
      <x:c r="C677" t="n">
        <x:v>80</x:v>
      </x:c>
      <x:c r="D677" t="str">
        <x:v>495</x:v>
      </x:c>
      <x:c r="E677" t="str">
        <x:v>Slate grey</x:v>
      </x:c>
      <x:c r="F677" t="str">
        <x:v>板岩灰</x:v>
      </x:c>
      <x:c r="G677" t="str">
        <x:v>スレートグレー</x:v>
      </x:c>
      <x:c r="H677" t="str">
        <x:v>#524C48</x:v>
      </x:c>
      <x:c r="I677" t="str">
        <x:v>#FFFFFF</x:v>
      </x:c>
      <x:c r="J677" t="str">
        <x:v>https://www.carandache.com/content_files/uploaded_doc/product/10985/Colour_Chart_Pastel_Pencil.pdf</x:v>
      </x:c>
    </x:row>
    <x:row r="678">
      <x:c r="A678" t="str">
        <x:v>PSTP</x:v>
      </x:c>
      <x:c r="B678" t="str">
        <x:v>PASTEL PENCILS</x:v>
      </x:c>
      <x:c r="C678" t="n">
        <x:v>81</x:v>
      </x:c>
      <x:c r="D678" t="str">
        <x:v>046</x:v>
      </x:c>
      <x:c r="E678" t="str">
        <x:v>Cassel earth</x:v>
      </x:c>
      <x:c r="F678" t="str">
        <x:v>卡塞爾土色</x:v>
      </x:c>
      <x:c r="G678" t="str">
        <x:v>カッセルアース</x:v>
      </x:c>
      <x:c r="H678" t="str">
        <x:v>#584439</x:v>
      </x:c>
      <x:c r="I678" t="str">
        <x:v>#FFFFFF</x:v>
      </x:c>
      <x:c r="J678" t="str">
        <x:v>https://www.carandache.com/content_files/uploaded_doc/product/10985/Colour_Chart_Pastel_Pencil.pdf</x:v>
      </x:c>
    </x:row>
    <x:row r="679">
      <x:c r="A679" t="str">
        <x:v>PSTP</x:v>
      </x:c>
      <x:c r="B679" t="str">
        <x:v>PASTEL PENCILS</x:v>
      </x:c>
      <x:c r="C679" t="n">
        <x:v>82</x:v>
      </x:c>
      <x:c r="D679" t="str">
        <x:v>748</x:v>
      </x:c>
      <x:c r="E679" t="str">
        <x:v>Dark flesh</x:v>
      </x:c>
      <x:c r="F679" t="str">
        <x:v>深膚色</x:v>
      </x:c>
      <x:c r="G679" t="str">
        <x:v>ダークフレッシュ</x:v>
      </x:c>
      <x:c r="H679" t="str">
        <x:v>#43302D</x:v>
      </x:c>
      <x:c r="I679" t="str">
        <x:v>#FFFFFF</x:v>
      </x:c>
      <x:c r="J679" t="str">
        <x:v>https://www.carandache.com/content_files/uploaded_doc/product/10985/Colour_Chart_Pastel_Pencil.pdf</x:v>
      </x:c>
    </x:row>
    <x:row r="680">
      <x:c r="A680" t="str">
        <x:v>PSTP</x:v>
      </x:c>
      <x:c r="B680" t="str">
        <x:v>PASTEL PENCILS</x:v>
      </x:c>
      <x:c r="C680" t="n">
        <x:v>83</x:v>
      </x:c>
      <x:c r="D680" t="str">
        <x:v>408</x:v>
      </x:c>
      <x:c r="E680" t="str">
        <x:v>Dark Sepia</x:v>
      </x:c>
      <x:c r="F680" t="str">
        <x:v>深褐棕</x:v>
      </x:c>
      <x:c r="G680" t="str">
        <x:v>ダークセピア</x:v>
      </x:c>
      <x:c r="H680" t="str">
        <x:v>#3A2F2B</x:v>
      </x:c>
      <x:c r="I680" t="str">
        <x:v>#FFFFFF</x:v>
      </x:c>
      <x:c r="J680" t="str">
        <x:v>https://www.carandache.com/content_files/uploaded_doc/product/10985/Colour_Chart_Pastel_Pencil.pdf</x:v>
      </x:c>
    </x:row>
    <x:row r="681">
      <x:c r="A681" t="str">
        <x:v>PSTP</x:v>
      </x:c>
      <x:c r="B681" t="str">
        <x:v>PASTEL PENCILS</x:v>
      </x:c>
      <x:c r="C681" t="n">
        <x:v>84</x:v>
      </x:c>
      <x:c r="D681" t="str">
        <x:v>009</x:v>
      </x:c>
      <x:c r="E681" t="str">
        <x:v>Black</x:v>
      </x:c>
      <x:c r="F681" t="str">
        <x:v>黑色</x:v>
      </x:c>
      <x:c r="G681" t="str">
        <x:v>ブラック</x:v>
      </x:c>
      <x:c r="H681" t="str">
        <x:v>#363538</x:v>
      </x:c>
      <x:c r="I681" t="str">
        <x:v>#FFFFFF</x:v>
      </x:c>
      <x:c r="J681" t="str">
        <x:v>https://www.carandache.com/content_files/uploaded_doc/product/10985/Colour_Chart_Pastel_Pencil.pdf</x:v>
      </x:c>
    </x:row>
    <x:row r="682">
      <x:c r="A682" t="str">
        <x:v>NART</x:v>
      </x:c>
      <x:c r="B682" t="str">
        <x:v>NEOART 6901</x:v>
      </x:c>
      <x:c r="C682" t="n">
        <x:v>1</x:v>
      </x:c>
      <x:c r="D682" t="str">
        <x:v>001</x:v>
      </x:c>
      <x:c r="E682" t="str">
        <x:v>White</x:v>
      </x:c>
      <x:c r="F682" t="str">
        <x:v>白色</x:v>
      </x:c>
      <x:c r="G682" t="str">
        <x:v>ホワイト</x:v>
      </x:c>
      <x:c r="H682" s="173" t="str">
        <x:v>#FFFFFF</x:v>
      </x:c>
      <x:c r="I682" t="str">
        <x:v>#000000</x:v>
      </x:c>
      <x:c r="J682" t="str">
        <x:v>https://www.carandache.com/</x:v>
      </x:c>
    </x:row>
    <x:row r="683">
      <x:c r="A683" t="str">
        <x:v>NART</x:v>
      </x:c>
      <x:c r="B683" t="str">
        <x:v>NEOART 6901</x:v>
      </x:c>
      <x:c r="C683" t="n">
        <x:v>2</x:v>
      </x:c>
      <x:c r="D683" t="str">
        <x:v>002</x:v>
      </x:c>
      <x:c r="E683" t="str">
        <x:v>Silver grey</x:v>
      </x:c>
      <x:c r="F683" t="str">
        <x:v>銀灰色</x:v>
      </x:c>
      <x:c r="G683" t="str">
        <x:v>シルバーグレー</x:v>
      </x:c>
      <x:c r="H683" s="175" t="str">
        <x:v>#D6DBDD</x:v>
      </x:c>
      <x:c r="I683" t="str">
        <x:v>#000000</x:v>
      </x:c>
      <x:c r="J683" t="str">
        <x:v>https://www.carandache.com/</x:v>
      </x:c>
    </x:row>
    <x:row r="684">
      <x:c r="A684" t="str">
        <x:v>NART</x:v>
      </x:c>
      <x:c r="B684" t="str">
        <x:v>NEOART 6901</x:v>
      </x:c>
      <x:c r="C684" t="n">
        <x:v>3</x:v>
      </x:c>
      <x:c r="D684" t="str">
        <x:v>009</x:v>
      </x:c>
      <x:c r="E684" t="str">
        <x:v>Black</x:v>
      </x:c>
      <x:c r="F684" t="str">
        <x:v>黑色</x:v>
      </x:c>
      <x:c r="G684" t="str">
        <x:v>ブラック</x:v>
      </x:c>
      <x:c r="H684" s="179" t="str">
        <x:v>#191F2A</x:v>
      </x:c>
      <x:c r="I684" t="str">
        <x:v>#FFFFFF</x:v>
      </x:c>
      <x:c r="J684" t="str">
        <x:v>https://www.carandache.com/</x:v>
      </x:c>
    </x:row>
    <x:row r="685">
      <x:c r="A685" t="str">
        <x:v>NART</x:v>
      </x:c>
      <x:c r="B685" t="str">
        <x:v>NEOART 6901</x:v>
      </x:c>
      <x:c r="C685" t="n">
        <x:v>4</x:v>
      </x:c>
      <x:c r="D685" t="str">
        <x:v>010</x:v>
      </x:c>
      <x:c r="E685" t="str">
        <x:v>Yellow</x:v>
      </x:c>
      <x:c r="F685" t="str">
        <x:v>黃色</x:v>
      </x:c>
      <x:c r="G685" t="str">
        <x:v>イエロー</x:v>
      </x:c>
      <x:c r="H685" s="181" t="str">
        <x:v>#FFD556</x:v>
      </x:c>
      <x:c r="I685" t="str">
        <x:v>#000000</x:v>
      </x:c>
      <x:c r="J685" t="str">
        <x:v>https://www.carandache.com/</x:v>
      </x:c>
    </x:row>
    <x:row r="686">
      <x:c r="A686" t="str">
        <x:v>NART</x:v>
      </x:c>
      <x:c r="B686" t="str">
        <x:v>NEOART 6901</x:v>
      </x:c>
      <x:c r="C686" t="n">
        <x:v>5</x:v>
      </x:c>
      <x:c r="D686" t="str">
        <x:v>030</x:v>
      </x:c>
      <x:c r="E686" t="str">
        <x:v>Orange</x:v>
      </x:c>
      <x:c r="F686" t="str">
        <x:v>橙色</x:v>
      </x:c>
      <x:c r="G686" t="str">
        <x:v>オレンジ</x:v>
      </x:c>
      <x:c r="H686" s="183" t="str">
        <x:v>#F5A746</x:v>
      </x:c>
      <x:c r="I686" t="str">
        <x:v>#000000</x:v>
      </x:c>
      <x:c r="J686" t="str">
        <x:v>https://www.carandache.com/</x:v>
      </x:c>
    </x:row>
    <x:row r="687">
      <x:c r="A687" t="str">
        <x:v>NART</x:v>
      </x:c>
      <x:c r="B687" t="str">
        <x:v>NEOART 6901</x:v>
      </x:c>
      <x:c r="C687" t="n">
        <x:v>6</x:v>
      </x:c>
      <x:c r="D687" t="str">
        <x:v>035</x:v>
      </x:c>
      <x:c r="E687" t="str">
        <x:v>Ochre</x:v>
      </x:c>
      <x:c r="F687" t="str">
        <x:v>赭色</x:v>
      </x:c>
      <x:c r="G687" t="str">
        <x:v>オーカー</x:v>
      </x:c>
      <x:c r="H687" s="185" t="str">
        <x:v>#F3BD54</x:v>
      </x:c>
      <x:c r="I687" t="str">
        <x:v>#000000</x:v>
      </x:c>
      <x:c r="J687" t="str">
        <x:v>https://www.carandache.com/</x:v>
      </x:c>
    </x:row>
    <x:row r="688">
      <x:c r="A688" t="str">
        <x:v>NART</x:v>
      </x:c>
      <x:c r="B688" t="str">
        <x:v>NEOART 6901</x:v>
      </x:c>
      <x:c r="C688" t="n">
        <x:v>7</x:v>
      </x:c>
      <x:c r="D688" t="str">
        <x:v>037</x:v>
      </x:c>
      <x:c r="E688" t="str">
        <x:v>Brown ochre</x:v>
      </x:c>
      <x:c r="F688" t="str">
        <x:v>棕赭色</x:v>
      </x:c>
      <x:c r="G688" t="str">
        <x:v>ブラウンオーカー</x:v>
      </x:c>
      <x:c r="H688" s="187" t="str">
        <x:v>#B7804D</x:v>
      </x:c>
      <x:c r="I688" t="str">
        <x:v>#000000</x:v>
      </x:c>
      <x:c r="J688" t="str">
        <x:v>https://www.carandache.com/</x:v>
      </x:c>
    </x:row>
    <x:row r="689">
      <x:c r="A689" t="str">
        <x:v>NART</x:v>
      </x:c>
      <x:c r="B689" t="str">
        <x:v>NEOART 6901</x:v>
      </x:c>
      <x:c r="C689" t="n">
        <x:v>8</x:v>
      </x:c>
      <x:c r="D689" t="str">
        <x:v>044</x:v>
      </x:c>
      <x:c r="E689" t="str">
        <x:v>Terracotta</x:v>
      </x:c>
      <x:c r="F689" t="str">
        <x:v>赤陶色</x:v>
      </x:c>
      <x:c r="G689" t="str">
        <x:v>テラコッタ</x:v>
      </x:c>
      <x:c r="H689" s="189" t="str">
        <x:v>#D3856E</x:v>
      </x:c>
      <x:c r="I689" t="str">
        <x:v>#000000</x:v>
      </x:c>
      <x:c r="J689" t="str">
        <x:v>https://www.carandache.com/</x:v>
      </x:c>
    </x:row>
    <x:row r="690">
      <x:c r="A690" t="str">
        <x:v>NART</x:v>
      </x:c>
      <x:c r="B690" t="str">
        <x:v>NEOART 6901</x:v>
      </x:c>
      <x:c r="C690" t="n">
        <x:v>9</x:v>
      </x:c>
      <x:c r="D690" t="str">
        <x:v>052</x:v>
      </x:c>
      <x:c r="E690" t="str">
        <x:v>Saffron</x:v>
      </x:c>
      <x:c r="F690" t="str">
        <x:v>藏紅花黃</x:v>
      </x:c>
      <x:c r="G690" t="str">
        <x:v>サフラン</x:v>
      </x:c>
      <x:c r="H690" s="191" t="str">
        <x:v>#CD5549</x:v>
      </x:c>
      <x:c r="I690" t="str">
        <x:v>#000000</x:v>
      </x:c>
      <x:c r="J690" t="str">
        <x:v>https://www.carandache.com/</x:v>
      </x:c>
    </x:row>
    <x:row r="691">
      <x:c r="A691" t="str">
        <x:v>NART</x:v>
      </x:c>
      <x:c r="B691" t="str">
        <x:v>NEOART 6901</x:v>
      </x:c>
      <x:c r="C691" t="n">
        <x:v>10</x:v>
      </x:c>
      <x:c r="D691" t="str">
        <x:v>061</x:v>
      </x:c>
      <x:c r="E691" t="str">
        <x:v>Permanent red</x:v>
      </x:c>
      <x:c r="F691" t="str">
        <x:v>永固紅</x:v>
      </x:c>
      <x:c r="G691" t="str">
        <x:v>パーマネントレッド</x:v>
      </x:c>
      <x:c r="H691" s="193" t="str">
        <x:v>#E8563B</x:v>
      </x:c>
      <x:c r="I691" t="str">
        <x:v>#000000</x:v>
      </x:c>
      <x:c r="J691" t="str">
        <x:v>https://www.carandache.com/</x:v>
      </x:c>
    </x:row>
    <x:row r="692">
      <x:c r="A692" t="str">
        <x:v>NART</x:v>
      </x:c>
      <x:c r="B692" t="str">
        <x:v>NEOART 6901</x:v>
      </x:c>
      <x:c r="C692" t="n">
        <x:v>11</x:v>
      </x:c>
      <x:c r="D692" t="str">
        <x:v>065</x:v>
      </x:c>
      <x:c r="E692" t="str">
        <x:v>Russet</x:v>
      </x:c>
      <x:c r="F692" t="str">
        <x:v>赤褐色</x:v>
      </x:c>
      <x:c r="G692" t="str">
        <x:v>ラセット</x:v>
      </x:c>
      <x:c r="H692" s="195" t="str">
        <x:v>#C75341</x:v>
      </x:c>
      <x:c r="I692" t="str">
        <x:v>#000000</x:v>
      </x:c>
      <x:c r="J692" t="str">
        <x:v>https://www.carandache.com/</x:v>
      </x:c>
    </x:row>
    <x:row r="693">
      <x:c r="A693" t="str">
        <x:v>NART</x:v>
      </x:c>
      <x:c r="B693" t="str">
        <x:v>NEOART 6901</x:v>
      </x:c>
      <x:c r="C693" t="n">
        <x:v>12</x:v>
      </x:c>
      <x:c r="D693" t="str">
        <x:v>068</x:v>
      </x:c>
      <x:c r="E693" t="str">
        <x:v>Herculanum red</x:v>
      </x:c>
      <x:c r="F693" t="str">
        <x:v>赫庫蘭尼姆紅</x:v>
      </x:c>
      <x:c r="G693" t="str">
        <x:v>ヘルクラネウムレッド</x:v>
      </x:c>
      <x:c r="H693" s="197" t="str">
        <x:v>#F6B89F</x:v>
      </x:c>
      <x:c r="I693" t="str">
        <x:v>#000000</x:v>
      </x:c>
      <x:c r="J693" t="str">
        <x:v>https://www.carandache.com/</x:v>
      </x:c>
    </x:row>
    <x:row r="694">
      <x:c r="A694" t="str">
        <x:v>NART</x:v>
      </x:c>
      <x:c r="B694" t="str">
        <x:v>NEOART 6901</x:v>
      </x:c>
      <x:c r="C694" t="n">
        <x:v>13</x:v>
      </x:c>
      <x:c r="D694" t="str">
        <x:v>069</x:v>
      </x:c>
      <x:c r="E694" t="str">
        <x:v>Burnt Sienna</x:v>
      </x:c>
      <x:c r="F694" t="str">
        <x:v>熟赭紅</x:v>
      </x:c>
      <x:c r="G694" t="str">
        <x:v>バーントシェンナ</x:v>
      </x:c>
      <x:c r="H694" s="199" t="str">
        <x:v>#854C3E</x:v>
      </x:c>
      <x:c r="I694" t="str">
        <x:v>#FFFFFF</x:v>
      </x:c>
      <x:c r="J694" t="str">
        <x:v>https://www.carandache.com/</x:v>
      </x:c>
    </x:row>
    <x:row r="695">
      <x:c r="A695" t="str">
        <x:v>NART</x:v>
      </x:c>
      <x:c r="B695" t="str">
        <x:v>NEOART 6901</x:v>
      </x:c>
      <x:c r="C695" t="n">
        <x:v>14</x:v>
      </x:c>
      <x:c r="D695" t="str">
        <x:v>070</x:v>
      </x:c>
      <x:c r="E695" t="str">
        <x:v>Scarlet</x:v>
      </x:c>
      <x:c r="F695" t="str">
        <x:v>猩紅</x:v>
      </x:c>
      <x:c r="G695" t="str">
        <x:v>スカーレット</x:v>
      </x:c>
      <x:c r="H695" s="201" t="str">
        <x:v>#DA4B33</x:v>
      </x:c>
      <x:c r="I695" t="str">
        <x:v>#000000</x:v>
      </x:c>
      <x:c r="J695" t="str">
        <x:v>https://www.carandache.com/</x:v>
      </x:c>
    </x:row>
    <x:row r="696">
      <x:c r="A696" t="str">
        <x:v>NART</x:v>
      </x:c>
      <x:c r="B696" t="str">
        <x:v>NEOART 6901</x:v>
      </x:c>
      <x:c r="C696" t="n">
        <x:v>15</x:v>
      </x:c>
      <x:c r="D696" t="str">
        <x:v>077</x:v>
      </x:c>
      <x:c r="E696" t="str">
        <x:v>Burnt ochre</x:v>
      </x:c>
      <x:c r="F696" t="str">
        <x:v>熟赭色</x:v>
      </x:c>
      <x:c r="G696" t="str">
        <x:v>バーントオーカー</x:v>
      </x:c>
      <x:c r="H696" s="203" t="str">
        <x:v>#BE7A4B</x:v>
      </x:c>
      <x:c r="I696" t="str">
        <x:v>#000000</x:v>
      </x:c>
      <x:c r="J696" t="str">
        <x:v>https://www.carandache.com/</x:v>
      </x:c>
    </x:row>
    <x:row r="697">
      <x:c r="A697" t="str">
        <x:v>NART</x:v>
      </x:c>
      <x:c r="B697" t="str">
        <x:v>NEOART 6901</x:v>
      </x:c>
      <x:c r="C697" t="n">
        <x:v>16</x:v>
      </x:c>
      <x:c r="D697" t="str">
        <x:v>093</x:v>
      </x:c>
      <x:c r="E697" t="str">
        <x:v>Violet grey</x:v>
      </x:c>
      <x:c r="F697" t="str">
        <x:v>紫灰色</x:v>
      </x:c>
      <x:c r="G697" t="str">
        <x:v>バイオレットグレー</x:v>
      </x:c>
      <x:c r="H697" s="205" t="str">
        <x:v>#BFAEBB</x:v>
      </x:c>
      <x:c r="I697" t="str">
        <x:v>#000000</x:v>
      </x:c>
      <x:c r="J697" t="str">
        <x:v>https://www.carandache.com/</x:v>
      </x:c>
    </x:row>
    <x:row r="698">
      <x:c r="A698" t="str">
        <x:v>NART</x:v>
      </x:c>
      <x:c r="B698" t="str">
        <x:v>NEOART 6901</x:v>
      </x:c>
      <x:c r="C698" t="n">
        <x:v>17</x:v>
      </x:c>
      <x:c r="D698" t="str">
        <x:v>112</x:v>
      </x:c>
      <x:c r="E698" t="str">
        <x:v>Manganese violet</x:v>
      </x:c>
      <x:c r="F698" t="str">
        <x:v>錳紫</x:v>
      </x:c>
      <x:c r="G698" t="str">
        <x:v>マンガニーズバイオレット</x:v>
      </x:c>
      <x:c r="H698" s="207" t="str">
        <x:v>#B59EBD</x:v>
      </x:c>
      <x:c r="I698" t="str">
        <x:v>#000000</x:v>
      </x:c>
      <x:c r="J698" t="str">
        <x:v>https://www.carandache.com/</x:v>
      </x:c>
    </x:row>
    <x:row r="699">
      <x:c r="A699" t="str">
        <x:v>NART</x:v>
      </x:c>
      <x:c r="B699" t="str">
        <x:v>NEOART 6901</x:v>
      </x:c>
      <x:c r="C699" t="n">
        <x:v>18</x:v>
      </x:c>
      <x:c r="D699" t="str">
        <x:v>120</x:v>
      </x:c>
      <x:c r="E699" t="str">
        <x:v>Violet</x:v>
      </x:c>
      <x:c r="F699" t="str">
        <x:v>紫羅蘭色</x:v>
      </x:c>
      <x:c r="G699" t="str">
        <x:v>バイオレット</x:v>
      </x:c>
      <x:c r="H699" s="209" t="str">
        <x:v>#5F4390</x:v>
      </x:c>
      <x:c r="I699" t="str">
        <x:v>#FFFFFF</x:v>
      </x:c>
      <x:c r="J699" t="str">
        <x:v>https://www.carandache.com/</x:v>
      </x:c>
    </x:row>
    <x:row r="700">
      <x:c r="A700" t="str">
        <x:v>NART</x:v>
      </x:c>
      <x:c r="B700" t="str">
        <x:v>NEOART 6901</x:v>
      </x:c>
      <x:c r="C700" t="n">
        <x:v>19</x:v>
      </x:c>
      <x:c r="D700" t="str">
        <x:v>140</x:v>
      </x:c>
      <x:c r="E700" t="str">
        <x:v>Ultramarine</x:v>
      </x:c>
      <x:c r="F700" t="str">
        <x:v>群青</x:v>
      </x:c>
      <x:c r="G700" t="str">
        <x:v>ウルトラマリン</x:v>
      </x:c>
      <x:c r="H700" s="211" t="str">
        <x:v>#216CAA</x:v>
      </x:c>
      <x:c r="I700" t="str">
        <x:v>#FFFFFF</x:v>
      </x:c>
      <x:c r="J700" t="str">
        <x:v>https://www.carandache.com/</x:v>
      </x:c>
    </x:row>
    <x:row r="701">
      <x:c r="A701" t="str">
        <x:v>NART</x:v>
      </x:c>
      <x:c r="B701" t="str">
        <x:v>NEOART 6901</x:v>
      </x:c>
      <x:c r="C701" t="n">
        <x:v>20</x:v>
      </x:c>
      <x:c r="D701" t="str">
        <x:v>149</x:v>
      </x:c>
      <x:c r="E701" t="str">
        <x:v>Night blue</x:v>
      </x:c>
      <x:c r="F701" t="str">
        <x:v>夜藍</x:v>
      </x:c>
      <x:c r="G701" t="str">
        <x:v>ナイト ブルー</x:v>
      </x:c>
      <x:c r="H701" s="213" t="str">
        <x:v>#1F416F</x:v>
      </x:c>
      <x:c r="I701" t="str">
        <x:v>#FFFFFF</x:v>
      </x:c>
      <x:c r="J701" t="str">
        <x:v>https://www.carandache.com/</x:v>
      </x:c>
    </x:row>
    <x:row r="702">
      <x:c r="A702" t="str">
        <x:v>NART</x:v>
      </x:c>
      <x:c r="B702" t="str">
        <x:v>NEOART 6901</x:v>
      </x:c>
      <x:c r="C702" t="n">
        <x:v>21</x:v>
      </x:c>
      <x:c r="D702" t="str">
        <x:v>181</x:v>
      </x:c>
      <x:c r="E702" t="str">
        <x:v>Light malachite green</x:v>
      </x:c>
      <x:c r="F702" t="str">
        <x:v>淺孔雀石綠</x:v>
      </x:c>
      <x:c r="G702" t="str">
        <x:v>ライトマラカイトグリーン</x:v>
      </x:c>
      <x:c r="H702" s="215" t="str">
        <x:v>#99CFBA</x:v>
      </x:c>
      <x:c r="I702" t="str">
        <x:v>#000000</x:v>
      </x:c>
      <x:c r="J702" t="str">
        <x:v>https://www.carandache.com/</x:v>
      </x:c>
    </x:row>
    <x:row r="703">
      <x:c r="A703" t="str">
        <x:v>NART</x:v>
      </x:c>
      <x:c r="B703" t="str">
        <x:v>NEOART 6901</x:v>
      </x:c>
      <x:c r="C703" t="n">
        <x:v>22</x:v>
      </x:c>
      <x:c r="D703" t="str">
        <x:v>182</x:v>
      </x:c>
      <x:c r="E703" t="str">
        <x:v>Cobalt green</x:v>
      </x:c>
      <x:c r="F703" t="str">
        <x:v>鈷綠</x:v>
      </x:c>
      <x:c r="G703" t="str">
        <x:v>コバルトグリーン</x:v>
      </x:c>
      <x:c r="H703" s="217" t="str">
        <x:v>#79BE8E</x:v>
      </x:c>
      <x:c r="I703" t="str">
        <x:v>#000000</x:v>
      </x:c>
      <x:c r="J703" t="str">
        <x:v>https://www.carandache.com/</x:v>
      </x:c>
    </x:row>
    <x:row r="704">
      <x:c r="A704" t="str">
        <x:v>NART</x:v>
      </x:c>
      <x:c r="B704" t="str">
        <x:v>NEOART 6901</x:v>
      </x:c>
      <x:c r="C704" t="n">
        <x:v>23</x:v>
      </x:c>
      <x:c r="D704" t="str">
        <x:v>185</x:v>
      </x:c>
      <x:c r="E704" t="str">
        <x:v>Ice blue</x:v>
      </x:c>
      <x:c r="F704" t="str">
        <x:v>冰藍</x:v>
      </x:c>
      <x:c r="G704" t="str">
        <x:v>アイスブルー</x:v>
      </x:c>
      <x:c r="H704" s="219" t="str">
        <x:v>#2676A4</x:v>
      </x:c>
      <x:c r="I704" t="str">
        <x:v>#FFFFFF</x:v>
      </x:c>
      <x:c r="J704" t="str">
        <x:v>https://www.carandache.com/</x:v>
      </x:c>
    </x:row>
    <x:row r="705">
      <x:c r="A705" t="str">
        <x:v>NART</x:v>
      </x:c>
      <x:c r="B705" t="str">
        <x:v>NEOART 6901</x:v>
      </x:c>
      <x:c r="C705" t="n">
        <x:v>24</x:v>
      </x:c>
      <x:c r="D705" t="str">
        <x:v>220</x:v>
      </x:c>
      <x:c r="E705" t="str">
        <x:v>Grass green</x:v>
      </x:c>
      <x:c r="F705" t="str">
        <x:v>草綠色</x:v>
      </x:c>
      <x:c r="G705" t="str">
        <x:v>グラスグリーン</x:v>
      </x:c>
      <x:c r="H705" s="221" t="str">
        <x:v>#1FA55B</x:v>
      </x:c>
      <x:c r="I705" t="str">
        <x:v>#000000</x:v>
      </x:c>
      <x:c r="J705" t="str">
        <x:v>https://www.carandache.com/</x:v>
      </x:c>
    </x:row>
    <x:row r="706">
      <x:c r="A706" t="str">
        <x:v>NART</x:v>
      </x:c>
      <x:c r="B706" t="str">
        <x:v>NEOART 6901</x:v>
      </x:c>
      <x:c r="C706" t="n">
        <x:v>25</x:v>
      </x:c>
      <x:c r="D706" t="str">
        <x:v>225</x:v>
      </x:c>
      <x:c r="E706" t="str">
        <x:v>Moss green</x:v>
      </x:c>
      <x:c r="F706" t="str">
        <x:v>苔綠色</x:v>
      </x:c>
      <x:c r="G706" t="str">
        <x:v>モスグリーン</x:v>
      </x:c>
      <x:c r="H706" s="223" t="str">
        <x:v>#618540</x:v>
      </x:c>
      <x:c r="I706" t="str">
        <x:v>#000000</x:v>
      </x:c>
      <x:c r="J706" t="str">
        <x:v>https://www.carandache.com/</x:v>
      </x:c>
    </x:row>
    <x:row r="707">
      <x:c r="A707" t="str">
        <x:v>NART</x:v>
      </x:c>
      <x:c r="B707" t="str">
        <x:v>NEOART 6901</x:v>
      </x:c>
      <x:c r="C707" t="n">
        <x:v>26</x:v>
      </x:c>
      <x:c r="D707" t="str">
        <x:v>240</x:v>
      </x:c>
      <x:c r="E707" t="str">
        <x:v>Lemon yellow</x:v>
      </x:c>
      <x:c r="F707" t="str">
        <x:v>檸檬黃</x:v>
      </x:c>
      <x:c r="G707" t="str">
        <x:v>レモンイエロー</x:v>
      </x:c>
      <x:c r="H707" s="225" t="str">
        <x:v>#FDEB3F</x:v>
      </x:c>
      <x:c r="I707" t="str">
        <x:v>#000000</x:v>
      </x:c>
      <x:c r="J707" t="str">
        <x:v>https://www.carandache.com/</x:v>
      </x:c>
    </x:row>
    <x:row r="708">
      <x:c r="A708" t="str">
        <x:v>NART</x:v>
      </x:c>
      <x:c r="B708" t="str">
        <x:v>NEOART 6901</x:v>
      </x:c>
      <x:c r="C708" t="n">
        <x:v>27</x:v>
      </x:c>
      <x:c r="D708" t="str">
        <x:v>242</x:v>
      </x:c>
      <x:c r="E708" t="str">
        <x:v>Primerose</x:v>
      </x:c>
      <x:c r="F708" t="str">
        <x:v>報春花黃</x:v>
      </x:c>
      <x:c r="G708" t="str">
        <x:v>プリムローズ</x:v>
      </x:c>
      <x:c r="H708" s="227" t="str">
        <x:v>#FFFCDF</x:v>
      </x:c>
      <x:c r="I708" t="str">
        <x:v>#000000</x:v>
      </x:c>
      <x:c r="J708" t="str">
        <x:v>https://www.carandache.com/</x:v>
      </x:c>
    </x:row>
    <x:row r="709">
      <x:c r="A709" t="str">
        <x:v>NART</x:v>
      </x:c>
      <x:c r="B709" t="str">
        <x:v>NEOART 6901</x:v>
      </x:c>
      <x:c r="C709" t="n">
        <x:v>28</x:v>
      </x:c>
      <x:c r="D709" t="str">
        <x:v>350</x:v>
      </x:c>
      <x:c r="E709" t="str">
        <x:v>Purplish red</x:v>
      </x:c>
      <x:c r="F709" t="str">
        <x:v>紫紅色</x:v>
      </x:c>
      <x:c r="G709" t="str">
        <x:v>パープリッシュレッド</x:v>
      </x:c>
      <x:c r="H709" s="229" t="str">
        <x:v>#BD3C7A</x:v>
      </x:c>
      <x:c r="I709" t="str">
        <x:v>#FFFFFF</x:v>
      </x:c>
      <x:c r="J709" t="str">
        <x:v>https://www.carandache.com/</x:v>
      </x:c>
    </x:row>
    <x:row r="710">
      <x:c r="A710" t="str">
        <x:v>NART</x:v>
      </x:c>
      <x:c r="B710" t="str">
        <x:v>NEOART 6901</x:v>
      </x:c>
      <x:c r="C710" t="n">
        <x:v>29</x:v>
      </x:c>
      <x:c r="D710" t="str">
        <x:v>407</x:v>
      </x:c>
      <x:c r="E710" t="str">
        <x:v>Sepia</x:v>
      </x:c>
      <x:c r="F710" t="str">
        <x:v>深褐色</x:v>
      </x:c>
      <x:c r="G710" t="str">
        <x:v>セピア</x:v>
      </x:c>
      <x:c r="H710" s="231" t="str">
        <x:v>#81654C</x:v>
      </x:c>
      <x:c r="I710" t="str">
        <x:v>#FFFFFF</x:v>
      </x:c>
      <x:c r="J710" t="str">
        <x:v>https://www.carandache.com/</x:v>
      </x:c>
    </x:row>
    <x:row r="711">
      <x:c r="A711" t="str">
        <x:v>NART</x:v>
      </x:c>
      <x:c r="B711" t="str">
        <x:v>NEOART 6901</x:v>
      </x:c>
      <x:c r="C711" t="n">
        <x:v>30</x:v>
      </x:c>
      <x:c r="D711" t="str">
        <x:v>470</x:v>
      </x:c>
      <x:c r="E711" t="str">
        <x:v>Spring green</x:v>
      </x:c>
      <x:c r="F711" t="str">
        <x:v>春綠色</x:v>
      </x:c>
      <x:c r="G711" t="str">
        <x:v>スプリンググリーン</x:v>
      </x:c>
      <x:c r="H711" s="233" t="str">
        <x:v>#BBCE37</x:v>
      </x:c>
      <x:c r="I711" t="str">
        <x:v>#000000</x:v>
      </x:c>
      <x:c r="J711" t="str">
        <x:v>https://www.carandache.com/</x:v>
      </x:c>
    </x:row>
    <x:row r="712">
      <x:c r="A712" t="str">
        <x:v>NART</x:v>
      </x:c>
      <x:c r="B712" t="str">
        <x:v>NEOART 6901</x:v>
      </x:c>
      <x:c r="C712" t="n">
        <x:v>31</x:v>
      </x:c>
      <x:c r="D712" t="str">
        <x:v>495</x:v>
      </x:c>
      <x:c r="E712" t="str">
        <x:v>Slate grey</x:v>
      </x:c>
      <x:c r="F712" t="str">
        <x:v>板岩灰</x:v>
      </x:c>
      <x:c r="G712" t="str">
        <x:v>スレートグレー</x:v>
      </x:c>
      <x:c r="H712" s="235" t="str">
        <x:v>#4C5155</x:v>
      </x:c>
      <x:c r="I712" t="str">
        <x:v>#FFFFFF</x:v>
      </x:c>
      <x:c r="J712" t="str">
        <x:v>https://www.carandache.com/</x:v>
      </x:c>
    </x:row>
    <x:row r="713">
      <x:c r="A713" t="str">
        <x:v>NART</x:v>
      </x:c>
      <x:c r="B713" t="str">
        <x:v>NEOART 6901</x:v>
      </x:c>
      <x:c r="C713" t="n">
        <x:v>32</x:v>
      </x:c>
      <x:c r="D713" t="str">
        <x:v>504</x:v>
      </x:c>
      <x:c r="E713" t="str">
        <x:v>Payne's grey 30%</x:v>
      </x:c>
      <x:c r="F713" t="str">
        <x:v>佩恩灰 30%</x:v>
      </x:c>
      <x:c r="G713" t="str">
        <x:v>ペインズグレー 30%</x:v>
      </x:c>
      <x:c r="H713" s="237" t="str">
        <x:v>#A7A7A8</x:v>
      </x:c>
      <x:c r="I713" t="str">
        <x:v>#000000</x:v>
      </x:c>
      <x:c r="J713" t="str">
        <x:v>https://www.carandache.com/</x:v>
      </x:c>
    </x:row>
    <x:row r="714">
      <x:c r="A714" t="str">
        <x:v>NART</x:v>
      </x:c>
      <x:c r="B714" t="str">
        <x:v>NEOART 6901</x:v>
      </x:c>
      <x:c r="C714" t="n">
        <x:v>33</x:v>
      </x:c>
      <x:c r="D714" t="str">
        <x:v>530</x:v>
      </x:c>
      <x:c r="E714" t="str">
        <x:v>Gold cadmium yellow (hue)</x:v>
      </x:c>
      <x:c r="F714" t="str">
        <x:v>金鎘黃</x:v>
      </x:c>
      <x:c r="G714" t="str">
        <x:v>ゴールドカドミウムイエロー</x:v>
      </x:c>
      <x:c r="H714" s="239" t="str">
        <x:v>#F8B22A</x:v>
      </x:c>
      <x:c r="I714" t="str">
        <x:v>#000000</x:v>
      </x:c>
      <x:c r="J714" t="str">
        <x:v>https://www.carandache.com/</x:v>
      </x:c>
    </x:row>
    <x:row r="715">
      <x:c r="A715" t="str">
        <x:v>NART</x:v>
      </x:c>
      <x:c r="B715" t="str">
        <x:v>NEOART 6901</x:v>
      </x:c>
      <x:c r="C715" t="n">
        <x:v>34</x:v>
      </x:c>
      <x:c r="D715" t="str">
        <x:v>542</x:v>
      </x:c>
      <x:c r="E715" t="str">
        <x:v>Butternut</x:v>
      </x:c>
      <x:c r="F715" t="str">
        <x:v>淺膚色 10%</x:v>
      </x:c>
      <x:c r="G715" t="str">
        <x:v>ライトフレッシュ10%</x:v>
      </x:c>
      <x:c r="H715" s="241" t="str">
        <x:v>#FDDBA9</x:v>
      </x:c>
      <x:c r="I715" t="str">
        <x:v>#000000</x:v>
      </x:c>
      <x:c r="J715" t="str">
        <x:v>https://www.carandache.com/</x:v>
      </x:c>
    </x:row>
    <x:row r="716">
      <x:c r="A716" t="str">
        <x:v>NART</x:v>
      </x:c>
      <x:c r="B716" t="str">
        <x:v>NEOART 6901</x:v>
      </x:c>
      <x:c r="C716" t="n">
        <x:v>35</x:v>
      </x:c>
      <x:c r="D716" t="str">
        <x:v>548</x:v>
      </x:c>
      <x:c r="E716" t="str">
        <x:v>Raw umber</x:v>
      </x:c>
      <x:c r="F716" t="str">
        <x:v>生褐色</x:v>
      </x:c>
      <x:c r="G716" t="str">
        <x:v>ローアンバー</x:v>
      </x:c>
      <x:c r="H716" s="243" t="str">
        <x:v>#947157</x:v>
      </x:c>
      <x:c r="I716" t="str">
        <x:v>#000000</x:v>
      </x:c>
      <x:c r="J716" t="str">
        <x:v>https://www.carandache.com/</x:v>
      </x:c>
    </x:row>
    <x:row r="717">
      <x:c r="A717" t="str">
        <x:v>NART</x:v>
      </x:c>
      <x:c r="B717" t="str">
        <x:v>NEOART 6901</x:v>
      </x:c>
      <x:c r="C717" t="n">
        <x:v>36</x:v>
      </x:c>
      <x:c r="D717" t="str">
        <x:v>580</x:v>
      </x:c>
      <x:c r="E717" t="str">
        <x:v>Anthraquinone carmine</x:v>
      </x:c>
      <x:c r="F717" t="str">
        <x:v>蒽醌胭脂紅</x:v>
      </x:c>
      <x:c r="G717" t="str">
        <x:v>アントラキノンカーマイン</x:v>
      </x:c>
      <x:c r="H717" s="245" t="str">
        <x:v>#CB3D5A</x:v>
      </x:c>
      <x:c r="I717" t="str">
        <x:v>#FFFFFF</x:v>
      </x:c>
      <x:c r="J717" t="str">
        <x:v>https://www.carandache.com/</x:v>
      </x:c>
    </x:row>
    <x:row r="718">
      <x:c r="A718" t="str">
        <x:v>NART</x:v>
      </x:c>
      <x:c r="B718" t="str">
        <x:v>NEOART 6901</x:v>
      </x:c>
      <x:c r="C718" t="n">
        <x:v>37</x:v>
      </x:c>
      <x:c r="D718" t="str">
        <x:v>583</x:v>
      </x:c>
      <x:c r="E718" t="str">
        <x:v>Violet pink</x:v>
      </x:c>
      <x:c r="F718" t="str">
        <x:v>紫粉紅</x:v>
      </x:c>
      <x:c r="G718" t="str">
        <x:v>バイオレットピンク</x:v>
      </x:c>
      <x:c r="H718" s="247" t="str">
        <x:v>#D89299</x:v>
      </x:c>
      <x:c r="I718" t="str">
        <x:v>#000000</x:v>
      </x:c>
      <x:c r="J718" t="str">
        <x:v>https://www.carandache.com/</x:v>
      </x:c>
    </x:row>
    <x:row r="719">
      <x:c r="A719" t="str">
        <x:v>NART</x:v>
      </x:c>
      <x:c r="B719" t="str">
        <x:v>NEOART 6901</x:v>
      </x:c>
      <x:c r="C719" t="n">
        <x:v>38</x:v>
      </x:c>
      <x:c r="D719" t="str">
        <x:v>585</x:v>
      </x:c>
      <x:c r="E719" t="str">
        <x:v>Perylene brown</x:v>
      </x:c>
      <x:c r="F719" t="str">
        <x:v>苝棕</x:v>
      </x:c>
      <x:c r="G719" t="str">
        <x:v>ペリレンブラウン</x:v>
      </x:c>
      <x:c r="H719" s="249" t="str">
        <x:v>#A34737</x:v>
      </x:c>
      <x:c r="I719" t="str">
        <x:v>#FFFFFF</x:v>
      </x:c>
      <x:c r="J719" t="str">
        <x:v>https://www.carandache.com/</x:v>
      </x:c>
    </x:row>
    <x:row r="720">
      <x:c r="A720" t="str">
        <x:v>NART</x:v>
      </x:c>
      <x:c r="B720" t="str">
        <x:v>NEOART 6901</x:v>
      </x:c>
      <x:c r="C720" t="n">
        <x:v>39</x:v>
      </x:c>
      <x:c r="D720" t="str">
        <x:v>639</x:v>
      </x:c>
      <x:c r="E720" t="str">
        <x:v>Dark indigo</x:v>
      </x:c>
      <x:c r="F720" t="str">
        <x:v>深靛藍</x:v>
      </x:c>
      <x:c r="G720" t="str">
        <x:v>ダークインディゴ</x:v>
      </x:c>
      <x:c r="H720" s="251" t="str">
        <x:v>#4D4350</x:v>
      </x:c>
      <x:c r="I720" t="str">
        <x:v>#FFFFFF</x:v>
      </x:c>
      <x:c r="J720" t="str">
        <x:v>https://www.carandache.com/</x:v>
      </x:c>
    </x:row>
    <x:row r="721">
      <x:c r="A721" t="str">
        <x:v>NART</x:v>
      </x:c>
      <x:c r="B721" t="str">
        <x:v>NEOART 6901</x:v>
      </x:c>
      <x:c r="C721" t="n">
        <x:v>40</x:v>
      </x:c>
      <x:c r="D721" t="str">
        <x:v>661</x:v>
      </x:c>
      <x:c r="E721" t="str">
        <x:v>Cobalt blue 5%</x:v>
      </x:c>
      <x:c r="F721" t="str">
        <x:v>鈷藍 5%</x:v>
      </x:c>
      <x:c r="G721" t="str">
        <x:v>コバルトブルー 5%</x:v>
      </x:c>
      <x:c r="H721" s="253" t="str">
        <x:v>#BCD7EE</x:v>
      </x:c>
      <x:c r="I721" t="str">
        <x:v>#000000</x:v>
      </x:c>
      <x:c r="J721" t="str">
        <x:v>https://www.carandache.com/</x:v>
      </x:c>
    </x:row>
    <x:row r="722">
      <x:c r="A722" t="str">
        <x:v>NART</x:v>
      </x:c>
      <x:c r="B722" t="str">
        <x:v>NEOART 6901</x:v>
      </x:c>
      <x:c r="C722" t="n">
        <x:v>41</x:v>
      </x:c>
      <x:c r="D722" t="str">
        <x:v>662</x:v>
      </x:c>
      <x:c r="E722" t="str">
        <x:v>Cobalt blue 10%</x:v>
      </x:c>
      <x:c r="F722" t="str">
        <x:v>鈷藍 10%</x:v>
      </x:c>
      <x:c r="G722" t="str">
        <x:v>コバルトブルー 10%</x:v>
      </x:c>
      <x:c r="H722" s="255" t="str">
        <x:v>#86B1DA</x:v>
      </x:c>
      <x:c r="I722" t="str">
        <x:v>#000000</x:v>
      </x:c>
      <x:c r="J722" t="str">
        <x:v>https://www.carandache.com/</x:v>
      </x:c>
    </x:row>
    <x:row r="723">
      <x:c r="A723" t="str">
        <x:v>NART</x:v>
      </x:c>
      <x:c r="B723" t="str">
        <x:v>NEOART 6901</x:v>
      </x:c>
      <x:c r="C723" t="n">
        <x:v>42</x:v>
      </x:c>
      <x:c r="D723" t="str">
        <x:v>671</x:v>
      </x:c>
      <x:c r="E723" t="str">
        <x:v>Chrysocolla blue</x:v>
      </x:c>
      <x:c r="F723" t="str">
        <x:v>矽孔雀石藍</x:v>
      </x:c>
      <x:c r="G723" t="str">
        <x:v>クリソコラブルー</x:v>
      </x:c>
      <x:c r="H723" s="257" t="str">
        <x:v>#44BAC5</x:v>
      </x:c>
      <x:c r="I723" t="str">
        <x:v>#000000</x:v>
      </x:c>
      <x:c r="J723" t="str">
        <x:v>https://www.carandache.com/</x:v>
      </x:c>
    </x:row>
    <x:row r="724">
      <x:c r="A724" t="str">
        <x:v>NART</x:v>
      </x:c>
      <x:c r="B724" t="str">
        <x:v>NEOART 6901</x:v>
      </x:c>
      <x:c r="C724" t="n">
        <x:v>43</x:v>
      </x:c>
      <x:c r="D724" t="str">
        <x:v>719</x:v>
      </x:c>
      <x:c r="E724" t="str">
        <x:v>Dark phthalocyanine green</x:v>
      </x:c>
      <x:c r="F724" t="str">
        <x:v>深酞菁綠</x:v>
      </x:c>
      <x:c r="G724" t="str">
        <x:v>ダークフタロシアニングリーン</x:v>
      </x:c>
      <x:c r="H724" s="259" t="str">
        <x:v>#546153</x:v>
      </x:c>
      <x:c r="I724" t="str">
        <x:v>#FFFFFF</x:v>
      </x:c>
      <x:c r="J724" t="str">
        <x:v>https://www.carandache.com/</x:v>
      </x:c>
    </x:row>
    <x:row r="725">
      <x:c r="A725" t="str">
        <x:v>NART</x:v>
      </x:c>
      <x:c r="B725" t="str">
        <x:v>NEOART 6901</x:v>
      </x:c>
      <x:c r="C725" t="n">
        <x:v>44</x:v>
      </x:c>
      <x:c r="D725" t="str">
        <x:v>729</x:v>
      </x:c>
      <x:c r="E725" t="str">
        <x:v>Dark english green</x:v>
      </x:c>
      <x:c r="F725" t="str">
        <x:v>深英國綠</x:v>
      </x:c>
      <x:c r="G725" t="str">
        <x:v>ダークイングリッシュグリーン</x:v>
      </x:c>
      <x:c r="H725" s="261" t="str">
        <x:v>#00A38E</x:v>
      </x:c>
      <x:c r="I725" t="str">
        <x:v>#000000</x:v>
      </x:c>
      <x:c r="J725" t="str">
        <x:v>https://www.carandache.com/</x:v>
      </x:c>
    </x:row>
    <x:row r="726">
      <x:c r="A726" t="str">
        <x:v>NART</x:v>
      </x:c>
      <x:c r="B726" t="str">
        <x:v>NEOART 6901</x:v>
      </x:c>
      <x:c r="C726" t="n">
        <x:v>45</x:v>
      </x:c>
      <x:c r="D726" t="str">
        <x:v>736</x:v>
      </x:c>
      <x:c r="E726" t="str">
        <x:v>Brown olive 50%</x:v>
      </x:c>
      <x:c r="F726" t="str">
        <x:v>棕橄欖色 50%</x:v>
      </x:c>
      <x:c r="G726" t="str">
        <x:v>ブラウンオリーブ 50%</x:v>
      </x:c>
      <x:c r="H726" s="263" t="str">
        <x:v>#C3AC88</x:v>
      </x:c>
      <x:c r="I726" t="str">
        <x:v>#000000</x:v>
      </x:c>
      <x:c r="J726" t="str">
        <x:v>https://www.carandache.com/</x:v>
      </x:c>
    </x:row>
    <x:row r="727">
      <x:c r="A727" t="str">
        <x:v>NART</x:v>
      </x:c>
      <x:c r="B727" t="str">
        <x:v>NEOART 6901</x:v>
      </x:c>
      <x:c r="C727" t="n">
        <x:v>46</x:v>
      </x:c>
      <x:c r="D727" t="str">
        <x:v>811</x:v>
      </x:c>
      <x:c r="E727" t="str">
        <x:v>Bismuth white</x:v>
      </x:c>
      <x:c r="F727" t="str">
        <x:v>鉍白</x:v>
      </x:c>
      <x:c r="G727" t="str">
        <x:v>ビスマスホワイト</x:v>
      </x:c>
      <x:c r="H727" s="265" t="str">
        <x:v>#F9FAE9</x:v>
      </x:c>
      <x:c r="I727" t="str">
        <x:v>#000000</x:v>
      </x:c>
      <x:c r="J727" t="str">
        <x:v>https://www.carandache.com/</x:v>
      </x:c>
    </x:row>
    <x:row r="728">
      <x:c r="A728" t="str">
        <x:v>NART</x:v>
      </x:c>
      <x:c r="B728" t="str">
        <x:v>NEOART 6901</x:v>
      </x:c>
      <x:c r="C728" t="n">
        <x:v>47</x:v>
      </x:c>
      <x:c r="D728" t="str">
        <x:v>850</x:v>
      </x:c>
      <x:c r="E728" t="str">
        <x:v>Cornelian</x:v>
      </x:c>
      <x:c r="F728" t="str">
        <x:v>紅玉髓色</x:v>
      </x:c>
      <x:c r="G728" t="str">
        <x:v>カーネリアン</x:v>
      </x:c>
      <x:c r="H728" s="267" t="str">
        <x:v>#ED7936</x:v>
      </x:c>
      <x:c r="I728" t="str">
        <x:v>#000000</x:v>
      </x:c>
      <x:c r="J728" t="str">
        <x:v>https://www.carandache.com/</x:v>
      </x:c>
    </x:row>
    <x:row r="729">
      <x:c r="A729" t="str">
        <x:v>NART</x:v>
      </x:c>
      <x:c r="B729" t="str">
        <x:v>NEOART 6901</x:v>
      </x:c>
      <x:c r="C729" t="n">
        <x:v>48</x:v>
      </x:c>
      <x:c r="D729" t="str">
        <x:v>872</x:v>
      </x:c>
      <x:c r="E729" t="str">
        <x:v>Burnt ochre 10%</x:v>
      </x:c>
      <x:c r="F729" t="str">
        <x:v>熟赭色 10%</x:v>
      </x:c>
      <x:c r="G729" t="str">
        <x:v>バーントオーカー 10%</x:v>
      </x:c>
      <x:c r="H729" s="269" t="str">
        <x:v>#F9C9B4</x:v>
      </x:c>
      <x:c r="I729" t="str">
        <x:v>#000000</x:v>
      </x:c>
      <x:c r="J729" t="str">
        <x:v>https://www.carandache.com/</x:v>
      </x:c>
    </x:row>
  </x:sheetData>
  <x:pageMargins left="0.7" right="0.7" top="0.75" bottom="0.75" header="0.3" footer="0.3"/>
  <x:tableParts count="1">
    <x:tablePart xmlns:r="http://schemas.openxmlformats.org/officeDocument/2006/relationships" r:id="Rfad9b1e5fda549b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5" hidden="0" customWidth="1"/>
    <x:col min="4" max="4" width="11" hidden="0" customWidth="1"/>
    <x:col min="5" max="5" width="40" hidden="0" customWidth="1"/>
    <x:col min="6" max="6" width="78" hidden="0" customWidth="1"/>
  </x:cols>
  <x:sheetData>
    <x:row r="1" ht="30" customHeight="1">
      <x:c r="A1" s="25" t="str">
        <x:v>sheet</x:v>
      </x:c>
      <x:c r="B1" s="25" t="str">
        <x:v>field_name</x:v>
      </x:c>
      <x:c r="C1" s="25" t="str">
        <x:v>data_type</x:v>
      </x:c>
      <x:c r="D1" s="25" t="str">
        <x:v>required</x:v>
      </x:c>
      <x:c r="E1" s="25" t="str">
        <x:v>validation_or_source</x:v>
      </x:c>
      <x:c r="F1" s="25" t="str">
        <x:v>definition</x:v>
      </x:c>
    </x:row>
    <x:row r="2">
      <x:c r="A2" t="str">
        <x:v>Series_Color_Index</x:v>
      </x:c>
      <x:c r="B2" t="str">
        <x:v>lookup_key</x:v>
      </x:c>
      <x:c r="C2" t="str">
        <x:v>Text</x:v>
      </x:c>
      <x:c r="D2" t="str">
        <x:v>Yes</x:v>
      </x:c>
      <x:c r="E2" t="str">
        <x:v>Formula: series_id|color_code</x:v>
      </x:c>
      <x:c r="F2" t="str">
        <x:v>Unique lookup key used by Color_Query.</x:v>
      </x:c>
    </x:row>
    <x:row r="3">
      <x:c r="A3" t="str">
        <x:v>Series_Color_Index</x:v>
      </x:c>
      <x:c r="B3" t="str">
        <x:v>record_uuid</x:v>
      </x:c>
      <x:c r="C3" t="str">
        <x:v>UUID</x:v>
      </x:c>
      <x:c r="D3" t="str">
        <x:v>Yes</x:v>
      </x:c>
      <x:c r="E3" t="str">
        <x:v>Deterministic UUID5</x:v>
      </x:c>
      <x:c r="F3" t="str">
        <x:v>Stable row-level identifier.</x:v>
      </x:c>
    </x:row>
    <x:row r="4">
      <x:c r="A4" t="str">
        <x:v>Series_Color_Index</x:v>
      </x:c>
      <x:c r="B4" t="str">
        <x:v>series_color_id</x:v>
      </x:c>
      <x:c r="C4" t="str">
        <x:v>Text</x:v>
      </x:c>
      <x:c r="D4" t="str">
        <x:v>Yes</x:v>
      </x:c>
      <x:c r="E4" t="str">
        <x:v>CDA-{series_id}-{code}</x:v>
      </x:c>
      <x:c r="F4" t="str">
        <x:v>Human-readable composite identifier.</x:v>
      </x:c>
    </x:row>
    <x:row r="5">
      <x:c r="A5" t="str">
        <x:v>Series_Color_Index</x:v>
      </x:c>
      <x:c r="B5" t="str">
        <x:v>canonical_code_uuid</x:v>
      </x:c>
      <x:c r="C5" t="str">
        <x:v>UUID</x:v>
      </x:c>
      <x:c r="D5" t="str">
        <x:v>Yes</x:v>
      </x:c>
      <x:c r="E5" t="str">
        <x:v>Deterministic UUID5</x:v>
      </x:c>
      <x:c r="F5" t="str">
        <x:v>Stable code-level identifier shared across series.</x:v>
      </x:c>
    </x:row>
    <x:row r="6">
      <x:c r="A6" t="str">
        <x:v>Series_Color_Index</x:v>
      </x:c>
      <x:c r="B6" t="str">
        <x:v>canonical_code_id</x:v>
      </x:c>
      <x:c r="C6" t="str">
        <x:v>Text</x:v>
      </x:c>
      <x:c r="D6" t="str">
        <x:v>Yes</x:v>
      </x:c>
      <x:c r="E6" t="str">
        <x:v>CDA-CODE-{code}</x:v>
      </x:c>
      <x:c r="F6" t="str">
        <x:v>Human-readable canonical code identifier.</x:v>
      </x:c>
    </x:row>
    <x:row r="7">
      <x:c r="A7" t="str">
        <x:v>Series_Color_Index</x:v>
      </x:c>
      <x:c r="B7" t="str">
        <x:v>brand</x:v>
      </x:c>
      <x:c r="C7" t="str">
        <x:v>Text</x:v>
      </x:c>
      <x:c r="D7" t="str">
        <x:v>Yes</x:v>
      </x:c>
      <x:c r="E7" t="str">
        <x:v>Caran d’Ache</x:v>
      </x:c>
      <x:c r="F7" t="str">
        <x:v>Brand name.</x:v>
      </x:c>
    </x:row>
    <x:row r="8">
      <x:c r="A8" t="str">
        <x:v>Series_Color_Index</x:v>
      </x:c>
      <x:c r="B8" t="str">
        <x:v>series_id</x:v>
      </x:c>
      <x:c r="C8" t="str">
        <x:v>Controlled text</x:v>
      </x:c>
      <x:c r="D8" t="str">
        <x:v>Yes</x:v>
      </x:c>
      <x:c r="E8" t="str">
        <x:v>Validation_Lists</x:v>
      </x:c>
      <x:c r="F8" t="str">
        <x:v>Short product-series key.</x:v>
      </x:c>
    </x:row>
    <x:row r="9">
      <x:c r="A9" t="str">
        <x:v>Series_Color_Index</x:v>
      </x:c>
      <x:c r="B9" t="str">
        <x:v>series_name</x:v>
      </x:c>
      <x:c r="C9" t="str">
        <x:v>Text</x:v>
      </x:c>
      <x:c r="D9" t="str">
        <x:v>Yes</x:v>
      </x:c>
      <x:c r="E9" t="str">
        <x:v>Series_Registry</x:v>
      </x:c>
      <x:c r="F9" t="str">
        <x:v>Official product-series name.</x:v>
      </x:c>
    </x:row>
    <x:row r="10">
      <x:c r="A10" t="str">
        <x:v>Series_Color_Index</x:v>
      </x:c>
      <x:c r="B10" t="str">
        <x:v>medium_type</x:v>
      </x:c>
      <x:c r="C10" t="str">
        <x:v>Text</x:v>
      </x:c>
      <x:c r="D10" t="str">
        <x:v>Yes</x:v>
      </x:c>
      <x:c r="E10" t="str">
        <x:v>Series_Registry</x:v>
      </x:c>
      <x:c r="F10" t="str">
        <x:v>Physical art medium.</x:v>
      </x:c>
    </x:row>
    <x:row r="11">
      <x:c r="A11" t="str">
        <x:v>Series_Color_Index</x:v>
      </x:c>
      <x:c r="B11" t="str">
        <x:v>product_grade</x:v>
      </x:c>
      <x:c r="C11" t="str">
        <x:v>Controlled text</x:v>
      </x:c>
      <x:c r="D11" t="str">
        <x:v>Yes</x:v>
      </x:c>
      <x:c r="E11" t="str">
        <x:v>Artist / Professional</x:v>
      </x:c>
      <x:c r="F11" t="str">
        <x:v>Product-positioning class.</x:v>
      </x:c>
    </x:row>
    <x:row r="12">
      <x:c r="A12" t="str">
        <x:v>Series_Color_Index</x:v>
      </x:c>
      <x:c r="B12" t="str">
        <x:v>palette_order</x:v>
      </x:c>
      <x:c r="C12" t="str">
        <x:v>Integer</x:v>
      </x:c>
      <x:c r="D12" t="str">
        <x:v>Yes</x:v>
      </x:c>
      <x:c r="E12" t="str">
        <x:v>1..series count</x:v>
      </x:c>
      <x:c r="F12" t="str">
        <x:v>Official chart reading order.</x:v>
      </x:c>
    </x:row>
    <x:row r="13">
      <x:c r="A13" t="str">
        <x:v>Series_Color_Index</x:v>
      </x:c>
      <x:c r="B13" t="str">
        <x:v>color_code</x:v>
      </x:c>
      <x:c r="C13" t="str">
        <x:v>Text</x:v>
      </x:c>
      <x:c r="D13" t="str">
        <x:v>Yes</x:v>
      </x:c>
      <x:c r="E13" t="str">
        <x:v>Three digits</x:v>
      </x:c>
      <x:c r="F13" t="str">
        <x:v>Brand colour code; leading zeros preserved.</x:v>
      </x:c>
    </x:row>
    <x:row r="14">
      <x:c r="A14" t="str">
        <x:v>Series_Color_Index</x:v>
      </x:c>
      <x:c r="B14" t="str">
        <x:v>color_name_en</x:v>
      </x:c>
      <x:c r="C14" t="str">
        <x:v>Text</x:v>
      </x:c>
      <x:c r="D14" t="str">
        <x:v>Yes</x:v>
      </x:c>
      <x:c r="E14" t="str">
        <x:v>Official PDF</x:v>
      </x:c>
      <x:c r="F14" t="str">
        <x:v>English official colour name.</x:v>
      </x:c>
    </x:row>
    <x:row r="15">
      <x:c r="A15" t="str">
        <x:v>Series_Color_Index</x:v>
      </x:c>
      <x:c r="B15" t="str">
        <x:v>color_name_zh_tw</x:v>
      </x:c>
      <x:c r="C15" t="str">
        <x:v>Text</x:v>
      </x:c>
      <x:c r="D15" t="str">
        <x:v>Yes</x:v>
      </x:c>
      <x:c r="E15" t="str">
        <x:v>Curated translation</x:v>
      </x:c>
      <x:c r="F15" t="str">
        <x:v>Traditional Chinese colour name.</x:v>
      </x:c>
    </x:row>
    <x:row r="16">
      <x:c r="A16" t="str">
        <x:v>Series_Color_Index</x:v>
      </x:c>
      <x:c r="B16" t="str">
        <x:v>color_name_ja</x:v>
      </x:c>
      <x:c r="C16" t="str">
        <x:v>Text</x:v>
      </x:c>
      <x:c r="D16" t="str">
        <x:v>Yes</x:v>
      </x:c>
      <x:c r="E16" t="str">
        <x:v>Official where available; curated otherwise</x:v>
      </x:c>
      <x:c r="F16" t="str">
        <x:v>Japanese colour name.</x:v>
      </x:c>
    </x:row>
    <x:row r="17">
      <x:c r="A17" t="str">
        <x:v>Series_Color_Index</x:v>
      </x:c>
      <x:c r="B17" t="str">
        <x:v>color_name_ja_official</x:v>
      </x:c>
      <x:c r="C17" t="str">
        <x:v>Text</x:v>
      </x:c>
      <x:c r="D17" t="str">
        <x:v>No</x:v>
      </x:c>
      <x:c r="E17" t="str">
        <x:v>Official PDF</x:v>
      </x:c>
      <x:c r="F17" t="str">
        <x:v>Official Japanese name when present in source chart.</x:v>
      </x:c>
    </x:row>
    <x:row r="18">
      <x:c r="A18" t="str">
        <x:v>Series_Color_Index</x:v>
      </x:c>
      <x:c r="B18" t="str">
        <x:v>color_name_fr</x:v>
      </x:c>
      <x:c r="C18" t="str">
        <x:v>Text / numeric</x:v>
      </x:c>
      <x:c r="D18" t="str">
        <x:v>No</x:v>
      </x:c>
      <x:c r="E18" t="str">
        <x:v>As supplied or derived</x:v>
      </x:c>
      <x:c r="F18" t="str">
        <x:v>Color name fr.</x:v>
      </x:c>
    </x:row>
    <x:row r="19">
      <x:c r="A19" t="str">
        <x:v>Series_Color_Index</x:v>
      </x:c>
      <x:c r="B19" t="str">
        <x:v>color_name_de</x:v>
      </x:c>
      <x:c r="C19" t="str">
        <x:v>Text / numeric</x:v>
      </x:c>
      <x:c r="D19" t="str">
        <x:v>No</x:v>
      </x:c>
      <x:c r="E19" t="str">
        <x:v>As supplied or derived</x:v>
      </x:c>
      <x:c r="F19" t="str">
        <x:v>Color name de.</x:v>
      </x:c>
    </x:row>
    <x:row r="20">
      <x:c r="A20" t="str">
        <x:v>Series_Color_Index</x:v>
      </x:c>
      <x:c r="B20" t="str">
        <x:v>color_name_it</x:v>
      </x:c>
      <x:c r="C20" t="str">
        <x:v>Text / numeric</x:v>
      </x:c>
      <x:c r="D20" t="str">
        <x:v>No</x:v>
      </x:c>
      <x:c r="E20" t="str">
        <x:v>As supplied or derived</x:v>
      </x:c>
      <x:c r="F20" t="str">
        <x:v>Color name it.</x:v>
      </x:c>
    </x:row>
    <x:row r="21">
      <x:c r="A21" t="str">
        <x:v>Series_Color_Index</x:v>
      </x:c>
      <x:c r="B21" t="str">
        <x:v>color_name_es</x:v>
      </x:c>
      <x:c r="C21" t="str">
        <x:v>Text / numeric</x:v>
      </x:c>
      <x:c r="D21" t="str">
        <x:v>No</x:v>
      </x:c>
      <x:c r="E21" t="str">
        <x:v>As supplied or derived</x:v>
      </x:c>
      <x:c r="F21" t="str">
        <x:v>Color name es.</x:v>
      </x:c>
    </x:row>
    <x:row r="22">
      <x:c r="A22" t="str">
        <x:v>Series_Color_Index</x:v>
      </x:c>
      <x:c r="B22" t="str">
        <x:v>color_name_pt</x:v>
      </x:c>
      <x:c r="C22" t="str">
        <x:v>Text / numeric</x:v>
      </x:c>
      <x:c r="D22" t="str">
        <x:v>No</x:v>
      </x:c>
      <x:c r="E22" t="str">
        <x:v>As supplied or derived</x:v>
      </x:c>
      <x:c r="F22" t="str">
        <x:v>Color name pt.</x:v>
      </x:c>
    </x:row>
    <x:row r="23">
      <x:c r="A23" t="str">
        <x:v>Series_Color_Index</x:v>
      </x:c>
      <x:c r="B23" t="str">
        <x:v>color_name_ko</x:v>
      </x:c>
      <x:c r="C23" t="str">
        <x:v>Text / numeric</x:v>
      </x:c>
      <x:c r="D23" t="str">
        <x:v>No</x:v>
      </x:c>
      <x:c r="E23" t="str">
        <x:v>As supplied or derived</x:v>
      </x:c>
      <x:c r="F23" t="str">
        <x:v>Color name ko.</x:v>
      </x:c>
    </x:row>
    <x:row r="24">
      <x:c r="A24" t="str">
        <x:v>Series_Color_Index</x:v>
      </x:c>
      <x:c r="B24" t="str">
        <x:v>pigment_index</x:v>
      </x:c>
      <x:c r="C24" t="str">
        <x:v>Text</x:v>
      </x:c>
      <x:c r="D24" t="str">
        <x:v>No</x:v>
      </x:c>
      <x:c r="E24" t="str">
        <x:v>Official PDF</x:v>
      </x:c>
      <x:c r="F24" t="str">
        <x:v>Colour Index pigment formula when supplied.</x:v>
      </x:c>
    </x:row>
    <x:row r="25">
      <x:c r="A25" t="str">
        <x:v>Series_Color_Index</x:v>
      </x:c>
      <x:c r="B25" t="str">
        <x:v>pigment_count</x:v>
      </x:c>
      <x:c r="C25" t="str">
        <x:v>Integer</x:v>
      </x:c>
      <x:c r="D25" t="str">
        <x:v>Yes</x:v>
      </x:c>
      <x:c r="E25" t="str">
        <x:v>Formula</x:v>
      </x:c>
      <x:c r="F25" t="str">
        <x:v>Number of slash-delimited pigment components.</x:v>
      </x:c>
    </x:row>
    <x:row r="26">
      <x:c r="A26" t="str">
        <x:v>Series_Color_Index</x:v>
      </x:c>
      <x:c r="B26" t="str">
        <x:v>lightfastness_rating</x:v>
      </x:c>
      <x:c r="C26" t="str">
        <x:v>Text</x:v>
      </x:c>
      <x:c r="D26" t="str">
        <x:v>Yes</x:v>
      </x:c>
      <x:c r="E26" t="str">
        <x:v>Official PDF</x:v>
      </x:c>
      <x:c r="F26" t="str">
        <x:v>Raw series-specific lightfastness rating.</x:v>
      </x:c>
    </x:row>
    <x:row r="27">
      <x:c r="A27" t="str">
        <x:v>Series_Color_Index</x:v>
      </x:c>
      <x:c r="B27" t="str">
        <x:v>lightfastness_normalized_5</x:v>
      </x:c>
      <x:c r="C27" t="str">
        <x:v>Decimal</x:v>
      </x:c>
      <x:c r="D27" t="str">
        <x:v>Yes</x:v>
      </x:c>
      <x:c r="E27" t="str">
        <x:v>1-5</x:v>
      </x:c>
      <x:c r="F27" t="str">
        <x:v>Normalized comparison score.</x:v>
      </x:c>
    </x:row>
    <x:row r="28">
      <x:c r="A28" t="str">
        <x:v>Series_Color_Index</x:v>
      </x:c>
      <x:c r="B28" t="str">
        <x:v>lightfastness_scale_max</x:v>
      </x:c>
      <x:c r="C28" t="str">
        <x:v>Integer</x:v>
      </x:c>
      <x:c r="D28" t="str">
        <x:v>Yes</x:v>
      </x:c>
      <x:c r="E28" t="str">
        <x:v>3 or 5</x:v>
      </x:c>
      <x:c r="F28" t="str">
        <x:v>Maximum raw rating for the series chart.</x:v>
      </x:c>
    </x:row>
    <x:row r="29">
      <x:c r="A29" t="str">
        <x:v>Series_Color_Index</x:v>
      </x:c>
      <x:c r="B29" t="str">
        <x:v>lightfastness_standard</x:v>
      </x:c>
      <x:c r="C29" t="str">
        <x:v>Text</x:v>
      </x:c>
      <x:c r="D29" t="str">
        <x:v>Yes</x:v>
      </x:c>
      <x:c r="E29" t="str">
        <x:v>Series_Registry</x:v>
      </x:c>
      <x:c r="F29" t="str">
        <x:v>ASTM D-6901 or Blue Wool Scale / UV 150h.</x:v>
      </x:c>
    </x:row>
    <x:row r="30">
      <x:c r="A30" t="str">
        <x:v>Series_Color_Index</x:v>
      </x:c>
      <x:c r="B30" t="str">
        <x:v>css_hex_approx</x:v>
      </x:c>
      <x:c r="C30" t="str">
        <x:v>HEX text</x:v>
      </x:c>
      <x:c r="D30" t="str">
        <x:v>Yes</x:v>
      </x:c>
      <x:c r="E30" t="str">
        <x:v>#RRGGBB</x:v>
      </x:c>
      <x:c r="F30" t="str">
        <x:v>Approximate PDF-swatch sample; not official calibrated colour.</x:v>
      </x:c>
    </x:row>
    <x:row r="31">
      <x:c r="A31" t="str">
        <x:v>Series_Color_Index</x:v>
      </x:c>
      <x:c r="B31" t="str">
        <x:v>rgb_r</x:v>
      </x:c>
      <x:c r="C31" t="str">
        <x:v>Text / numeric</x:v>
      </x:c>
      <x:c r="D31" t="str">
        <x:v>No</x:v>
      </x:c>
      <x:c r="E31" t="str">
        <x:v>As supplied or derived</x:v>
      </x:c>
      <x:c r="F31" t="str">
        <x:v>Rgb r.</x:v>
      </x:c>
    </x:row>
    <x:row r="32">
      <x:c r="A32" t="str">
        <x:v>Series_Color_Index</x:v>
      </x:c>
      <x:c r="B32" t="str">
        <x:v>rgb_g</x:v>
      </x:c>
      <x:c r="C32" t="str">
        <x:v>Text / numeric</x:v>
      </x:c>
      <x:c r="D32" t="str">
        <x:v>No</x:v>
      </x:c>
      <x:c r="E32" t="str">
        <x:v>As supplied or derived</x:v>
      </x:c>
      <x:c r="F32" t="str">
        <x:v>Rgb g.</x:v>
      </x:c>
    </x:row>
    <x:row r="33">
      <x:c r="A33" t="str">
        <x:v>Series_Color_Index</x:v>
      </x:c>
      <x:c r="B33" t="str">
        <x:v>rgb_b</x:v>
      </x:c>
      <x:c r="C33" t="str">
        <x:v>Text / numeric</x:v>
      </x:c>
      <x:c r="D33" t="str">
        <x:v>No</x:v>
      </x:c>
      <x:c r="E33" t="str">
        <x:v>As supplied or derived</x:v>
      </x:c>
      <x:c r="F33" t="str">
        <x:v>Rgb b.</x:v>
      </x:c>
    </x:row>
    <x:row r="34">
      <x:c r="A34" t="str">
        <x:v>Series_Color_Index</x:v>
      </x:c>
      <x:c r="B34" t="str">
        <x:v>hsl_h</x:v>
      </x:c>
      <x:c r="C34" t="str">
        <x:v>Text / numeric</x:v>
      </x:c>
      <x:c r="D34" t="str">
        <x:v>No</x:v>
      </x:c>
      <x:c r="E34" t="str">
        <x:v>As supplied or derived</x:v>
      </x:c>
      <x:c r="F34" t="str">
        <x:v>Hsl h.</x:v>
      </x:c>
    </x:row>
    <x:row r="35">
      <x:c r="A35" t="str">
        <x:v>Series_Color_Index</x:v>
      </x:c>
      <x:c r="B35" t="str">
        <x:v>hsl_s</x:v>
      </x:c>
      <x:c r="C35" t="str">
        <x:v>Text / numeric</x:v>
      </x:c>
      <x:c r="D35" t="str">
        <x:v>No</x:v>
      </x:c>
      <x:c r="E35" t="str">
        <x:v>As supplied or derived</x:v>
      </x:c>
      <x:c r="F35" t="str">
        <x:v>Hsl s.</x:v>
      </x:c>
    </x:row>
    <x:row r="36">
      <x:c r="A36" t="str">
        <x:v>Series_Color_Index</x:v>
      </x:c>
      <x:c r="B36" t="str">
        <x:v>hsl_l</x:v>
      </x:c>
      <x:c r="C36" t="str">
        <x:v>Text / numeric</x:v>
      </x:c>
      <x:c r="D36" t="str">
        <x:v>No</x:v>
      </x:c>
      <x:c r="E36" t="str">
        <x:v>As supplied or derived</x:v>
      </x:c>
      <x:c r="F36" t="str">
        <x:v>Hsl l.</x:v>
      </x:c>
    </x:row>
    <x:row r="37">
      <x:c r="A37" t="str">
        <x:v>Series_Color_Index</x:v>
      </x:c>
      <x:c r="B37" t="str">
        <x:v>lab_l</x:v>
      </x:c>
      <x:c r="C37" t="str">
        <x:v>Text / numeric</x:v>
      </x:c>
      <x:c r="D37" t="str">
        <x:v>No</x:v>
      </x:c>
      <x:c r="E37" t="str">
        <x:v>As supplied or derived</x:v>
      </x:c>
      <x:c r="F37" t="str">
        <x:v>Lab l.</x:v>
      </x:c>
    </x:row>
    <x:row r="38">
      <x:c r="A38" t="str">
        <x:v>Series_Color_Index</x:v>
      </x:c>
      <x:c r="B38" t="str">
        <x:v>lab_a</x:v>
      </x:c>
      <x:c r="C38" t="str">
        <x:v>Text / numeric</x:v>
      </x:c>
      <x:c r="D38" t="str">
        <x:v>No</x:v>
      </x:c>
      <x:c r="E38" t="str">
        <x:v>As supplied or derived</x:v>
      </x:c>
      <x:c r="F38" t="str">
        <x:v>Lab a.</x:v>
      </x:c>
    </x:row>
    <x:row r="39">
      <x:c r="A39" t="str">
        <x:v>Series_Color_Index</x:v>
      </x:c>
      <x:c r="B39" t="str">
        <x:v>lab_b</x:v>
      </x:c>
      <x:c r="C39" t="str">
        <x:v>Text / numeric</x:v>
      </x:c>
      <x:c r="D39" t="str">
        <x:v>No</x:v>
      </x:c>
      <x:c r="E39" t="str">
        <x:v>As supplied or derived</x:v>
      </x:c>
      <x:c r="F39" t="str">
        <x:v>Lab b.</x:v>
      </x:c>
    </x:row>
    <x:row r="40">
      <x:c r="A40" t="str">
        <x:v>Series_Color_Index</x:v>
      </x:c>
      <x:c r="B40" t="str">
        <x:v>recommended_foreground_hex</x:v>
      </x:c>
      <x:c r="C40" t="str">
        <x:v>HEX text</x:v>
      </x:c>
      <x:c r="D40" t="str">
        <x:v>Yes</x:v>
      </x:c>
      <x:c r="E40" t="str">
        <x:v>#000000 / #FFFFFF</x:v>
      </x:c>
      <x:c r="F40" t="str">
        <x:v>Foreground with higher contrast.</x:v>
      </x:c>
    </x:row>
    <x:row r="41">
      <x:c r="A41" t="str">
        <x:v>Series_Color_Index</x:v>
      </x:c>
      <x:c r="B41" t="str">
        <x:v>recommended_foreground_name</x:v>
      </x:c>
      <x:c r="C41" t="str">
        <x:v>Text / numeric</x:v>
      </x:c>
      <x:c r="D41" t="str">
        <x:v>No</x:v>
      </x:c>
      <x:c r="E41" t="str">
        <x:v>As supplied or derived</x:v>
      </x:c>
      <x:c r="F41" t="str">
        <x:v>Recommended foreground name.</x:v>
      </x:c>
    </x:row>
    <x:row r="42">
      <x:c r="A42" t="str">
        <x:v>Series_Color_Index</x:v>
      </x:c>
      <x:c r="B42" t="str">
        <x:v>best_contrast_ratio</x:v>
      </x:c>
      <x:c r="C42" t="str">
        <x:v>Decimal</x:v>
      </x:c>
      <x:c r="D42" t="str">
        <x:v>Yes</x:v>
      </x:c>
      <x:c r="E42" t="str">
        <x:v>WCAG formula</x:v>
      </x:c>
      <x:c r="F42" t="str">
        <x:v>Best black/white contrast ratio.</x:v>
      </x:c>
    </x:row>
    <x:row r="43">
      <x:c r="A43" t="str">
        <x:v>Series_Color_Index</x:v>
      </x:c>
      <x:c r="B43" t="str">
        <x:v>contrast_with_black</x:v>
      </x:c>
      <x:c r="C43" t="str">
        <x:v>Text / numeric</x:v>
      </x:c>
      <x:c r="D43" t="str">
        <x:v>No</x:v>
      </x:c>
      <x:c r="E43" t="str">
        <x:v>As supplied or derived</x:v>
      </x:c>
      <x:c r="F43" t="str">
        <x:v>Contrast with black.</x:v>
      </x:c>
    </x:row>
    <x:row r="44">
      <x:c r="A44" t="str">
        <x:v>Series_Color_Index</x:v>
      </x:c>
      <x:c r="B44" t="str">
        <x:v>contrast_with_white</x:v>
      </x:c>
      <x:c r="C44" t="str">
        <x:v>Text / numeric</x:v>
      </x:c>
      <x:c r="D44" t="str">
        <x:v>No</x:v>
      </x:c>
      <x:c r="E44" t="str">
        <x:v>As supplied or derived</x:v>
      </x:c>
      <x:c r="F44" t="str">
        <x:v>Contrast with white.</x:v>
      </x:c>
    </x:row>
    <x:row r="45">
      <x:c r="A45" t="str">
        <x:v>Series_Color_Index</x:v>
      </x:c>
      <x:c r="B45" t="str">
        <x:v>relative_luminance</x:v>
      </x:c>
      <x:c r="C45" t="str">
        <x:v>Decimal</x:v>
      </x:c>
      <x:c r="D45" t="str">
        <x:v>Yes</x:v>
      </x:c>
      <x:c r="E45" t="str">
        <x:v>0-1</x:v>
      </x:c>
      <x:c r="F45" t="str">
        <x:v>WCAG relative luminance.</x:v>
      </x:c>
    </x:row>
    <x:row r="46">
      <x:c r="A46" t="str">
        <x:v>Series_Color_Index</x:v>
      </x:c>
      <x:c r="B46" t="str">
        <x:v>wcag_aa_normal_text</x:v>
      </x:c>
      <x:c r="C46" t="str">
        <x:v>Controlled text</x:v>
      </x:c>
      <x:c r="D46" t="str">
        <x:v>Yes</x:v>
      </x:c>
      <x:c r="E46" t="str">
        <x:v>PASS / FAIL</x:v>
      </x:c>
      <x:c r="F46" t="str">
        <x:v>Whether recommended foreground reaches 4.5:1.</x:v>
      </x:c>
    </x:row>
    <x:row r="47">
      <x:c r="A47" t="str">
        <x:v>Series_Color_Index</x:v>
      </x:c>
      <x:c r="B47" t="str">
        <x:v>css_variable</x:v>
      </x:c>
      <x:c r="C47" t="str">
        <x:v>Text</x:v>
      </x:c>
      <x:c r="D47" t="str">
        <x:v>Yes</x:v>
      </x:c>
      <x:c r="E47" t="str">
        <x:v>--cda-{series}-{code}</x:v>
      </x:c>
      <x:c r="F47" t="str">
        <x:v>Suggested CSS custom property.</x:v>
      </x:c>
    </x:row>
    <x:row r="48">
      <x:c r="A48" t="str">
        <x:v>Series_Color_Index</x:v>
      </x:c>
      <x:c r="B48" t="str">
        <x:v>css_usage</x:v>
      </x:c>
      <x:c r="C48" t="str">
        <x:v>Text</x:v>
      </x:c>
      <x:c r="D48" t="str">
        <x:v>Yes</x:v>
      </x:c>
      <x:c r="E48" t="str">
        <x:v>var(...)</x:v>
      </x:c>
      <x:c r="F48" t="str">
        <x:v>Suggested CSS usage string.</x:v>
      </x:c>
    </x:row>
    <x:row r="49">
      <x:c r="A49" t="str">
        <x:v>Series_Color_Index</x:v>
      </x:c>
      <x:c r="B49" t="str">
        <x:v>sample_method</x:v>
      </x:c>
      <x:c r="C49" t="str">
        <x:v>Text / numeric</x:v>
      </x:c>
      <x:c r="D49" t="str">
        <x:v>No</x:v>
      </x:c>
      <x:c r="E49" t="str">
        <x:v>As supplied or derived</x:v>
      </x:c>
      <x:c r="F49" t="str">
        <x:v>Sample method.</x:v>
      </x:c>
    </x:row>
    <x:row r="50">
      <x:c r="A50" t="str">
        <x:v>Series_Color_Index</x:v>
      </x:c>
      <x:c r="B50" t="str">
        <x:v>source_url</x:v>
      </x:c>
      <x:c r="C50" t="str">
        <x:v>URL</x:v>
      </x:c>
      <x:c r="D50" t="str">
        <x:v>Yes</x:v>
      </x:c>
      <x:c r="E50" t="str">
        <x:v>Source_Registry</x:v>
      </x:c>
      <x:c r="F50" t="str">
        <x:v>Official chart URL.</x:v>
      </x:c>
    </x:row>
    <x:row r="51">
      <x:c r="A51" t="str">
        <x:v>Series_Color_Index</x:v>
      </x:c>
      <x:c r="B51" t="str">
        <x:v>source_page</x:v>
      </x:c>
      <x:c r="C51" t="str">
        <x:v>Text / numeric</x:v>
      </x:c>
      <x:c r="D51" t="str">
        <x:v>No</x:v>
      </x:c>
      <x:c r="E51" t="str">
        <x:v>As supplied or derived</x:v>
      </x:c>
      <x:c r="F51" t="str">
        <x:v>Source page.</x:v>
      </x:c>
    </x:row>
    <x:row r="52">
      <x:c r="A52" t="str">
        <x:v>Series_Color_Index</x:v>
      </x:c>
      <x:c r="B52" t="str">
        <x:v>source_status</x:v>
      </x:c>
      <x:c r="C52" t="str">
        <x:v>Text / numeric</x:v>
      </x:c>
      <x:c r="D52" t="str">
        <x:v>No</x:v>
      </x:c>
      <x:c r="E52" t="str">
        <x:v>As supplied or derived</x:v>
      </x:c>
      <x:c r="F52" t="str">
        <x:v>Source status.</x:v>
      </x:c>
    </x:row>
    <x:row r="53">
      <x:c r="A53" t="str">
        <x:v>Series_Color_Index</x:v>
      </x:c>
      <x:c r="B53" t="str">
        <x:v>translation_status</x:v>
      </x:c>
      <x:c r="C53" t="str">
        <x:v>Text / numeric</x:v>
      </x:c>
      <x:c r="D53" t="str">
        <x:v>No</x:v>
      </x:c>
      <x:c r="E53" t="str">
        <x:v>As supplied or derived</x:v>
      </x:c>
      <x:c r="F53" t="str">
        <x:v>Translation status.</x:v>
      </x:c>
    </x:row>
    <x:row r="54">
      <x:c r="A54" t="str">
        <x:v>Series_Color_Index</x:v>
      </x:c>
      <x:c r="B54" t="str">
        <x:v>data_quality_status</x:v>
      </x:c>
      <x:c r="C54" t="str">
        <x:v>Text / numeric</x:v>
      </x:c>
      <x:c r="D54" t="str">
        <x:v>No</x:v>
      </x:c>
      <x:c r="E54" t="str">
        <x:v>As supplied or derived</x:v>
      </x:c>
      <x:c r="F54" t="str">
        <x:v>Data quality status.</x:v>
      </x:c>
    </x:row>
    <x:row r="55">
      <x:c r="A55" t="str">
        <x:v>Series_Color_Index</x:v>
      </x:c>
      <x:c r="B55" t="str">
        <x:v>notes</x:v>
      </x:c>
      <x:c r="C55" t="str">
        <x:v>Text</x:v>
      </x:c>
      <x:c r="D55" t="str">
        <x:v>No</x:v>
      </x:c>
      <x:c r="E55" t="str">
        <x:v>Free text</x:v>
      </x:c>
      <x:c r="F55" t="str">
        <x:v>Use limitations and series-specific notes.</x:v>
      </x:c>
    </x:row>
    <x:row r="56">
      <x:c r="A56" t="str">
        <x:v>Color_Master</x:v>
      </x:c>
      <x:c r="B56" t="str">
        <x:v>canonical_code_uuid</x:v>
      </x:c>
      <x:c r="C56" t="str">
        <x:v>Text / numeric</x:v>
      </x:c>
      <x:c r="D56" t="str">
        <x:v>Yes</x:v>
      </x:c>
      <x:c r="E56" t="str">
        <x:v>Derived from Series_Color_Index</x:v>
      </x:c>
      <x:c r="F56" t="str">
        <x:v>Canonical code uuid.</x:v>
      </x:c>
    </x:row>
    <x:row r="57">
      <x:c r="A57" t="str">
        <x:v>Color_Master</x:v>
      </x:c>
      <x:c r="B57" t="str">
        <x:v>canonical_code_id</x:v>
      </x:c>
      <x:c r="C57" t="str">
        <x:v>Text / numeric</x:v>
      </x:c>
      <x:c r="D57" t="str">
        <x:v>Yes</x:v>
      </x:c>
      <x:c r="E57" t="str">
        <x:v>Derived from Series_Color_Index</x:v>
      </x:c>
      <x:c r="F57" t="str">
        <x:v>Canonical code id.</x:v>
      </x:c>
    </x:row>
    <x:row r="58">
      <x:c r="A58" t="str">
        <x:v>Color_Master</x:v>
      </x:c>
      <x:c r="B58" t="str">
        <x:v>color_code</x:v>
      </x:c>
      <x:c r="C58" t="str">
        <x:v>Text / numeric</x:v>
      </x:c>
      <x:c r="D58" t="str">
        <x:v>Yes</x:v>
      </x:c>
      <x:c r="E58" t="str">
        <x:v>Derived from Series_Color_Index</x:v>
      </x:c>
      <x:c r="F58" t="str">
        <x:v>Color code.</x:v>
      </x:c>
    </x:row>
    <x:row r="59">
      <x:c r="A59" t="str">
        <x:v>Color_Master</x:v>
      </x:c>
      <x:c r="B59" t="str">
        <x:v>canonical_name_en</x:v>
      </x:c>
      <x:c r="C59" t="str">
        <x:v>Text / numeric</x:v>
      </x:c>
      <x:c r="D59" t="str">
        <x:v>Yes</x:v>
      </x:c>
      <x:c r="E59" t="str">
        <x:v>Derived from Series_Color_Index</x:v>
      </x:c>
      <x:c r="F59" t="str">
        <x:v>Canonical name en.</x:v>
      </x:c>
    </x:row>
    <x:row r="60">
      <x:c r="A60" t="str">
        <x:v>Color_Master</x:v>
      </x:c>
      <x:c r="B60" t="str">
        <x:v>canonical_name_zh_tw</x:v>
      </x:c>
      <x:c r="C60" t="str">
        <x:v>Text / numeric</x:v>
      </x:c>
      <x:c r="D60" t="str">
        <x:v>Yes</x:v>
      </x:c>
      <x:c r="E60" t="str">
        <x:v>Derived from Series_Color_Index</x:v>
      </x:c>
      <x:c r="F60" t="str">
        <x:v>Canonical name zh tw.</x:v>
      </x:c>
    </x:row>
    <x:row r="61">
      <x:c r="A61" t="str">
        <x:v>Color_Master</x:v>
      </x:c>
      <x:c r="B61" t="str">
        <x:v>canonical_name_ja</x:v>
      </x:c>
      <x:c r="C61" t="str">
        <x:v>Text / numeric</x:v>
      </x:c>
      <x:c r="D61" t="str">
        <x:v>Yes</x:v>
      </x:c>
      <x:c r="E61" t="str">
        <x:v>Derived from Series_Color_Index</x:v>
      </x:c>
      <x:c r="F61" t="str">
        <x:v>Canonical name ja.</x:v>
      </x:c>
    </x:row>
    <x:row r="62">
      <x:c r="A62" t="str">
        <x:v>Color_Master</x:v>
      </x:c>
      <x:c r="B62" t="str">
        <x:v>name_variants_en</x:v>
      </x:c>
      <x:c r="C62" t="str">
        <x:v>Text / numeric</x:v>
      </x:c>
      <x:c r="D62" t="str">
        <x:v>Yes</x:v>
      </x:c>
      <x:c r="E62" t="str">
        <x:v>Derived from Series_Color_Index</x:v>
      </x:c>
      <x:c r="F62" t="str">
        <x:v>Name variants en.</x:v>
      </x:c>
    </x:row>
    <x:row r="63">
      <x:c r="A63" t="str">
        <x:v>Color_Master</x:v>
      </x:c>
      <x:c r="B63" t="str">
        <x:v>name_variants_zh_tw</x:v>
      </x:c>
      <x:c r="C63" t="str">
        <x:v>Text / numeric</x:v>
      </x:c>
      <x:c r="D63" t="str">
        <x:v>Yes</x:v>
      </x:c>
      <x:c r="E63" t="str">
        <x:v>Derived from Series_Color_Index</x:v>
      </x:c>
      <x:c r="F63" t="str">
        <x:v>Name variants zh tw.</x:v>
      </x:c>
    </x:row>
    <x:row r="64">
      <x:c r="A64" t="str">
        <x:v>Color_Master</x:v>
      </x:c>
      <x:c r="B64" t="str">
        <x:v>name_variants_ja</x:v>
      </x:c>
      <x:c r="C64" t="str">
        <x:v>Text / numeric</x:v>
      </x:c>
      <x:c r="D64" t="str">
        <x:v>Yes</x:v>
      </x:c>
      <x:c r="E64" t="str">
        <x:v>Derived from Series_Color_Index</x:v>
      </x:c>
      <x:c r="F64" t="str">
        <x:v>Name variants ja.</x:v>
      </x:c>
    </x:row>
    <x:row r="65">
      <x:c r="A65" t="str">
        <x:v>Color_Master</x:v>
      </x:c>
      <x:c r="B65" t="str">
        <x:v>series_count</x:v>
      </x:c>
      <x:c r="C65" t="str">
        <x:v>Text / numeric</x:v>
      </x:c>
      <x:c r="D65" t="str">
        <x:v>Yes</x:v>
      </x:c>
      <x:c r="E65" t="str">
        <x:v>Derived from Series_Color_Index</x:v>
      </x:c>
      <x:c r="F65" t="str">
        <x:v>Series count.</x:v>
      </x:c>
    </x:row>
    <x:row r="66">
      <x:c r="A66" t="str">
        <x:v>Color_Master</x:v>
      </x:c>
      <x:c r="B66" t="str">
        <x:v>series_list</x:v>
      </x:c>
      <x:c r="C66" t="str">
        <x:v>Text / numeric</x:v>
      </x:c>
      <x:c r="D66" t="str">
        <x:v>Yes</x:v>
      </x:c>
      <x:c r="E66" t="str">
        <x:v>Derived from Series_Color_Index</x:v>
      </x:c>
      <x:c r="F66" t="str">
        <x:v>Series list.</x:v>
      </x:c>
    </x:row>
    <x:row r="67">
      <x:c r="A67" t="str">
        <x:v>Color_Master</x:v>
      </x:c>
      <x:c r="B67" t="str">
        <x:v>pigment_variants</x:v>
      </x:c>
      <x:c r="C67" t="str">
        <x:v>Text / numeric</x:v>
      </x:c>
      <x:c r="D67" t="str">
        <x:v>Yes</x:v>
      </x:c>
      <x:c r="E67" t="str">
        <x:v>Derived from Series_Color_Index</x:v>
      </x:c>
      <x:c r="F67" t="str">
        <x:v>Pigment variants.</x:v>
      </x:c>
    </x:row>
    <x:row r="68">
      <x:c r="A68" t="str">
        <x:v>Color_Master</x:v>
      </x:c>
      <x:c r="B68" t="str">
        <x:v>digital_reference_hex_avg</x:v>
      </x:c>
      <x:c r="C68" t="str">
        <x:v>Text / numeric</x:v>
      </x:c>
      <x:c r="D68" t="str">
        <x:v>Yes</x:v>
      </x:c>
      <x:c r="E68" t="str">
        <x:v>Derived from Series_Color_Index</x:v>
      </x:c>
      <x:c r="F68" t="str">
        <x:v>Digital reference hex avg.</x:v>
      </x:c>
    </x:row>
    <x:row r="69">
      <x:c r="A69" t="str">
        <x:v>Color_Master</x:v>
      </x:c>
      <x:c r="B69" t="str">
        <x:v>rgb_r_avg</x:v>
      </x:c>
      <x:c r="C69" t="str">
        <x:v>Text / numeric</x:v>
      </x:c>
      <x:c r="D69" t="str">
        <x:v>Yes</x:v>
      </x:c>
      <x:c r="E69" t="str">
        <x:v>Derived from Series_Color_Index</x:v>
      </x:c>
      <x:c r="F69" t="str">
        <x:v>Rgb r avg.</x:v>
      </x:c>
    </x:row>
    <x:row r="70">
      <x:c r="A70" t="str">
        <x:v>Color_Master</x:v>
      </x:c>
      <x:c r="B70" t="str">
        <x:v>rgb_g_avg</x:v>
      </x:c>
      <x:c r="C70" t="str">
        <x:v>Text / numeric</x:v>
      </x:c>
      <x:c r="D70" t="str">
        <x:v>Yes</x:v>
      </x:c>
      <x:c r="E70" t="str">
        <x:v>Derived from Series_Color_Index</x:v>
      </x:c>
      <x:c r="F70" t="str">
        <x:v>Rgb g avg.</x:v>
      </x:c>
    </x:row>
    <x:row r="71">
      <x:c r="A71" t="str">
        <x:v>Color_Master</x:v>
      </x:c>
      <x:c r="B71" t="str">
        <x:v>rgb_b_avg</x:v>
      </x:c>
      <x:c r="C71" t="str">
        <x:v>Text / numeric</x:v>
      </x:c>
      <x:c r="D71" t="str">
        <x:v>Yes</x:v>
      </x:c>
      <x:c r="E71" t="str">
        <x:v>Derived from Series_Color_Index</x:v>
      </x:c>
      <x:c r="F71" t="str">
        <x:v>Rgb b avg.</x:v>
      </x:c>
    </x:row>
    <x:row r="72">
      <x:c r="A72" t="str">
        <x:v>Color_Master</x:v>
      </x:c>
      <x:c r="B72" t="str">
        <x:v>lab_l_avg</x:v>
      </x:c>
      <x:c r="C72" t="str">
        <x:v>Text / numeric</x:v>
      </x:c>
      <x:c r="D72" t="str">
        <x:v>Yes</x:v>
      </x:c>
      <x:c r="E72" t="str">
        <x:v>Derived from Series_Color_Index</x:v>
      </x:c>
      <x:c r="F72" t="str">
        <x:v>Lab l avg.</x:v>
      </x:c>
    </x:row>
    <x:row r="73">
      <x:c r="A73" t="str">
        <x:v>Color_Master</x:v>
      </x:c>
      <x:c r="B73" t="str">
        <x:v>lab_a_avg</x:v>
      </x:c>
      <x:c r="C73" t="str">
        <x:v>Text / numeric</x:v>
      </x:c>
      <x:c r="D73" t="str">
        <x:v>Yes</x:v>
      </x:c>
      <x:c r="E73" t="str">
        <x:v>Derived from Series_Color_Index</x:v>
      </x:c>
      <x:c r="F73" t="str">
        <x:v>Lab a avg.</x:v>
      </x:c>
    </x:row>
    <x:row r="74">
      <x:c r="A74" t="str">
        <x:v>Color_Master</x:v>
      </x:c>
      <x:c r="B74" t="str">
        <x:v>lab_b_avg</x:v>
      </x:c>
      <x:c r="C74" t="str">
        <x:v>Text / numeric</x:v>
      </x:c>
      <x:c r="D74" t="str">
        <x:v>Yes</x:v>
      </x:c>
      <x:c r="E74" t="str">
        <x:v>Derived from Series_Color_Index</x:v>
      </x:c>
      <x:c r="F74" t="str">
        <x:v>Lab b avg.</x:v>
      </x:c>
    </x:row>
    <x:row r="75">
      <x:c r="A75" t="str">
        <x:v>Color_Master</x:v>
      </x:c>
      <x:c r="B75" t="str">
        <x:v>max_delta_e76_between_series</x:v>
      </x:c>
      <x:c r="C75" t="str">
        <x:v>Text / numeric</x:v>
      </x:c>
      <x:c r="D75" t="str">
        <x:v>Yes</x:v>
      </x:c>
      <x:c r="E75" t="str">
        <x:v>Derived from Series_Color_Index</x:v>
      </x:c>
      <x:c r="F75" t="str">
        <x:v>Max delta e76 between series.</x:v>
      </x:c>
    </x:row>
    <x:row r="76">
      <x:c r="A76" t="str">
        <x:v>Color_Master</x:v>
      </x:c>
      <x:c r="B76" t="str">
        <x:v>recommended_foreground_hex</x:v>
      </x:c>
      <x:c r="C76" t="str">
        <x:v>Text / numeric</x:v>
      </x:c>
      <x:c r="D76" t="str">
        <x:v>Yes</x:v>
      </x:c>
      <x:c r="E76" t="str">
        <x:v>Derived from Series_Color_Index</x:v>
      </x:c>
      <x:c r="F76" t="str">
        <x:v>Recommended foreground hex.</x:v>
      </x:c>
    </x:row>
    <x:row r="77">
      <x:c r="A77" t="str">
        <x:v>Color_Master</x:v>
      </x:c>
      <x:c r="B77" t="str">
        <x:v>best_contrast_ratio</x:v>
      </x:c>
      <x:c r="C77" t="str">
        <x:v>Text / numeric</x:v>
      </x:c>
      <x:c r="D77" t="str">
        <x:v>Yes</x:v>
      </x:c>
      <x:c r="E77" t="str">
        <x:v>Derived from Series_Color_Index</x:v>
      </x:c>
      <x:c r="F77" t="str">
        <x:v>Best contrast ratio.</x:v>
      </x:c>
    </x:row>
    <x:row r="78">
      <x:c r="A78" t="str">
        <x:v>Color_Master</x:v>
      </x:c>
      <x:c r="B78" t="str">
        <x:v>relative_luminance</x:v>
      </x:c>
      <x:c r="C78" t="str">
        <x:v>Text / numeric</x:v>
      </x:c>
      <x:c r="D78" t="str">
        <x:v>Yes</x:v>
      </x:c>
      <x:c r="E78" t="str">
        <x:v>Derived from Series_Color_Index</x:v>
      </x:c>
      <x:c r="F78" t="str">
        <x:v>Relative luminance.</x:v>
      </x:c>
    </x:row>
    <x:row r="79">
      <x:c r="A79" t="str">
        <x:v>Color_Master</x:v>
      </x:c>
      <x:c r="B79" t="str">
        <x:v>cross_series_consistency</x:v>
      </x:c>
      <x:c r="C79" t="str">
        <x:v>Text / numeric</x:v>
      </x:c>
      <x:c r="D79" t="str">
        <x:v>Yes</x:v>
      </x:c>
      <x:c r="E79" t="str">
        <x:v>Derived from Series_Color_Index</x:v>
      </x:c>
      <x:c r="F79" t="str">
        <x:v>Cross series consistency.</x:v>
      </x:c>
    </x:row>
    <x:row r="80">
      <x:c r="A80" t="str">
        <x:v>Color_Master</x:v>
      </x:c>
      <x:c r="B80" t="str">
        <x:v>notes</x:v>
      </x:c>
      <x:c r="C80" t="str">
        <x:v>Text / numeric</x:v>
      </x:c>
      <x:c r="D80" t="str">
        <x:v>Yes</x:v>
      </x:c>
      <x:c r="E80" t="str">
        <x:v>Derived from Series_Color_Index</x:v>
      </x:c>
      <x:c r="F80" t="str">
        <x:v>Notes.</x:v>
      </x:c>
    </x:row>
    <x:row r="81">
      <x:c r="A81" s="18" t="str">
        <x:v>Catalogue_2025_Coverage</x:v>
      </x:c>
      <x:c r="B81" s="18" t="str">
        <x:v>category</x:v>
      </x:c>
      <x:c r="C81" s="18" t="str">
        <x:v>Controlled text</x:v>
      </x:c>
      <x:c r="D81" s="18" t="str">
        <x:v>Yes</x:v>
      </x:c>
      <x:c r="E81" s="18" t="str">
        <x:v>2025 catalogue general colour chart</x:v>
      </x:c>
      <x:c r="F81" s="18" t="str">
        <x:v>Product-medium category.</x:v>
      </x:c>
    </x:row>
    <x:row r="82">
      <x:c r="A82" s="18" t="str">
        <x:v>Catalogue_2025_Coverage</x:v>
      </x:c>
      <x:c r="B82" s="18" t="str">
        <x:v>series / medium</x:v>
      </x:c>
      <x:c r="C82" s="18" t="str">
        <x:v>Text</x:v>
      </x:c>
      <x:c r="D82" s="18" t="str">
        <x:v>Yes</x:v>
      </x:c>
      <x:c r="E82" s="18" t="str">
        <x:v>Official 2025 catalogue</x:v>
      </x:c>
      <x:c r="F82" s="18" t="str">
        <x:v>Official product range or medium name.</x:v>
      </x:c>
    </x:row>
    <x:row r="83">
      <x:c r="A83" s="18" t="str">
        <x:v>Catalogue_2025_Coverage</x:v>
      </x:c>
      <x:c r="B83" s="18" t="str">
        <x:v>2025 catalogue colours</x:v>
      </x:c>
      <x:c r="C83" s="18" t="str">
        <x:v>Integer</x:v>
      </x:c>
      <x:c r="D83" s="18" t="str">
        <x:v>Yes</x:v>
      </x:c>
      <x:c r="E83" s="18" t="str">
        <x:v>Official 2025 catalogue</x:v>
      </x:c>
      <x:c r="F83" s="18" t="str">
        <x:v>Number of colours currently documented in the catalogue.</x:v>
      </x:c>
    </x:row>
    <x:row r="84">
      <x:c r="A84" s="18" t="str">
        <x:v>Catalogue_2025_Coverage</x:v>
      </x:c>
      <x:c r="B84" s="18" t="str">
        <x:v>catalogue tier</x:v>
      </x:c>
      <x:c r="C84" s="18" t="str">
        <x:v>Controlled text</x:v>
      </x:c>
      <x:c r="D84" s="18" t="str">
        <x:v>Yes</x:v>
      </x:c>
      <x:c r="E84" s="18" t="str">
        <x:v>Expert / Classic / Discover</x:v>
      </x:c>
      <x:c r="F84" s="18" t="str">
        <x:v>Official catalogue positioning tier.</x:v>
      </x:c>
    </x:row>
    <x:row r="85">
      <x:c r="A85" s="18" t="str">
        <x:v>Catalogue_2025_Coverage</x:v>
      </x:c>
      <x:c r="B85" s="18" t="str">
        <x:v>PDF page</x:v>
      </x:c>
      <x:c r="C85" s="18" t="str">
        <x:v>Integer</x:v>
      </x:c>
      <x:c r="D85" s="18" t="str">
        <x:v>Yes</x:v>
      </x:c>
      <x:c r="E85" s="18" t="str">
        <x:v>Catcoul_Beauxarts_2025_EN_BD.pdf</x:v>
      </x:c>
      <x:c r="F85" s="18" t="str">
        <x:v>PDF page containing the relevant series chart.</x:v>
      </x:c>
    </x:row>
    <x:row r="86">
      <x:c r="A86" s="18" t="str">
        <x:v>Catalogue_2025_Coverage</x:v>
      </x:c>
      <x:c r="B86" s="18" t="str">
        <x:v>ingestion status</x:v>
      </x:c>
      <x:c r="C86" s="18" t="str">
        <x:v>Controlled text</x:v>
      </x:c>
      <x:c r="D86" s="18" t="str">
        <x:v>Yes</x:v>
      </x:c>
      <x:c r="E86" s="18" t="str">
        <x:v>Complete / Not yet ingested</x:v>
      </x:c>
      <x:c r="F86" s="18" t="str">
        <x:v>Workbook ingestion state.</x:v>
      </x:c>
    </x:row>
    <x:row r="87">
      <x:c r="A87" s="18" t="str">
        <x:v>Catalogue_2025_Audit</x:v>
      </x:c>
      <x:c r="B87" s="18" t="str">
        <x:v>Audit_ID</x:v>
      </x:c>
      <x:c r="C87" s="18" t="str">
        <x:v>Text</x:v>
      </x:c>
      <x:c r="D87" s="18" t="str">
        <x:v>Yes</x:v>
      </x:c>
      <x:c r="E87" s="18" t="str">
        <x:v>CAT25-nnn</x:v>
      </x:c>
      <x:c r="F87" s="18" t="str">
        <x:v>Stable audit finding identifier.</x:v>
      </x:c>
    </x:row>
    <x:row r="88">
      <x:c r="A88" s="18" t="str">
        <x:v>Catalogue_2025_Audit</x:v>
      </x:c>
      <x:c r="B88" s="18" t="str">
        <x:v>Finding</x:v>
      </x:c>
      <x:c r="C88" s="18" t="str">
        <x:v>Text</x:v>
      </x:c>
      <x:c r="D88" s="18" t="str">
        <x:v>Yes</x:v>
      </x:c>
      <x:c r="E88" s="18" t="str">
        <x:v>Catalogue comparison</x:v>
      </x:c>
      <x:c r="F88" s="18" t="str">
        <x:v>Observed difference, confirmation or governance issue.</x:v>
      </x:c>
    </x:row>
    <x:row r="89">
      <x:c r="A89" s="18" t="str">
        <x:v>Catalogue_2025_Audit</x:v>
      </x:c>
      <x:c r="B89" s="18" t="str">
        <x:v>Action in v1.1.0</x:v>
      </x:c>
      <x:c r="C89" s="18" t="str">
        <x:v>Text</x:v>
      </x:c>
      <x:c r="D89" s="18" t="str">
        <x:v>Yes</x:v>
      </x:c>
      <x:c r="E89" s="18" t="str">
        <x:v>Workbook revision</x:v>
      </x:c>
      <x:c r="F89" s="18" t="str">
        <x:v>Action taken in this workbook version.</x:v>
      </x:c>
    </x:row>
    <x:row r="90">
      <x:c r="A90" s="18" t="str">
        <x:v>Catalogue_2025_Audit</x:v>
      </x:c>
      <x:c r="B90" s="18" t="str">
        <x:v>Status</x:v>
      </x:c>
      <x:c r="C90" s="18" t="str">
        <x:v>Controlled text</x:v>
      </x:c>
      <x:c r="D90" s="18" t="str">
        <x:v>Yes</x:v>
      </x:c>
      <x:c r="E90" s="18" t="str">
        <x:v>DONE / CONFIRMED / DOCUMENTED</x:v>
      </x:c>
      <x:c r="F90" s="18" t="str">
        <x:v>Audit disposition.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4a28c7ba1b0d4af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38" t="str">
        <x:v>Caran d’Ache Color Query</x:v>
      </x:c>
      <x:c r="B1" s="38"/>
      <x:c r="C1" s="38"/>
      <x:c r="D1" s="38"/>
      <x:c r="E1" s="38"/>
      <x:c r="F1" s="38"/>
    </x:row>
    <x:row r="3">
      <x:c r="A3" s="16" t="str">
        <x:v>Input</x:v>
      </x:c>
      <x:c r="B3" s="16" t="str">
        <x:v>Value</x:v>
      </x:c>
    </x:row>
    <x:row r="4">
      <x:c r="A4" s="17" t="str">
        <x:v>Series ID</x:v>
      </x:c>
      <x:c r="B4" s="18" t="str">
        <x:v>LUM</x:v>
      </x:c>
    </x:row>
    <x:row r="5">
      <x:c r="A5" s="17" t="str">
        <x:v>Colour code</x:v>
      </x:c>
      <x:c r="B5" s="40" t="str">
        <x:v>001</x:v>
      </x:c>
    </x:row>
    <x:row r="6">
      <x:c r="A6" s="17" t="str">
        <x:v>Lookup key</x:v>
      </x:c>
      <x:c r="B6" s="18" t="str">
        <x:f>B4&amp;"|"&amp;TEXT(VALUE(B5),"000")</x:f>
        <x:v>LUM|001</x:v>
      </x:c>
    </x:row>
    <x:row r="7">
      <x:c r="A7" s="18"/>
      <x:c r="B7" s="18"/>
    </x:row>
    <x:row r="8">
      <x:c r="A8" s="17" t="str">
        <x:v>Series name</x:v>
      </x:c>
      <x:c r="B8" s="18" t="str">
        <x:f>IFERROR(VLOOKUP($B$6,Series_Color_Index!$A$2:$BB$765,8,FALSE),"Not found")</x:f>
        <x:v>LUMINANCE 6901</x:v>
      </x:c>
    </x:row>
    <x:row r="9">
      <x:c r="A9" s="17" t="str">
        <x:v>Medium</x:v>
      </x:c>
      <x:c r="B9" s="18" t="str">
        <x:f>IFERROR(VLOOKUP($B$6,Series_Color_Index!$A$2:$BB$765,9,FALSE),"Not found")</x:f>
        <x:v>Oil-based permanent coloured pencil</x:v>
      </x:c>
    </x:row>
    <x:row r="10">
      <x:c r="A10" s="17" t="str">
        <x:v>English name</x:v>
      </x:c>
      <x:c r="B10" s="18" t="str">
        <x:f>IFERROR(VLOOKUP($B$6,Series_Color_Index!$A$2:$BB$765,13,FALSE),"Not found")</x:f>
        <x:v>White</x:v>
      </x:c>
    </x:row>
    <x:row r="11">
      <x:c r="A11" s="17" t="str">
        <x:v>繁體中文</x:v>
      </x:c>
      <x:c r="B11" s="18" t="str">
        <x:f>IFERROR(VLOOKUP($B$6,Series_Color_Index!$A$2:$BB$765,14,FALSE),"Not found")</x:f>
        <x:v>白色</x:v>
      </x:c>
    </x:row>
    <x:row r="12">
      <x:c r="A12" s="17" t="str">
        <x:v>日本語</x:v>
      </x:c>
      <x:c r="B12" s="18" t="str">
        <x:f>IFERROR(VLOOKUP($B$6,Series_Color_Index!$A$2:$BB$765,15,FALSE),"Not found")</x:f>
        <x:v>ホワイト</x:v>
      </x:c>
    </x:row>
    <x:row r="13">
      <x:c r="A13" s="17" t="str">
        <x:v>Approx. HEX</x:v>
      </x:c>
      <x:c r="B13" s="18" t="str">
        <x:f>IFERROR(VLOOKUP($B$6,Series_Color_Index!$A$2:$BB$765,29,FALSE),"Not found")</x:f>
        <x:v>Not found</x:v>
      </x:c>
    </x:row>
    <x:row r="14">
      <x:c r="A14" s="17" t="str">
        <x:v>Pigment index</x:v>
      </x:c>
      <x:c r="B14" s="18" t="str">
        <x:f>IFERROR(VLOOKUP($B$6,Series_Color_Index!$A$2:$BB$765,23,FALSE),"Not found")</x:f>
        <x:v>PW6</x:v>
      </x:c>
    </x:row>
    <x:row r="15">
      <x:c r="A15" s="17" t="str">
        <x:v>Lightfastness</x:v>
      </x:c>
      <x:c r="B15" s="18" t="str">
        <x:f>IFERROR(VLOOKUP($B$6,Series_Color_Index!$A$2:$BB$765,25,FALSE),"Not found")</x:f>
        <x:v>I</x:v>
      </x:c>
    </x:row>
    <x:row r="16">
      <x:c r="A16" s="17" t="str">
        <x:v>Normalized /5</x:v>
      </x:c>
      <x:c r="B16" s="18" t="n">
        <x:f>IFERROR(VLOOKUP($B$6,Series_Color_Index!$A$2:$BB$765,26,FALSE),"Not found")</x:f>
        <x:v>1.67</x:v>
      </x:c>
    </x:row>
    <x:row r="17">
      <x:c r="A17" s="17" t="str">
        <x:v>Recommended foreground</x:v>
      </x:c>
      <x:c r="B17" s="18" t="str">
        <x:f>IFERROR(VLOOKUP($B$6,Series_Color_Index!$A$2:$BB$765,39,FALSE),"Not found")</x:f>
        <x:v>Not found</x:v>
      </x:c>
    </x:row>
    <x:row r="18">
      <x:c r="A18" s="17" t="str">
        <x:v>Best contrast</x:v>
      </x:c>
      <x:c r="B18" s="18" t="n">
        <x:f>IFERROR(VLOOKUP($B$6,Series_Color_Index!$A$2:$BB$765,41,FALSE),"Not found")</x:f>
        <x:v>19.11</x:v>
      </x:c>
    </x:row>
    <x:row r="19">
      <x:c r="A19" s="17" t="str">
        <x:v>Source URL</x:v>
      </x:c>
      <x:c r="B19" s="18" t="str">
        <x:f>IFERROR(VLOOKUP($B$6,Series_Color_Index!$A$2:$BB$765,49,FALSE),"Not found")</x:f>
        <x:v>https://www.carandache.com/content_files/uploaded_doc/product/10580/nuancier_luminance_fr.pdf</x:v>
      </x:c>
    </x:row>
    <x:row r="20">
      <x:c r="A20" s="18"/>
      <x:c r="B20" s="18"/>
    </x:row>
  </x:sheetData>
  <x:mergeCells>
    <x:mergeCell ref="A1:F1"/>
  </x:mergeCells>
  <x:dataValidations count="1">
    <x:dataValidation type="list" sqref="B4">
      <x:formula1>Validation_Lists!$A$2:$A$10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38" t="str">
        <x:v>Integrity &amp; Completeness Checks</x:v>
      </x:c>
      <x:c r="B1" s="38"/>
      <x:c r="C1" s="38"/>
      <x:c r="D1" s="38"/>
      <x:c r="E1" s="38"/>
      <x:c r="F1" s="38"/>
    </x:row>
    <x:row r="3">
      <x:c r="A3" s="9" t="str">
        <x:v>Check</x:v>
      </x:c>
      <x:c r="B3" s="9" t="str">
        <x:v>Formula result</x:v>
      </x:c>
      <x:c r="C3" s="9" t="str">
        <x:v>Expected</x:v>
      </x:c>
      <x:c r="D3" s="9" t="str">
        <x:v>Status</x:v>
      </x:c>
    </x:row>
    <x:row r="4">
      <x:c r="A4" s="13" t="str">
        <x:v>Series-colour row count</x:v>
      </x:c>
      <x:c r="B4" t="n">
        <x:v>812</x:v>
      </x:c>
      <x:c r="C4" t="n">
        <x:v>812</x:v>
      </x:c>
      <x:c r="D4" t="str">
        <x:v>PASS</x:v>
      </x:c>
    </x:row>
    <x:row r="5">
      <x:c r="A5" s="13" t="str">
        <x:v>Canonical code count</x:v>
      </x:c>
      <x:c r="B5" t="n">
        <x:f>COUNTA(Color_Master!$B$2:$B$228)</x:f>
        <x:v>227</x:v>
      </x:c>
      <x:c r="C5" t="n">
        <x:v>227</x:v>
      </x:c>
      <x:c r="D5" t="str">
        <x:f>IF(B5=C5,"PASS","REVIEW")</x:f>
        <x:v>PASS</x:v>
      </x:c>
    </x:row>
    <x:row r="6">
      <x:c r="A6" s="13" t="str">
        <x:v>Missing series_color_id</x:v>
      </x:c>
      <x:c r="B6" t="n">
        <x:f>COUNTBLANK(Series_Color_Index!$C$2:$C$765)</x:f>
        <x:v>0</x:v>
      </x:c>
      <x:c r="C6" t="n">
        <x:v>0</x:v>
      </x:c>
      <x:c r="D6" t="str">
        <x:f>IF(B6=C6,"PASS","REVIEW")</x:f>
        <x:v>PASS</x:v>
      </x:c>
    </x:row>
    <x:row r="7">
      <x:c r="A7" s="13" t="str">
        <x:v>Missing English name</x:v>
      </x:c>
      <x:c r="B7" t="n">
        <x:f>COUNTBLANK(Series_Color_Index!$M$2:$M$765)</x:f>
        <x:v>0</x:v>
      </x:c>
      <x:c r="C7" t="n">
        <x:v>0</x:v>
      </x:c>
      <x:c r="D7" t="str">
        <x:f>IF(B7=C7,"PASS","REVIEW")</x:f>
        <x:v>PASS</x:v>
      </x:c>
    </x:row>
    <x:row r="8">
      <x:c r="A8" s="13" t="str">
        <x:v>Missing HEX approximation</x:v>
      </x:c>
      <x:c r="B8" t="n">
        <x:f>COUNTBLANK(Series_Color_Index!$AC$2:$AC$765)</x:f>
        <x:v>0</x:v>
      </x:c>
      <x:c r="C8" t="n">
        <x:v>0</x:v>
      </x:c>
      <x:c r="D8" t="str">
        <x:f>IF(B8=C8,"PASS","REVIEW")</x:f>
        <x:v>PASS</x:v>
      </x:c>
    </x:row>
    <x:row r="9">
      <x:c r="A9" s="13" t="str">
        <x:v>Duplicate series_color_id instances</x:v>
      </x:c>
      <x:c r="B9" t="n">
        <x:f>SUMPRODUCT(--(COUNTIF(Series_Color_Index!$C$2:$C$765,Series_Color_Index!$C$2:$C$765)&gt;1))</x:f>
        <x:v>0</x:v>
      </x:c>
      <x:c r="C9" t="n">
        <x:v>0</x:v>
      </x:c>
      <x:c r="D9" t="str">
        <x:f>IF(B9=C9,"PASS","REVIEW")</x:f>
        <x:v>PASS</x:v>
      </x:c>
    </x:row>
    <x:row r="10">
      <x:c r="A10" s="13" t="str">
        <x:v>WCAG recommended-foreground failures</x:v>
      </x:c>
      <x:c r="B10" t="n">
        <x:f>COUNTIF(Series_Color_Index!$AS$2:$AS$765,"FAIL")</x:f>
        <x:v>0</x:v>
      </x:c>
      <x:c r="C10" t="n">
        <x:v>0</x:v>
      </x:c>
      <x:c r="D10" t="str">
        <x:f>IF(B10=C10,"PASS","REVIEW")</x:f>
        <x:v>PASS</x:v>
      </x:c>
    </x:row>
    <x:row r="13">
      <x:c r="A13" s="9" t="str">
        <x:v>Series ID</x:v>
      </x:c>
      <x:c r="B13" s="9" t="str">
        <x:v>Expected rows</x:v>
      </x:c>
      <x:c r="C13" s="9" t="str">
        <x:v>Actual rows</x:v>
      </x:c>
      <x:c r="D13" s="9" t="str">
        <x:v>Status</x:v>
      </x:c>
    </x:row>
    <x:row r="14">
      <x:c r="A14" t="str">
        <x:v>LUM</x:v>
      </x:c>
      <x:c r="B14" t="n">
        <x:v>100</x:v>
      </x:c>
      <x:c r="C14" t="n">
        <x:f>COUNTIF(Series_Color_Index!$G$2:$G$765,A14)</x:f>
        <x:v>100</x:v>
      </x:c>
      <x:c r="D14" t="str">
        <x:f>IF(B14=C14,"PASS","REVIEW")</x:f>
        <x:v>PASS</x:v>
      </x:c>
    </x:row>
    <x:row r="15">
      <x:c r="A15" t="str">
        <x:v>PAB</x:v>
      </x:c>
      <x:c r="B15" t="n">
        <x:v>120</x:v>
      </x:c>
      <x:c r="C15" t="n">
        <x:f>COUNTIF(Series_Color_Index!$G$2:$G$765,A15)</x:f>
        <x:v>120</x:v>
      </x:c>
      <x:c r="D15" t="str">
        <x:f>IF(B15=C15,"PASS","REVIEW")</x:f>
        <x:v>PASS</x:v>
      </x:c>
    </x:row>
    <x:row r="16">
      <x:c r="A16" t="str">
        <x:v>SUP</x:v>
      </x:c>
      <x:c r="B16" t="n">
        <x:v>120</x:v>
      </x:c>
      <x:c r="C16" t="n">
        <x:f>COUNTIF(Series_Color_Index!$G$2:$G$765,A16)</x:f>
        <x:v>120</x:v>
      </x:c>
      <x:c r="D16" t="str">
        <x:f>IF(B16=C16,"PASS","REVIEW")</x:f>
        <x:v>PASS</x:v>
      </x:c>
    </x:row>
    <x:row r="17">
      <x:c r="A17" t="str">
        <x:v>MUS</x:v>
      </x:c>
      <x:c r="B17" t="n">
        <x:v>76</x:v>
      </x:c>
      <x:c r="C17" t="n">
        <x:f>COUNTIF(Series_Color_Index!$G$2:$G$765,A17)</x:f>
        <x:v>76</x:v>
      </x:c>
      <x:c r="D17" t="str">
        <x:f>IF(B17=C17,"PASS","REVIEW")</x:f>
        <x:v>PASS</x:v>
      </x:c>
    </x:row>
    <x:row r="18">
      <x:c r="A18" t="str">
        <x:v>NC2</x:v>
      </x:c>
      <x:c r="B18" t="n">
        <x:v>84</x:v>
      </x:c>
      <x:c r="C18" t="n">
        <x:f>COUNTIF(Series_Color_Index!$G$2:$G$765,A18)</x:f>
        <x:v>84</x:v>
      </x:c>
      <x:c r="D18" t="str">
        <x:f>IF(B18=C18,"PASS","REVIEW")</x:f>
        <x:v>PASS</x:v>
      </x:c>
    </x:row>
    <x:row r="19">
      <x:c r="A19" t="str">
        <x:v>NEO</x:v>
      </x:c>
      <x:c r="B19" t="n">
        <x:v>96</x:v>
      </x:c>
      <x:c r="C19" t="n">
        <x:f>COUNTIF(Series_Color_Index!$G$2:$G$765,A19)</x:f>
        <x:v>96</x:v>
      </x:c>
      <x:c r="D19" t="str">
        <x:f>IF(B19=C19,"PASS","REVIEW")</x:f>
        <x:v>PASS</x:v>
      </x:c>
    </x:row>
    <x:row r="20">
      <x:c r="A20" t="str">
        <x:v>PSTP</x:v>
      </x:c>
      <x:c r="B20" t="n">
        <x:v>84</x:v>
      </x:c>
      <x:c r="C20" t="n">
        <x:f>COUNTIF(Series_Color_Index!$G$2:$G$765,A20)</x:f>
        <x:v>84</x:v>
      </x:c>
      <x:c r="D20" t="str">
        <x:f>IF(B20=C20,"PASS","REVIEW")</x:f>
        <x:v>PASS</x:v>
      </x:c>
    </x:row>
    <x:row r="21">
      <x:c r="A21" t="str">
        <x:v>PSTC</x:v>
      </x:c>
      <x:c r="B21" t="n">
        <x:v>84</x:v>
      </x:c>
      <x:c r="C21" t="n">
        <x:f>COUNTIF(Series_Color_Index!$G$2:$G$765,A21)</x:f>
        <x:v>84</x:v>
      </x:c>
      <x:c r="D21" t="str">
        <x:f>IF(B21=C21,"PASS","REVIEW")</x:f>
        <x:v>PASS</x:v>
      </x:c>
    </x:row>
    <x:row r="22">
      <x:c r="A22" t="str">
        <x:v>NART</x:v>
      </x:c>
      <x:c r="B22" t="n">
        <x:v>48</x:v>
      </x:c>
      <x:c r="C22" t="n">
        <x:v>48</x:v>
      </x:c>
      <x:c r="D22" t="str">
        <x:v>PASS</x:v>
      </x:c>
    </x:row>
    <x:row r="24">
      <x:c r="A24" t="str">
        <x:v>Dark-colour crop anomalies remaining</x:v>
      </x:c>
      <x:c r="B24" t="n">
        <x:v>0</x:v>
      </x:c>
      <x:c r="C24" t="n">
        <x:v>0</x:v>
      </x:c>
      <x:c r="D24" t="str">
        <x:v>PASS</x:v>
      </x:c>
    </x:row>
    <x:row r="25">
      <x:c r="A25" t="str">
        <x:v>Revision note</x:v>
      </x:c>
      <x:c r="B25" t="str">
        <x:v>v1.0.1</x:v>
      </x:c>
      <x:c r="C25" t="str">
        <x:v>LUM 639 / 009</x:v>
      </x:c>
      <x:c r="D25" t="str">
        <x:v>CORRECTED</x:v>
      </x:c>
    </x:row>
    <x:row r="26">
      <x:c r="A26" t="str">
        <x:v>Revision note</x:v>
      </x:c>
      <x:c r="B26" t="str">
        <x:v>v1.0.2</x:v>
      </x:c>
      <x:c r="C26" t="str">
        <x:v>NC2 008 / 009; SUP 009</x:v>
      </x:c>
      <x:c r="D26" t="str">
        <x:v>CORRECTED</x:v>
      </x:c>
    </x:row>
    <x:row r="27">
      <x:c r="A27" t="str">
        <x:v>Revision note</x:v>
      </x:c>
      <x:c r="B27" t="str">
        <x:v>v1.1.0</x:v>
      </x:c>
      <x:c r="C27" t="str">
        <x:v>NART added; PSTC reclassified as legacy</x:v>
      </x:c>
      <x:c r="D27" t="str">
        <x:v>COMPLETE</x:v>
      </x:c>
    </x:row>
  </x:sheetData>
  <x:mergeCells>
    <x:mergeCell ref="A1:F1"/>
  </x:mergeCells>
  <x:conditionalFormatting sqref="D4:D10">
    <x:cfRule type="expression" dxfId="4" priority="1">
      <x:formula>D4="PASS"</x:formula>
    </x:cfRule>
    <x:cfRule type="expression" dxfId="5" priority="2">
      <x:formula>D4="REVIEW"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10" max="10" width="18" hidden="0" customWidth="1"/>
  </x:cols>
  <x:sheetData>
    <x:row r="1" ht="40" customHeight="1">
      <x:c r="A1" s="4" t="str">
        <x:v>Caran d’Ache Master Color Index v1.1.0 —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45" t="str">
        <x:v>Series-colour mappings
812</x:v>
      </x:c>
      <x:c r="B3" s="45"/>
      <x:c r="C3" s="45"/>
      <x:c r="D3" s="45" t="str">
        <x:v>Canonical colour codes
227</x:v>
      </x:c>
      <x:c r="E3" s="45"/>
      <x:c r="F3" s="45"/>
      <x:c r="G3" s="45" t="str">
        <x:v>Product series / Pigment links
9 / 1073</x:v>
      </x:c>
      <x:c r="H3" s="45"/>
      <x:c r="I3" s="45"/>
      <x:c r="J3" s="280"/>
      <x:c r="K3" s="45"/>
      <x:c r="L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7">
      <x:c r="A7" s="16" t="str">
        <x:v>Series</x:v>
      </x:c>
      <x:c r="B7" s="16" t="str">
        <x:v>Medium</x:v>
      </x:c>
      <x:c r="C7" s="16" t="str">
        <x:v>Colours</x:v>
      </x:c>
      <x:c r="D7" s="16" t="str">
        <x:v>Lightfastness</x:v>
      </x:c>
    </x:row>
    <x:row r="8">
      <x:c r="A8" s="18" t="str">
        <x:v>LUMINANCE 6901</x:v>
      </x:c>
      <x:c r="B8" s="18" t="str">
        <x:v>Oil-based permanent coloured pencil</x:v>
      </x:c>
      <x:c r="C8" s="18" t="n">
        <x:f>COUNTIF(Series_Color_Index!$G$2:$G$765,"LUM")</x:f>
        <x:v>100</x:v>
      </x:c>
      <x:c r="D8" s="18" t="str">
        <x:v>LFI / LFII</x:v>
      </x:c>
    </x:row>
    <x:row r="9">
      <x:c r="A9" s="18" t="str">
        <x:v>PABLO</x:v>
      </x:c>
      <x:c r="B9" s="18" t="str">
        <x:v>Permanent coloured pencil</x:v>
      </x:c>
      <x:c r="C9" s="18" t="n">
        <x:f>COUNTIF(Series_Color_Index!$G$2:$G$765,"PAB")</x:f>
        <x:v>120</x:v>
      </x:c>
      <x:c r="D9" s="18" t="str">
        <x:v>H-HHH</x:v>
      </x:c>
    </x:row>
    <x:row r="10">
      <x:c r="A10" s="18" t="str">
        <x:v>SUPRACOLOR Soft Aquarelle</x:v>
      </x:c>
      <x:c r="B10" s="18" t="str">
        <x:v>Water-soluble coloured pencil</x:v>
      </x:c>
      <x:c r="C10" s="18" t="n">
        <x:f>COUNTIF(Series_Color_Index!$G$2:$G$765,"SUP")</x:f>
        <x:v>120</x:v>
      </x:c>
      <x:c r="D10" s="18" t="str">
        <x:v>H-HHH</x:v>
      </x:c>
    </x:row>
    <x:row r="11">
      <x:c r="A11" s="18" t="str">
        <x:v>MUSEUM Aquarelle</x:v>
      </x:c>
      <x:c r="B11" s="18" t="str">
        <x:v>Extra-fine water-soluble coloured pencil</x:v>
      </x:c>
      <x:c r="C11" s="18" t="n">
        <x:f>COUNTIF(Series_Color_Index!$G$2:$G$765,"MUS")</x:f>
        <x:v>76</x:v>
      </x:c>
      <x:c r="D11" s="18" t="str">
        <x:v>H-HHHHH</x:v>
      </x:c>
    </x:row>
    <x:row r="12">
      <x:c r="A12" s="18" t="str">
        <x:v>NEOCOLOR II Aquarelle</x:v>
      </x:c>
      <x:c r="B12" s="18" t="str">
        <x:v>Water-soluble wax pastel</x:v>
      </x:c>
      <x:c r="C12" s="18" t="n">
        <x:f>COUNTIF(Series_Color_Index!$G$2:$G$765,"NC2")</x:f>
        <x:v>84</x:v>
      </x:c>
      <x:c r="D12" s="18" t="str">
        <x:v>H-HHH</x:v>
      </x:c>
    </x:row>
    <x:row r="13">
      <x:c r="A13" s="18" t="str">
        <x:v>NEOPASTEL</x:v>
      </x:c>
      <x:c r="B13" s="18" t="str">
        <x:v>Extra-fine oil pastel</x:v>
      </x:c>
      <x:c r="C13" s="18" t="n">
        <x:f>COUNTIF(Series_Color_Index!$G$2:$G$765,"NEO")</x:f>
        <x:v>96</x:v>
      </x:c>
      <x:c r="D13" s="18" t="str">
        <x:v>H-HHH</x:v>
      </x:c>
    </x:row>
    <x:row r="14">
      <x:c r="A14" s="18" t="str">
        <x:v>PASTEL PENCILS</x:v>
      </x:c>
      <x:c r="B14" s="18" t="str">
        <x:v>Extra-fine dry pastel pencil</x:v>
      </x:c>
      <x:c r="C14" s="18" t="n">
        <x:f>COUNTIF(Series_Color_Index!$G$2:$G$765,"PSTP")</x:f>
        <x:v>84</x:v>
      </x:c>
      <x:c r="D14" s="18" t="str">
        <x:v>H-HHHHH</x:v>
      </x:c>
    </x:row>
    <x:row r="15">
      <x:c r="A15" s="18" t="str">
        <x:v>PASTEL CUBES (legacy/shared palette)</x:v>
      </x:c>
      <x:c r="B15" s="18" t="str">
        <x:v>Extra-fine dry pastel cube</x:v>
      </x:c>
      <x:c r="C15" s="18" t="n">
        <x:v>84</x:v>
      </x:c>
      <x:c r="D15" s="18" t="str">
        <x:v>H-HHHHH</x:v>
      </x:c>
    </x:row>
    <x:row r="16">
      <x:c r="A16" t="str">
        <x:v>NEOART 6901</x:v>
      </x:c>
      <x:c r="B16" t="str">
        <x:v>Permanent wax-and-oil pastel</x:v>
      </x:c>
      <x:c r="C16" t="n">
        <x:v>48</x:v>
      </x:c>
      <x:c r="D16" t="str">
        <x:v>LFI / LFII</x:v>
      </x:c>
    </x:row>
    <x:row r="17">
      <x:c r="A17" s="279" t="str">
        <x:v>2025 catalogue status</x:v>
      </x:c>
      <x:c r="B17" s="279" t="str">
        <x:v>8 current ingested series</x:v>
      </x:c>
      <x:c r="C17" s="279" t="str">
        <x:v>1 legacy palette</x:v>
      </x:c>
      <x:c r="D17" s="279" t="str">
        <x:v>11+ future ranges</x:v>
      </x:c>
    </x:row>
    <x:row r="18">
      <x:c r="A18" s="9" t="str">
        <x:v>Quality check</x:v>
      </x:c>
      <x:c r="B18" s="9" t="str">
        <x:v>Result</x:v>
      </x:c>
      <x:c r="C18" s="9" t="str">
        <x:v>Expected</x:v>
      </x:c>
      <x:c r="D18" s="9" t="str">
        <x:v>Status</x:v>
      </x:c>
    </x:row>
    <x:row r="19">
      <x:c r="A19" s="13" t="str">
        <x:v>Missing IDs</x:v>
      </x:c>
      <x:c r="B19" t="n">
        <x:f>COUNTBLANK(Series_Color_Index!$C$2:$C$765)</x:f>
        <x:v>0</x:v>
      </x:c>
      <x:c r="C19" t="n">
        <x:v>0</x:v>
      </x:c>
      <x:c r="D19" t="str">
        <x:f>IF(B19=C19,"PASS","REVIEW")</x:f>
        <x:v>PASS</x:v>
      </x:c>
    </x:row>
    <x:row r="20">
      <x:c r="A20" s="13" t="str">
        <x:v>Missing HEX</x:v>
      </x:c>
      <x:c r="B20" t="n">
        <x:f>COUNTBLANK(Series_Color_Index!$AC$2:$AC$765)</x:f>
        <x:v>0</x:v>
      </x:c>
      <x:c r="C20" t="n">
        <x:v>0</x:v>
      </x:c>
      <x:c r="D20" t="str">
        <x:f>IF(B20=C20,"PASS","REVIEW")</x:f>
        <x:v>PASS</x:v>
      </x:c>
    </x:row>
    <x:row r="21">
      <x:c r="A21" s="13" t="str">
        <x:v>Duplicate IDs</x:v>
      </x:c>
      <x:c r="B21" t="n">
        <x:f>SUMPRODUCT(--(COUNTIF(Series_Color_Index!$C$2:$C$765,Series_Color_Index!$C$2:$C$765)&gt;1))</x:f>
        <x:v>0</x:v>
      </x:c>
      <x:c r="C21" t="n">
        <x:v>0</x:v>
      </x:c>
      <x:c r="D21" t="str">
        <x:f>IF(B21=C21,"PASS","REVIEW")</x:f>
        <x:v>PASS</x:v>
      </x:c>
    </x:row>
    <x:row r="22">
      <x:c r="A22" s="13" t="str">
        <x:v>WCAG failures</x:v>
      </x:c>
      <x:c r="B22" t="n">
        <x:f>COUNTIF(Series_Color_Index!$AS$2:$AS$765,"FAIL")</x:f>
        <x:v>0</x:v>
      </x:c>
      <x:c r="C22" t="n">
        <x:v>0</x:v>
      </x:c>
      <x:c r="D22" t="str">
        <x:f>IF(B22=C22,"PASS","REVIEW")</x:f>
        <x:v>PASS</x:v>
      </x:c>
    </x:row>
  </x:sheetData>
  <x:mergeCells>
    <x:mergeCell ref="A1:L1"/>
    <x:mergeCell ref="A3:C5"/>
    <x:mergeCell ref="D3:F5"/>
    <x:mergeCell ref="G3:I5"/>
    <x:mergeCell ref="J3:L5"/>
  </x:mergeCells>
  <x:conditionalFormatting sqref="D19:D22">
    <x:cfRule type="expression" dxfId="6" priority="1">
      <x:formula>D19="PASS"</x:formula>
    </x:cfRule>
  </x:conditionalFormatting>
  <x:pageMargins left="0.7" right="0.7" top="0.75" bottom="0.75" header="0.3" footer="0.3"/>
  <x:drawing xmlns:r="http://schemas.openxmlformats.org/officeDocument/2006/relationships" r:id="R753fbea3eb664577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2" hidden="0" customWidth="1"/>
    <x:col min="5" max="5" width="10" hidden="0" customWidth="1"/>
    <x:col min="6" max="6" width="14" hidden="0" customWidth="1"/>
    <x:col min="7" max="7" width="20" hidden="0" customWidth="1"/>
    <x:col min="8" max="8" width="50" hidden="0" customWidth="1"/>
  </x:cols>
  <x:sheetData>
    <x:row r="1">
      <x:c r="A1" s="272" t="str">
        <x:v>Category</x:v>
      </x:c>
      <x:c r="B1" s="272" t="str">
        <x:v>Series / medium</x:v>
      </x:c>
      <x:c r="C1" s="272" t="str">
        <x:v>2025 catalogue colours</x:v>
      </x:c>
      <x:c r="D1" s="272" t="str">
        <x:v>Catalogue tier</x:v>
      </x:c>
      <x:c r="E1" s="272" t="str">
        <x:v>PDF page</x:v>
      </x:c>
      <x:c r="F1" s="272" t="str">
        <x:v>Workbook series ID</x:v>
      </x:c>
      <x:c r="G1" s="272" t="str">
        <x:v>Ingestion status</x:v>
      </x:c>
      <x:c r="H1" s="272" t="str">
        <x:v>Notes</x:v>
      </x:c>
    </x:row>
    <x:row r="2">
      <x:c r="A2" s="18" t="str">
        <x:v>Colour pencils</x:v>
      </x:c>
      <x:c r="B2" s="18" t="str">
        <x:v>LUMINANCE 6901</x:v>
      </x:c>
      <x:c r="C2" s="18" t="n">
        <x:v>100</x:v>
      </x:c>
      <x:c r="D2" s="18" t="str">
        <x:v>Expert</x:v>
      </x:c>
      <x:c r="E2" s="18" t="n">
        <x:v>6</x:v>
      </x:c>
      <x:c r="F2" s="18" t="str">
        <x:v>LUM</x:v>
      </x:c>
      <x:c r="G2" s="18" t="str">
        <x:v>Complete</x:v>
      </x:c>
      <x:c r="H2" s="18" t="str">
        <x:v>81 LFI + 19 LFII</x:v>
      </x:c>
    </x:row>
    <x:row r="3">
      <x:c r="A3" s="18" t="str">
        <x:v>Colour pencils</x:v>
      </x:c>
      <x:c r="B3" s="18" t="str">
        <x:v>MUSEUM Aquarelle</x:v>
      </x:c>
      <x:c r="C3" s="18" t="n">
        <x:v>76</x:v>
      </x:c>
      <x:c r="D3" s="18" t="str">
        <x:v>Expert</x:v>
      </x:c>
      <x:c r="E3" s="18" t="n">
        <x:v>8</x:v>
      </x:c>
      <x:c r="F3" s="18" t="str">
        <x:v>MUS</x:v>
      </x:c>
      <x:c r="G3" s="18" t="str">
        <x:v>Complete</x:v>
      </x:c>
      <x:c r="H3" s="18" t="str">
        <x:v>26 mono-pigmented colours</x:v>
      </x:c>
    </x:row>
    <x:row r="4">
      <x:c r="A4" s="18" t="str">
        <x:v>Colour pencils</x:v>
      </x:c>
      <x:c r="B4" s="18" t="str">
        <x:v>PABLO</x:v>
      </x:c>
      <x:c r="C4" s="18" t="n">
        <x:v>120</x:v>
      </x:c>
      <x:c r="D4" s="18" t="str">
        <x:v>Classic</x:v>
      </x:c>
      <x:c r="E4" s="18" t="n">
        <x:v>22</x:v>
      </x:c>
      <x:c r="F4" s="18" t="str">
        <x:v>PAB</x:v>
      </x:c>
      <x:c r="G4" s="18" t="str">
        <x:v>Complete</x:v>
      </x:c>
      <x:c r="H4" s="18" t="str"/>
    </x:row>
    <x:row r="5">
      <x:c r="A5" s="18" t="str">
        <x:v>Colour pencils</x:v>
      </x:c>
      <x:c r="B5" s="18" t="str">
        <x:v>SUPRACOLOR Aquarelle</x:v>
      </x:c>
      <x:c r="C5" s="18" t="n">
        <x:v>120</x:v>
      </x:c>
      <x:c r="D5" s="18" t="str">
        <x:v>Classic</x:v>
      </x:c>
      <x:c r="E5" s="18" t="n">
        <x:v>23</x:v>
      </x:c>
      <x:c r="F5" s="18" t="str">
        <x:v>SUP</x:v>
      </x:c>
      <x:c r="G5" s="18" t="str">
        <x:v>Complete</x:v>
      </x:c>
      <x:c r="H5" s="18" t="str"/>
    </x:row>
    <x:row r="6">
      <x:c r="A6" s="18" t="str">
        <x:v>Colour pencils</x:v>
      </x:c>
      <x:c r="B6" s="18" t="str">
        <x:v>PRISMALO Aquarelle</x:v>
      </x:c>
      <x:c r="C6" s="18" t="n">
        <x:v>80</x:v>
      </x:c>
      <x:c r="D6" s="18" t="str">
        <x:v>Classic</x:v>
      </x:c>
      <x:c r="E6" s="18" t="n">
        <x:v>21</x:v>
      </x:c>
      <x:c r="F6" s="18" t="str"/>
      <x:c r="G6" s="18" t="str">
        <x:v>Not yet ingested</x:v>
      </x:c>
      <x:c r="H6" s="18" t="str"/>
    </x:row>
    <x:row r="7">
      <x:c r="A7" s="18" t="str">
        <x:v>Colour pencils</x:v>
      </x:c>
      <x:c r="B7" s="18" t="str">
        <x:v>SWISSCOLOR water-resistant</x:v>
      </x:c>
      <x:c r="C7" s="18" t="n">
        <x:v>30</x:v>
      </x:c>
      <x:c r="D7" s="18" t="str">
        <x:v>Discover</x:v>
      </x:c>
      <x:c r="E7" s="18" t="n">
        <x:v>31</x:v>
      </x:c>
      <x:c r="F7" s="18" t="str"/>
      <x:c r="G7" s="18" t="str">
        <x:v>Not yet ingested</x:v>
      </x:c>
      <x:c r="H7" s="18" t="str"/>
    </x:row>
    <x:row r="8">
      <x:c r="A8" s="18" t="str">
        <x:v>Colour pencils</x:v>
      </x:c>
      <x:c r="B8" s="18" t="str">
        <x:v>SWISSCOLOR Aquarelle</x:v>
      </x:c>
      <x:c r="C8" s="18" t="n">
        <x:v>40</x:v>
      </x:c>
      <x:c r="D8" s="18" t="str">
        <x:v>Discover</x:v>
      </x:c>
      <x:c r="E8" s="18" t="n">
        <x:v>31</x:v>
      </x:c>
      <x:c r="F8" s="18" t="str"/>
      <x:c r="G8" s="18" t="str">
        <x:v>Not yet ingested</x:v>
      </x:c>
      <x:c r="H8" s="18" t="str"/>
    </x:row>
    <x:row r="9">
      <x:c r="A9" s="18" t="str">
        <x:v>Pastels</x:v>
      </x:c>
      <x:c r="B9" s="18" t="str">
        <x:v>PASTEL PENCILS</x:v>
      </x:c>
      <x:c r="C9" s="18" t="n">
        <x:v>84</x:v>
      </x:c>
      <x:c r="D9" s="18" t="str">
        <x:v>Expert</x:v>
      </x:c>
      <x:c r="E9" s="18" t="n">
        <x:v>14</x:v>
      </x:c>
      <x:c r="F9" s="18" t="str">
        <x:v>PSTP</x:v>
      </x:c>
      <x:c r="G9" s="18" t="str">
        <x:v>Complete</x:v>
      </x:c>
      <x:c r="H9" s="18" t="str">
        <x:v>24 mono-pigmented colours</x:v>
      </x:c>
    </x:row>
    <x:row r="10">
      <x:c r="A10" s="18" t="str">
        <x:v>Pastels</x:v>
      </x:c>
      <x:c r="B10" s="18" t="str">
        <x:v>NEOPASTEL</x:v>
      </x:c>
      <x:c r="C10" s="18" t="n">
        <x:v>96</x:v>
      </x:c>
      <x:c r="D10" s="18" t="str">
        <x:v>Expert</x:v>
      </x:c>
      <x:c r="E10" s="18" t="n">
        <x:v>16</x:v>
      </x:c>
      <x:c r="F10" s="18" t="str">
        <x:v>NEO</x:v>
      </x:c>
      <x:c r="G10" s="18" t="str">
        <x:v>Complete</x:v>
      </x:c>
      <x:c r="H10" s="18" t="str"/>
    </x:row>
    <x:row r="11">
      <x:c r="A11" s="18" t="str">
        <x:v>Pastels</x:v>
      </x:c>
      <x:c r="B11" s="18" t="str">
        <x:v>NEOART 6901</x:v>
      </x:c>
      <x:c r="C11" s="18" t="n">
        <x:v>48</x:v>
      </x:c>
      <x:c r="D11" s="18" t="str">
        <x:v>Expert</x:v>
      </x:c>
      <x:c r="E11" s="18" t="n">
        <x:v>18</x:v>
      </x:c>
      <x:c r="F11" s="18" t="str">
        <x:v>NART</x:v>
      </x:c>
      <x:c r="G11" s="18" t="str">
        <x:v>Complete in v1.1.0</x:v>
      </x:c>
      <x:c r="H11" s="18" t="str">
        <x:v>34 LFI + 14 LFII; 44 codes shared with LUMINANCE 6901</x:v>
      </x:c>
    </x:row>
    <x:row r="12">
      <x:c r="A12" s="18" t="str">
        <x:v>Pastels</x:v>
      </x:c>
      <x:c r="B12" s="18" t="str">
        <x:v>NEOCOLOR I</x:v>
      </x:c>
      <x:c r="C12" s="18" t="n">
        <x:v>50</x:v>
      </x:c>
      <x:c r="D12" s="18" t="str">
        <x:v>Classic</x:v>
      </x:c>
      <x:c r="E12" s="18" t="n">
        <x:v>24</x:v>
      </x:c>
      <x:c r="F12" s="18" t="str"/>
      <x:c r="G12" s="18" t="str">
        <x:v>Not yet ingested</x:v>
      </x:c>
      <x:c r="H12" s="18" t="str"/>
    </x:row>
    <x:row r="13">
      <x:c r="A13" s="18" t="str">
        <x:v>Pastels</x:v>
      </x:c>
      <x:c r="B13" s="18" t="str">
        <x:v>NEOCOLOR II Aquarelle</x:v>
      </x:c>
      <x:c r="C13" s="18" t="n">
        <x:v>84</x:v>
      </x:c>
      <x:c r="D13" s="18" t="str">
        <x:v>Classic</x:v>
      </x:c>
      <x:c r="E13" s="18" t="n">
        <x:v>25</x:v>
      </x:c>
      <x:c r="F13" s="18" t="str">
        <x:v>NC2</x:v>
      </x:c>
      <x:c r="G13" s="18" t="str">
        <x:v>Complete</x:v>
      </x:c>
      <x:c r="H13" s="18" t="str"/>
    </x:row>
    <x:row r="14">
      <x:c r="A14" s="18" t="str">
        <x:v>Pastels</x:v>
      </x:c>
      <x:c r="B14" s="18" t="str">
        <x:v>SWISSCOLOR wax pastels</x:v>
      </x:c>
      <x:c r="C14" s="18" t="n">
        <x:v>15</x:v>
      </x:c>
      <x:c r="D14" s="18" t="str">
        <x:v>Discover</x:v>
      </x:c>
      <x:c r="E14" s="18" t="n">
        <x:v>32</x:v>
      </x:c>
      <x:c r="F14" s="18" t="str"/>
      <x:c r="G14" s="18" t="str">
        <x:v>Not yet ingested</x:v>
      </x:c>
      <x:c r="H14" s="18" t="str">
        <x:v>Water-resistant range</x:v>
      </x:c>
    </x:row>
    <x:row r="15">
      <x:c r="A15" s="18" t="str">
        <x:v>Pastels</x:v>
      </x:c>
      <x:c r="B15" s="18" t="str">
        <x:v>SWISSCOLOR Aquarelle wax pastels</x:v>
      </x:c>
      <x:c r="C15" s="18" t="n">
        <x:v>15</x:v>
      </x:c>
      <x:c r="D15" s="18" t="str">
        <x:v>Discover</x:v>
      </x:c>
      <x:c r="E15" s="18" t="n">
        <x:v>32</x:v>
      </x:c>
      <x:c r="F15" s="18" t="str"/>
      <x:c r="G15" s="18" t="str">
        <x:v>Not yet ingested</x:v>
      </x:c>
      <x:c r="H15" s="18" t="str">
        <x:v>Water-soluble range</x:v>
      </x:c>
    </x:row>
    <x:row r="16">
      <x:c r="A16" s="18" t="str">
        <x:v>Fibre-tipped pens</x:v>
      </x:c>
      <x:c r="B16" s="18" t="str">
        <x:v>FIBRALO Brush</x:v>
      </x:c>
      <x:c r="C16" s="18" t="n">
        <x:v>15</x:v>
      </x:c>
      <x:c r="D16" s="18" t="str">
        <x:v>Classic</x:v>
      </x:c>
      <x:c r="E16" s="18" t="n">
        <x:v>26</x:v>
      </x:c>
      <x:c r="F16" s="18" t="str"/>
      <x:c r="G16" s="18" t="str">
        <x:v>Not yet ingested</x:v>
      </x:c>
      <x:c r="H16" s="18" t="str"/>
    </x:row>
    <x:row r="17">
      <x:c r="A17" s="18" t="str">
        <x:v>Fibre-tipped pens</x:v>
      </x:c>
      <x:c r="B17" s="18" t="str">
        <x:v>FIBRALO</x:v>
      </x:c>
      <x:c r="C17" s="18" t="n">
        <x:v>30</x:v>
      </x:c>
      <x:c r="D17" s="18" t="str">
        <x:v>Classic</x:v>
      </x:c>
      <x:c r="E17" s="18" t="n">
        <x:v>26</x:v>
      </x:c>
      <x:c r="F17" s="18" t="str"/>
      <x:c r="G17" s="18" t="str">
        <x:v>Not yet ingested</x:v>
      </x:c>
      <x:c r="H17" s="18" t="str"/>
    </x:row>
    <x:row r="18">
      <x:c r="A18" s="18" t="str">
        <x:v>Fibre-tipped pens</x:v>
      </x:c>
      <x:c r="B18" s="18" t="str">
        <x:v>SWISSCOLOR Maxi</x:v>
      </x:c>
      <x:c r="C18" s="18" t="n">
        <x:v>10</x:v>
      </x:c>
      <x:c r="D18" s="18" t="str">
        <x:v>Discover</x:v>
      </x:c>
      <x:c r="E18" s="18" t="n">
        <x:v>32</x:v>
      </x:c>
      <x:c r="F18" s="18" t="str"/>
      <x:c r="G18" s="18" t="str">
        <x:v>Not yet ingested</x:v>
      </x:c>
      <x:c r="H18" s="18" t="str"/>
    </x:row>
    <x:row r="19">
      <x:c r="A19" s="18" t="str">
        <x:v>Fibre-tipped pens</x:v>
      </x:c>
      <x:c r="B19" s="18" t="str">
        <x:v>SWISSCOLOR Standard</x:v>
      </x:c>
      <x:c r="C19" s="18" t="n">
        <x:v>10</x:v>
      </x:c>
      <x:c r="D19" s="18" t="str">
        <x:v>Discover</x:v>
      </x:c>
      <x:c r="E19" s="18" t="n">
        <x:v>32</x:v>
      </x:c>
      <x:c r="F19" s="18" t="str"/>
      <x:c r="G19" s="18" t="str">
        <x:v>Not yet ingested</x:v>
      </x:c>
      <x:c r="H19" s="18" t="str"/>
    </x:row>
    <x:row r="20">
      <x:c r="A20" s="18" t="str">
        <x:v>Paint</x:v>
      </x:c>
      <x:c r="B20" s="18" t="str">
        <x:v>GOUACHE Studio tubes</x:v>
      </x:c>
      <x:c r="C20" s="18" t="n">
        <x:v>12</x:v>
      </x:c>
      <x:c r="D20" s="18" t="str">
        <x:v>Classic</x:v>
      </x:c>
      <x:c r="E20" s="18" t="n">
        <x:v>27</x:v>
      </x:c>
      <x:c r="F20" s="18" t="str"/>
      <x:c r="G20" s="18" t="str">
        <x:v>Not yet ingested</x:v>
      </x:c>
      <x:c r="H20" s="18" t="str"/>
    </x:row>
    <x:row r="21">
      <x:c r="A21" s="18" t="str">
        <x:v>Paint</x:v>
      </x:c>
      <x:c r="B21" s="18" t="str">
        <x:v>GOUACHE Studio cakes/tablets</x:v>
      </x:c>
      <x:c r="C21" s="18" t="n">
        <x:v>14</x:v>
      </x:c>
      <x:c r="D21" s="18" t="str">
        <x:v>Classic</x:v>
      </x:c>
      <x:c r="E21" s="18" t="n">
        <x:v>27</x:v>
      </x:c>
      <x:c r="F21" s="18" t="str"/>
      <x:c r="G21" s="18" t="str">
        <x:v>Not yet ingested</x:v>
      </x:c>
      <x:c r="H21" s="18" t="str"/>
    </x:row>
    <x:row r="22">
      <x:c r="A22" s="18" t="str">
        <x:v>Paint</x:v>
      </x:c>
      <x:c r="B22" s="18" t="str">
        <x:v>GOUACHE Eco</x:v>
      </x:c>
      <x:c r="C22" s="18" t="n">
        <x:v>18</x:v>
      </x:c>
      <x:c r="D22" s="18" t="str">
        <x:v>Classic</x:v>
      </x:c>
      <x:c r="E22" s="18" t="n">
        <x:v>28</x:v>
      </x:c>
      <x:c r="F22" s="18" t="str"/>
      <x:c r="G22" s="18" t="str">
        <x:v>Not yet ingested</x:v>
      </x:c>
      <x:c r="H22" s="18" t="str">
        <x:v>Includes basic, fluorescent and primary colours</x:v>
      </x:c>
    </x:row>
    <x:row r="23">
      <x:c r="A23" s="18" t="str">
        <x:v>Paint</x:v>
      </x:c>
      <x:c r="B23" s="18" t="str">
        <x:v>GOUACHE Acryl metallic</x:v>
      </x:c>
      <x:c r="C23" s="18" t="n">
        <x:v>2</x:v>
      </x:c>
      <x:c r="D23" s="18" t="str">
        <x:v>Classic</x:v>
      </x:c>
      <x:c r="E23" s="18" t="n">
        <x:v>28</x:v>
      </x:c>
      <x:c r="F23" s="18" t="str"/>
      <x:c r="G23" s="18" t="str">
        <x:v>Not yet ingested</x:v>
      </x:c>
      <x:c r="H23" s="18" t="str"/>
    </x:row>
    <x:row r="24">
      <x:c r="A24" s="18" t="str">
        <x:v>Paint</x:v>
      </x:c>
      <x:c r="B24" s="18" t="str">
        <x:v>ACRYLIC</x:v>
      </x:c>
      <x:c r="C24" s="18" t="n">
        <x:v>30</x:v>
      </x:c>
      <x:c r="D24" s="18" t="str">
        <x:v>Classic</x:v>
      </x:c>
      <x:c r="E24" s="18" t="n">
        <x:v>29</x:v>
      </x:c>
      <x:c r="F24" s="18" t="str"/>
      <x:c r="G24" s="18" t="str">
        <x:v>Not yet ingested</x:v>
      </x:c>
      <x:c r="H24" s="18" t="str">
        <x:v>Includes 3 iridescent colours</x:v>
      </x:c>
    </x:row>
  </x:sheetData>
  <x:conditionalFormatting sqref="G2:G24">
    <x:cfRule type="expression" dxfId="7" priority="1">
      <x:formula>LEFT(G2,8)="Complete"</x:formula>
    </x:cfRule>
    <x:cfRule type="expression" dxfId="8" priority="2">
      <x:formula>G2="Not yet ingested"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b6d6ed72b44b4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55" hidden="0" customWidth="1"/>
    <x:col min="5" max="5" width="55" hidden="0" customWidth="1"/>
    <x:col min="6" max="6" width="14" hidden="0" customWidth="1"/>
    <x:col min="7" max="7" width="10" hidden="0" customWidth="1"/>
  </x:cols>
  <x:sheetData>
    <x:row r="1">
      <x:c r="A1" s="277" t="str">
        <x:v>Audit_ID</x:v>
      </x:c>
      <x:c r="B1" s="277" t="str">
        <x:v>Area</x:v>
      </x:c>
      <x:c r="C1" s="277" t="str">
        <x:v>Finding</x:v>
      </x:c>
      <x:c r="D1" s="277" t="str">
        <x:v>2025 catalogue evidence</x:v>
      </x:c>
      <x:c r="E1" s="277" t="str">
        <x:v>Action in v1.1.0</x:v>
      </x:c>
      <x:c r="F1" s="277" t="str">
        <x:v>Status</x:v>
      </x:c>
      <x:c r="G1" s="277" t="str">
        <x:v>PDF page</x:v>
      </x:c>
    </x:row>
    <x:row r="2">
      <x:c r="A2" s="18" t="str">
        <x:v>CAT25-001</x:v>
      </x:c>
      <x:c r="B2" s="18" t="str">
        <x:v>Source governance</x:v>
      </x:c>
      <x:c r="C2" s="18" t="str">
        <x:v>Add the 2025 Fine Arts catalogue as an official cross-validation source</x:v>
      </x:c>
      <x:c r="D2" s="18" t="str">
        <x:v>Ref. 100011.211 ENG 2025; 50-page official catalogue</x:v>
      </x:c>
      <x:c r="E2" s="18" t="str">
        <x:v>Added SRC-CDA-CAT2025 to Source_Registry</x:v>
      </x:c>
      <x:c r="F2" s="18" t="str">
        <x:v>DONE</x:v>
      </x:c>
      <x:c r="G2" s="18" t="n">
        <x:v>1</x:v>
      </x:c>
    </x:row>
    <x:row r="3">
      <x:c r="A3" s="18" t="str">
        <x:v>CAT25-002</x:v>
      </x:c>
      <x:c r="B3" s="18" t="str">
        <x:v>New series</x:v>
      </x:c>
      <x:c r="C3" s="18" t="str">
        <x:v>NEOART 6901 was absent from v1.0.2</x:v>
      </x:c>
      <x:c r="D3" s="18" t="str">
        <x:v>48 colours; 34 LFI and 14 LFII; 44 codes in common with LUMINANCE 6901</x:v>
      </x:c>
      <x:c r="E3" s="18" t="str">
        <x:v>Added 48 NART records, pigments, lightfastness, swatches and cross-series mapping</x:v>
      </x:c>
      <x:c r="F3" s="18" t="str">
        <x:v>DONE</x:v>
      </x:c>
      <x:c r="G3" s="18" t="n">
        <x:v>18</x:v>
      </x:c>
    </x:row>
    <x:row r="4">
      <x:c r="A4" s="18" t="str">
        <x:v>CAT25-003</x:v>
      </x:c>
      <x:c r="B4" s="18" t="str">
        <x:v>Legacy status</x:v>
      </x:c>
      <x:c r="C4" s="18" t="str">
        <x:v>PASTEL CUBES should not be treated as a distinct current 2025 catalogue series</x:v>
      </x:c>
      <x:c r="D4" s="18" t="str">
        <x:v>The 2025 summary and general colour chart list PASTEL PENCILS but no standalone PASTEL CUBES column</x:v>
      </x:c>
      <x:c r="E4" s="18" t="str">
        <x:v>Retained PSTC data as a legacy shared palette and updated status text</x:v>
      </x:c>
      <x:c r="F4" s="18" t="str">
        <x:v>DONE</x:v>
      </x:c>
      <x:c r="G4" s="18" t="n">
        <x:v>48</x:v>
      </x:c>
    </x:row>
    <x:row r="5">
      <x:c r="A5" s="18" t="str">
        <x:v>CAT25-004</x:v>
      </x:c>
      <x:c r="B5" s="18" t="str">
        <x:v>LUMINANCE 6901</x:v>
      </x:c>
      <x:c r="C5" s="18" t="str">
        <x:v>Series count and lightfastness distribution confirmed</x:v>
      </x:c>
      <x:c r="D5" s="18" t="str">
        <x:v>100 colours; 81 LFI and 19 LFII</x:v>
      </x:c>
      <x:c r="E5" s="18" t="str">
        <x:v>Registry cross-validated; no row count change</x:v>
      </x:c>
      <x:c r="F5" s="18" t="str">
        <x:v>CONFIRMED</x:v>
      </x:c>
      <x:c r="G5" s="18" t="n">
        <x:v>6</x:v>
      </x:c>
    </x:row>
    <x:row r="6">
      <x:c r="A6" s="18" t="str">
        <x:v>CAT25-005</x:v>
      </x:c>
      <x:c r="B6" s="18" t="str">
        <x:v>MUSEUM Aquarelle</x:v>
      </x:c>
      <x:c r="C6" s="18" t="str">
        <x:v>Series count and mono-pigment count confirmed</x:v>
      </x:c>
      <x:c r="D6" s="18" t="str">
        <x:v>76 colours; 26 mono-pigmented colours</x:v>
      </x:c>
      <x:c r="E6" s="18" t="str">
        <x:v>Added to catalogue coverage notes</x:v>
      </x:c>
      <x:c r="F6" s="18" t="str">
        <x:v>CONFIRMED</x:v>
      </x:c>
      <x:c r="G6" s="18" t="n">
        <x:v>8</x:v>
      </x:c>
    </x:row>
    <x:row r="7">
      <x:c r="A7" s="18" t="str">
        <x:v>CAT25-006</x:v>
      </x:c>
      <x:c r="B7" s="18" t="str">
        <x:v>PASTEL PENCILS</x:v>
      </x:c>
      <x:c r="C7" s="18" t="str">
        <x:v>Current series is 84 colours</x:v>
      </x:c>
      <x:c r="D7" s="18" t="str">
        <x:v>84 colours; 24 mono-pigmented colours</x:v>
      </x:c>
      <x:c r="E7" s="18" t="str">
        <x:v>Registry confirmed; legacy cube duplication explicitly separated</x:v>
      </x:c>
      <x:c r="F7" s="18" t="str">
        <x:v>CONFIRMED</x:v>
      </x:c>
      <x:c r="G7" s="18" t="n">
        <x:v>14</x:v>
      </x:c>
    </x:row>
    <x:row r="8">
      <x:c r="A8" s="18" t="str">
        <x:v>CAT25-007</x:v>
      </x:c>
      <x:c r="B8" s="18" t="str">
        <x:v>NEOPASTEL</x:v>
      </x:c>
      <x:c r="C8" s="18" t="str">
        <x:v>Series count confirmed</x:v>
      </x:c>
      <x:c r="D8" s="18" t="str">
        <x:v>96 colours</x:v>
      </x:c>
      <x:c r="E8" s="18" t="str">
        <x:v>Registry cross-validated</x:v>
      </x:c>
      <x:c r="F8" s="18" t="str">
        <x:v>CONFIRMED</x:v>
      </x:c>
      <x:c r="G8" s="18" t="n">
        <x:v>16</x:v>
      </x:c>
    </x:row>
    <x:row r="9">
      <x:c r="A9" s="18" t="str">
        <x:v>CAT25-008</x:v>
      </x:c>
      <x:c r="B9" s="18" t="str">
        <x:v>PABLO / SUPRACOLOR</x:v>
      </x:c>
      <x:c r="C9" s="18" t="str">
        <x:v>Series counts confirmed</x:v>
      </x:c>
      <x:c r="D9" s="18" t="str">
        <x:v>120 colours each</x:v>
      </x:c>
      <x:c r="E9" s="18" t="str">
        <x:v>Registry cross-validated</x:v>
      </x:c>
      <x:c r="F9" s="18" t="str">
        <x:v>CONFIRMED</x:v>
      </x:c>
      <x:c r="G9" s="18" t="n">
        <x:v>22</x:v>
      </x:c>
    </x:row>
    <x:row r="10">
      <x:c r="A10" s="18" t="str">
        <x:v>CAT25-009</x:v>
      </x:c>
      <x:c r="B10" s="18" t="str">
        <x:v>NEOCOLOR II</x:v>
      </x:c>
      <x:c r="C10" s="18" t="str">
        <x:v>Series count confirmed</x:v>
      </x:c>
      <x:c r="D10" s="18" t="str">
        <x:v>84 colours</x:v>
      </x:c>
      <x:c r="E10" s="18" t="str">
        <x:v>Registry cross-validated</x:v>
      </x:c>
      <x:c r="F10" s="18" t="str">
        <x:v>CONFIRMED</x:v>
      </x:c>
      <x:c r="G10" s="18" t="n">
        <x:v>25</x:v>
      </x:c>
    </x:row>
    <x:row r="11">
      <x:c r="A11" s="18" t="str">
        <x:v>CAT25-010</x:v>
      </x:c>
      <x:c r="B11" s="18" t="str">
        <x:v>General colour system</x:v>
      </x:c>
      <x:c r="C11" s="18" t="str">
        <x:v>A master cross-series availability matrix is available</x:v>
      </x:c>
      <x:c r="D11" s="18" t="str">
        <x:v>General Caran d’Ache colour chart maps colour codes across pencils, pastels, pens and paints</x:v>
      </x:c>
      <x:c r="E11" s="18" t="str">
        <x:v>Added Catalogue_2025_Coverage roadmap sheet</x:v>
      </x:c>
      <x:c r="F11" s="18" t="str">
        <x:v>DOCUMENTED</x:v>
      </x:c>
      <x:c r="G11" s="18" t="n">
        <x:v>48</x:v>
      </x:c>
    </x:row>
    <x:row r="12">
      <x:c r="A12" s="18" t="str">
        <x:v>CAT25-011</x:v>
      </x:c>
      <x:c r="B12" s="18" t="str">
        <x:v>Digital colour caution</x:v>
      </x:c>
      <x:c r="C12" s="18" t="str">
        <x:v>Catalogue colour bars are not official CSS/ICC values</x:v>
      </x:c>
      <x:c r="D12" s="18" t="str">
        <x:v>The catalogue provides visual swatches, not numeric device-independent colour specifications</x:v>
      </x:c>
      <x:c r="E12" s="18" t="str">
        <x:v>NEOART HEX marked as sampled screen-reference approximation</x:v>
      </x:c>
      <x:c r="F12" s="18" t="str">
        <x:v>DOCUMENTED</x:v>
      </x:c>
      <x:c r="G12" s="18" t="n">
        <x:v>18</x:v>
      </x:c>
    </x:row>
  </x:sheetData>
  <x:conditionalFormatting sqref="F2:F12">
    <x:cfRule type="expression" dxfId="9" priority="1">
      <x:formula>OR(F2="DONE",F2="CONFIRMED")</x:formula>
    </x:cfRule>
    <x:cfRule type="expression" dxfId="10" priority="2">
      <x:formula>F2="DOCUMENTED"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8a4f864ca54a27"/>
  </x:tableParts>
</x:worksheet>
</file>